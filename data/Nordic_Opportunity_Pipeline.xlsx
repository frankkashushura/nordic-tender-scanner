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46328.58333333334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46324.58333333334</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60" t="n"/>
      <c r="C225" s="61" t="n"/>
      <c r="D225" s="60" t="n"/>
      <c r="E225" s="60" t="n"/>
      <c r="F225" s="60" t="n"/>
      <c r="G225" s="60" t="n"/>
      <c r="H225" s="60" t="n"/>
      <c r="I225" s="60" t="n"/>
      <c r="J225" s="60" t="n"/>
      <c r="K225" s="60" t="n"/>
      <c r="L225" s="60" t="n"/>
      <c r="M225" s="62" t="n"/>
      <c r="N225" s="60" t="n"/>
      <c r="O225" s="61" t="n"/>
      <c r="P225" s="61" t="n"/>
      <c r="Q225" s="63" t="n"/>
      <c r="R225" s="60" t="n"/>
      <c r="S225" s="60" t="n"/>
      <c r="T225" s="64">
        <f>IF(A225="","",IFERROR(INDEX('Bid-NoBid'!$T:$T,MATCH(A225,'Bid-NoBid'!$A:$A,0)),""))</f>
        <v/>
      </c>
      <c r="U225" s="59">
        <f>IF(A225="","",IFERROR(IF(OR(INDEX('Bid-NoBid'!$U:$U,MATCH(A225,'Bid-NoBid'!$A:$A,0))="",LEFT(INDEX('Bid-NoBid'!$U:$U,MATCH(A225,'Bid-NoBid'!$A:$A,0)),10)="Incomplete"),"Screen: "&amp;AC225,INDEX('Bid-NoBid'!$U:$U,MATCH(A225,'Bid-NoBid'!$A:$A,0))),"Screen: "&amp;AC225))</f>
        <v/>
      </c>
      <c r="V225" s="60" t="n"/>
      <c r="W225" s="60" t="n"/>
      <c r="X225" s="60" t="n"/>
      <c r="Y225" s="60" t="n"/>
      <c r="Z225" s="60" t="n"/>
      <c r="AA225" s="65" t="n"/>
      <c r="AB225" s="66" t="n"/>
      <c r="AC225" s="66" t="n"/>
      <c r="AD225" s="66" t="n"/>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66" t="n"/>
      <c r="AJ225" s="66" t="n"/>
      <c r="AK225" s="66" t="n"/>
      <c r="AL225" s="59">
        <f>IF(AND(OR(W225="Watching",W225="Preparing"),ISNUMBER(Q225)),IF(AND(Q225&gt;='Friday Summary'!$C$4,Q225&lt;='Friday Summary'!$C$4+14),Q225+ROW()/1000000,""),"")</f>
        <v/>
      </c>
    </row>
    <row r="226" ht="15" customHeight="1" s="51">
      <c r="A226" s="59">
        <f>IF(B226="","","OP-"&amp;TEXT(ROW()-4,"000"))</f>
        <v/>
      </c>
      <c r="B226" s="60" t="n"/>
      <c r="C226" s="61" t="n"/>
      <c r="D226" s="60" t="n"/>
      <c r="E226" s="60" t="n"/>
      <c r="F226" s="60" t="n"/>
      <c r="G226" s="60" t="n"/>
      <c r="H226" s="60" t="n"/>
      <c r="I226" s="60" t="n"/>
      <c r="J226" s="60" t="n"/>
      <c r="K226" s="60" t="n"/>
      <c r="L226" s="60" t="n"/>
      <c r="M226" s="62" t="n"/>
      <c r="N226" s="60" t="n"/>
      <c r="O226" s="61" t="n"/>
      <c r="P226" s="61" t="n"/>
      <c r="Q226" s="63" t="n"/>
      <c r="R226" s="60" t="n"/>
      <c r="S226" s="60" t="n"/>
      <c r="T226" s="64">
        <f>IF(A226="","",IFERROR(INDEX('Bid-NoBid'!$T:$T,MATCH(A226,'Bid-NoBid'!$A:$A,0)),""))</f>
        <v/>
      </c>
      <c r="U226" s="59">
        <f>IF(A226="","",IFERROR(IF(OR(INDEX('Bid-NoBid'!$U:$U,MATCH(A226,'Bid-NoBid'!$A:$A,0))="",LEFT(INDEX('Bid-NoBid'!$U:$U,MATCH(A226,'Bid-NoBid'!$A:$A,0)),10)="Incomplete"),"Screen: "&amp;AC226,INDEX('Bid-NoBid'!$U:$U,MATCH(A226,'Bid-NoBid'!$A:$A,0))),"Screen: "&amp;AC226))</f>
        <v/>
      </c>
      <c r="V226" s="60" t="n"/>
      <c r="W226" s="60" t="n"/>
      <c r="X226" s="60" t="n"/>
      <c r="Y226" s="60" t="n"/>
      <c r="Z226" s="60" t="n"/>
      <c r="AA226" s="65" t="n"/>
      <c r="AB226" s="66" t="n"/>
      <c r="AC226" s="66" t="n"/>
      <c r="AD226" s="66" t="n"/>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66" t="n"/>
      <c r="AJ226" s="66" t="n"/>
      <c r="AK226" s="66" t="n"/>
      <c r="AL226" s="59">
        <f>IF(AND(OR(W226="Watching",W226="Preparing"),ISNUMBER(Q226)),IF(AND(Q226&gt;='Friday Summary'!$C$4,Q226&lt;='Friday Summary'!$C$4+14),Q226+ROW()/1000000,""),"")</f>
        <v/>
      </c>
    </row>
    <row r="227" ht="15" customHeight="1" s="51">
      <c r="A227" s="59">
        <f>IF(B227="","","OP-"&amp;TEXT(ROW()-4,"000"))</f>
        <v/>
      </c>
      <c r="B227" s="60" t="n"/>
      <c r="C227" s="61" t="n"/>
      <c r="D227" s="60" t="n"/>
      <c r="E227" s="60" t="n"/>
      <c r="F227" s="60" t="n"/>
      <c r="G227" s="60" t="n"/>
      <c r="H227" s="60" t="n"/>
      <c r="I227" s="60" t="n"/>
      <c r="J227" s="60" t="n"/>
      <c r="K227" s="60" t="n"/>
      <c r="L227" s="60" t="n"/>
      <c r="M227" s="62" t="n"/>
      <c r="N227" s="60" t="n"/>
      <c r="O227" s="61" t="n"/>
      <c r="P227" s="61" t="n"/>
      <c r="Q227" s="63" t="n"/>
      <c r="R227" s="60" t="n"/>
      <c r="S227" s="60" t="n"/>
      <c r="T227" s="64">
        <f>IF(A227="","",IFERROR(INDEX('Bid-NoBid'!$T:$T,MATCH(A227,'Bid-NoBid'!$A:$A,0)),""))</f>
        <v/>
      </c>
      <c r="U227" s="59">
        <f>IF(A227="","",IFERROR(IF(OR(INDEX('Bid-NoBid'!$U:$U,MATCH(A227,'Bid-NoBid'!$A:$A,0))="",LEFT(INDEX('Bid-NoBid'!$U:$U,MATCH(A227,'Bid-NoBid'!$A:$A,0)),10)="Incomplete"),"Screen: "&amp;AC227,INDEX('Bid-NoBid'!$U:$U,MATCH(A227,'Bid-NoBid'!$A:$A,0))),"Screen: "&amp;AC227))</f>
        <v/>
      </c>
      <c r="V227" s="60" t="n"/>
      <c r="W227" s="60" t="n"/>
      <c r="X227" s="60" t="n"/>
      <c r="Y227" s="60" t="n"/>
      <c r="Z227" s="60" t="n"/>
      <c r="AA227" s="65" t="n"/>
      <c r="AB227" s="66" t="n"/>
      <c r="AC227" s="66" t="n"/>
      <c r="AD227" s="66" t="n"/>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66" t="n"/>
      <c r="AJ227" s="66" t="n"/>
      <c r="AK227" s="66" t="n"/>
      <c r="AL227" s="59">
        <f>IF(AND(OR(W227="Watching",W227="Preparing"),ISNUMBER(Q227)),IF(AND(Q227&gt;='Friday Summary'!$C$4,Q227&lt;='Friday Summary'!$C$4+14),Q227+ROW()/1000000,""),"")</f>
        <v/>
      </c>
    </row>
    <row r="228" ht="15" customHeight="1" s="51">
      <c r="A228" s="59">
        <f>IF(B228="","","OP-"&amp;TEXT(ROW()-4,"000"))</f>
        <v/>
      </c>
      <c r="B228" s="60" t="n"/>
      <c r="C228" s="61" t="n"/>
      <c r="D228" s="60" t="n"/>
      <c r="E228" s="60" t="n"/>
      <c r="F228" s="60" t="n"/>
      <c r="G228" s="60" t="n"/>
      <c r="H228" s="60" t="n"/>
      <c r="I228" s="60" t="n"/>
      <c r="J228" s="60" t="n"/>
      <c r="K228" s="60" t="n"/>
      <c r="L228" s="60" t="n"/>
      <c r="M228" s="62" t="n"/>
      <c r="N228" s="60" t="n"/>
      <c r="O228" s="61" t="n"/>
      <c r="P228" s="61" t="n"/>
      <c r="Q228" s="63" t="n"/>
      <c r="R228" s="60" t="n"/>
      <c r="S228" s="60" t="n"/>
      <c r="T228" s="64">
        <f>IF(A228="","",IFERROR(INDEX('Bid-NoBid'!$T:$T,MATCH(A228,'Bid-NoBid'!$A:$A,0)),""))</f>
        <v/>
      </c>
      <c r="U228" s="59">
        <f>IF(A228="","",IFERROR(IF(OR(INDEX('Bid-NoBid'!$U:$U,MATCH(A228,'Bid-NoBid'!$A:$A,0))="",LEFT(INDEX('Bid-NoBid'!$U:$U,MATCH(A228,'Bid-NoBid'!$A:$A,0)),10)="Incomplete"),"Screen: "&amp;AC228,INDEX('Bid-NoBid'!$U:$U,MATCH(A228,'Bid-NoBid'!$A:$A,0))),"Screen: "&amp;AC228))</f>
        <v/>
      </c>
      <c r="V228" s="60" t="n"/>
      <c r="W228" s="60" t="n"/>
      <c r="X228" s="60" t="n"/>
      <c r="Y228" s="60" t="n"/>
      <c r="Z228" s="60" t="n"/>
      <c r="AA228" s="65" t="n"/>
      <c r="AB228" s="66" t="n"/>
      <c r="AC228" s="66" t="n"/>
      <c r="AD228" s="66" t="n"/>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66" t="n"/>
      <c r="AJ228" s="66" t="n"/>
      <c r="AK228" s="66" t="n"/>
      <c r="AL228" s="59">
        <f>IF(AND(OR(W228="Watching",W228="Preparing"),ISNUMBER(Q228)),IF(AND(Q228&gt;='Friday Summary'!$C$4,Q228&lt;='Friday Summary'!$C$4+14),Q228+ROW()/1000000,""),"")</f>
        <v/>
      </c>
    </row>
    <row r="229" ht="15" customHeight="1" s="51">
      <c r="A229" s="59">
        <f>IF(B229="","","OP-"&amp;TEXT(ROW()-4,"000"))</f>
        <v/>
      </c>
      <c r="B229" s="60" t="n"/>
      <c r="C229" s="61" t="n"/>
      <c r="D229" s="60" t="n"/>
      <c r="E229" s="60" t="n"/>
      <c r="F229" s="60" t="n"/>
      <c r="G229" s="60" t="n"/>
      <c r="H229" s="60" t="n"/>
      <c r="I229" s="60" t="n"/>
      <c r="J229" s="60" t="n"/>
      <c r="K229" s="60" t="n"/>
      <c r="L229" s="60" t="n"/>
      <c r="M229" s="62" t="n"/>
      <c r="N229" s="60" t="n"/>
      <c r="O229" s="61" t="n"/>
      <c r="P229" s="61" t="n"/>
      <c r="Q229" s="63" t="n"/>
      <c r="R229" s="60" t="n"/>
      <c r="S229" s="60" t="n"/>
      <c r="T229" s="64">
        <f>IF(A229="","",IFERROR(INDEX('Bid-NoBid'!$T:$T,MATCH(A229,'Bid-NoBid'!$A:$A,0)),""))</f>
        <v/>
      </c>
      <c r="U229" s="59">
        <f>IF(A229="","",IFERROR(IF(OR(INDEX('Bid-NoBid'!$U:$U,MATCH(A229,'Bid-NoBid'!$A:$A,0))="",LEFT(INDEX('Bid-NoBid'!$U:$U,MATCH(A229,'Bid-NoBid'!$A:$A,0)),10)="Incomplete"),"Screen: "&amp;AC229,INDEX('Bid-NoBid'!$U:$U,MATCH(A229,'Bid-NoBid'!$A:$A,0))),"Screen: "&amp;AC229))</f>
        <v/>
      </c>
      <c r="V229" s="60" t="n"/>
      <c r="W229" s="60" t="n"/>
      <c r="X229" s="60" t="n"/>
      <c r="Y229" s="60" t="n"/>
      <c r="Z229" s="60" t="n"/>
      <c r="AA229" s="65" t="n"/>
      <c r="AB229" s="66" t="n"/>
      <c r="AC229" s="66" t="n"/>
      <c r="AD229" s="66" t="n"/>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66" t="n"/>
      <c r="AJ229" s="66" t="n"/>
      <c r="AK229" s="66" t="n"/>
      <c r="AL229" s="59">
        <f>IF(AND(OR(W229="Watching",W229="Preparing"),ISNUMBER(Q229)),IF(AND(Q229&gt;='Friday Summary'!$C$4,Q229&lt;='Friday Summary'!$C$4+14),Q229+ROW()/1000000,""),"")</f>
        <v/>
      </c>
    </row>
    <row r="230" ht="15" customHeight="1" s="51">
      <c r="A230" s="59">
        <f>IF(B230="","","OP-"&amp;TEXT(ROW()-4,"000"))</f>
        <v/>
      </c>
      <c r="B230" s="60" t="n"/>
      <c r="C230" s="61" t="n"/>
      <c r="D230" s="60" t="n"/>
      <c r="E230" s="60" t="n"/>
      <c r="F230" s="60" t="n"/>
      <c r="G230" s="60" t="n"/>
      <c r="H230" s="60" t="n"/>
      <c r="I230" s="60" t="n"/>
      <c r="J230" s="60" t="n"/>
      <c r="K230" s="60" t="n"/>
      <c r="L230" s="60" t="n"/>
      <c r="M230" s="62" t="n"/>
      <c r="N230" s="60" t="n"/>
      <c r="O230" s="61" t="n"/>
      <c r="P230" s="61" t="n"/>
      <c r="Q230" s="63" t="n"/>
      <c r="R230" s="60" t="n"/>
      <c r="S230" s="60" t="n"/>
      <c r="T230" s="64">
        <f>IF(A230="","",IFERROR(INDEX('Bid-NoBid'!$T:$T,MATCH(A230,'Bid-NoBid'!$A:$A,0)),""))</f>
        <v/>
      </c>
      <c r="U230" s="59">
        <f>IF(A230="","",IFERROR(IF(OR(INDEX('Bid-NoBid'!$U:$U,MATCH(A230,'Bid-NoBid'!$A:$A,0))="",LEFT(INDEX('Bid-NoBid'!$U:$U,MATCH(A230,'Bid-NoBid'!$A:$A,0)),10)="Incomplete"),"Screen: "&amp;AC230,INDEX('Bid-NoBid'!$U:$U,MATCH(A230,'Bid-NoBid'!$A:$A,0))),"Screen: "&amp;AC230))</f>
        <v/>
      </c>
      <c r="V230" s="60" t="n"/>
      <c r="W230" s="60" t="n"/>
      <c r="X230" s="60" t="n"/>
      <c r="Y230" s="60" t="n"/>
      <c r="Z230" s="60" t="n"/>
      <c r="AA230" s="65" t="n"/>
      <c r="AB230" s="66" t="n"/>
      <c r="AC230" s="66" t="n"/>
      <c r="AD230" s="66" t="n"/>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66" t="n"/>
      <c r="AJ230" s="66" t="n"/>
      <c r="AK230" s="66" t="n"/>
      <c r="AL230" s="59">
        <f>IF(AND(OR(W230="Watching",W230="Preparing"),ISNUMBER(Q230)),IF(AND(Q230&gt;='Friday Summary'!$C$4,Q230&lt;='Friday Summary'!$C$4+14),Q230+ROW()/1000000,""),"")</f>
        <v/>
      </c>
    </row>
    <row r="231" ht="15" customHeight="1" s="51">
      <c r="A231" s="59">
        <f>IF(B231="","","OP-"&amp;TEXT(ROW()-4,"000"))</f>
        <v/>
      </c>
      <c r="B231" s="60" t="n"/>
      <c r="C231" s="61" t="n"/>
      <c r="D231" s="60" t="n"/>
      <c r="E231" s="60" t="n"/>
      <c r="F231" s="60" t="n"/>
      <c r="G231" s="60" t="n"/>
      <c r="H231" s="60" t="n"/>
      <c r="I231" s="60" t="n"/>
      <c r="J231" s="60" t="n"/>
      <c r="K231" s="60" t="n"/>
      <c r="L231" s="60" t="n"/>
      <c r="M231" s="62" t="n"/>
      <c r="N231" s="60" t="n"/>
      <c r="O231" s="61" t="n"/>
      <c r="P231" s="61" t="n"/>
      <c r="Q231" s="63" t="n"/>
      <c r="R231" s="60" t="n"/>
      <c r="S231" s="60" t="n"/>
      <c r="T231" s="64">
        <f>IF(A231="","",IFERROR(INDEX('Bid-NoBid'!$T:$T,MATCH(A231,'Bid-NoBid'!$A:$A,0)),""))</f>
        <v/>
      </c>
      <c r="U231" s="59">
        <f>IF(A231="","",IFERROR(IF(OR(INDEX('Bid-NoBid'!$U:$U,MATCH(A231,'Bid-NoBid'!$A:$A,0))="",LEFT(INDEX('Bid-NoBid'!$U:$U,MATCH(A231,'Bid-NoBid'!$A:$A,0)),10)="Incomplete"),"Screen: "&amp;AC231,INDEX('Bid-NoBid'!$U:$U,MATCH(A231,'Bid-NoBid'!$A:$A,0))),"Screen: "&amp;AC231))</f>
        <v/>
      </c>
      <c r="V231" s="60" t="n"/>
      <c r="W231" s="60" t="n"/>
      <c r="X231" s="60" t="n"/>
      <c r="Y231" s="60" t="n"/>
      <c r="Z231" s="60" t="n"/>
      <c r="AA231" s="65" t="n"/>
      <c r="AB231" s="66" t="n"/>
      <c r="AC231" s="66" t="n"/>
      <c r="AD231" s="66" t="n"/>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66" t="n"/>
      <c r="AJ231" s="66" t="n"/>
      <c r="AK231" s="66" t="n"/>
      <c r="AL231" s="59">
        <f>IF(AND(OR(W231="Watching",W231="Preparing"),ISNUMBER(Q231)),IF(AND(Q231&gt;='Friday Summary'!$C$4,Q231&lt;='Friday Summary'!$C$4+14),Q231+ROW()/1000000,""),"")</f>
        <v/>
      </c>
    </row>
    <row r="232" ht="15" customHeight="1" s="51">
      <c r="A232" s="59">
        <f>IF(B232="","","OP-"&amp;TEXT(ROW()-4,"000"))</f>
        <v/>
      </c>
      <c r="B232" s="60" t="n"/>
      <c r="C232" s="61" t="n"/>
      <c r="D232" s="60" t="n"/>
      <c r="E232" s="60" t="n"/>
      <c r="F232" s="60" t="n"/>
      <c r="G232" s="60" t="n"/>
      <c r="H232" s="60" t="n"/>
      <c r="I232" s="60" t="n"/>
      <c r="J232" s="60" t="n"/>
      <c r="K232" s="60" t="n"/>
      <c r="L232" s="60" t="n"/>
      <c r="M232" s="62" t="n"/>
      <c r="N232" s="60" t="n"/>
      <c r="O232" s="61" t="n"/>
      <c r="P232" s="61" t="n"/>
      <c r="Q232" s="63" t="n"/>
      <c r="R232" s="60" t="n"/>
      <c r="S232" s="60" t="n"/>
      <c r="T232" s="64">
        <f>IF(A232="","",IFERROR(INDEX('Bid-NoBid'!$T:$T,MATCH(A232,'Bid-NoBid'!$A:$A,0)),""))</f>
        <v/>
      </c>
      <c r="U232" s="59">
        <f>IF(A232="","",IFERROR(IF(OR(INDEX('Bid-NoBid'!$U:$U,MATCH(A232,'Bid-NoBid'!$A:$A,0))="",LEFT(INDEX('Bid-NoBid'!$U:$U,MATCH(A232,'Bid-NoBid'!$A:$A,0)),10)="Incomplete"),"Screen: "&amp;AC232,INDEX('Bid-NoBid'!$U:$U,MATCH(A232,'Bid-NoBid'!$A:$A,0))),"Screen: "&amp;AC232))</f>
        <v/>
      </c>
      <c r="V232" s="60" t="n"/>
      <c r="W232" s="60" t="n"/>
      <c r="X232" s="60" t="n"/>
      <c r="Y232" s="60" t="n"/>
      <c r="Z232" s="60" t="n"/>
      <c r="AA232" s="65" t="n"/>
      <c r="AB232" s="66" t="n"/>
      <c r="AC232" s="66" t="n"/>
      <c r="AD232" s="66" t="n"/>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66" t="n"/>
      <c r="AJ232" s="66" t="n"/>
      <c r="AK232" s="66" t="n"/>
      <c r="AL232" s="59">
        <f>IF(AND(OR(W232="Watching",W232="Preparing"),ISNUMBER(Q232)),IF(AND(Q232&gt;='Friday Summary'!$C$4,Q232&lt;='Friday Summary'!$C$4+14),Q232+ROW()/1000000,""),"")</f>
        <v/>
      </c>
    </row>
    <row r="233" ht="15" customHeight="1" s="51">
      <c r="A233" s="59">
        <f>IF(B233="","","OP-"&amp;TEXT(ROW()-4,"000"))</f>
        <v/>
      </c>
      <c r="B233" s="60" t="n"/>
      <c r="C233" s="61" t="n"/>
      <c r="D233" s="60" t="n"/>
      <c r="E233" s="60" t="n"/>
      <c r="F233" s="60" t="n"/>
      <c r="G233" s="60" t="n"/>
      <c r="H233" s="60" t="n"/>
      <c r="I233" s="60" t="n"/>
      <c r="J233" s="60" t="n"/>
      <c r="K233" s="60" t="n"/>
      <c r="L233" s="60" t="n"/>
      <c r="M233" s="62" t="n"/>
      <c r="N233" s="60" t="n"/>
      <c r="O233" s="61" t="n"/>
      <c r="P233" s="61" t="n"/>
      <c r="Q233" s="63" t="n"/>
      <c r="R233" s="60" t="n"/>
      <c r="S233" s="60" t="n"/>
      <c r="T233" s="64">
        <f>IF(A233="","",IFERROR(INDEX('Bid-NoBid'!$T:$T,MATCH(A233,'Bid-NoBid'!$A:$A,0)),""))</f>
        <v/>
      </c>
      <c r="U233" s="59">
        <f>IF(A233="","",IFERROR(IF(OR(INDEX('Bid-NoBid'!$U:$U,MATCH(A233,'Bid-NoBid'!$A:$A,0))="",LEFT(INDEX('Bid-NoBid'!$U:$U,MATCH(A233,'Bid-NoBid'!$A:$A,0)),10)="Incomplete"),"Screen: "&amp;AC233,INDEX('Bid-NoBid'!$U:$U,MATCH(A233,'Bid-NoBid'!$A:$A,0))),"Screen: "&amp;AC233))</f>
        <v/>
      </c>
      <c r="V233" s="60" t="n"/>
      <c r="W233" s="60" t="n"/>
      <c r="X233" s="60" t="n"/>
      <c r="Y233" s="60" t="n"/>
      <c r="Z233" s="60" t="n"/>
      <c r="AA233" s="65" t="n"/>
      <c r="AB233" s="66" t="n"/>
      <c r="AC233" s="66" t="n"/>
      <c r="AD233" s="66" t="n"/>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66" t="n"/>
      <c r="AJ233" s="66" t="n"/>
      <c r="AK233" s="66" t="n"/>
      <c r="AL233" s="59">
        <f>IF(AND(OR(W233="Watching",W233="Preparing"),ISNUMBER(Q233)),IF(AND(Q233&gt;='Friday Summary'!$C$4,Q233&lt;='Friday Summary'!$C$4+14),Q233+ROW()/1000000,""),"")</f>
        <v/>
      </c>
    </row>
    <row r="234" ht="15" customHeight="1" s="51">
      <c r="A234" s="59">
        <f>IF(B234="","","OP-"&amp;TEXT(ROW()-4,"000"))</f>
        <v/>
      </c>
      <c r="B234" s="60" t="n"/>
      <c r="C234" s="61" t="n"/>
      <c r="D234" s="60" t="n"/>
      <c r="E234" s="60" t="n"/>
      <c r="F234" s="60" t="n"/>
      <c r="G234" s="60" t="n"/>
      <c r="H234" s="60" t="n"/>
      <c r="I234" s="60" t="n"/>
      <c r="J234" s="60" t="n"/>
      <c r="K234" s="60" t="n"/>
      <c r="L234" s="60" t="n"/>
      <c r="M234" s="62" t="n"/>
      <c r="N234" s="60" t="n"/>
      <c r="O234" s="61" t="n"/>
      <c r="P234" s="61" t="n"/>
      <c r="Q234" s="63" t="n"/>
      <c r="R234" s="60" t="n"/>
      <c r="S234" s="60" t="n"/>
      <c r="T234" s="64">
        <f>IF(A234="","",IFERROR(INDEX('Bid-NoBid'!$T:$T,MATCH(A234,'Bid-NoBid'!$A:$A,0)),""))</f>
        <v/>
      </c>
      <c r="U234" s="59">
        <f>IF(A234="","",IFERROR(IF(OR(INDEX('Bid-NoBid'!$U:$U,MATCH(A234,'Bid-NoBid'!$A:$A,0))="",LEFT(INDEX('Bid-NoBid'!$U:$U,MATCH(A234,'Bid-NoBid'!$A:$A,0)),10)="Incomplete"),"Screen: "&amp;AC234,INDEX('Bid-NoBid'!$U:$U,MATCH(A234,'Bid-NoBid'!$A:$A,0))),"Screen: "&amp;AC234))</f>
        <v/>
      </c>
      <c r="V234" s="60" t="n"/>
      <c r="W234" s="60" t="n"/>
      <c r="X234" s="60" t="n"/>
      <c r="Y234" s="60" t="n"/>
      <c r="Z234" s="60" t="n"/>
      <c r="AA234" s="65" t="n"/>
      <c r="AB234" s="66" t="n"/>
      <c r="AC234" s="66" t="n"/>
      <c r="AD234" s="66" t="n"/>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66" t="n"/>
      <c r="AJ234" s="66" t="n"/>
      <c r="AK234" s="66" t="n"/>
      <c r="AL234" s="59">
        <f>IF(AND(OR(W234="Watching",W234="Preparing"),ISNUMBER(Q234)),IF(AND(Q234&gt;='Friday Summary'!$C$4,Q234&lt;='Friday Summary'!$C$4+14),Q234+ROW()/1000000,""),"")</f>
        <v/>
      </c>
    </row>
    <row r="235" ht="15" customHeight="1" s="51">
      <c r="A235" s="59">
        <f>IF(B235="","","OP-"&amp;TEXT(ROW()-4,"000"))</f>
        <v/>
      </c>
      <c r="B235" s="60" t="n"/>
      <c r="C235" s="61" t="n"/>
      <c r="D235" s="60" t="n"/>
      <c r="E235" s="60" t="n"/>
      <c r="F235" s="60" t="n"/>
      <c r="G235" s="60" t="n"/>
      <c r="H235" s="60" t="n"/>
      <c r="I235" s="60" t="n"/>
      <c r="J235" s="60" t="n"/>
      <c r="K235" s="60" t="n"/>
      <c r="L235" s="60" t="n"/>
      <c r="M235" s="62" t="n"/>
      <c r="N235" s="60" t="n"/>
      <c r="O235" s="61" t="n"/>
      <c r="P235" s="61" t="n"/>
      <c r="Q235" s="63" t="n"/>
      <c r="R235" s="60" t="n"/>
      <c r="S235" s="60" t="n"/>
      <c r="T235" s="64">
        <f>IF(A235="","",IFERROR(INDEX('Bid-NoBid'!$T:$T,MATCH(A235,'Bid-NoBid'!$A:$A,0)),""))</f>
        <v/>
      </c>
      <c r="U235" s="59">
        <f>IF(A235="","",IFERROR(IF(OR(INDEX('Bid-NoBid'!$U:$U,MATCH(A235,'Bid-NoBid'!$A:$A,0))="",LEFT(INDEX('Bid-NoBid'!$U:$U,MATCH(A235,'Bid-NoBid'!$A:$A,0)),10)="Incomplete"),"Screen: "&amp;AC235,INDEX('Bid-NoBid'!$U:$U,MATCH(A235,'Bid-NoBid'!$A:$A,0))),"Screen: "&amp;AC235))</f>
        <v/>
      </c>
      <c r="V235" s="60" t="n"/>
      <c r="W235" s="60" t="n"/>
      <c r="X235" s="60" t="n"/>
      <c r="Y235" s="60" t="n"/>
      <c r="Z235" s="60" t="n"/>
      <c r="AA235" s="65" t="n"/>
      <c r="AB235" s="66" t="n"/>
      <c r="AC235" s="66" t="n"/>
      <c r="AD235" s="66" t="n"/>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66" t="n"/>
      <c r="AJ235" s="66" t="n"/>
      <c r="AK235" s="66" t="n"/>
      <c r="AL235" s="59">
        <f>IF(AND(OR(W235="Watching",W235="Preparing"),ISNUMBER(Q235)),IF(AND(Q235&gt;='Friday Summary'!$C$4,Q235&lt;='Friday Summary'!$C$4+14),Q235+ROW()/1000000,""),"")</f>
        <v/>
      </c>
    </row>
    <row r="236" ht="15" customHeight="1" s="51">
      <c r="A236" s="59">
        <f>IF(B236="","","OP-"&amp;TEXT(ROW()-4,"000"))</f>
        <v/>
      </c>
      <c r="B236" s="60" t="n"/>
      <c r="C236" s="61" t="n"/>
      <c r="D236" s="60" t="n"/>
      <c r="E236" s="60" t="n"/>
      <c r="F236" s="60" t="n"/>
      <c r="G236" s="60" t="n"/>
      <c r="H236" s="60" t="n"/>
      <c r="I236" s="60" t="n"/>
      <c r="J236" s="60" t="n"/>
      <c r="K236" s="60" t="n"/>
      <c r="L236" s="60" t="n"/>
      <c r="M236" s="62" t="n"/>
      <c r="N236" s="60" t="n"/>
      <c r="O236" s="61" t="n"/>
      <c r="P236" s="61" t="n"/>
      <c r="Q236" s="63" t="n"/>
      <c r="R236" s="60" t="n"/>
      <c r="S236" s="60" t="n"/>
      <c r="T236" s="64">
        <f>IF(A236="","",IFERROR(INDEX('Bid-NoBid'!$T:$T,MATCH(A236,'Bid-NoBid'!$A:$A,0)),""))</f>
        <v/>
      </c>
      <c r="U236" s="59">
        <f>IF(A236="","",IFERROR(IF(OR(INDEX('Bid-NoBid'!$U:$U,MATCH(A236,'Bid-NoBid'!$A:$A,0))="",LEFT(INDEX('Bid-NoBid'!$U:$U,MATCH(A236,'Bid-NoBid'!$A:$A,0)),10)="Incomplete"),"Screen: "&amp;AC236,INDEX('Bid-NoBid'!$U:$U,MATCH(A236,'Bid-NoBid'!$A:$A,0))),"Screen: "&amp;AC236))</f>
        <v/>
      </c>
      <c r="V236" s="60" t="n"/>
      <c r="W236" s="60" t="n"/>
      <c r="X236" s="60" t="n"/>
      <c r="Y236" s="60" t="n"/>
      <c r="Z236" s="60" t="n"/>
      <c r="AA236" s="65" t="n"/>
      <c r="AB236" s="66" t="n"/>
      <c r="AC236" s="66" t="n"/>
      <c r="AD236" s="66" t="n"/>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66" t="n"/>
      <c r="AJ236" s="66" t="n"/>
      <c r="AK236" s="66" t="n"/>
      <c r="AL236" s="59">
        <f>IF(AND(OR(W236="Watching",W236="Preparing"),ISNUMBER(Q236)),IF(AND(Q236&gt;='Friday Summary'!$C$4,Q236&lt;='Friday Summary'!$C$4+14),Q236+ROW()/1000000,""),"")</f>
        <v/>
      </c>
    </row>
    <row r="237" ht="15" customHeight="1" s="51">
      <c r="A237" s="59">
        <f>IF(B237="","","OP-"&amp;TEXT(ROW()-4,"000"))</f>
        <v/>
      </c>
      <c r="B237" s="60" t="n"/>
      <c r="C237" s="61" t="n"/>
      <c r="D237" s="60" t="n"/>
      <c r="E237" s="60" t="n"/>
      <c r="F237" s="60" t="n"/>
      <c r="G237" s="60" t="n"/>
      <c r="H237" s="60" t="n"/>
      <c r="I237" s="60" t="n"/>
      <c r="J237" s="60" t="n"/>
      <c r="K237" s="60" t="n"/>
      <c r="L237" s="60" t="n"/>
      <c r="M237" s="62" t="n"/>
      <c r="N237" s="60" t="n"/>
      <c r="O237" s="61" t="n"/>
      <c r="P237" s="61" t="n"/>
      <c r="Q237" s="63" t="n"/>
      <c r="R237" s="60" t="n"/>
      <c r="S237" s="60" t="n"/>
      <c r="T237" s="64">
        <f>IF(A237="","",IFERROR(INDEX('Bid-NoBid'!$T:$T,MATCH(A237,'Bid-NoBid'!$A:$A,0)),""))</f>
        <v/>
      </c>
      <c r="U237" s="59">
        <f>IF(A237="","",IFERROR(IF(OR(INDEX('Bid-NoBid'!$U:$U,MATCH(A237,'Bid-NoBid'!$A:$A,0))="",LEFT(INDEX('Bid-NoBid'!$U:$U,MATCH(A237,'Bid-NoBid'!$A:$A,0)),10)="Incomplete"),"Screen: "&amp;AC237,INDEX('Bid-NoBid'!$U:$U,MATCH(A237,'Bid-NoBid'!$A:$A,0))),"Screen: "&amp;AC237))</f>
        <v/>
      </c>
      <c r="V237" s="60" t="n"/>
      <c r="W237" s="60" t="n"/>
      <c r="X237" s="60" t="n"/>
      <c r="Y237" s="60" t="n"/>
      <c r="Z237" s="60" t="n"/>
      <c r="AA237" s="65" t="n"/>
      <c r="AB237" s="66" t="n"/>
      <c r="AC237" s="66" t="n"/>
      <c r="AD237" s="66" t="n"/>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66" t="n"/>
      <c r="AJ237" s="66" t="n"/>
      <c r="AK237" s="66" t="n"/>
      <c r="AL237" s="59">
        <f>IF(AND(OR(W237="Watching",W237="Preparing"),ISNUMBER(Q237)),IF(AND(Q237&gt;='Friday Summary'!$C$4,Q237&lt;='Friday Summary'!$C$4+14),Q237+ROW()/1000000,""),"")</f>
        <v/>
      </c>
    </row>
    <row r="238" ht="15" customHeight="1" s="51">
      <c r="A238" s="59">
        <f>IF(B238="","","OP-"&amp;TEXT(ROW()-4,"000"))</f>
        <v/>
      </c>
      <c r="B238" s="60" t="n"/>
      <c r="C238" s="61" t="n"/>
      <c r="D238" s="60" t="n"/>
      <c r="E238" s="60" t="n"/>
      <c r="F238" s="60" t="n"/>
      <c r="G238" s="60" t="n"/>
      <c r="H238" s="60" t="n"/>
      <c r="I238" s="60" t="n"/>
      <c r="J238" s="60" t="n"/>
      <c r="K238" s="60" t="n"/>
      <c r="L238" s="60" t="n"/>
      <c r="M238" s="62" t="n"/>
      <c r="N238" s="60" t="n"/>
      <c r="O238" s="61" t="n"/>
      <c r="P238" s="61" t="n"/>
      <c r="Q238" s="63" t="n"/>
      <c r="R238" s="60" t="n"/>
      <c r="S238" s="60" t="n"/>
      <c r="T238" s="64">
        <f>IF(A238="","",IFERROR(INDEX('Bid-NoBid'!$T:$T,MATCH(A238,'Bid-NoBid'!$A:$A,0)),""))</f>
        <v/>
      </c>
      <c r="U238" s="59">
        <f>IF(A238="","",IFERROR(IF(OR(INDEX('Bid-NoBid'!$U:$U,MATCH(A238,'Bid-NoBid'!$A:$A,0))="",LEFT(INDEX('Bid-NoBid'!$U:$U,MATCH(A238,'Bid-NoBid'!$A:$A,0)),10)="Incomplete"),"Screen: "&amp;AC238,INDEX('Bid-NoBid'!$U:$U,MATCH(A238,'Bid-NoBid'!$A:$A,0))),"Screen: "&amp;AC238))</f>
        <v/>
      </c>
      <c r="V238" s="60" t="n"/>
      <c r="W238" s="60" t="n"/>
      <c r="X238" s="60" t="n"/>
      <c r="Y238" s="60" t="n"/>
      <c r="Z238" s="60" t="n"/>
      <c r="AA238" s="65" t="n"/>
      <c r="AB238" s="66" t="n"/>
      <c r="AC238" s="66" t="n"/>
      <c r="AD238" s="66" t="n"/>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66" t="n"/>
      <c r="AJ238" s="66" t="n"/>
      <c r="AK238" s="66" t="n"/>
      <c r="AL238" s="59">
        <f>IF(AND(OR(W238="Watching",W238="Preparing"),ISNUMBER(Q238)),IF(AND(Q238&gt;='Friday Summary'!$C$4,Q238&lt;='Friday Summary'!$C$4+14),Q238+ROW()/1000000,""),"")</f>
        <v/>
      </c>
    </row>
    <row r="239" ht="15" customHeight="1" s="51">
      <c r="A239" s="59">
        <f>IF(B239="","","OP-"&amp;TEXT(ROW()-4,"000"))</f>
        <v/>
      </c>
      <c r="B239" s="60" t="n"/>
      <c r="C239" s="61" t="n"/>
      <c r="D239" s="60" t="n"/>
      <c r="E239" s="60" t="n"/>
      <c r="F239" s="60" t="n"/>
      <c r="G239" s="60" t="n"/>
      <c r="H239" s="60" t="n"/>
      <c r="I239" s="60" t="n"/>
      <c r="J239" s="60" t="n"/>
      <c r="K239" s="60" t="n"/>
      <c r="L239" s="60" t="n"/>
      <c r="M239" s="62" t="n"/>
      <c r="N239" s="60" t="n"/>
      <c r="O239" s="61" t="n"/>
      <c r="P239" s="61" t="n"/>
      <c r="Q239" s="63" t="n"/>
      <c r="R239" s="60" t="n"/>
      <c r="S239" s="60" t="n"/>
      <c r="T239" s="64">
        <f>IF(A239="","",IFERROR(INDEX('Bid-NoBid'!$T:$T,MATCH(A239,'Bid-NoBid'!$A:$A,0)),""))</f>
        <v/>
      </c>
      <c r="U239" s="59">
        <f>IF(A239="","",IFERROR(IF(OR(INDEX('Bid-NoBid'!$U:$U,MATCH(A239,'Bid-NoBid'!$A:$A,0))="",LEFT(INDEX('Bid-NoBid'!$U:$U,MATCH(A239,'Bid-NoBid'!$A:$A,0)),10)="Incomplete"),"Screen: "&amp;AC239,INDEX('Bid-NoBid'!$U:$U,MATCH(A239,'Bid-NoBid'!$A:$A,0))),"Screen: "&amp;AC239))</f>
        <v/>
      </c>
      <c r="V239" s="60" t="n"/>
      <c r="W239" s="60" t="n"/>
      <c r="X239" s="60" t="n"/>
      <c r="Y239" s="60" t="n"/>
      <c r="Z239" s="60" t="n"/>
      <c r="AA239" s="65" t="n"/>
      <c r="AB239" s="66" t="n"/>
      <c r="AC239" s="66" t="n"/>
      <c r="AD239" s="66" t="n"/>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66" t="n"/>
      <c r="AJ239" s="66" t="n"/>
      <c r="AK239" s="66" t="n"/>
      <c r="AL239" s="59">
        <f>IF(AND(OR(W239="Watching",W239="Preparing"),ISNUMBER(Q239)),IF(AND(Q239&gt;='Friday Summary'!$C$4,Q239&lt;='Friday Summary'!$C$4+14),Q239+ROW()/1000000,""),"")</f>
        <v/>
      </c>
    </row>
    <row r="240" ht="15" customHeight="1" s="51">
      <c r="A240" s="59">
        <f>IF(B240="","","OP-"&amp;TEXT(ROW()-4,"000"))</f>
        <v/>
      </c>
      <c r="B240" s="60" t="n"/>
      <c r="C240" s="61" t="n"/>
      <c r="D240" s="60" t="n"/>
      <c r="E240" s="60" t="n"/>
      <c r="F240" s="60" t="n"/>
      <c r="G240" s="60" t="n"/>
      <c r="H240" s="60" t="n"/>
      <c r="I240" s="60" t="n"/>
      <c r="J240" s="60" t="n"/>
      <c r="K240" s="60" t="n"/>
      <c r="L240" s="60" t="n"/>
      <c r="M240" s="62" t="n"/>
      <c r="N240" s="60" t="n"/>
      <c r="O240" s="61" t="n"/>
      <c r="P240" s="61" t="n"/>
      <c r="Q240" s="63" t="n"/>
      <c r="R240" s="60" t="n"/>
      <c r="S240" s="60" t="n"/>
      <c r="T240" s="64">
        <f>IF(A240="","",IFERROR(INDEX('Bid-NoBid'!$T:$T,MATCH(A240,'Bid-NoBid'!$A:$A,0)),""))</f>
        <v/>
      </c>
      <c r="U240" s="59">
        <f>IF(A240="","",IFERROR(IF(OR(INDEX('Bid-NoBid'!$U:$U,MATCH(A240,'Bid-NoBid'!$A:$A,0))="",LEFT(INDEX('Bid-NoBid'!$U:$U,MATCH(A240,'Bid-NoBid'!$A:$A,0)),10)="Incomplete"),"Screen: "&amp;AC240,INDEX('Bid-NoBid'!$U:$U,MATCH(A240,'Bid-NoBid'!$A:$A,0))),"Screen: "&amp;AC240))</f>
        <v/>
      </c>
      <c r="V240" s="60" t="n"/>
      <c r="W240" s="60" t="n"/>
      <c r="X240" s="60" t="n"/>
      <c r="Y240" s="60" t="n"/>
      <c r="Z240" s="60" t="n"/>
      <c r="AA240" s="65" t="n"/>
      <c r="AB240" s="66" t="n"/>
      <c r="AC240" s="66" t="n"/>
      <c r="AD240" s="66" t="n"/>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66" t="n"/>
      <c r="AJ240" s="66" t="n"/>
      <c r="AK240" s="66" t="n"/>
      <c r="AL240" s="59">
        <f>IF(AND(OR(W240="Watching",W240="Preparing"),ISNUMBER(Q240)),IF(AND(Q240&gt;='Friday Summary'!$C$4,Q240&lt;='Friday Summary'!$C$4+14),Q240+ROW()/1000000,""),"")</f>
        <v/>
      </c>
    </row>
    <row r="241" ht="15" customHeight="1" s="51">
      <c r="A241" s="59">
        <f>IF(B241="","","OP-"&amp;TEXT(ROW()-4,"000"))</f>
        <v/>
      </c>
      <c r="B241" s="60" t="n"/>
      <c r="C241" s="61" t="n"/>
      <c r="D241" s="60" t="n"/>
      <c r="E241" s="60" t="n"/>
      <c r="F241" s="60" t="n"/>
      <c r="G241" s="60" t="n"/>
      <c r="H241" s="60" t="n"/>
      <c r="I241" s="60" t="n"/>
      <c r="J241" s="60" t="n"/>
      <c r="K241" s="60" t="n"/>
      <c r="L241" s="60" t="n"/>
      <c r="M241" s="62" t="n"/>
      <c r="N241" s="60" t="n"/>
      <c r="O241" s="61" t="n"/>
      <c r="P241" s="61" t="n"/>
      <c r="Q241" s="63" t="n"/>
      <c r="R241" s="60" t="n"/>
      <c r="S241" s="60" t="n"/>
      <c r="T241" s="64">
        <f>IF(A241="","",IFERROR(INDEX('Bid-NoBid'!$T:$T,MATCH(A241,'Bid-NoBid'!$A:$A,0)),""))</f>
        <v/>
      </c>
      <c r="U241" s="59">
        <f>IF(A241="","",IFERROR(IF(OR(INDEX('Bid-NoBid'!$U:$U,MATCH(A241,'Bid-NoBid'!$A:$A,0))="",LEFT(INDEX('Bid-NoBid'!$U:$U,MATCH(A241,'Bid-NoBid'!$A:$A,0)),10)="Incomplete"),"Screen: "&amp;AC241,INDEX('Bid-NoBid'!$U:$U,MATCH(A241,'Bid-NoBid'!$A:$A,0))),"Screen: "&amp;AC241))</f>
        <v/>
      </c>
      <c r="V241" s="60" t="n"/>
      <c r="W241" s="60" t="n"/>
      <c r="X241" s="60" t="n"/>
      <c r="Y241" s="60" t="n"/>
      <c r="Z241" s="60" t="n"/>
      <c r="AA241" s="65" t="n"/>
      <c r="AB241" s="66" t="n"/>
      <c r="AC241" s="66" t="n"/>
      <c r="AD241" s="66" t="n"/>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66" t="n"/>
      <c r="AJ241" s="66" t="n"/>
      <c r="AK241" s="66" t="n"/>
      <c r="AL241" s="59">
        <f>IF(AND(OR(W241="Watching",W241="Preparing"),ISNUMBER(Q241)),IF(AND(Q241&gt;='Friday Summary'!$C$4,Q241&lt;='Friday Summary'!$C$4+14),Q241+ROW()/1000000,""),"")</f>
        <v/>
      </c>
    </row>
    <row r="242" ht="15" customHeight="1" s="51">
      <c r="A242" s="59">
        <f>IF(B242="","","OP-"&amp;TEXT(ROW()-4,"000"))</f>
        <v/>
      </c>
      <c r="B242" s="60" t="n"/>
      <c r="C242" s="61" t="n"/>
      <c r="D242" s="60" t="n"/>
      <c r="E242" s="60" t="n"/>
      <c r="F242" s="60" t="n"/>
      <c r="G242" s="60" t="n"/>
      <c r="H242" s="60" t="n"/>
      <c r="I242" s="60" t="n"/>
      <c r="J242" s="60" t="n"/>
      <c r="K242" s="60" t="n"/>
      <c r="L242" s="60" t="n"/>
      <c r="M242" s="62" t="n"/>
      <c r="N242" s="60" t="n"/>
      <c r="O242" s="61" t="n"/>
      <c r="P242" s="61" t="n"/>
      <c r="Q242" s="63" t="n"/>
      <c r="R242" s="60" t="n"/>
      <c r="S242" s="60" t="n"/>
      <c r="T242" s="64">
        <f>IF(A242="","",IFERROR(INDEX('Bid-NoBid'!$T:$T,MATCH(A242,'Bid-NoBid'!$A:$A,0)),""))</f>
        <v/>
      </c>
      <c r="U242" s="59">
        <f>IF(A242="","",IFERROR(IF(OR(INDEX('Bid-NoBid'!$U:$U,MATCH(A242,'Bid-NoBid'!$A:$A,0))="",LEFT(INDEX('Bid-NoBid'!$U:$U,MATCH(A242,'Bid-NoBid'!$A:$A,0)),10)="Incomplete"),"Screen: "&amp;AC242,INDEX('Bid-NoBid'!$U:$U,MATCH(A242,'Bid-NoBid'!$A:$A,0))),"Screen: "&amp;AC242))</f>
        <v/>
      </c>
      <c r="V242" s="60" t="n"/>
      <c r="W242" s="60" t="n"/>
      <c r="X242" s="60" t="n"/>
      <c r="Y242" s="60" t="n"/>
      <c r="Z242" s="60" t="n"/>
      <c r="AA242" s="65" t="n"/>
      <c r="AB242" s="66" t="n"/>
      <c r="AC242" s="66" t="n"/>
      <c r="AD242" s="66" t="n"/>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66" t="n"/>
      <c r="AJ242" s="66" t="n"/>
      <c r="AK242" s="66" t="n"/>
      <c r="AL242" s="59">
        <f>IF(AND(OR(W242="Watching",W242="Preparing"),ISNUMBER(Q242)),IF(AND(Q242&gt;='Friday Summary'!$C$4,Q242&lt;='Friday Summary'!$C$4+14),Q242+ROW()/1000000,""),"")</f>
        <v/>
      </c>
    </row>
    <row r="243" ht="15" customHeight="1" s="51">
      <c r="A243" s="59">
        <f>IF(B243="","","OP-"&amp;TEXT(ROW()-4,"000"))</f>
        <v/>
      </c>
      <c r="B243" s="60" t="n"/>
      <c r="C243" s="61" t="n"/>
      <c r="D243" s="60" t="n"/>
      <c r="E243" s="60" t="n"/>
      <c r="F243" s="60" t="n"/>
      <c r="G243" s="60" t="n"/>
      <c r="H243" s="60" t="n"/>
      <c r="I243" s="60" t="n"/>
      <c r="J243" s="60" t="n"/>
      <c r="K243" s="60" t="n"/>
      <c r="L243" s="60" t="n"/>
      <c r="M243" s="62" t="n"/>
      <c r="N243" s="60" t="n"/>
      <c r="O243" s="61" t="n"/>
      <c r="P243" s="61" t="n"/>
      <c r="Q243" s="63" t="n"/>
      <c r="R243" s="60" t="n"/>
      <c r="S243" s="60" t="n"/>
      <c r="T243" s="64">
        <f>IF(A243="","",IFERROR(INDEX('Bid-NoBid'!$T:$T,MATCH(A243,'Bid-NoBid'!$A:$A,0)),""))</f>
        <v/>
      </c>
      <c r="U243" s="59">
        <f>IF(A243="","",IFERROR(IF(OR(INDEX('Bid-NoBid'!$U:$U,MATCH(A243,'Bid-NoBid'!$A:$A,0))="",LEFT(INDEX('Bid-NoBid'!$U:$U,MATCH(A243,'Bid-NoBid'!$A:$A,0)),10)="Incomplete"),"Screen: "&amp;AC243,INDEX('Bid-NoBid'!$U:$U,MATCH(A243,'Bid-NoBid'!$A:$A,0))),"Screen: "&amp;AC243))</f>
        <v/>
      </c>
      <c r="V243" s="60" t="n"/>
      <c r="W243" s="60" t="n"/>
      <c r="X243" s="60" t="n"/>
      <c r="Y243" s="60" t="n"/>
      <c r="Z243" s="60" t="n"/>
      <c r="AA243" s="65" t="n"/>
      <c r="AB243" s="66" t="n"/>
      <c r="AC243" s="66" t="n"/>
      <c r="AD243" s="66" t="n"/>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66" t="n"/>
      <c r="AJ243" s="66" t="n"/>
      <c r="AK243" s="66" t="n"/>
      <c r="AL243" s="59">
        <f>IF(AND(OR(W243="Watching",W243="Preparing"),ISNUMBER(Q243)),IF(AND(Q243&gt;='Friday Summary'!$C$4,Q243&lt;='Friday Summary'!$C$4+14),Q243+ROW()/1000000,""),"")</f>
        <v/>
      </c>
    </row>
    <row r="244" ht="15" customHeight="1" s="51">
      <c r="A244" s="59">
        <f>IF(B244="","","OP-"&amp;TEXT(ROW()-4,"000"))</f>
        <v/>
      </c>
      <c r="B244" s="60" t="n"/>
      <c r="C244" s="61" t="n"/>
      <c r="D244" s="60" t="n"/>
      <c r="E244" s="60" t="n"/>
      <c r="F244" s="60" t="n"/>
      <c r="G244" s="60" t="n"/>
      <c r="H244" s="60" t="n"/>
      <c r="I244" s="60" t="n"/>
      <c r="J244" s="60" t="n"/>
      <c r="K244" s="60" t="n"/>
      <c r="L244" s="60" t="n"/>
      <c r="M244" s="62" t="n"/>
      <c r="N244" s="60" t="n"/>
      <c r="O244" s="61" t="n"/>
      <c r="P244" s="61" t="n"/>
      <c r="Q244" s="63" t="n"/>
      <c r="R244" s="60" t="n"/>
      <c r="S244" s="60" t="n"/>
      <c r="T244" s="64">
        <f>IF(A244="","",IFERROR(INDEX('Bid-NoBid'!$T:$T,MATCH(A244,'Bid-NoBid'!$A:$A,0)),""))</f>
        <v/>
      </c>
      <c r="U244" s="59">
        <f>IF(A244="","",IFERROR(IF(OR(INDEX('Bid-NoBid'!$U:$U,MATCH(A244,'Bid-NoBid'!$A:$A,0))="",LEFT(INDEX('Bid-NoBid'!$U:$U,MATCH(A244,'Bid-NoBid'!$A:$A,0)),10)="Incomplete"),"Screen: "&amp;AC244,INDEX('Bid-NoBid'!$U:$U,MATCH(A244,'Bid-NoBid'!$A:$A,0))),"Screen: "&amp;AC244))</f>
        <v/>
      </c>
      <c r="V244" s="60" t="n"/>
      <c r="W244" s="60" t="n"/>
      <c r="X244" s="60" t="n"/>
      <c r="Y244" s="60" t="n"/>
      <c r="Z244" s="60" t="n"/>
      <c r="AA244" s="65" t="n"/>
      <c r="AB244" s="66" t="n"/>
      <c r="AC244" s="66" t="n"/>
      <c r="AD244" s="66" t="n"/>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66" t="n"/>
      <c r="AJ244" s="66" t="n"/>
      <c r="AK244" s="66" t="n"/>
      <c r="AL244" s="59">
        <f>IF(AND(OR(W244="Watching",W244="Preparing"),ISNUMBER(Q244)),IF(AND(Q244&gt;='Friday Summary'!$C$4,Q244&lt;='Friday Summary'!$C$4+14),Q244+ROW()/1000000,""),"")</f>
        <v/>
      </c>
    </row>
    <row r="245" ht="15" customHeight="1" s="51">
      <c r="A245" s="59">
        <f>IF(B245="","","OP-"&amp;TEXT(ROW()-4,"000"))</f>
        <v/>
      </c>
      <c r="B245" s="60" t="n"/>
      <c r="C245" s="61" t="n"/>
      <c r="D245" s="60" t="n"/>
      <c r="E245" s="60" t="n"/>
      <c r="F245" s="60" t="n"/>
      <c r="G245" s="60" t="n"/>
      <c r="H245" s="60" t="n"/>
      <c r="I245" s="60" t="n"/>
      <c r="J245" s="60" t="n"/>
      <c r="K245" s="60" t="n"/>
      <c r="L245" s="60" t="n"/>
      <c r="M245" s="62" t="n"/>
      <c r="N245" s="60" t="n"/>
      <c r="O245" s="61" t="n"/>
      <c r="P245" s="61" t="n"/>
      <c r="Q245" s="63" t="n"/>
      <c r="R245" s="60" t="n"/>
      <c r="S245" s="60" t="n"/>
      <c r="T245" s="64">
        <f>IF(A245="","",IFERROR(INDEX('Bid-NoBid'!$T:$T,MATCH(A245,'Bid-NoBid'!$A:$A,0)),""))</f>
        <v/>
      </c>
      <c r="U245" s="59">
        <f>IF(A245="","",IFERROR(IF(OR(INDEX('Bid-NoBid'!$U:$U,MATCH(A245,'Bid-NoBid'!$A:$A,0))="",LEFT(INDEX('Bid-NoBid'!$U:$U,MATCH(A245,'Bid-NoBid'!$A:$A,0)),10)="Incomplete"),"Screen: "&amp;AC245,INDEX('Bid-NoBid'!$U:$U,MATCH(A245,'Bid-NoBid'!$A:$A,0))),"Screen: "&amp;AC245))</f>
        <v/>
      </c>
      <c r="V245" s="60" t="n"/>
      <c r="W245" s="60" t="n"/>
      <c r="X245" s="60" t="n"/>
      <c r="Y245" s="60" t="n"/>
      <c r="Z245" s="60" t="n"/>
      <c r="AA245" s="65" t="n"/>
      <c r="AB245" s="66" t="n"/>
      <c r="AC245" s="66" t="n"/>
      <c r="AD245" s="66" t="n"/>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66" t="n"/>
      <c r="AJ245" s="66" t="n"/>
      <c r="AK245" s="66" t="n"/>
      <c r="AL245" s="59">
        <f>IF(AND(OR(W245="Watching",W245="Preparing"),ISNUMBER(Q245)),IF(AND(Q245&gt;='Friday Summary'!$C$4,Q245&lt;='Friday Summary'!$C$4+14),Q245+ROW()/1000000,""),"")</f>
        <v/>
      </c>
    </row>
    <row r="246" ht="15" customHeight="1" s="51">
      <c r="A246" s="59">
        <f>IF(B246="","","OP-"&amp;TEXT(ROW()-4,"000"))</f>
        <v/>
      </c>
      <c r="B246" s="60" t="n"/>
      <c r="C246" s="61" t="n"/>
      <c r="D246" s="60" t="n"/>
      <c r="E246" s="60" t="n"/>
      <c r="F246" s="60" t="n"/>
      <c r="G246" s="60" t="n"/>
      <c r="H246" s="60" t="n"/>
      <c r="I246" s="60" t="n"/>
      <c r="J246" s="60" t="n"/>
      <c r="K246" s="60" t="n"/>
      <c r="L246" s="60" t="n"/>
      <c r="M246" s="62" t="n"/>
      <c r="N246" s="60" t="n"/>
      <c r="O246" s="61" t="n"/>
      <c r="P246" s="61" t="n"/>
      <c r="Q246" s="63" t="n"/>
      <c r="R246" s="60" t="n"/>
      <c r="S246" s="60" t="n"/>
      <c r="T246" s="64">
        <f>IF(A246="","",IFERROR(INDEX('Bid-NoBid'!$T:$T,MATCH(A246,'Bid-NoBid'!$A:$A,0)),""))</f>
        <v/>
      </c>
      <c r="U246" s="59">
        <f>IF(A246="","",IFERROR(IF(OR(INDEX('Bid-NoBid'!$U:$U,MATCH(A246,'Bid-NoBid'!$A:$A,0))="",LEFT(INDEX('Bid-NoBid'!$U:$U,MATCH(A246,'Bid-NoBid'!$A:$A,0)),10)="Incomplete"),"Screen: "&amp;AC246,INDEX('Bid-NoBid'!$U:$U,MATCH(A246,'Bid-NoBid'!$A:$A,0))),"Screen: "&amp;AC246))</f>
        <v/>
      </c>
      <c r="V246" s="60" t="n"/>
      <c r="W246" s="60" t="n"/>
      <c r="X246" s="60" t="n"/>
      <c r="Y246" s="60" t="n"/>
      <c r="Z246" s="60" t="n"/>
      <c r="AA246" s="65" t="n"/>
      <c r="AB246" s="66" t="n"/>
      <c r="AC246" s="66" t="n"/>
      <c r="AD246" s="66" t="n"/>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66" t="n"/>
      <c r="AJ246" s="66" t="n"/>
      <c r="AK246" s="66" t="n"/>
      <c r="AL246" s="59">
        <f>IF(AND(OR(W246="Watching",W246="Preparing"),ISNUMBER(Q246)),IF(AND(Q246&gt;='Friday Summary'!$C$4,Q246&lt;='Friday Summary'!$C$4+14),Q246+ROW()/1000000,""),"")</f>
        <v/>
      </c>
    </row>
    <row r="247" ht="15" customHeight="1" s="51">
      <c r="A247" s="59">
        <f>IF(B247="","","OP-"&amp;TEXT(ROW()-4,"000"))</f>
        <v/>
      </c>
      <c r="B247" s="60" t="n"/>
      <c r="C247" s="61" t="n"/>
      <c r="D247" s="60" t="n"/>
      <c r="E247" s="60" t="n"/>
      <c r="F247" s="60" t="n"/>
      <c r="G247" s="60" t="n"/>
      <c r="H247" s="60" t="n"/>
      <c r="I247" s="60" t="n"/>
      <c r="J247" s="60" t="n"/>
      <c r="K247" s="60" t="n"/>
      <c r="L247" s="60" t="n"/>
      <c r="M247" s="62" t="n"/>
      <c r="N247" s="60" t="n"/>
      <c r="O247" s="61" t="n"/>
      <c r="P247" s="61" t="n"/>
      <c r="Q247" s="63" t="n"/>
      <c r="R247" s="60" t="n"/>
      <c r="S247" s="60" t="n"/>
      <c r="T247" s="64">
        <f>IF(A247="","",IFERROR(INDEX('Bid-NoBid'!$T:$T,MATCH(A247,'Bid-NoBid'!$A:$A,0)),""))</f>
        <v/>
      </c>
      <c r="U247" s="59">
        <f>IF(A247="","",IFERROR(IF(OR(INDEX('Bid-NoBid'!$U:$U,MATCH(A247,'Bid-NoBid'!$A:$A,0))="",LEFT(INDEX('Bid-NoBid'!$U:$U,MATCH(A247,'Bid-NoBid'!$A:$A,0)),10)="Incomplete"),"Screen: "&amp;AC247,INDEX('Bid-NoBid'!$U:$U,MATCH(A247,'Bid-NoBid'!$A:$A,0))),"Screen: "&amp;AC247))</f>
        <v/>
      </c>
      <c r="V247" s="60" t="n"/>
      <c r="W247" s="60" t="n"/>
      <c r="X247" s="60" t="n"/>
      <c r="Y247" s="60" t="n"/>
      <c r="Z247" s="60" t="n"/>
      <c r="AA247" s="65" t="n"/>
      <c r="AB247" s="66" t="n"/>
      <c r="AC247" s="66" t="n"/>
      <c r="AD247" s="66" t="n"/>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66" t="n"/>
      <c r="AJ247" s="66" t="n"/>
      <c r="AK247" s="66" t="n"/>
      <c r="AL247" s="59">
        <f>IF(AND(OR(W247="Watching",W247="Preparing"),ISNUMBER(Q247)),IF(AND(Q247&gt;='Friday Summary'!$C$4,Q247&lt;='Friday Summary'!$C$4+14),Q247+ROW()/1000000,""),"")</f>
        <v/>
      </c>
    </row>
    <row r="248" ht="15" customHeight="1" s="51">
      <c r="A248" s="59">
        <f>IF(B248="","","OP-"&amp;TEXT(ROW()-4,"000"))</f>
        <v/>
      </c>
      <c r="B248" s="60" t="n"/>
      <c r="C248" s="61" t="n"/>
      <c r="D248" s="60" t="n"/>
      <c r="E248" s="60" t="n"/>
      <c r="F248" s="60" t="n"/>
      <c r="G248" s="60" t="n"/>
      <c r="H248" s="60" t="n"/>
      <c r="I248" s="60" t="n"/>
      <c r="J248" s="60" t="n"/>
      <c r="K248" s="60" t="n"/>
      <c r="L248" s="60" t="n"/>
      <c r="M248" s="62" t="n"/>
      <c r="N248" s="60" t="n"/>
      <c r="O248" s="61" t="n"/>
      <c r="P248" s="61" t="n"/>
      <c r="Q248" s="63" t="n"/>
      <c r="R248" s="60" t="n"/>
      <c r="S248" s="60" t="n"/>
      <c r="T248" s="64">
        <f>IF(A248="","",IFERROR(INDEX('Bid-NoBid'!$T:$T,MATCH(A248,'Bid-NoBid'!$A:$A,0)),""))</f>
        <v/>
      </c>
      <c r="U248" s="59">
        <f>IF(A248="","",IFERROR(IF(OR(INDEX('Bid-NoBid'!$U:$U,MATCH(A248,'Bid-NoBid'!$A:$A,0))="",LEFT(INDEX('Bid-NoBid'!$U:$U,MATCH(A248,'Bid-NoBid'!$A:$A,0)),10)="Incomplete"),"Screen: "&amp;AC248,INDEX('Bid-NoBid'!$U:$U,MATCH(A248,'Bid-NoBid'!$A:$A,0))),"Screen: "&amp;AC248))</f>
        <v/>
      </c>
      <c r="V248" s="60" t="n"/>
      <c r="W248" s="60" t="n"/>
      <c r="X248" s="60" t="n"/>
      <c r="Y248" s="60" t="n"/>
      <c r="Z248" s="60" t="n"/>
      <c r="AA248" s="65" t="n"/>
      <c r="AB248" s="66" t="n"/>
      <c r="AC248" s="66" t="n"/>
      <c r="AD248" s="66" t="n"/>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66" t="n"/>
      <c r="AJ248" s="66" t="n"/>
      <c r="AK248" s="66" t="n"/>
      <c r="AL248" s="59">
        <f>IF(AND(OR(W248="Watching",W248="Preparing"),ISNUMBER(Q248)),IF(AND(Q248&gt;='Friday Summary'!$C$4,Q248&lt;='Friday Summary'!$C$4+14),Q248+ROW()/1000000,""),"")</f>
        <v/>
      </c>
    </row>
    <row r="249" ht="15" customHeight="1" s="51">
      <c r="A249" s="59">
        <f>IF(B249="","","OP-"&amp;TEXT(ROW()-4,"000"))</f>
        <v/>
      </c>
      <c r="B249" s="60" t="n"/>
      <c r="C249" s="61" t="n"/>
      <c r="D249" s="60" t="n"/>
      <c r="E249" s="60" t="n"/>
      <c r="F249" s="60" t="n"/>
      <c r="G249" s="60" t="n"/>
      <c r="H249" s="60" t="n"/>
      <c r="I249" s="60" t="n"/>
      <c r="J249" s="60" t="n"/>
      <c r="K249" s="60" t="n"/>
      <c r="L249" s="60" t="n"/>
      <c r="M249" s="62" t="n"/>
      <c r="N249" s="60" t="n"/>
      <c r="O249" s="61" t="n"/>
      <c r="P249" s="61" t="n"/>
      <c r="Q249" s="63" t="n"/>
      <c r="R249" s="60" t="n"/>
      <c r="S249" s="60" t="n"/>
      <c r="T249" s="64">
        <f>IF(A249="","",IFERROR(INDEX('Bid-NoBid'!$T:$T,MATCH(A249,'Bid-NoBid'!$A:$A,0)),""))</f>
        <v/>
      </c>
      <c r="U249" s="59">
        <f>IF(A249="","",IFERROR(IF(OR(INDEX('Bid-NoBid'!$U:$U,MATCH(A249,'Bid-NoBid'!$A:$A,0))="",LEFT(INDEX('Bid-NoBid'!$U:$U,MATCH(A249,'Bid-NoBid'!$A:$A,0)),10)="Incomplete"),"Screen: "&amp;AC249,INDEX('Bid-NoBid'!$U:$U,MATCH(A249,'Bid-NoBid'!$A:$A,0))),"Screen: "&amp;AC249))</f>
        <v/>
      </c>
      <c r="V249" s="60" t="n"/>
      <c r="W249" s="60" t="n"/>
      <c r="X249" s="60" t="n"/>
      <c r="Y249" s="60" t="n"/>
      <c r="Z249" s="60" t="n"/>
      <c r="AA249" s="65" t="n"/>
      <c r="AB249" s="66" t="n"/>
      <c r="AC249" s="66" t="n"/>
      <c r="AD249" s="66" t="n"/>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66" t="n"/>
      <c r="AJ249" s="66" t="n"/>
      <c r="AK249" s="66" t="n"/>
      <c r="AL249" s="59">
        <f>IF(AND(OR(W249="Watching",W249="Preparing"),ISNUMBER(Q249)),IF(AND(Q249&gt;='Friday Summary'!$C$4,Q249&lt;='Friday Summary'!$C$4+14),Q249+ROW()/1000000,""),"")</f>
        <v/>
      </c>
    </row>
    <row r="250" ht="15" customHeight="1" s="51">
      <c r="A250" s="59">
        <f>IF(B250="","","OP-"&amp;TEXT(ROW()-4,"000"))</f>
        <v/>
      </c>
      <c r="B250" s="60" t="n"/>
      <c r="C250" s="61" t="n"/>
      <c r="D250" s="60" t="n"/>
      <c r="E250" s="60" t="n"/>
      <c r="F250" s="60" t="n"/>
      <c r="G250" s="60" t="n"/>
      <c r="H250" s="60" t="n"/>
      <c r="I250" s="60" t="n"/>
      <c r="J250" s="60" t="n"/>
      <c r="K250" s="60" t="n"/>
      <c r="L250" s="60" t="n"/>
      <c r="M250" s="62" t="n"/>
      <c r="N250" s="60" t="n"/>
      <c r="O250" s="61" t="n"/>
      <c r="P250" s="61" t="n"/>
      <c r="Q250" s="63" t="n"/>
      <c r="R250" s="60" t="n"/>
      <c r="S250" s="60" t="n"/>
      <c r="T250" s="64">
        <f>IF(A250="","",IFERROR(INDEX('Bid-NoBid'!$T:$T,MATCH(A250,'Bid-NoBid'!$A:$A,0)),""))</f>
        <v/>
      </c>
      <c r="U250" s="59">
        <f>IF(A250="","",IFERROR(IF(OR(INDEX('Bid-NoBid'!$U:$U,MATCH(A250,'Bid-NoBid'!$A:$A,0))="",LEFT(INDEX('Bid-NoBid'!$U:$U,MATCH(A250,'Bid-NoBid'!$A:$A,0)),10)="Incomplete"),"Screen: "&amp;AC250,INDEX('Bid-NoBid'!$U:$U,MATCH(A250,'Bid-NoBid'!$A:$A,0))),"Screen: "&amp;AC250))</f>
        <v/>
      </c>
      <c r="V250" s="60" t="n"/>
      <c r="W250" s="60" t="n"/>
      <c r="X250" s="60" t="n"/>
      <c r="Y250" s="60" t="n"/>
      <c r="Z250" s="60" t="n"/>
      <c r="AA250" s="65" t="n"/>
      <c r="AB250" s="66" t="n"/>
      <c r="AC250" s="66" t="n"/>
      <c r="AD250" s="66" t="n"/>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66" t="n"/>
      <c r="AJ250" s="66" t="n"/>
      <c r="AK250" s="66" t="n"/>
      <c r="AL250" s="59">
        <f>IF(AND(OR(W250="Watching",W250="Preparing"),ISNUMBER(Q250)),IF(AND(Q250&gt;='Friday Summary'!$C$4,Q250&lt;='Friday Summary'!$C$4+14),Q250+ROW()/1000000,""),"")</f>
        <v/>
      </c>
    </row>
    <row r="251" ht="15" customHeight="1" s="51">
      <c r="A251" s="59">
        <f>IF(B251="","","OP-"&amp;TEXT(ROW()-4,"000"))</f>
        <v/>
      </c>
      <c r="B251" s="60" t="n"/>
      <c r="C251" s="61" t="n"/>
      <c r="D251" s="60" t="n"/>
      <c r="E251" s="60" t="n"/>
      <c r="F251" s="60" t="n"/>
      <c r="G251" s="60" t="n"/>
      <c r="H251" s="60" t="n"/>
      <c r="I251" s="60" t="n"/>
      <c r="J251" s="60" t="n"/>
      <c r="K251" s="60" t="n"/>
      <c r="L251" s="60" t="n"/>
      <c r="M251" s="62" t="n"/>
      <c r="N251" s="60" t="n"/>
      <c r="O251" s="61" t="n"/>
      <c r="P251" s="61" t="n"/>
      <c r="Q251" s="63" t="n"/>
      <c r="R251" s="60" t="n"/>
      <c r="S251" s="60" t="n"/>
      <c r="T251" s="64">
        <f>IF(A251="","",IFERROR(INDEX('Bid-NoBid'!$T:$T,MATCH(A251,'Bid-NoBid'!$A:$A,0)),""))</f>
        <v/>
      </c>
      <c r="U251" s="59">
        <f>IF(A251="","",IFERROR(IF(OR(INDEX('Bid-NoBid'!$U:$U,MATCH(A251,'Bid-NoBid'!$A:$A,0))="",LEFT(INDEX('Bid-NoBid'!$U:$U,MATCH(A251,'Bid-NoBid'!$A:$A,0)),10)="Incomplete"),"Screen: "&amp;AC251,INDEX('Bid-NoBid'!$U:$U,MATCH(A251,'Bid-NoBid'!$A:$A,0))),"Screen: "&amp;AC251))</f>
        <v/>
      </c>
      <c r="V251" s="60" t="n"/>
      <c r="W251" s="60" t="n"/>
      <c r="X251" s="60" t="n"/>
      <c r="Y251" s="60" t="n"/>
      <c r="Z251" s="60" t="n"/>
      <c r="AA251" s="65" t="n"/>
      <c r="AB251" s="66" t="n"/>
      <c r="AC251" s="66" t="n"/>
      <c r="AD251" s="66" t="n"/>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66" t="n"/>
      <c r="AJ251" s="66" t="n"/>
      <c r="AK251" s="66" t="n"/>
      <c r="AL251" s="59">
        <f>IF(AND(OR(W251="Watching",W251="Preparing"),ISNUMBER(Q251)),IF(AND(Q251&gt;='Friday Summary'!$C$4,Q251&lt;='Friday Summary'!$C$4+14),Q251+ROW()/1000000,""),"")</f>
        <v/>
      </c>
    </row>
    <row r="252" ht="15" customHeight="1" s="51">
      <c r="A252" s="59">
        <f>IF(B252="","","OP-"&amp;TEXT(ROW()-4,"000"))</f>
        <v/>
      </c>
      <c r="B252" s="60" t="n"/>
      <c r="C252" s="61" t="n"/>
      <c r="D252" s="60" t="n"/>
      <c r="E252" s="60" t="n"/>
      <c r="F252" s="60" t="n"/>
      <c r="G252" s="60" t="n"/>
      <c r="H252" s="60" t="n"/>
      <c r="I252" s="60" t="n"/>
      <c r="J252" s="60" t="n"/>
      <c r="K252" s="60" t="n"/>
      <c r="L252" s="60" t="n"/>
      <c r="M252" s="62" t="n"/>
      <c r="N252" s="60" t="n"/>
      <c r="O252" s="61" t="n"/>
      <c r="P252" s="61" t="n"/>
      <c r="Q252" s="63" t="n"/>
      <c r="R252" s="60" t="n"/>
      <c r="S252" s="60" t="n"/>
      <c r="T252" s="64">
        <f>IF(A252="","",IFERROR(INDEX('Bid-NoBid'!$T:$T,MATCH(A252,'Bid-NoBid'!$A:$A,0)),""))</f>
        <v/>
      </c>
      <c r="U252" s="59">
        <f>IF(A252="","",IFERROR(IF(OR(INDEX('Bid-NoBid'!$U:$U,MATCH(A252,'Bid-NoBid'!$A:$A,0))="",LEFT(INDEX('Bid-NoBid'!$U:$U,MATCH(A252,'Bid-NoBid'!$A:$A,0)),10)="Incomplete"),"Screen: "&amp;AC252,INDEX('Bid-NoBid'!$U:$U,MATCH(A252,'Bid-NoBid'!$A:$A,0))),"Screen: "&amp;AC252))</f>
        <v/>
      </c>
      <c r="V252" s="60" t="n"/>
      <c r="W252" s="60" t="n"/>
      <c r="X252" s="60" t="n"/>
      <c r="Y252" s="60" t="n"/>
      <c r="Z252" s="60" t="n"/>
      <c r="AA252" s="65" t="n"/>
      <c r="AB252" s="66" t="n"/>
      <c r="AC252" s="66" t="n"/>
      <c r="AD252" s="66" t="n"/>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66" t="n"/>
      <c r="AJ252" s="66" t="n"/>
      <c r="AK252" s="66" t="n"/>
      <c r="AL252" s="59">
        <f>IF(AND(OR(W252="Watching",W252="Preparing"),ISNUMBER(Q252)),IF(AND(Q252&gt;='Friday Summary'!$C$4,Q252&lt;='Friday Summary'!$C$4+14),Q252+ROW()/1000000,""),"")</f>
        <v/>
      </c>
    </row>
    <row r="253" ht="15" customHeight="1" s="51">
      <c r="A253" s="59">
        <f>IF(B253="","","OP-"&amp;TEXT(ROW()-4,"000"))</f>
        <v/>
      </c>
      <c r="B253" s="60" t="n"/>
      <c r="C253" s="61" t="n"/>
      <c r="D253" s="60" t="n"/>
      <c r="E253" s="60" t="n"/>
      <c r="F253" s="60" t="n"/>
      <c r="G253" s="60" t="n"/>
      <c r="H253" s="60" t="n"/>
      <c r="I253" s="60" t="n"/>
      <c r="J253" s="60" t="n"/>
      <c r="K253" s="60" t="n"/>
      <c r="L253" s="60" t="n"/>
      <c r="M253" s="62" t="n"/>
      <c r="N253" s="60" t="n"/>
      <c r="O253" s="61" t="n"/>
      <c r="P253" s="61" t="n"/>
      <c r="Q253" s="63" t="n"/>
      <c r="R253" s="60" t="n"/>
      <c r="S253" s="60" t="n"/>
      <c r="T253" s="64">
        <f>IF(A253="","",IFERROR(INDEX('Bid-NoBid'!$T:$T,MATCH(A253,'Bid-NoBid'!$A:$A,0)),""))</f>
        <v/>
      </c>
      <c r="U253" s="59">
        <f>IF(A253="","",IFERROR(IF(OR(INDEX('Bid-NoBid'!$U:$U,MATCH(A253,'Bid-NoBid'!$A:$A,0))="",LEFT(INDEX('Bid-NoBid'!$U:$U,MATCH(A253,'Bid-NoBid'!$A:$A,0)),10)="Incomplete"),"Screen: "&amp;AC253,INDEX('Bid-NoBid'!$U:$U,MATCH(A253,'Bid-NoBid'!$A:$A,0))),"Screen: "&amp;AC253))</f>
        <v/>
      </c>
      <c r="V253" s="60" t="n"/>
      <c r="W253" s="60" t="n"/>
      <c r="X253" s="60" t="n"/>
      <c r="Y253" s="60" t="n"/>
      <c r="Z253" s="60" t="n"/>
      <c r="AA253" s="65" t="n"/>
      <c r="AB253" s="66" t="n"/>
      <c r="AC253" s="66" t="n"/>
      <c r="AD253" s="66" t="n"/>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66" t="n"/>
      <c r="AJ253" s="66" t="n"/>
      <c r="AK253" s="66" t="n"/>
      <c r="AL253" s="59">
        <f>IF(AND(OR(W253="Watching",W253="Preparing"),ISNUMBER(Q253)),IF(AND(Q253&gt;='Friday Summary'!$C$4,Q253&lt;='Friday Summary'!$C$4+14),Q253+ROW()/1000000,""),"")</f>
        <v/>
      </c>
    </row>
    <row r="254" ht="15" customHeight="1" s="51">
      <c r="A254" s="59">
        <f>IF(B254="","","OP-"&amp;TEXT(ROW()-4,"000"))</f>
        <v/>
      </c>
      <c r="B254" s="60" t="n"/>
      <c r="C254" s="61" t="n"/>
      <c r="D254" s="60" t="n"/>
      <c r="E254" s="60" t="n"/>
      <c r="F254" s="60" t="n"/>
      <c r="G254" s="60" t="n"/>
      <c r="H254" s="60" t="n"/>
      <c r="I254" s="60" t="n"/>
      <c r="J254" s="60" t="n"/>
      <c r="K254" s="60" t="n"/>
      <c r="L254" s="60" t="n"/>
      <c r="M254" s="62" t="n"/>
      <c r="N254" s="60" t="n"/>
      <c r="O254" s="61" t="n"/>
      <c r="P254" s="61" t="n"/>
      <c r="Q254" s="63" t="n"/>
      <c r="R254" s="60" t="n"/>
      <c r="S254" s="60" t="n"/>
      <c r="T254" s="64">
        <f>IF(A254="","",IFERROR(INDEX('Bid-NoBid'!$T:$T,MATCH(A254,'Bid-NoBid'!$A:$A,0)),""))</f>
        <v/>
      </c>
      <c r="U254" s="59">
        <f>IF(A254="","",IFERROR(IF(OR(INDEX('Bid-NoBid'!$U:$U,MATCH(A254,'Bid-NoBid'!$A:$A,0))="",LEFT(INDEX('Bid-NoBid'!$U:$U,MATCH(A254,'Bid-NoBid'!$A:$A,0)),10)="Incomplete"),"Screen: "&amp;AC254,INDEX('Bid-NoBid'!$U:$U,MATCH(A254,'Bid-NoBid'!$A:$A,0))),"Screen: "&amp;AC254))</f>
        <v/>
      </c>
      <c r="V254" s="60" t="n"/>
      <c r="W254" s="60" t="n"/>
      <c r="X254" s="60" t="n"/>
      <c r="Y254" s="60" t="n"/>
      <c r="Z254" s="60" t="n"/>
      <c r="AA254" s="65" t="n"/>
      <c r="AB254" s="66" t="n"/>
      <c r="AC254" s="66" t="n"/>
      <c r="AD254" s="66" t="n"/>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66" t="n"/>
      <c r="AJ254" s="66" t="n"/>
      <c r="AK254" s="66" t="n"/>
      <c r="AL254" s="59">
        <f>IF(AND(OR(W254="Watching",W254="Preparing"),ISNUMBER(Q254)),IF(AND(Q254&gt;='Friday Summary'!$C$4,Q254&lt;='Friday Summary'!$C$4+14),Q254+ROW()/1000000,""),"")</f>
        <v/>
      </c>
    </row>
    <row r="255" ht="15" customHeight="1" s="51">
      <c r="A255" s="59">
        <f>IF(B255="","","OP-"&amp;TEXT(ROW()-4,"000"))</f>
        <v/>
      </c>
      <c r="B255" s="60" t="n"/>
      <c r="C255" s="61" t="n"/>
      <c r="D255" s="60" t="n"/>
      <c r="E255" s="60" t="n"/>
      <c r="F255" s="60" t="n"/>
      <c r="G255" s="60" t="n"/>
      <c r="H255" s="60" t="n"/>
      <c r="I255" s="60" t="n"/>
      <c r="J255" s="60" t="n"/>
      <c r="K255" s="60" t="n"/>
      <c r="L255" s="60" t="n"/>
      <c r="M255" s="62" t="n"/>
      <c r="N255" s="60" t="n"/>
      <c r="O255" s="61" t="n"/>
      <c r="P255" s="61" t="n"/>
      <c r="Q255" s="63" t="n"/>
      <c r="R255" s="60" t="n"/>
      <c r="S255" s="60" t="n"/>
      <c r="T255" s="64">
        <f>IF(A255="","",IFERROR(INDEX('Bid-NoBid'!$T:$T,MATCH(A255,'Bid-NoBid'!$A:$A,0)),""))</f>
        <v/>
      </c>
      <c r="U255" s="59">
        <f>IF(A255="","",IFERROR(IF(OR(INDEX('Bid-NoBid'!$U:$U,MATCH(A255,'Bid-NoBid'!$A:$A,0))="",LEFT(INDEX('Bid-NoBid'!$U:$U,MATCH(A255,'Bid-NoBid'!$A:$A,0)),10)="Incomplete"),"Screen: "&amp;AC255,INDEX('Bid-NoBid'!$U:$U,MATCH(A255,'Bid-NoBid'!$A:$A,0))),"Screen: "&amp;AC255))</f>
        <v/>
      </c>
      <c r="V255" s="60" t="n"/>
      <c r="W255" s="60" t="n"/>
      <c r="X255" s="60" t="n"/>
      <c r="Y255" s="60" t="n"/>
      <c r="Z255" s="60" t="n"/>
      <c r="AA255" s="65" t="n"/>
      <c r="AB255" s="66" t="n"/>
      <c r="AC255" s="66" t="n"/>
      <c r="AD255" s="66" t="n"/>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66" t="n"/>
      <c r="AJ255" s="66" t="n"/>
      <c r="AK255" s="66" t="n"/>
      <c r="AL255" s="59">
        <f>IF(AND(OR(W255="Watching",W255="Preparing"),ISNUMBER(Q255)),IF(AND(Q255&gt;='Friday Summary'!$C$4,Q255&lt;='Friday Summary'!$C$4+14),Q255+ROW()/1000000,""),"")</f>
        <v/>
      </c>
    </row>
    <row r="256" ht="15" customHeight="1" s="51">
      <c r="A256" s="59">
        <f>IF(B256="","","OP-"&amp;TEXT(ROW()-4,"000"))</f>
        <v/>
      </c>
      <c r="B256" s="60" t="n"/>
      <c r="C256" s="61" t="n"/>
      <c r="D256" s="60" t="n"/>
      <c r="E256" s="60" t="n"/>
      <c r="F256" s="60" t="n"/>
      <c r="G256" s="60" t="n"/>
      <c r="H256" s="60" t="n"/>
      <c r="I256" s="60" t="n"/>
      <c r="J256" s="60" t="n"/>
      <c r="K256" s="60" t="n"/>
      <c r="L256" s="60" t="n"/>
      <c r="M256" s="62" t="n"/>
      <c r="N256" s="60" t="n"/>
      <c r="O256" s="61" t="n"/>
      <c r="P256" s="61" t="n"/>
      <c r="Q256" s="63" t="n"/>
      <c r="R256" s="60" t="n"/>
      <c r="S256" s="60" t="n"/>
      <c r="T256" s="64">
        <f>IF(A256="","",IFERROR(INDEX('Bid-NoBid'!$T:$T,MATCH(A256,'Bid-NoBid'!$A:$A,0)),""))</f>
        <v/>
      </c>
      <c r="U256" s="59">
        <f>IF(A256="","",IFERROR(IF(OR(INDEX('Bid-NoBid'!$U:$U,MATCH(A256,'Bid-NoBid'!$A:$A,0))="",LEFT(INDEX('Bid-NoBid'!$U:$U,MATCH(A256,'Bid-NoBid'!$A:$A,0)),10)="Incomplete"),"Screen: "&amp;AC256,INDEX('Bid-NoBid'!$U:$U,MATCH(A256,'Bid-NoBid'!$A:$A,0))),"Screen: "&amp;AC256))</f>
        <v/>
      </c>
      <c r="V256" s="60" t="n"/>
      <c r="W256" s="60" t="n"/>
      <c r="X256" s="60" t="n"/>
      <c r="Y256" s="60" t="n"/>
      <c r="Z256" s="60" t="n"/>
      <c r="AA256" s="65" t="n"/>
      <c r="AB256" s="66" t="n"/>
      <c r="AC256" s="66" t="n"/>
      <c r="AD256" s="66" t="n"/>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66" t="n"/>
      <c r="AJ256" s="66" t="n"/>
      <c r="AK256" s="66" t="n"/>
      <c r="AL256" s="59">
        <f>IF(AND(OR(W256="Watching",W256="Preparing"),ISNUMBER(Q256)),IF(AND(Q256&gt;='Friday Summary'!$C$4,Q256&lt;='Friday Summary'!$C$4+14),Q256+ROW()/1000000,""),"")</f>
        <v/>
      </c>
    </row>
    <row r="257" ht="15" customHeight="1" s="51">
      <c r="A257" s="59">
        <f>IF(B257="","","OP-"&amp;TEXT(ROW()-4,"000"))</f>
        <v/>
      </c>
      <c r="B257" s="60" t="n"/>
      <c r="C257" s="61" t="n"/>
      <c r="D257" s="60" t="n"/>
      <c r="E257" s="60" t="n"/>
      <c r="F257" s="60" t="n"/>
      <c r="G257" s="60" t="n"/>
      <c r="H257" s="60" t="n"/>
      <c r="I257" s="60" t="n"/>
      <c r="J257" s="60" t="n"/>
      <c r="K257" s="60" t="n"/>
      <c r="L257" s="60" t="n"/>
      <c r="M257" s="62" t="n"/>
      <c r="N257" s="60" t="n"/>
      <c r="O257" s="61" t="n"/>
      <c r="P257" s="61" t="n"/>
      <c r="Q257" s="63" t="n"/>
      <c r="R257" s="60" t="n"/>
      <c r="S257" s="60" t="n"/>
      <c r="T257" s="64">
        <f>IF(A257="","",IFERROR(INDEX('Bid-NoBid'!$T:$T,MATCH(A257,'Bid-NoBid'!$A:$A,0)),""))</f>
        <v/>
      </c>
      <c r="U257" s="59">
        <f>IF(A257="","",IFERROR(IF(OR(INDEX('Bid-NoBid'!$U:$U,MATCH(A257,'Bid-NoBid'!$A:$A,0))="",LEFT(INDEX('Bid-NoBid'!$U:$U,MATCH(A257,'Bid-NoBid'!$A:$A,0)),10)="Incomplete"),"Screen: "&amp;AC257,INDEX('Bid-NoBid'!$U:$U,MATCH(A257,'Bid-NoBid'!$A:$A,0))),"Screen: "&amp;AC257))</f>
        <v/>
      </c>
      <c r="V257" s="60" t="n"/>
      <c r="W257" s="60" t="n"/>
      <c r="X257" s="60" t="n"/>
      <c r="Y257" s="60" t="n"/>
      <c r="Z257" s="60" t="n"/>
      <c r="AA257" s="65" t="n"/>
      <c r="AB257" s="66" t="n"/>
      <c r="AC257" s="66" t="n"/>
      <c r="AD257" s="66" t="n"/>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66" t="n"/>
      <c r="AJ257" s="66" t="n"/>
      <c r="AK257" s="66" t="n"/>
      <c r="AL257" s="59">
        <f>IF(AND(OR(W257="Watching",W257="Preparing"),ISNUMBER(Q257)),IF(AND(Q257&gt;='Friday Summary'!$C$4,Q257&lt;='Friday Summary'!$C$4+14),Q257+ROW()/1000000,""),"")</f>
        <v/>
      </c>
    </row>
    <row r="258" ht="15" customHeight="1" s="51">
      <c r="A258" s="59">
        <f>IF(B258="","","OP-"&amp;TEXT(ROW()-4,"000"))</f>
        <v/>
      </c>
      <c r="B258" s="60" t="n"/>
      <c r="C258" s="61" t="n"/>
      <c r="D258" s="60" t="n"/>
      <c r="E258" s="60" t="n"/>
      <c r="F258" s="60" t="n"/>
      <c r="G258" s="60" t="n"/>
      <c r="H258" s="60" t="n"/>
      <c r="I258" s="60" t="n"/>
      <c r="J258" s="60" t="n"/>
      <c r="K258" s="60" t="n"/>
      <c r="L258" s="60" t="n"/>
      <c r="M258" s="62" t="n"/>
      <c r="N258" s="60" t="n"/>
      <c r="O258" s="61" t="n"/>
      <c r="P258" s="61" t="n"/>
      <c r="Q258" s="63" t="n"/>
      <c r="R258" s="60" t="n"/>
      <c r="S258" s="60" t="n"/>
      <c r="T258" s="64">
        <f>IF(A258="","",IFERROR(INDEX('Bid-NoBid'!$T:$T,MATCH(A258,'Bid-NoBid'!$A:$A,0)),""))</f>
        <v/>
      </c>
      <c r="U258" s="59">
        <f>IF(A258="","",IFERROR(IF(OR(INDEX('Bid-NoBid'!$U:$U,MATCH(A258,'Bid-NoBid'!$A:$A,0))="",LEFT(INDEX('Bid-NoBid'!$U:$U,MATCH(A258,'Bid-NoBid'!$A:$A,0)),10)="Incomplete"),"Screen: "&amp;AC258,INDEX('Bid-NoBid'!$U:$U,MATCH(A258,'Bid-NoBid'!$A:$A,0))),"Screen: "&amp;AC258))</f>
        <v/>
      </c>
      <c r="V258" s="60" t="n"/>
      <c r="W258" s="60" t="n"/>
      <c r="X258" s="60" t="n"/>
      <c r="Y258" s="60" t="n"/>
      <c r="Z258" s="60" t="n"/>
      <c r="AA258" s="65" t="n"/>
      <c r="AB258" s="66" t="n"/>
      <c r="AC258" s="66" t="n"/>
      <c r="AD258" s="66" t="n"/>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66" t="n"/>
      <c r="AJ258" s="66" t="n"/>
      <c r="AK258" s="66" t="n"/>
      <c r="AL258" s="59">
        <f>IF(AND(OR(W258="Watching",W258="Preparing"),ISNUMBER(Q258)),IF(AND(Q258&gt;='Friday Summary'!$C$4,Q258&lt;='Friday Summary'!$C$4+14),Q258+ROW()/1000000,""),"")</f>
        <v/>
      </c>
    </row>
    <row r="259" ht="15" customHeight="1" s="51">
      <c r="A259" s="59">
        <f>IF(B259="","","OP-"&amp;TEXT(ROW()-4,"000"))</f>
        <v/>
      </c>
      <c r="B259" s="60" t="n"/>
      <c r="C259" s="61" t="n"/>
      <c r="D259" s="60" t="n"/>
      <c r="E259" s="60" t="n"/>
      <c r="F259" s="60" t="n"/>
      <c r="G259" s="60" t="n"/>
      <c r="H259" s="60" t="n"/>
      <c r="I259" s="60" t="n"/>
      <c r="J259" s="60" t="n"/>
      <c r="K259" s="60" t="n"/>
      <c r="L259" s="60" t="n"/>
      <c r="M259" s="62" t="n"/>
      <c r="N259" s="60" t="n"/>
      <c r="O259" s="61" t="n"/>
      <c r="P259" s="61" t="n"/>
      <c r="Q259" s="63" t="n"/>
      <c r="R259" s="60" t="n"/>
      <c r="S259" s="60" t="n"/>
      <c r="T259" s="64">
        <f>IF(A259="","",IFERROR(INDEX('Bid-NoBid'!$T:$T,MATCH(A259,'Bid-NoBid'!$A:$A,0)),""))</f>
        <v/>
      </c>
      <c r="U259" s="59">
        <f>IF(A259="","",IFERROR(IF(OR(INDEX('Bid-NoBid'!$U:$U,MATCH(A259,'Bid-NoBid'!$A:$A,0))="",LEFT(INDEX('Bid-NoBid'!$U:$U,MATCH(A259,'Bid-NoBid'!$A:$A,0)),10)="Incomplete"),"Screen: "&amp;AC259,INDEX('Bid-NoBid'!$U:$U,MATCH(A259,'Bid-NoBid'!$A:$A,0))),"Screen: "&amp;AC259))</f>
        <v/>
      </c>
      <c r="V259" s="60" t="n"/>
      <c r="W259" s="60" t="n"/>
      <c r="X259" s="60" t="n"/>
      <c r="Y259" s="60" t="n"/>
      <c r="Z259" s="60" t="n"/>
      <c r="AA259" s="65" t="n"/>
      <c r="AB259" s="66" t="n"/>
      <c r="AC259" s="66" t="n"/>
      <c r="AD259" s="66" t="n"/>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66" t="n"/>
      <c r="AJ259" s="66" t="n"/>
      <c r="AK259" s="66" t="n"/>
      <c r="AL259" s="59">
        <f>IF(AND(OR(W259="Watching",W259="Preparing"),ISNUMBER(Q259)),IF(AND(Q259&gt;='Friday Summary'!$C$4,Q259&lt;='Friday Summary'!$C$4+14),Q259+ROW()/1000000,""),"")</f>
        <v/>
      </c>
    </row>
    <row r="260" ht="15" customHeight="1" s="51">
      <c r="A260" s="59">
        <f>IF(B260="","","OP-"&amp;TEXT(ROW()-4,"000"))</f>
        <v/>
      </c>
      <c r="B260" s="60" t="n"/>
      <c r="C260" s="61" t="n"/>
      <c r="D260" s="60" t="n"/>
      <c r="E260" s="60" t="n"/>
      <c r="F260" s="60" t="n"/>
      <c r="G260" s="60" t="n"/>
      <c r="H260" s="60" t="n"/>
      <c r="I260" s="60" t="n"/>
      <c r="J260" s="60" t="n"/>
      <c r="K260" s="60" t="n"/>
      <c r="L260" s="60" t="n"/>
      <c r="M260" s="62" t="n"/>
      <c r="N260" s="60" t="n"/>
      <c r="O260" s="61" t="n"/>
      <c r="P260" s="61" t="n"/>
      <c r="Q260" s="63" t="n"/>
      <c r="R260" s="60" t="n"/>
      <c r="S260" s="60" t="n"/>
      <c r="T260" s="64">
        <f>IF(A260="","",IFERROR(INDEX('Bid-NoBid'!$T:$T,MATCH(A260,'Bid-NoBid'!$A:$A,0)),""))</f>
        <v/>
      </c>
      <c r="U260" s="59">
        <f>IF(A260="","",IFERROR(IF(OR(INDEX('Bid-NoBid'!$U:$U,MATCH(A260,'Bid-NoBid'!$A:$A,0))="",LEFT(INDEX('Bid-NoBid'!$U:$U,MATCH(A260,'Bid-NoBid'!$A:$A,0)),10)="Incomplete"),"Screen: "&amp;AC260,INDEX('Bid-NoBid'!$U:$U,MATCH(A260,'Bid-NoBid'!$A:$A,0))),"Screen: "&amp;AC260))</f>
        <v/>
      </c>
      <c r="V260" s="60" t="n"/>
      <c r="W260" s="60" t="n"/>
      <c r="X260" s="60" t="n"/>
      <c r="Y260" s="60" t="n"/>
      <c r="Z260" s="60" t="n"/>
      <c r="AA260" s="65" t="n"/>
      <c r="AB260" s="66" t="n"/>
      <c r="AC260" s="66" t="n"/>
      <c r="AD260" s="66" t="n"/>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66" t="n"/>
      <c r="AJ260" s="66" t="n"/>
      <c r="AK260" s="66" t="n"/>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7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27"/>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2026-10-24T10:01:29Z</dcterms:modified>
  <cp:revision>0</cp:revision>
</cp:coreProperties>
</file>