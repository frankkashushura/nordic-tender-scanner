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46311.66666666666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60" t="n"/>
      <c r="C72" s="61" t="n"/>
      <c r="D72" s="60" t="n"/>
      <c r="E72" s="60" t="n"/>
      <c r="F72" s="60" t="n"/>
      <c r="G72" s="60" t="n"/>
      <c r="H72" s="60" t="n"/>
      <c r="I72" s="60" t="n"/>
      <c r="J72" s="60" t="n"/>
      <c r="K72" s="60" t="n"/>
      <c r="L72" s="60" t="n"/>
      <c r="M72" s="62" t="n"/>
      <c r="N72" s="60" t="n"/>
      <c r="O72" s="61" t="n"/>
      <c r="P72" s="61" t="n"/>
      <c r="Q72" s="63" t="n"/>
      <c r="R72" s="60" t="n"/>
      <c r="S72" s="60" t="n"/>
      <c r="T72" s="64">
        <f>IF(A72="","",IFERROR(INDEX('Bid-NoBid'!$T:$T,MATCH(A72,'Bid-NoBid'!$A:$A,0)),""))</f>
        <v/>
      </c>
      <c r="U72" s="59">
        <f>IF(A72="","",IFERROR(IF(OR(INDEX('Bid-NoBid'!$U:$U,MATCH(A72,'Bid-NoBid'!$A:$A,0))="",LEFT(INDEX('Bid-NoBid'!$U:$U,MATCH(A72,'Bid-NoBid'!$A:$A,0)),10)="Incomplete"),"Screen: "&amp;AC72,INDEX('Bid-NoBid'!$U:$U,MATCH(A72,'Bid-NoBid'!$A:$A,0))),"Screen: "&amp;AC72))</f>
        <v/>
      </c>
      <c r="V72" s="60" t="n"/>
      <c r="W72" s="60" t="n"/>
      <c r="X72" s="60" t="n"/>
      <c r="Y72" s="60" t="n"/>
      <c r="Z72" s="60" t="n"/>
      <c r="AA72" s="65" t="n"/>
      <c r="AB72" s="66" t="n"/>
      <c r="AC72" s="66" t="n"/>
      <c r="AD72" s="66" t="n"/>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66" t="n"/>
      <c r="AJ72" s="66" t="n"/>
      <c r="AK72" s="66" t="n"/>
      <c r="AL72" s="59">
        <f>IF(AND(OR(W72="Watching",W72="Preparing"),ISNUMBER(Q72)),IF(AND(Q72&gt;='Friday Summary'!$C$4,Q72&lt;='Friday Summary'!$C$4+14),Q72+ROW()/1000000,""),"")</f>
        <v/>
      </c>
    </row>
    <row r="73" ht="15" customHeight="1" s="51">
      <c r="A73" s="59">
        <f>IF(B73="","","OP-"&amp;TEXT(ROW()-4,"000"))</f>
        <v/>
      </c>
      <c r="B73" s="60" t="n"/>
      <c r="C73" s="61" t="n"/>
      <c r="D73" s="60" t="n"/>
      <c r="E73" s="60" t="n"/>
      <c r="F73" s="60" t="n"/>
      <c r="G73" s="60" t="n"/>
      <c r="H73" s="60" t="n"/>
      <c r="I73" s="60" t="n"/>
      <c r="J73" s="60" t="n"/>
      <c r="K73" s="60" t="n"/>
      <c r="L73" s="60" t="n"/>
      <c r="M73" s="62" t="n"/>
      <c r="N73" s="60" t="n"/>
      <c r="O73" s="61" t="n"/>
      <c r="P73" s="61" t="n"/>
      <c r="Q73" s="63" t="n"/>
      <c r="R73" s="60" t="n"/>
      <c r="S73" s="60" t="n"/>
      <c r="T73" s="64">
        <f>IF(A73="","",IFERROR(INDEX('Bid-NoBid'!$T:$T,MATCH(A73,'Bid-NoBid'!$A:$A,0)),""))</f>
        <v/>
      </c>
      <c r="U73" s="59">
        <f>IF(A73="","",IFERROR(IF(OR(INDEX('Bid-NoBid'!$U:$U,MATCH(A73,'Bid-NoBid'!$A:$A,0))="",LEFT(INDEX('Bid-NoBid'!$U:$U,MATCH(A73,'Bid-NoBid'!$A:$A,0)),10)="Incomplete"),"Screen: "&amp;AC73,INDEX('Bid-NoBid'!$U:$U,MATCH(A73,'Bid-NoBid'!$A:$A,0))),"Screen: "&amp;AC73))</f>
        <v/>
      </c>
      <c r="V73" s="60" t="n"/>
      <c r="W73" s="60" t="n"/>
      <c r="X73" s="60" t="n"/>
      <c r="Y73" s="60" t="n"/>
      <c r="Z73" s="60" t="n"/>
      <c r="AA73" s="65" t="n"/>
      <c r="AB73" s="66" t="n"/>
      <c r="AC73" s="66" t="n"/>
      <c r="AD73" s="66" t="n"/>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66" t="n"/>
      <c r="AJ73" s="66" t="n"/>
      <c r="AK73" s="66" t="n"/>
      <c r="AL73" s="59">
        <f>IF(AND(OR(W73="Watching",W73="Preparing"),ISNUMBER(Q73)),IF(AND(Q73&gt;='Friday Summary'!$C$4,Q73&lt;='Friday Summary'!$C$4+14),Q73+ROW()/1000000,""),"")</f>
        <v/>
      </c>
    </row>
    <row r="74" ht="15" customHeight="1" s="51">
      <c r="A74" s="59">
        <f>IF(B74="","","OP-"&amp;TEXT(ROW()-4,"000"))</f>
        <v/>
      </c>
      <c r="B74" s="60" t="n"/>
      <c r="C74" s="61" t="n"/>
      <c r="D74" s="60" t="n"/>
      <c r="E74" s="60" t="n"/>
      <c r="F74" s="60" t="n"/>
      <c r="G74" s="60" t="n"/>
      <c r="H74" s="60" t="n"/>
      <c r="I74" s="60" t="n"/>
      <c r="J74" s="60" t="n"/>
      <c r="K74" s="60" t="n"/>
      <c r="L74" s="60" t="n"/>
      <c r="M74" s="62" t="n"/>
      <c r="N74" s="60" t="n"/>
      <c r="O74" s="61" t="n"/>
      <c r="P74" s="61" t="n"/>
      <c r="Q74" s="63" t="n"/>
      <c r="R74" s="60" t="n"/>
      <c r="S74" s="60" t="n"/>
      <c r="T74" s="64">
        <f>IF(A74="","",IFERROR(INDEX('Bid-NoBid'!$T:$T,MATCH(A74,'Bid-NoBid'!$A:$A,0)),""))</f>
        <v/>
      </c>
      <c r="U74" s="59">
        <f>IF(A74="","",IFERROR(IF(OR(INDEX('Bid-NoBid'!$U:$U,MATCH(A74,'Bid-NoBid'!$A:$A,0))="",LEFT(INDEX('Bid-NoBid'!$U:$U,MATCH(A74,'Bid-NoBid'!$A:$A,0)),10)="Incomplete"),"Screen: "&amp;AC74,INDEX('Bid-NoBid'!$U:$U,MATCH(A74,'Bid-NoBid'!$A:$A,0))),"Screen: "&amp;AC74))</f>
        <v/>
      </c>
      <c r="V74" s="60" t="n"/>
      <c r="W74" s="60" t="n"/>
      <c r="X74" s="60" t="n"/>
      <c r="Y74" s="60" t="n"/>
      <c r="Z74" s="60" t="n"/>
      <c r="AA74" s="65" t="n"/>
      <c r="AB74" s="66" t="n"/>
      <c r="AC74" s="66" t="n"/>
      <c r="AD74" s="66" t="n"/>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66" t="n"/>
      <c r="AJ74" s="66" t="n"/>
      <c r="AK74" s="66" t="n"/>
      <c r="AL74" s="59">
        <f>IF(AND(OR(W74="Watching",W74="Preparing"),ISNUMBER(Q74)),IF(AND(Q74&gt;='Friday Summary'!$C$4,Q74&lt;='Friday Summary'!$C$4+14),Q74+ROW()/1000000,""),"")</f>
        <v/>
      </c>
    </row>
    <row r="75" ht="15" customHeight="1" s="51">
      <c r="A75" s="59">
        <f>IF(B75="","","OP-"&amp;TEXT(ROW()-4,"000"))</f>
        <v/>
      </c>
      <c r="B75" s="60" t="n"/>
      <c r="C75" s="61" t="n"/>
      <c r="D75" s="60" t="n"/>
      <c r="E75" s="60" t="n"/>
      <c r="F75" s="60" t="n"/>
      <c r="G75" s="60" t="n"/>
      <c r="H75" s="60" t="n"/>
      <c r="I75" s="60" t="n"/>
      <c r="J75" s="60" t="n"/>
      <c r="K75" s="60" t="n"/>
      <c r="L75" s="60" t="n"/>
      <c r="M75" s="62" t="n"/>
      <c r="N75" s="60" t="n"/>
      <c r="O75" s="61" t="n"/>
      <c r="P75" s="61" t="n"/>
      <c r="Q75" s="63" t="n"/>
      <c r="R75" s="60" t="n"/>
      <c r="S75" s="60" t="n"/>
      <c r="T75" s="64">
        <f>IF(A75="","",IFERROR(INDEX('Bid-NoBid'!$T:$T,MATCH(A75,'Bid-NoBid'!$A:$A,0)),""))</f>
        <v/>
      </c>
      <c r="U75" s="59">
        <f>IF(A75="","",IFERROR(IF(OR(INDEX('Bid-NoBid'!$U:$U,MATCH(A75,'Bid-NoBid'!$A:$A,0))="",LEFT(INDEX('Bid-NoBid'!$U:$U,MATCH(A75,'Bid-NoBid'!$A:$A,0)),10)="Incomplete"),"Screen: "&amp;AC75,INDEX('Bid-NoBid'!$U:$U,MATCH(A75,'Bid-NoBid'!$A:$A,0))),"Screen: "&amp;AC75))</f>
        <v/>
      </c>
      <c r="V75" s="60" t="n"/>
      <c r="W75" s="60" t="n"/>
      <c r="X75" s="60" t="n"/>
      <c r="Y75" s="60" t="n"/>
      <c r="Z75" s="60" t="n"/>
      <c r="AA75" s="65" t="n"/>
      <c r="AB75" s="66" t="n"/>
      <c r="AC75" s="66" t="n"/>
      <c r="AD75" s="66" t="n"/>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66" t="n"/>
      <c r="AJ75" s="66" t="n"/>
      <c r="AK75" s="66" t="n"/>
      <c r="AL75" s="59">
        <f>IF(AND(OR(W75="Watching",W75="Preparing"),ISNUMBER(Q75)),IF(AND(Q75&gt;='Friday Summary'!$C$4,Q75&lt;='Friday Summary'!$C$4+14),Q75+ROW()/1000000,""),"")</f>
        <v/>
      </c>
    </row>
    <row r="76" ht="15" customHeight="1" s="51">
      <c r="A76" s="59">
        <f>IF(B76="","","OP-"&amp;TEXT(ROW()-4,"000"))</f>
        <v/>
      </c>
      <c r="B76" s="60" t="n"/>
      <c r="C76" s="61" t="n"/>
      <c r="D76" s="60" t="n"/>
      <c r="E76" s="60" t="n"/>
      <c r="F76" s="60" t="n"/>
      <c r="G76" s="60" t="n"/>
      <c r="H76" s="60" t="n"/>
      <c r="I76" s="60" t="n"/>
      <c r="J76" s="60" t="n"/>
      <c r="K76" s="60" t="n"/>
      <c r="L76" s="60" t="n"/>
      <c r="M76" s="62" t="n"/>
      <c r="N76" s="60" t="n"/>
      <c r="O76" s="61" t="n"/>
      <c r="P76" s="61" t="n"/>
      <c r="Q76" s="63" t="n"/>
      <c r="R76" s="60" t="n"/>
      <c r="S76" s="60" t="n"/>
      <c r="T76" s="64">
        <f>IF(A76="","",IFERROR(INDEX('Bid-NoBid'!$T:$T,MATCH(A76,'Bid-NoBid'!$A:$A,0)),""))</f>
        <v/>
      </c>
      <c r="U76" s="59">
        <f>IF(A76="","",IFERROR(IF(OR(INDEX('Bid-NoBid'!$U:$U,MATCH(A76,'Bid-NoBid'!$A:$A,0))="",LEFT(INDEX('Bid-NoBid'!$U:$U,MATCH(A76,'Bid-NoBid'!$A:$A,0)),10)="Incomplete"),"Screen: "&amp;AC76,INDEX('Bid-NoBid'!$U:$U,MATCH(A76,'Bid-NoBid'!$A:$A,0))),"Screen: "&amp;AC76))</f>
        <v/>
      </c>
      <c r="V76" s="60" t="n"/>
      <c r="W76" s="60" t="n"/>
      <c r="X76" s="60" t="n"/>
      <c r="Y76" s="60" t="n"/>
      <c r="Z76" s="60" t="n"/>
      <c r="AA76" s="65" t="n"/>
      <c r="AB76" s="66" t="n"/>
      <c r="AC76" s="66" t="n"/>
      <c r="AD76" s="66" t="n"/>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66" t="n"/>
      <c r="AJ76" s="66" t="n"/>
      <c r="AK76" s="66" t="n"/>
      <c r="AL76" s="59">
        <f>IF(AND(OR(W76="Watching",W76="Preparing"),ISNUMBER(Q76)),IF(AND(Q76&gt;='Friday Summary'!$C$4,Q76&lt;='Friday Summary'!$C$4+14),Q76+ROW()/1000000,""),"")</f>
        <v/>
      </c>
    </row>
    <row r="77" ht="15" customHeight="1" s="51">
      <c r="A77" s="59">
        <f>IF(B77="","","OP-"&amp;TEXT(ROW()-4,"000"))</f>
        <v/>
      </c>
      <c r="B77" s="60" t="n"/>
      <c r="C77" s="61" t="n"/>
      <c r="D77" s="60" t="n"/>
      <c r="E77" s="60" t="n"/>
      <c r="F77" s="60" t="n"/>
      <c r="G77" s="60" t="n"/>
      <c r="H77" s="60" t="n"/>
      <c r="I77" s="60" t="n"/>
      <c r="J77" s="60" t="n"/>
      <c r="K77" s="60" t="n"/>
      <c r="L77" s="60" t="n"/>
      <c r="M77" s="62" t="n"/>
      <c r="N77" s="60" t="n"/>
      <c r="O77" s="61" t="n"/>
      <c r="P77" s="61" t="n"/>
      <c r="Q77" s="63" t="n"/>
      <c r="R77" s="60" t="n"/>
      <c r="S77" s="60" t="n"/>
      <c r="T77" s="64">
        <f>IF(A77="","",IFERROR(INDEX('Bid-NoBid'!$T:$T,MATCH(A77,'Bid-NoBid'!$A:$A,0)),""))</f>
        <v/>
      </c>
      <c r="U77" s="59">
        <f>IF(A77="","",IFERROR(IF(OR(INDEX('Bid-NoBid'!$U:$U,MATCH(A77,'Bid-NoBid'!$A:$A,0))="",LEFT(INDEX('Bid-NoBid'!$U:$U,MATCH(A77,'Bid-NoBid'!$A:$A,0)),10)="Incomplete"),"Screen: "&amp;AC77,INDEX('Bid-NoBid'!$U:$U,MATCH(A77,'Bid-NoBid'!$A:$A,0))),"Screen: "&amp;AC77))</f>
        <v/>
      </c>
      <c r="V77" s="60" t="n"/>
      <c r="W77" s="60" t="n"/>
      <c r="X77" s="60" t="n"/>
      <c r="Y77" s="60" t="n"/>
      <c r="Z77" s="60" t="n"/>
      <c r="AA77" s="65" t="n"/>
      <c r="AB77" s="66" t="n"/>
      <c r="AC77" s="66" t="n"/>
      <c r="AD77" s="66" t="n"/>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66" t="n"/>
      <c r="AJ77" s="66" t="n"/>
      <c r="AK77" s="66" t="n"/>
      <c r="AL77" s="59">
        <f>IF(AND(OR(W77="Watching",W77="Preparing"),ISNUMBER(Q77)),IF(AND(Q77&gt;='Friday Summary'!$C$4,Q77&lt;='Friday Summary'!$C$4+14),Q77+ROW()/1000000,""),"")</f>
        <v/>
      </c>
    </row>
    <row r="78" ht="15" customHeight="1" s="51">
      <c r="A78" s="59">
        <f>IF(B78="","","OP-"&amp;TEXT(ROW()-4,"000"))</f>
        <v/>
      </c>
      <c r="B78" s="60" t="n"/>
      <c r="C78" s="61" t="n"/>
      <c r="D78" s="60" t="n"/>
      <c r="E78" s="60" t="n"/>
      <c r="F78" s="60" t="n"/>
      <c r="G78" s="60" t="n"/>
      <c r="H78" s="60" t="n"/>
      <c r="I78" s="60" t="n"/>
      <c r="J78" s="60" t="n"/>
      <c r="K78" s="60" t="n"/>
      <c r="L78" s="60" t="n"/>
      <c r="M78" s="62" t="n"/>
      <c r="N78" s="60" t="n"/>
      <c r="O78" s="61" t="n"/>
      <c r="P78" s="61" t="n"/>
      <c r="Q78" s="63" t="n"/>
      <c r="R78" s="60" t="n"/>
      <c r="S78" s="60" t="n"/>
      <c r="T78" s="64">
        <f>IF(A78="","",IFERROR(INDEX('Bid-NoBid'!$T:$T,MATCH(A78,'Bid-NoBid'!$A:$A,0)),""))</f>
        <v/>
      </c>
      <c r="U78" s="59">
        <f>IF(A78="","",IFERROR(IF(OR(INDEX('Bid-NoBid'!$U:$U,MATCH(A78,'Bid-NoBid'!$A:$A,0))="",LEFT(INDEX('Bid-NoBid'!$U:$U,MATCH(A78,'Bid-NoBid'!$A:$A,0)),10)="Incomplete"),"Screen: "&amp;AC78,INDEX('Bid-NoBid'!$U:$U,MATCH(A78,'Bid-NoBid'!$A:$A,0))),"Screen: "&amp;AC78))</f>
        <v/>
      </c>
      <c r="V78" s="60" t="n"/>
      <c r="W78" s="60" t="n"/>
      <c r="X78" s="60" t="n"/>
      <c r="Y78" s="60" t="n"/>
      <c r="Z78" s="60" t="n"/>
      <c r="AA78" s="65" t="n"/>
      <c r="AB78" s="66" t="n"/>
      <c r="AC78" s="66" t="n"/>
      <c r="AD78" s="66" t="n"/>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66" t="n"/>
      <c r="AJ78" s="66" t="n"/>
      <c r="AK78" s="66" t="n"/>
      <c r="AL78" s="59">
        <f>IF(AND(OR(W78="Watching",W78="Preparing"),ISNUMBER(Q78)),IF(AND(Q78&gt;='Friday Summary'!$C$4,Q78&lt;='Friday Summary'!$C$4+14),Q78+ROW()/1000000,""),"")</f>
        <v/>
      </c>
    </row>
    <row r="79" ht="15" customHeight="1" s="51">
      <c r="A79" s="59">
        <f>IF(B79="","","OP-"&amp;TEXT(ROW()-4,"000"))</f>
        <v/>
      </c>
      <c r="B79" s="60" t="n"/>
      <c r="C79" s="61" t="n"/>
      <c r="D79" s="60" t="n"/>
      <c r="E79" s="60" t="n"/>
      <c r="F79" s="60" t="n"/>
      <c r="G79" s="60" t="n"/>
      <c r="H79" s="60" t="n"/>
      <c r="I79" s="60" t="n"/>
      <c r="J79" s="60" t="n"/>
      <c r="K79" s="60" t="n"/>
      <c r="L79" s="60" t="n"/>
      <c r="M79" s="62" t="n"/>
      <c r="N79" s="60" t="n"/>
      <c r="O79" s="61" t="n"/>
      <c r="P79" s="61" t="n"/>
      <c r="Q79" s="63" t="n"/>
      <c r="R79" s="60" t="n"/>
      <c r="S79" s="60" t="n"/>
      <c r="T79" s="64">
        <f>IF(A79="","",IFERROR(INDEX('Bid-NoBid'!$T:$T,MATCH(A79,'Bid-NoBid'!$A:$A,0)),""))</f>
        <v/>
      </c>
      <c r="U79" s="59">
        <f>IF(A79="","",IFERROR(IF(OR(INDEX('Bid-NoBid'!$U:$U,MATCH(A79,'Bid-NoBid'!$A:$A,0))="",LEFT(INDEX('Bid-NoBid'!$U:$U,MATCH(A79,'Bid-NoBid'!$A:$A,0)),10)="Incomplete"),"Screen: "&amp;AC79,INDEX('Bid-NoBid'!$U:$U,MATCH(A79,'Bid-NoBid'!$A:$A,0))),"Screen: "&amp;AC79))</f>
        <v/>
      </c>
      <c r="V79" s="60" t="n"/>
      <c r="W79" s="60" t="n"/>
      <c r="X79" s="60" t="n"/>
      <c r="Y79" s="60" t="n"/>
      <c r="Z79" s="60" t="n"/>
      <c r="AA79" s="65" t="n"/>
      <c r="AB79" s="66" t="n"/>
      <c r="AC79" s="66" t="n"/>
      <c r="AD79" s="66" t="n"/>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66" t="n"/>
      <c r="AJ79" s="66" t="n"/>
      <c r="AK79" s="66" t="n"/>
      <c r="AL79" s="59">
        <f>IF(AND(OR(W79="Watching",W79="Preparing"),ISNUMBER(Q79)),IF(AND(Q79&gt;='Friday Summary'!$C$4,Q79&lt;='Friday Summary'!$C$4+14),Q79+ROW()/1000000,""),"")</f>
        <v/>
      </c>
    </row>
    <row r="80" ht="15" customHeight="1" s="51">
      <c r="A80" s="59">
        <f>IF(B80="","","OP-"&amp;TEXT(ROW()-4,"000"))</f>
        <v/>
      </c>
      <c r="B80" s="60" t="n"/>
      <c r="C80" s="61" t="n"/>
      <c r="D80" s="60" t="n"/>
      <c r="E80" s="60" t="n"/>
      <c r="F80" s="60" t="n"/>
      <c r="G80" s="60" t="n"/>
      <c r="H80" s="60" t="n"/>
      <c r="I80" s="60" t="n"/>
      <c r="J80" s="60" t="n"/>
      <c r="K80" s="60" t="n"/>
      <c r="L80" s="60" t="n"/>
      <c r="M80" s="62" t="n"/>
      <c r="N80" s="60" t="n"/>
      <c r="O80" s="61" t="n"/>
      <c r="P80" s="61" t="n"/>
      <c r="Q80" s="63" t="n"/>
      <c r="R80" s="60" t="n"/>
      <c r="S80" s="60" t="n"/>
      <c r="T80" s="64">
        <f>IF(A80="","",IFERROR(INDEX('Bid-NoBid'!$T:$T,MATCH(A80,'Bid-NoBid'!$A:$A,0)),""))</f>
        <v/>
      </c>
      <c r="U80" s="59">
        <f>IF(A80="","",IFERROR(IF(OR(INDEX('Bid-NoBid'!$U:$U,MATCH(A80,'Bid-NoBid'!$A:$A,0))="",LEFT(INDEX('Bid-NoBid'!$U:$U,MATCH(A80,'Bid-NoBid'!$A:$A,0)),10)="Incomplete"),"Screen: "&amp;AC80,INDEX('Bid-NoBid'!$U:$U,MATCH(A80,'Bid-NoBid'!$A:$A,0))),"Screen: "&amp;AC80))</f>
        <v/>
      </c>
      <c r="V80" s="60" t="n"/>
      <c r="W80" s="60" t="n"/>
      <c r="X80" s="60" t="n"/>
      <c r="Y80" s="60" t="n"/>
      <c r="Z80" s="60" t="n"/>
      <c r="AA80" s="65" t="n"/>
      <c r="AB80" s="66" t="n"/>
      <c r="AC80" s="66" t="n"/>
      <c r="AD80" s="66" t="n"/>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66" t="n"/>
      <c r="AJ80" s="66" t="n"/>
      <c r="AK80" s="66" t="n"/>
      <c r="AL80" s="59">
        <f>IF(AND(OR(W80="Watching",W80="Preparing"),ISNUMBER(Q80)),IF(AND(Q80&gt;='Friday Summary'!$C$4,Q80&lt;='Friday Summary'!$C$4+14),Q80+ROW()/1000000,""),"")</f>
        <v/>
      </c>
    </row>
    <row r="81" ht="15" customHeight="1" s="51">
      <c r="A81" s="59">
        <f>IF(B81="","","OP-"&amp;TEXT(ROW()-4,"000"))</f>
        <v/>
      </c>
      <c r="B81" s="60" t="n"/>
      <c r="C81" s="61" t="n"/>
      <c r="D81" s="60" t="n"/>
      <c r="E81" s="60" t="n"/>
      <c r="F81" s="60" t="n"/>
      <c r="G81" s="60" t="n"/>
      <c r="H81" s="60" t="n"/>
      <c r="I81" s="60" t="n"/>
      <c r="J81" s="60" t="n"/>
      <c r="K81" s="60" t="n"/>
      <c r="L81" s="60" t="n"/>
      <c r="M81" s="62" t="n"/>
      <c r="N81" s="60" t="n"/>
      <c r="O81" s="61" t="n"/>
      <c r="P81" s="61" t="n"/>
      <c r="Q81" s="63" t="n"/>
      <c r="R81" s="60" t="n"/>
      <c r="S81" s="60" t="n"/>
      <c r="T81" s="64">
        <f>IF(A81="","",IFERROR(INDEX('Bid-NoBid'!$T:$T,MATCH(A81,'Bid-NoBid'!$A:$A,0)),""))</f>
        <v/>
      </c>
      <c r="U81" s="59">
        <f>IF(A81="","",IFERROR(IF(OR(INDEX('Bid-NoBid'!$U:$U,MATCH(A81,'Bid-NoBid'!$A:$A,0))="",LEFT(INDEX('Bid-NoBid'!$U:$U,MATCH(A81,'Bid-NoBid'!$A:$A,0)),10)="Incomplete"),"Screen: "&amp;AC81,INDEX('Bid-NoBid'!$U:$U,MATCH(A81,'Bid-NoBid'!$A:$A,0))),"Screen: "&amp;AC81))</f>
        <v/>
      </c>
      <c r="V81" s="60" t="n"/>
      <c r="W81" s="60" t="n"/>
      <c r="X81" s="60" t="n"/>
      <c r="Y81" s="60" t="n"/>
      <c r="Z81" s="60" t="n"/>
      <c r="AA81" s="65" t="n"/>
      <c r="AB81" s="66" t="n"/>
      <c r="AC81" s="66" t="n"/>
      <c r="AD81" s="66" t="n"/>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66" t="n"/>
      <c r="AJ81" s="66" t="n"/>
      <c r="AK81" s="66" t="n"/>
      <c r="AL81" s="59">
        <f>IF(AND(OR(W81="Watching",W81="Preparing"),ISNUMBER(Q81)),IF(AND(Q81&gt;='Friday Summary'!$C$4,Q81&lt;='Friday Summary'!$C$4+14),Q81+ROW()/1000000,""),"")</f>
        <v/>
      </c>
    </row>
    <row r="82" ht="15" customHeight="1" s="51">
      <c r="A82" s="59">
        <f>IF(B82="","","OP-"&amp;TEXT(ROW()-4,"000"))</f>
        <v/>
      </c>
      <c r="B82" s="60" t="n"/>
      <c r="C82" s="61" t="n"/>
      <c r="D82" s="60" t="n"/>
      <c r="E82" s="60" t="n"/>
      <c r="F82" s="60" t="n"/>
      <c r="G82" s="60" t="n"/>
      <c r="H82" s="60" t="n"/>
      <c r="I82" s="60" t="n"/>
      <c r="J82" s="60" t="n"/>
      <c r="K82" s="60" t="n"/>
      <c r="L82" s="60" t="n"/>
      <c r="M82" s="62" t="n"/>
      <c r="N82" s="60" t="n"/>
      <c r="O82" s="61" t="n"/>
      <c r="P82" s="61" t="n"/>
      <c r="Q82" s="63" t="n"/>
      <c r="R82" s="60" t="n"/>
      <c r="S82" s="60" t="n"/>
      <c r="T82" s="64">
        <f>IF(A82="","",IFERROR(INDEX('Bid-NoBid'!$T:$T,MATCH(A82,'Bid-NoBid'!$A:$A,0)),""))</f>
        <v/>
      </c>
      <c r="U82" s="59">
        <f>IF(A82="","",IFERROR(IF(OR(INDEX('Bid-NoBid'!$U:$U,MATCH(A82,'Bid-NoBid'!$A:$A,0))="",LEFT(INDEX('Bid-NoBid'!$U:$U,MATCH(A82,'Bid-NoBid'!$A:$A,0)),10)="Incomplete"),"Screen: "&amp;AC82,INDEX('Bid-NoBid'!$U:$U,MATCH(A82,'Bid-NoBid'!$A:$A,0))),"Screen: "&amp;AC82))</f>
        <v/>
      </c>
      <c r="V82" s="60" t="n"/>
      <c r="W82" s="60" t="n"/>
      <c r="X82" s="60" t="n"/>
      <c r="Y82" s="60" t="n"/>
      <c r="Z82" s="60" t="n"/>
      <c r="AA82" s="65" t="n"/>
      <c r="AB82" s="66" t="n"/>
      <c r="AC82" s="66" t="n"/>
      <c r="AD82" s="66" t="n"/>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66" t="n"/>
      <c r="AJ82" s="66" t="n"/>
      <c r="AK82" s="66" t="n"/>
      <c r="AL82" s="59">
        <f>IF(AND(OR(W82="Watching",W82="Preparing"),ISNUMBER(Q82)),IF(AND(Q82&gt;='Friday Summary'!$C$4,Q82&lt;='Friday Summary'!$C$4+14),Q82+ROW()/1000000,""),"")</f>
        <v/>
      </c>
    </row>
    <row r="83" ht="15" customHeight="1" s="51">
      <c r="A83" s="59">
        <f>IF(B83="","","OP-"&amp;TEXT(ROW()-4,"000"))</f>
        <v/>
      </c>
      <c r="B83" s="60" t="n"/>
      <c r="C83" s="61" t="n"/>
      <c r="D83" s="60" t="n"/>
      <c r="E83" s="60" t="n"/>
      <c r="F83" s="60" t="n"/>
      <c r="G83" s="60" t="n"/>
      <c r="H83" s="60" t="n"/>
      <c r="I83" s="60" t="n"/>
      <c r="J83" s="60" t="n"/>
      <c r="K83" s="60" t="n"/>
      <c r="L83" s="60" t="n"/>
      <c r="M83" s="62" t="n"/>
      <c r="N83" s="60" t="n"/>
      <c r="O83" s="61" t="n"/>
      <c r="P83" s="61" t="n"/>
      <c r="Q83" s="63" t="n"/>
      <c r="R83" s="60" t="n"/>
      <c r="S83" s="60" t="n"/>
      <c r="T83" s="64">
        <f>IF(A83="","",IFERROR(INDEX('Bid-NoBid'!$T:$T,MATCH(A83,'Bid-NoBid'!$A:$A,0)),""))</f>
        <v/>
      </c>
      <c r="U83" s="59">
        <f>IF(A83="","",IFERROR(IF(OR(INDEX('Bid-NoBid'!$U:$U,MATCH(A83,'Bid-NoBid'!$A:$A,0))="",LEFT(INDEX('Bid-NoBid'!$U:$U,MATCH(A83,'Bid-NoBid'!$A:$A,0)),10)="Incomplete"),"Screen: "&amp;AC83,INDEX('Bid-NoBid'!$U:$U,MATCH(A83,'Bid-NoBid'!$A:$A,0))),"Screen: "&amp;AC83))</f>
        <v/>
      </c>
      <c r="V83" s="60" t="n"/>
      <c r="W83" s="60" t="n"/>
      <c r="X83" s="60" t="n"/>
      <c r="Y83" s="60" t="n"/>
      <c r="Z83" s="60" t="n"/>
      <c r="AA83" s="65" t="n"/>
      <c r="AB83" s="66" t="n"/>
      <c r="AC83" s="66" t="n"/>
      <c r="AD83" s="66" t="n"/>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66" t="n"/>
      <c r="AJ83" s="66" t="n"/>
      <c r="AK83" s="66" t="n"/>
      <c r="AL83" s="59">
        <f>IF(AND(OR(W83="Watching",W83="Preparing"),ISNUMBER(Q83)),IF(AND(Q83&gt;='Friday Summary'!$C$4,Q83&lt;='Friday Summary'!$C$4+14),Q83+ROW()/1000000,""),"")</f>
        <v/>
      </c>
    </row>
    <row r="84" ht="15" customHeight="1" s="51">
      <c r="A84" s="59">
        <f>IF(B84="","","OP-"&amp;TEXT(ROW()-4,"000"))</f>
        <v/>
      </c>
      <c r="B84" s="60" t="n"/>
      <c r="C84" s="61" t="n"/>
      <c r="D84" s="60" t="n"/>
      <c r="E84" s="60" t="n"/>
      <c r="F84" s="60" t="n"/>
      <c r="G84" s="60" t="n"/>
      <c r="H84" s="60" t="n"/>
      <c r="I84" s="60" t="n"/>
      <c r="J84" s="60" t="n"/>
      <c r="K84" s="60" t="n"/>
      <c r="L84" s="60" t="n"/>
      <c r="M84" s="62" t="n"/>
      <c r="N84" s="60" t="n"/>
      <c r="O84" s="61" t="n"/>
      <c r="P84" s="61" t="n"/>
      <c r="Q84" s="63" t="n"/>
      <c r="R84" s="60" t="n"/>
      <c r="S84" s="60" t="n"/>
      <c r="T84" s="64">
        <f>IF(A84="","",IFERROR(INDEX('Bid-NoBid'!$T:$T,MATCH(A84,'Bid-NoBid'!$A:$A,0)),""))</f>
        <v/>
      </c>
      <c r="U84" s="59">
        <f>IF(A84="","",IFERROR(IF(OR(INDEX('Bid-NoBid'!$U:$U,MATCH(A84,'Bid-NoBid'!$A:$A,0))="",LEFT(INDEX('Bid-NoBid'!$U:$U,MATCH(A84,'Bid-NoBid'!$A:$A,0)),10)="Incomplete"),"Screen: "&amp;AC84,INDEX('Bid-NoBid'!$U:$U,MATCH(A84,'Bid-NoBid'!$A:$A,0))),"Screen: "&amp;AC84))</f>
        <v/>
      </c>
      <c r="V84" s="60" t="n"/>
      <c r="W84" s="60" t="n"/>
      <c r="X84" s="60" t="n"/>
      <c r="Y84" s="60" t="n"/>
      <c r="Z84" s="60" t="n"/>
      <c r="AA84" s="65" t="n"/>
      <c r="AB84" s="66" t="n"/>
      <c r="AC84" s="66" t="n"/>
      <c r="AD84" s="66" t="n"/>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66" t="n"/>
      <c r="AJ84" s="66" t="n"/>
      <c r="AK84" s="66" t="n"/>
      <c r="AL84" s="59">
        <f>IF(AND(OR(W84="Watching",W84="Preparing"),ISNUMBER(Q84)),IF(AND(Q84&gt;='Friday Summary'!$C$4,Q84&lt;='Friday Summary'!$C$4+14),Q84+ROW()/1000000,""),"")</f>
        <v/>
      </c>
    </row>
    <row r="85" ht="15" customHeight="1" s="51">
      <c r="A85" s="59">
        <f>IF(B85="","","OP-"&amp;TEXT(ROW()-4,"000"))</f>
        <v/>
      </c>
      <c r="B85" s="60" t="n"/>
      <c r="C85" s="61" t="n"/>
      <c r="D85" s="60" t="n"/>
      <c r="E85" s="60" t="n"/>
      <c r="F85" s="60" t="n"/>
      <c r="G85" s="60" t="n"/>
      <c r="H85" s="60" t="n"/>
      <c r="I85" s="60" t="n"/>
      <c r="J85" s="60" t="n"/>
      <c r="K85" s="60" t="n"/>
      <c r="L85" s="60" t="n"/>
      <c r="M85" s="62" t="n"/>
      <c r="N85" s="60" t="n"/>
      <c r="O85" s="61" t="n"/>
      <c r="P85" s="61" t="n"/>
      <c r="Q85" s="63" t="n"/>
      <c r="R85" s="60" t="n"/>
      <c r="S85" s="60" t="n"/>
      <c r="T85" s="64">
        <f>IF(A85="","",IFERROR(INDEX('Bid-NoBid'!$T:$T,MATCH(A85,'Bid-NoBid'!$A:$A,0)),""))</f>
        <v/>
      </c>
      <c r="U85" s="59">
        <f>IF(A85="","",IFERROR(IF(OR(INDEX('Bid-NoBid'!$U:$U,MATCH(A85,'Bid-NoBid'!$A:$A,0))="",LEFT(INDEX('Bid-NoBid'!$U:$U,MATCH(A85,'Bid-NoBid'!$A:$A,0)),10)="Incomplete"),"Screen: "&amp;AC85,INDEX('Bid-NoBid'!$U:$U,MATCH(A85,'Bid-NoBid'!$A:$A,0))),"Screen: "&amp;AC85))</f>
        <v/>
      </c>
      <c r="V85" s="60" t="n"/>
      <c r="W85" s="60" t="n"/>
      <c r="X85" s="60" t="n"/>
      <c r="Y85" s="60" t="n"/>
      <c r="Z85" s="60" t="n"/>
      <c r="AA85" s="65" t="n"/>
      <c r="AB85" s="66" t="n"/>
      <c r="AC85" s="66" t="n"/>
      <c r="AD85" s="66" t="n"/>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66" t="n"/>
      <c r="AJ85" s="66" t="n"/>
      <c r="AK85" s="66" t="n"/>
      <c r="AL85" s="59">
        <f>IF(AND(OR(W85="Watching",W85="Preparing"),ISNUMBER(Q85)),IF(AND(Q85&gt;='Friday Summary'!$C$4,Q85&lt;='Friday Summary'!$C$4+14),Q85+ROW()/1000000,""),"")</f>
        <v/>
      </c>
    </row>
    <row r="86" ht="15" customHeight="1" s="51">
      <c r="A86" s="59">
        <f>IF(B86="","","OP-"&amp;TEXT(ROW()-4,"000"))</f>
        <v/>
      </c>
      <c r="B86" s="60" t="n"/>
      <c r="C86" s="61" t="n"/>
      <c r="D86" s="60" t="n"/>
      <c r="E86" s="60" t="n"/>
      <c r="F86" s="60" t="n"/>
      <c r="G86" s="60" t="n"/>
      <c r="H86" s="60" t="n"/>
      <c r="I86" s="60" t="n"/>
      <c r="J86" s="60" t="n"/>
      <c r="K86" s="60" t="n"/>
      <c r="L86" s="60" t="n"/>
      <c r="M86" s="62" t="n"/>
      <c r="N86" s="60" t="n"/>
      <c r="O86" s="61" t="n"/>
      <c r="P86" s="61" t="n"/>
      <c r="Q86" s="63" t="n"/>
      <c r="R86" s="60" t="n"/>
      <c r="S86" s="60" t="n"/>
      <c r="T86" s="64">
        <f>IF(A86="","",IFERROR(INDEX('Bid-NoBid'!$T:$T,MATCH(A86,'Bid-NoBid'!$A:$A,0)),""))</f>
        <v/>
      </c>
      <c r="U86" s="59">
        <f>IF(A86="","",IFERROR(IF(OR(INDEX('Bid-NoBid'!$U:$U,MATCH(A86,'Bid-NoBid'!$A:$A,0))="",LEFT(INDEX('Bid-NoBid'!$U:$U,MATCH(A86,'Bid-NoBid'!$A:$A,0)),10)="Incomplete"),"Screen: "&amp;AC86,INDEX('Bid-NoBid'!$U:$U,MATCH(A86,'Bid-NoBid'!$A:$A,0))),"Screen: "&amp;AC86))</f>
        <v/>
      </c>
      <c r="V86" s="60" t="n"/>
      <c r="W86" s="60" t="n"/>
      <c r="X86" s="60" t="n"/>
      <c r="Y86" s="60" t="n"/>
      <c r="Z86" s="60" t="n"/>
      <c r="AA86" s="65" t="n"/>
      <c r="AB86" s="66" t="n"/>
      <c r="AC86" s="66" t="n"/>
      <c r="AD86" s="66" t="n"/>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66" t="n"/>
      <c r="AJ86" s="66" t="n"/>
      <c r="AK86" s="66" t="n"/>
      <c r="AL86" s="59">
        <f>IF(AND(OR(W86="Watching",W86="Preparing"),ISNUMBER(Q86)),IF(AND(Q86&gt;='Friday Summary'!$C$4,Q86&lt;='Friday Summary'!$C$4+14),Q86+ROW()/1000000,""),"")</f>
        <v/>
      </c>
    </row>
    <row r="87" ht="15" customHeight="1" s="51">
      <c r="A87" s="59">
        <f>IF(B87="","","OP-"&amp;TEXT(ROW()-4,"000"))</f>
        <v/>
      </c>
      <c r="B87" s="60" t="n"/>
      <c r="C87" s="61" t="n"/>
      <c r="D87" s="60" t="n"/>
      <c r="E87" s="60" t="n"/>
      <c r="F87" s="60" t="n"/>
      <c r="G87" s="60" t="n"/>
      <c r="H87" s="60" t="n"/>
      <c r="I87" s="60" t="n"/>
      <c r="J87" s="60" t="n"/>
      <c r="K87" s="60" t="n"/>
      <c r="L87" s="60" t="n"/>
      <c r="M87" s="62" t="n"/>
      <c r="N87" s="60" t="n"/>
      <c r="O87" s="61" t="n"/>
      <c r="P87" s="61" t="n"/>
      <c r="Q87" s="63" t="n"/>
      <c r="R87" s="60" t="n"/>
      <c r="S87" s="60" t="n"/>
      <c r="T87" s="64">
        <f>IF(A87="","",IFERROR(INDEX('Bid-NoBid'!$T:$T,MATCH(A87,'Bid-NoBid'!$A:$A,0)),""))</f>
        <v/>
      </c>
      <c r="U87" s="59">
        <f>IF(A87="","",IFERROR(IF(OR(INDEX('Bid-NoBid'!$U:$U,MATCH(A87,'Bid-NoBid'!$A:$A,0))="",LEFT(INDEX('Bid-NoBid'!$U:$U,MATCH(A87,'Bid-NoBid'!$A:$A,0)),10)="Incomplete"),"Screen: "&amp;AC87,INDEX('Bid-NoBid'!$U:$U,MATCH(A87,'Bid-NoBid'!$A:$A,0))),"Screen: "&amp;AC87))</f>
        <v/>
      </c>
      <c r="V87" s="60" t="n"/>
      <c r="W87" s="60" t="n"/>
      <c r="X87" s="60" t="n"/>
      <c r="Y87" s="60" t="n"/>
      <c r="Z87" s="60" t="n"/>
      <c r="AA87" s="65" t="n"/>
      <c r="AB87" s="66" t="n"/>
      <c r="AC87" s="66" t="n"/>
      <c r="AD87" s="66" t="n"/>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66" t="n"/>
      <c r="AJ87" s="66" t="n"/>
      <c r="AK87" s="66" t="n"/>
      <c r="AL87" s="59">
        <f>IF(AND(OR(W87="Watching",W87="Preparing"),ISNUMBER(Q87)),IF(AND(Q87&gt;='Friday Summary'!$C$4,Q87&lt;='Friday Summary'!$C$4+14),Q87+ROW()/1000000,""),"")</f>
        <v/>
      </c>
    </row>
    <row r="88" ht="15" customHeight="1" s="51">
      <c r="A88" s="59">
        <f>IF(B88="","","OP-"&amp;TEXT(ROW()-4,"000"))</f>
        <v/>
      </c>
      <c r="B88" s="60" t="n"/>
      <c r="C88" s="61" t="n"/>
      <c r="D88" s="60" t="n"/>
      <c r="E88" s="60" t="n"/>
      <c r="F88" s="60" t="n"/>
      <c r="G88" s="60" t="n"/>
      <c r="H88" s="60" t="n"/>
      <c r="I88" s="60" t="n"/>
      <c r="J88" s="60" t="n"/>
      <c r="K88" s="60" t="n"/>
      <c r="L88" s="60" t="n"/>
      <c r="M88" s="62" t="n"/>
      <c r="N88" s="60" t="n"/>
      <c r="O88" s="61" t="n"/>
      <c r="P88" s="61" t="n"/>
      <c r="Q88" s="63" t="n"/>
      <c r="R88" s="60" t="n"/>
      <c r="S88" s="60" t="n"/>
      <c r="T88" s="64">
        <f>IF(A88="","",IFERROR(INDEX('Bid-NoBid'!$T:$T,MATCH(A88,'Bid-NoBid'!$A:$A,0)),""))</f>
        <v/>
      </c>
      <c r="U88" s="59">
        <f>IF(A88="","",IFERROR(IF(OR(INDEX('Bid-NoBid'!$U:$U,MATCH(A88,'Bid-NoBid'!$A:$A,0))="",LEFT(INDEX('Bid-NoBid'!$U:$U,MATCH(A88,'Bid-NoBid'!$A:$A,0)),10)="Incomplete"),"Screen: "&amp;AC88,INDEX('Bid-NoBid'!$U:$U,MATCH(A88,'Bid-NoBid'!$A:$A,0))),"Screen: "&amp;AC88))</f>
        <v/>
      </c>
      <c r="V88" s="60" t="n"/>
      <c r="W88" s="60" t="n"/>
      <c r="X88" s="60" t="n"/>
      <c r="Y88" s="60" t="n"/>
      <c r="Z88" s="60" t="n"/>
      <c r="AA88" s="65" t="n"/>
      <c r="AB88" s="66" t="n"/>
      <c r="AC88" s="66" t="n"/>
      <c r="AD88" s="66" t="n"/>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66" t="n"/>
      <c r="AJ88" s="66" t="n"/>
      <c r="AK88" s="66" t="n"/>
      <c r="AL88" s="59">
        <f>IF(AND(OR(W88="Watching",W88="Preparing"),ISNUMBER(Q88)),IF(AND(Q88&gt;='Friday Summary'!$C$4,Q88&lt;='Friday Summary'!$C$4+14),Q88+ROW()/1000000,""),"")</f>
        <v/>
      </c>
    </row>
    <row r="89" ht="15" customHeight="1" s="51">
      <c r="A89" s="59">
        <f>IF(B89="","","OP-"&amp;TEXT(ROW()-4,"000"))</f>
        <v/>
      </c>
      <c r="B89" s="60" t="n"/>
      <c r="C89" s="61" t="n"/>
      <c r="D89" s="60" t="n"/>
      <c r="E89" s="60" t="n"/>
      <c r="F89" s="60" t="n"/>
      <c r="G89" s="60" t="n"/>
      <c r="H89" s="60" t="n"/>
      <c r="I89" s="60" t="n"/>
      <c r="J89" s="60" t="n"/>
      <c r="K89" s="60" t="n"/>
      <c r="L89" s="60" t="n"/>
      <c r="M89" s="62" t="n"/>
      <c r="N89" s="60" t="n"/>
      <c r="O89" s="61" t="n"/>
      <c r="P89" s="61" t="n"/>
      <c r="Q89" s="63" t="n"/>
      <c r="R89" s="60" t="n"/>
      <c r="S89" s="60" t="n"/>
      <c r="T89" s="64">
        <f>IF(A89="","",IFERROR(INDEX('Bid-NoBid'!$T:$T,MATCH(A89,'Bid-NoBid'!$A:$A,0)),""))</f>
        <v/>
      </c>
      <c r="U89" s="59">
        <f>IF(A89="","",IFERROR(IF(OR(INDEX('Bid-NoBid'!$U:$U,MATCH(A89,'Bid-NoBid'!$A:$A,0))="",LEFT(INDEX('Bid-NoBid'!$U:$U,MATCH(A89,'Bid-NoBid'!$A:$A,0)),10)="Incomplete"),"Screen: "&amp;AC89,INDEX('Bid-NoBid'!$U:$U,MATCH(A89,'Bid-NoBid'!$A:$A,0))),"Screen: "&amp;AC89))</f>
        <v/>
      </c>
      <c r="V89" s="60" t="n"/>
      <c r="W89" s="60" t="n"/>
      <c r="X89" s="60" t="n"/>
      <c r="Y89" s="60" t="n"/>
      <c r="Z89" s="60" t="n"/>
      <c r="AA89" s="65" t="n"/>
      <c r="AB89" s="66" t="n"/>
      <c r="AC89" s="66" t="n"/>
      <c r="AD89" s="66" t="n"/>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66" t="n"/>
      <c r="AJ89" s="66" t="n"/>
      <c r="AK89" s="66" t="n"/>
      <c r="AL89" s="59">
        <f>IF(AND(OR(W89="Watching",W89="Preparing"),ISNUMBER(Q89)),IF(AND(Q89&gt;='Friday Summary'!$C$4,Q89&lt;='Friday Summary'!$C$4+14),Q89+ROW()/1000000,""),"")</f>
        <v/>
      </c>
    </row>
    <row r="90" ht="15" customHeight="1" s="51">
      <c r="A90" s="59">
        <f>IF(B90="","","OP-"&amp;TEXT(ROW()-4,"000"))</f>
        <v/>
      </c>
      <c r="B90" s="60" t="n"/>
      <c r="C90" s="61" t="n"/>
      <c r="D90" s="60" t="n"/>
      <c r="E90" s="60" t="n"/>
      <c r="F90" s="60" t="n"/>
      <c r="G90" s="60" t="n"/>
      <c r="H90" s="60" t="n"/>
      <c r="I90" s="60" t="n"/>
      <c r="J90" s="60" t="n"/>
      <c r="K90" s="60" t="n"/>
      <c r="L90" s="60" t="n"/>
      <c r="M90" s="62" t="n"/>
      <c r="N90" s="60" t="n"/>
      <c r="O90" s="61" t="n"/>
      <c r="P90" s="61" t="n"/>
      <c r="Q90" s="63" t="n"/>
      <c r="R90" s="60" t="n"/>
      <c r="S90" s="60" t="n"/>
      <c r="T90" s="64">
        <f>IF(A90="","",IFERROR(INDEX('Bid-NoBid'!$T:$T,MATCH(A90,'Bid-NoBid'!$A:$A,0)),""))</f>
        <v/>
      </c>
      <c r="U90" s="59">
        <f>IF(A90="","",IFERROR(IF(OR(INDEX('Bid-NoBid'!$U:$U,MATCH(A90,'Bid-NoBid'!$A:$A,0))="",LEFT(INDEX('Bid-NoBid'!$U:$U,MATCH(A90,'Bid-NoBid'!$A:$A,0)),10)="Incomplete"),"Screen: "&amp;AC90,INDEX('Bid-NoBid'!$U:$U,MATCH(A90,'Bid-NoBid'!$A:$A,0))),"Screen: "&amp;AC90))</f>
        <v/>
      </c>
      <c r="V90" s="60" t="n"/>
      <c r="W90" s="60" t="n"/>
      <c r="X90" s="60" t="n"/>
      <c r="Y90" s="60" t="n"/>
      <c r="Z90" s="60" t="n"/>
      <c r="AA90" s="65" t="n"/>
      <c r="AB90" s="66" t="n"/>
      <c r="AC90" s="66" t="n"/>
      <c r="AD90" s="66" t="n"/>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66" t="n"/>
      <c r="AJ90" s="66" t="n"/>
      <c r="AK90" s="66" t="n"/>
      <c r="AL90" s="59">
        <f>IF(AND(OR(W90="Watching",W90="Preparing"),ISNUMBER(Q90)),IF(AND(Q90&gt;='Friday Summary'!$C$4,Q90&lt;='Friday Summary'!$C$4+14),Q90+ROW()/1000000,""),"")</f>
        <v/>
      </c>
    </row>
    <row r="91" ht="15" customHeight="1" s="51">
      <c r="A91" s="59">
        <f>IF(B91="","","OP-"&amp;TEXT(ROW()-4,"000"))</f>
        <v/>
      </c>
      <c r="B91" s="60" t="n"/>
      <c r="C91" s="61" t="n"/>
      <c r="D91" s="60" t="n"/>
      <c r="E91" s="60" t="n"/>
      <c r="F91" s="60" t="n"/>
      <c r="G91" s="60" t="n"/>
      <c r="H91" s="60" t="n"/>
      <c r="I91" s="60" t="n"/>
      <c r="J91" s="60" t="n"/>
      <c r="K91" s="60" t="n"/>
      <c r="L91" s="60" t="n"/>
      <c r="M91" s="62" t="n"/>
      <c r="N91" s="60" t="n"/>
      <c r="O91" s="61" t="n"/>
      <c r="P91" s="61" t="n"/>
      <c r="Q91" s="63" t="n"/>
      <c r="R91" s="60" t="n"/>
      <c r="S91" s="60" t="n"/>
      <c r="T91" s="64">
        <f>IF(A91="","",IFERROR(INDEX('Bid-NoBid'!$T:$T,MATCH(A91,'Bid-NoBid'!$A:$A,0)),""))</f>
        <v/>
      </c>
      <c r="U91" s="59">
        <f>IF(A91="","",IFERROR(IF(OR(INDEX('Bid-NoBid'!$U:$U,MATCH(A91,'Bid-NoBid'!$A:$A,0))="",LEFT(INDEX('Bid-NoBid'!$U:$U,MATCH(A91,'Bid-NoBid'!$A:$A,0)),10)="Incomplete"),"Screen: "&amp;AC91,INDEX('Bid-NoBid'!$U:$U,MATCH(A91,'Bid-NoBid'!$A:$A,0))),"Screen: "&amp;AC91))</f>
        <v/>
      </c>
      <c r="V91" s="60" t="n"/>
      <c r="W91" s="60" t="n"/>
      <c r="X91" s="60" t="n"/>
      <c r="Y91" s="60" t="n"/>
      <c r="Z91" s="60" t="n"/>
      <c r="AA91" s="65" t="n"/>
      <c r="AB91" s="66" t="n"/>
      <c r="AC91" s="66" t="n"/>
      <c r="AD91" s="66" t="n"/>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66" t="n"/>
      <c r="AJ91" s="66" t="n"/>
      <c r="AK91" s="66" t="n"/>
      <c r="AL91" s="59">
        <f>IF(AND(OR(W91="Watching",W91="Preparing"),ISNUMBER(Q91)),IF(AND(Q91&gt;='Friday Summary'!$C$4,Q91&lt;='Friday Summary'!$C$4+14),Q91+ROW()/1000000,""),"")</f>
        <v/>
      </c>
    </row>
    <row r="92" ht="15" customHeight="1" s="51">
      <c r="A92" s="59">
        <f>IF(B92="","","OP-"&amp;TEXT(ROW()-4,"000"))</f>
        <v/>
      </c>
      <c r="B92" s="60" t="n"/>
      <c r="C92" s="61" t="n"/>
      <c r="D92" s="60" t="n"/>
      <c r="E92" s="60" t="n"/>
      <c r="F92" s="60" t="n"/>
      <c r="G92" s="60" t="n"/>
      <c r="H92" s="60" t="n"/>
      <c r="I92" s="60" t="n"/>
      <c r="J92" s="60" t="n"/>
      <c r="K92" s="60" t="n"/>
      <c r="L92" s="60" t="n"/>
      <c r="M92" s="62" t="n"/>
      <c r="N92" s="60" t="n"/>
      <c r="O92" s="61" t="n"/>
      <c r="P92" s="61" t="n"/>
      <c r="Q92" s="63" t="n"/>
      <c r="R92" s="60" t="n"/>
      <c r="S92" s="60" t="n"/>
      <c r="T92" s="64">
        <f>IF(A92="","",IFERROR(INDEX('Bid-NoBid'!$T:$T,MATCH(A92,'Bid-NoBid'!$A:$A,0)),""))</f>
        <v/>
      </c>
      <c r="U92" s="59">
        <f>IF(A92="","",IFERROR(IF(OR(INDEX('Bid-NoBid'!$U:$U,MATCH(A92,'Bid-NoBid'!$A:$A,0))="",LEFT(INDEX('Bid-NoBid'!$U:$U,MATCH(A92,'Bid-NoBid'!$A:$A,0)),10)="Incomplete"),"Screen: "&amp;AC92,INDEX('Bid-NoBid'!$U:$U,MATCH(A92,'Bid-NoBid'!$A:$A,0))),"Screen: "&amp;AC92))</f>
        <v/>
      </c>
      <c r="V92" s="60" t="n"/>
      <c r="W92" s="60" t="n"/>
      <c r="X92" s="60" t="n"/>
      <c r="Y92" s="60" t="n"/>
      <c r="Z92" s="60" t="n"/>
      <c r="AA92" s="65" t="n"/>
      <c r="AB92" s="66" t="n"/>
      <c r="AC92" s="66" t="n"/>
      <c r="AD92" s="66" t="n"/>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66" t="n"/>
      <c r="AJ92" s="66" t="n"/>
      <c r="AK92" s="66" t="n"/>
      <c r="AL92" s="59">
        <f>IF(AND(OR(W92="Watching",W92="Preparing"),ISNUMBER(Q92)),IF(AND(Q92&gt;='Friday Summary'!$C$4,Q92&lt;='Friday Summary'!$C$4+14),Q92+ROW()/1000000,""),"")</f>
        <v/>
      </c>
    </row>
    <row r="93" ht="15" customHeight="1" s="51">
      <c r="A93" s="59">
        <f>IF(B93="","","OP-"&amp;TEXT(ROW()-4,"000"))</f>
        <v/>
      </c>
      <c r="B93" s="60" t="n"/>
      <c r="C93" s="61" t="n"/>
      <c r="D93" s="60" t="n"/>
      <c r="E93" s="60" t="n"/>
      <c r="F93" s="60" t="n"/>
      <c r="G93" s="60" t="n"/>
      <c r="H93" s="60" t="n"/>
      <c r="I93" s="60" t="n"/>
      <c r="J93" s="60" t="n"/>
      <c r="K93" s="60" t="n"/>
      <c r="L93" s="60" t="n"/>
      <c r="M93" s="62" t="n"/>
      <c r="N93" s="60" t="n"/>
      <c r="O93" s="61" t="n"/>
      <c r="P93" s="61" t="n"/>
      <c r="Q93" s="63" t="n"/>
      <c r="R93" s="60" t="n"/>
      <c r="S93" s="60" t="n"/>
      <c r="T93" s="64">
        <f>IF(A93="","",IFERROR(INDEX('Bid-NoBid'!$T:$T,MATCH(A93,'Bid-NoBid'!$A:$A,0)),""))</f>
        <v/>
      </c>
      <c r="U93" s="59">
        <f>IF(A93="","",IFERROR(IF(OR(INDEX('Bid-NoBid'!$U:$U,MATCH(A93,'Bid-NoBid'!$A:$A,0))="",LEFT(INDEX('Bid-NoBid'!$U:$U,MATCH(A93,'Bid-NoBid'!$A:$A,0)),10)="Incomplete"),"Screen: "&amp;AC93,INDEX('Bid-NoBid'!$U:$U,MATCH(A93,'Bid-NoBid'!$A:$A,0))),"Screen: "&amp;AC93))</f>
        <v/>
      </c>
      <c r="V93" s="60" t="n"/>
      <c r="W93" s="60" t="n"/>
      <c r="X93" s="60" t="n"/>
      <c r="Y93" s="60" t="n"/>
      <c r="Z93" s="60" t="n"/>
      <c r="AA93" s="65" t="n"/>
      <c r="AB93" s="66" t="n"/>
      <c r="AC93" s="66" t="n"/>
      <c r="AD93" s="66" t="n"/>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66" t="n"/>
      <c r="AJ93" s="66" t="n"/>
      <c r="AK93" s="66" t="n"/>
      <c r="AL93" s="59">
        <f>IF(AND(OR(W93="Watching",W93="Preparing"),ISNUMBER(Q93)),IF(AND(Q93&gt;='Friday Summary'!$C$4,Q93&lt;='Friday Summary'!$C$4+14),Q93+ROW()/1000000,""),"")</f>
        <v/>
      </c>
    </row>
    <row r="94" ht="15" customHeight="1" s="51">
      <c r="A94" s="59">
        <f>IF(B94="","","OP-"&amp;TEXT(ROW()-4,"000"))</f>
        <v/>
      </c>
      <c r="B94" s="60" t="n"/>
      <c r="C94" s="61" t="n"/>
      <c r="D94" s="60" t="n"/>
      <c r="E94" s="60" t="n"/>
      <c r="F94" s="60" t="n"/>
      <c r="G94" s="60" t="n"/>
      <c r="H94" s="60" t="n"/>
      <c r="I94" s="60" t="n"/>
      <c r="J94" s="60" t="n"/>
      <c r="K94" s="60" t="n"/>
      <c r="L94" s="60" t="n"/>
      <c r="M94" s="62" t="n"/>
      <c r="N94" s="60" t="n"/>
      <c r="O94" s="61" t="n"/>
      <c r="P94" s="61" t="n"/>
      <c r="Q94" s="63" t="n"/>
      <c r="R94" s="60" t="n"/>
      <c r="S94" s="60" t="n"/>
      <c r="T94" s="64">
        <f>IF(A94="","",IFERROR(INDEX('Bid-NoBid'!$T:$T,MATCH(A94,'Bid-NoBid'!$A:$A,0)),""))</f>
        <v/>
      </c>
      <c r="U94" s="59">
        <f>IF(A94="","",IFERROR(IF(OR(INDEX('Bid-NoBid'!$U:$U,MATCH(A94,'Bid-NoBid'!$A:$A,0))="",LEFT(INDEX('Bid-NoBid'!$U:$U,MATCH(A94,'Bid-NoBid'!$A:$A,0)),10)="Incomplete"),"Screen: "&amp;AC94,INDEX('Bid-NoBid'!$U:$U,MATCH(A94,'Bid-NoBid'!$A:$A,0))),"Screen: "&amp;AC94))</f>
        <v/>
      </c>
      <c r="V94" s="60" t="n"/>
      <c r="W94" s="60" t="n"/>
      <c r="X94" s="60" t="n"/>
      <c r="Y94" s="60" t="n"/>
      <c r="Z94" s="60" t="n"/>
      <c r="AA94" s="65" t="n"/>
      <c r="AB94" s="66" t="n"/>
      <c r="AC94" s="66" t="n"/>
      <c r="AD94" s="66" t="n"/>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66" t="n"/>
      <c r="AJ94" s="66" t="n"/>
      <c r="AK94" s="66" t="n"/>
      <c r="AL94" s="59">
        <f>IF(AND(OR(W94="Watching",W94="Preparing"),ISNUMBER(Q94)),IF(AND(Q94&gt;='Friday Summary'!$C$4,Q94&lt;='Friday Summary'!$C$4+14),Q94+ROW()/1000000,""),"")</f>
        <v/>
      </c>
    </row>
    <row r="95" ht="15" customHeight="1" s="51">
      <c r="A95" s="59">
        <f>IF(B95="","","OP-"&amp;TEXT(ROW()-4,"000"))</f>
        <v/>
      </c>
      <c r="B95" s="60" t="n"/>
      <c r="C95" s="61" t="n"/>
      <c r="D95" s="60" t="n"/>
      <c r="E95" s="60" t="n"/>
      <c r="F95" s="60" t="n"/>
      <c r="G95" s="60" t="n"/>
      <c r="H95" s="60" t="n"/>
      <c r="I95" s="60" t="n"/>
      <c r="J95" s="60" t="n"/>
      <c r="K95" s="60" t="n"/>
      <c r="L95" s="60" t="n"/>
      <c r="M95" s="62" t="n"/>
      <c r="N95" s="60" t="n"/>
      <c r="O95" s="61" t="n"/>
      <c r="P95" s="61" t="n"/>
      <c r="Q95" s="63" t="n"/>
      <c r="R95" s="60" t="n"/>
      <c r="S95" s="60" t="n"/>
      <c r="T95" s="64">
        <f>IF(A95="","",IFERROR(INDEX('Bid-NoBid'!$T:$T,MATCH(A95,'Bid-NoBid'!$A:$A,0)),""))</f>
        <v/>
      </c>
      <c r="U95" s="59">
        <f>IF(A95="","",IFERROR(IF(OR(INDEX('Bid-NoBid'!$U:$U,MATCH(A95,'Bid-NoBid'!$A:$A,0))="",LEFT(INDEX('Bid-NoBid'!$U:$U,MATCH(A95,'Bid-NoBid'!$A:$A,0)),10)="Incomplete"),"Screen: "&amp;AC95,INDEX('Bid-NoBid'!$U:$U,MATCH(A95,'Bid-NoBid'!$A:$A,0))),"Screen: "&amp;AC95))</f>
        <v/>
      </c>
      <c r="V95" s="60" t="n"/>
      <c r="W95" s="60" t="n"/>
      <c r="X95" s="60" t="n"/>
      <c r="Y95" s="60" t="n"/>
      <c r="Z95" s="60" t="n"/>
      <c r="AA95" s="65" t="n"/>
      <c r="AB95" s="66" t="n"/>
      <c r="AC95" s="66" t="n"/>
      <c r="AD95" s="66" t="n"/>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66" t="n"/>
      <c r="AJ95" s="66" t="n"/>
      <c r="AK95" s="66" t="n"/>
      <c r="AL95" s="59">
        <f>IF(AND(OR(W95="Watching",W95="Preparing"),ISNUMBER(Q95)),IF(AND(Q95&gt;='Friday Summary'!$C$4,Q95&lt;='Friday Summary'!$C$4+14),Q95+ROW()/1000000,""),"")</f>
        <v/>
      </c>
    </row>
    <row r="96" ht="15" customHeight="1" s="51">
      <c r="A96" s="59">
        <f>IF(B96="","","OP-"&amp;TEXT(ROW()-4,"000"))</f>
        <v/>
      </c>
      <c r="B96" s="60" t="n"/>
      <c r="C96" s="61" t="n"/>
      <c r="D96" s="60" t="n"/>
      <c r="E96" s="60" t="n"/>
      <c r="F96" s="60" t="n"/>
      <c r="G96" s="60" t="n"/>
      <c r="H96" s="60" t="n"/>
      <c r="I96" s="60" t="n"/>
      <c r="J96" s="60" t="n"/>
      <c r="K96" s="60" t="n"/>
      <c r="L96" s="60" t="n"/>
      <c r="M96" s="62" t="n"/>
      <c r="N96" s="60" t="n"/>
      <c r="O96" s="61" t="n"/>
      <c r="P96" s="61" t="n"/>
      <c r="Q96" s="63" t="n"/>
      <c r="R96" s="60" t="n"/>
      <c r="S96" s="60" t="n"/>
      <c r="T96" s="64">
        <f>IF(A96="","",IFERROR(INDEX('Bid-NoBid'!$T:$T,MATCH(A96,'Bid-NoBid'!$A:$A,0)),""))</f>
        <v/>
      </c>
      <c r="U96" s="59">
        <f>IF(A96="","",IFERROR(IF(OR(INDEX('Bid-NoBid'!$U:$U,MATCH(A96,'Bid-NoBid'!$A:$A,0))="",LEFT(INDEX('Bid-NoBid'!$U:$U,MATCH(A96,'Bid-NoBid'!$A:$A,0)),10)="Incomplete"),"Screen: "&amp;AC96,INDEX('Bid-NoBid'!$U:$U,MATCH(A96,'Bid-NoBid'!$A:$A,0))),"Screen: "&amp;AC96))</f>
        <v/>
      </c>
      <c r="V96" s="60" t="n"/>
      <c r="W96" s="60" t="n"/>
      <c r="X96" s="60" t="n"/>
      <c r="Y96" s="60" t="n"/>
      <c r="Z96" s="60" t="n"/>
      <c r="AA96" s="65" t="n"/>
      <c r="AB96" s="66" t="n"/>
      <c r="AC96" s="66" t="n"/>
      <c r="AD96" s="66" t="n"/>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66" t="n"/>
      <c r="AJ96" s="66" t="n"/>
      <c r="AK96" s="66" t="n"/>
      <c r="AL96" s="59">
        <f>IF(AND(OR(W96="Watching",W96="Preparing"),ISNUMBER(Q96)),IF(AND(Q96&gt;='Friday Summary'!$C$4,Q96&lt;='Friday Summary'!$C$4+14),Q96+ROW()/1000000,""),"")</f>
        <v/>
      </c>
    </row>
    <row r="97" ht="15" customHeight="1" s="51">
      <c r="A97" s="59">
        <f>IF(B97="","","OP-"&amp;TEXT(ROW()-4,"000"))</f>
        <v/>
      </c>
      <c r="B97" s="60" t="n"/>
      <c r="C97" s="61" t="n"/>
      <c r="D97" s="60" t="n"/>
      <c r="E97" s="60" t="n"/>
      <c r="F97" s="60" t="n"/>
      <c r="G97" s="60" t="n"/>
      <c r="H97" s="60" t="n"/>
      <c r="I97" s="60" t="n"/>
      <c r="J97" s="60" t="n"/>
      <c r="K97" s="60" t="n"/>
      <c r="L97" s="60" t="n"/>
      <c r="M97" s="62" t="n"/>
      <c r="N97" s="60" t="n"/>
      <c r="O97" s="61" t="n"/>
      <c r="P97" s="61" t="n"/>
      <c r="Q97" s="63" t="n"/>
      <c r="R97" s="60" t="n"/>
      <c r="S97" s="60" t="n"/>
      <c r="T97" s="64">
        <f>IF(A97="","",IFERROR(INDEX('Bid-NoBid'!$T:$T,MATCH(A97,'Bid-NoBid'!$A:$A,0)),""))</f>
        <v/>
      </c>
      <c r="U97" s="59">
        <f>IF(A97="","",IFERROR(IF(OR(INDEX('Bid-NoBid'!$U:$U,MATCH(A97,'Bid-NoBid'!$A:$A,0))="",LEFT(INDEX('Bid-NoBid'!$U:$U,MATCH(A97,'Bid-NoBid'!$A:$A,0)),10)="Incomplete"),"Screen: "&amp;AC97,INDEX('Bid-NoBid'!$U:$U,MATCH(A97,'Bid-NoBid'!$A:$A,0))),"Screen: "&amp;AC97))</f>
        <v/>
      </c>
      <c r="V97" s="60" t="n"/>
      <c r="W97" s="60" t="n"/>
      <c r="X97" s="60" t="n"/>
      <c r="Y97" s="60" t="n"/>
      <c r="Z97" s="60" t="n"/>
      <c r="AA97" s="65" t="n"/>
      <c r="AB97" s="66" t="n"/>
      <c r="AC97" s="66" t="n"/>
      <c r="AD97" s="66" t="n"/>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66" t="n"/>
      <c r="AJ97" s="66" t="n"/>
      <c r="AK97" s="66" t="n"/>
      <c r="AL97" s="59">
        <f>IF(AND(OR(W97="Watching",W97="Preparing"),ISNUMBER(Q97)),IF(AND(Q97&gt;='Friday Summary'!$C$4,Q97&lt;='Friday Summary'!$C$4+14),Q97+ROW()/1000000,""),"")</f>
        <v/>
      </c>
    </row>
    <row r="98" ht="15" customHeight="1" s="51">
      <c r="A98" s="59">
        <f>IF(B98="","","OP-"&amp;TEXT(ROW()-4,"000"))</f>
        <v/>
      </c>
      <c r="B98" s="60" t="n"/>
      <c r="C98" s="61" t="n"/>
      <c r="D98" s="60" t="n"/>
      <c r="E98" s="60" t="n"/>
      <c r="F98" s="60" t="n"/>
      <c r="G98" s="60" t="n"/>
      <c r="H98" s="60" t="n"/>
      <c r="I98" s="60" t="n"/>
      <c r="J98" s="60" t="n"/>
      <c r="K98" s="60" t="n"/>
      <c r="L98" s="60" t="n"/>
      <c r="M98" s="62" t="n"/>
      <c r="N98" s="60" t="n"/>
      <c r="O98" s="61" t="n"/>
      <c r="P98" s="61" t="n"/>
      <c r="Q98" s="63" t="n"/>
      <c r="R98" s="60" t="n"/>
      <c r="S98" s="60" t="n"/>
      <c r="T98" s="64">
        <f>IF(A98="","",IFERROR(INDEX('Bid-NoBid'!$T:$T,MATCH(A98,'Bid-NoBid'!$A:$A,0)),""))</f>
        <v/>
      </c>
      <c r="U98" s="59">
        <f>IF(A98="","",IFERROR(IF(OR(INDEX('Bid-NoBid'!$U:$U,MATCH(A98,'Bid-NoBid'!$A:$A,0))="",LEFT(INDEX('Bid-NoBid'!$U:$U,MATCH(A98,'Bid-NoBid'!$A:$A,0)),10)="Incomplete"),"Screen: "&amp;AC98,INDEX('Bid-NoBid'!$U:$U,MATCH(A98,'Bid-NoBid'!$A:$A,0))),"Screen: "&amp;AC98))</f>
        <v/>
      </c>
      <c r="V98" s="60" t="n"/>
      <c r="W98" s="60" t="n"/>
      <c r="X98" s="60" t="n"/>
      <c r="Y98" s="60" t="n"/>
      <c r="Z98" s="60" t="n"/>
      <c r="AA98" s="65" t="n"/>
      <c r="AB98" s="66" t="n"/>
      <c r="AC98" s="66" t="n"/>
      <c r="AD98" s="66" t="n"/>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66" t="n"/>
      <c r="AJ98" s="66" t="n"/>
      <c r="AK98" s="66" t="n"/>
      <c r="AL98" s="59">
        <f>IF(AND(OR(W98="Watching",W98="Preparing"),ISNUMBER(Q98)),IF(AND(Q98&gt;='Friday Summary'!$C$4,Q98&lt;='Friday Summary'!$C$4+14),Q98+ROW()/1000000,""),"")</f>
        <v/>
      </c>
    </row>
    <row r="99" ht="15" customHeight="1" s="51">
      <c r="A99" s="59">
        <f>IF(B99="","","OP-"&amp;TEXT(ROW()-4,"000"))</f>
        <v/>
      </c>
      <c r="B99" s="60" t="n"/>
      <c r="C99" s="61" t="n"/>
      <c r="D99" s="60" t="n"/>
      <c r="E99" s="60" t="n"/>
      <c r="F99" s="60" t="n"/>
      <c r="G99" s="60" t="n"/>
      <c r="H99" s="60" t="n"/>
      <c r="I99" s="60" t="n"/>
      <c r="J99" s="60" t="n"/>
      <c r="K99" s="60" t="n"/>
      <c r="L99" s="60" t="n"/>
      <c r="M99" s="62" t="n"/>
      <c r="N99" s="60" t="n"/>
      <c r="O99" s="61" t="n"/>
      <c r="P99" s="61" t="n"/>
      <c r="Q99" s="63" t="n"/>
      <c r="R99" s="60" t="n"/>
      <c r="S99" s="60" t="n"/>
      <c r="T99" s="64">
        <f>IF(A99="","",IFERROR(INDEX('Bid-NoBid'!$T:$T,MATCH(A99,'Bid-NoBid'!$A:$A,0)),""))</f>
        <v/>
      </c>
      <c r="U99" s="59">
        <f>IF(A99="","",IFERROR(IF(OR(INDEX('Bid-NoBid'!$U:$U,MATCH(A99,'Bid-NoBid'!$A:$A,0))="",LEFT(INDEX('Bid-NoBid'!$U:$U,MATCH(A99,'Bid-NoBid'!$A:$A,0)),10)="Incomplete"),"Screen: "&amp;AC99,INDEX('Bid-NoBid'!$U:$U,MATCH(A99,'Bid-NoBid'!$A:$A,0))),"Screen: "&amp;AC99))</f>
        <v/>
      </c>
      <c r="V99" s="60" t="n"/>
      <c r="W99" s="60" t="n"/>
      <c r="X99" s="60" t="n"/>
      <c r="Y99" s="60" t="n"/>
      <c r="Z99" s="60" t="n"/>
      <c r="AA99" s="65" t="n"/>
      <c r="AB99" s="66" t="n"/>
      <c r="AC99" s="66" t="n"/>
      <c r="AD99" s="66" t="n"/>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66" t="n"/>
      <c r="AJ99" s="66" t="n"/>
      <c r="AK99" s="66" t="n"/>
      <c r="AL99" s="59">
        <f>IF(AND(OR(W99="Watching",W99="Preparing"),ISNUMBER(Q99)),IF(AND(Q99&gt;='Friday Summary'!$C$4,Q99&lt;='Friday Summary'!$C$4+14),Q99+ROW()/1000000,""),"")</f>
        <v/>
      </c>
    </row>
    <row r="100" ht="15" customHeight="1" s="51">
      <c r="A100" s="59">
        <f>IF(B100="","","OP-"&amp;TEXT(ROW()-4,"000"))</f>
        <v/>
      </c>
      <c r="B100" s="60" t="n"/>
      <c r="C100" s="61" t="n"/>
      <c r="D100" s="60" t="n"/>
      <c r="E100" s="60" t="n"/>
      <c r="F100" s="60" t="n"/>
      <c r="G100" s="60" t="n"/>
      <c r="H100" s="60" t="n"/>
      <c r="I100" s="60" t="n"/>
      <c r="J100" s="60" t="n"/>
      <c r="K100" s="60" t="n"/>
      <c r="L100" s="60" t="n"/>
      <c r="M100" s="62" t="n"/>
      <c r="N100" s="60" t="n"/>
      <c r="O100" s="61" t="n"/>
      <c r="P100" s="61" t="n"/>
      <c r="Q100" s="63" t="n"/>
      <c r="R100" s="60" t="n"/>
      <c r="S100" s="60" t="n"/>
      <c r="T100" s="64">
        <f>IF(A100="","",IFERROR(INDEX('Bid-NoBid'!$T:$T,MATCH(A100,'Bid-NoBid'!$A:$A,0)),""))</f>
        <v/>
      </c>
      <c r="U100" s="59">
        <f>IF(A100="","",IFERROR(IF(OR(INDEX('Bid-NoBid'!$U:$U,MATCH(A100,'Bid-NoBid'!$A:$A,0))="",LEFT(INDEX('Bid-NoBid'!$U:$U,MATCH(A100,'Bid-NoBid'!$A:$A,0)),10)="Incomplete"),"Screen: "&amp;AC100,INDEX('Bid-NoBid'!$U:$U,MATCH(A100,'Bid-NoBid'!$A:$A,0))),"Screen: "&amp;AC100))</f>
        <v/>
      </c>
      <c r="V100" s="60" t="n"/>
      <c r="W100" s="60" t="n"/>
      <c r="X100" s="60" t="n"/>
      <c r="Y100" s="60" t="n"/>
      <c r="Z100" s="60" t="n"/>
      <c r="AA100" s="65" t="n"/>
      <c r="AB100" s="66" t="n"/>
      <c r="AC100" s="66" t="n"/>
      <c r="AD100" s="66" t="n"/>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66" t="n"/>
      <c r="AJ100" s="66" t="n"/>
      <c r="AK100" s="66" t="n"/>
      <c r="AL100" s="59">
        <f>IF(AND(OR(W100="Watching",W100="Preparing"),ISNUMBER(Q100)),IF(AND(Q100&gt;='Friday Summary'!$C$4,Q100&lt;='Friday Summary'!$C$4+14),Q100+ROW()/1000000,""),"")</f>
        <v/>
      </c>
    </row>
    <row r="101" ht="15" customHeight="1" s="51">
      <c r="A101" s="59">
        <f>IF(B101="","","OP-"&amp;TEXT(ROW()-4,"000"))</f>
        <v/>
      </c>
      <c r="B101" s="60" t="n"/>
      <c r="C101" s="61" t="n"/>
      <c r="D101" s="60" t="n"/>
      <c r="E101" s="60" t="n"/>
      <c r="F101" s="60" t="n"/>
      <c r="G101" s="60" t="n"/>
      <c r="H101" s="60" t="n"/>
      <c r="I101" s="60" t="n"/>
      <c r="J101" s="60" t="n"/>
      <c r="K101" s="60" t="n"/>
      <c r="L101" s="60" t="n"/>
      <c r="M101" s="62" t="n"/>
      <c r="N101" s="60" t="n"/>
      <c r="O101" s="61" t="n"/>
      <c r="P101" s="61" t="n"/>
      <c r="Q101" s="63" t="n"/>
      <c r="R101" s="60" t="n"/>
      <c r="S101" s="60" t="n"/>
      <c r="T101" s="64">
        <f>IF(A101="","",IFERROR(INDEX('Bid-NoBid'!$T:$T,MATCH(A101,'Bid-NoBid'!$A:$A,0)),""))</f>
        <v/>
      </c>
      <c r="U101" s="59">
        <f>IF(A101="","",IFERROR(IF(OR(INDEX('Bid-NoBid'!$U:$U,MATCH(A101,'Bid-NoBid'!$A:$A,0))="",LEFT(INDEX('Bid-NoBid'!$U:$U,MATCH(A101,'Bid-NoBid'!$A:$A,0)),10)="Incomplete"),"Screen: "&amp;AC101,INDEX('Bid-NoBid'!$U:$U,MATCH(A101,'Bid-NoBid'!$A:$A,0))),"Screen: "&amp;AC101))</f>
        <v/>
      </c>
      <c r="V101" s="60" t="n"/>
      <c r="W101" s="60" t="n"/>
      <c r="X101" s="60" t="n"/>
      <c r="Y101" s="60" t="n"/>
      <c r="Z101" s="60" t="n"/>
      <c r="AA101" s="65" t="n"/>
      <c r="AB101" s="66" t="n"/>
      <c r="AC101" s="66" t="n"/>
      <c r="AD101" s="66" t="n"/>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66" t="n"/>
      <c r="AJ101" s="66" t="n"/>
      <c r="AK101" s="66" t="n"/>
      <c r="AL101" s="59">
        <f>IF(AND(OR(W101="Watching",W101="Preparing"),ISNUMBER(Q101)),IF(AND(Q101&gt;='Friday Summary'!$C$4,Q101&lt;='Friday Summary'!$C$4+14),Q101+ROW()/1000000,""),"")</f>
        <v/>
      </c>
    </row>
    <row r="102" ht="15" customHeight="1" s="51">
      <c r="A102" s="59">
        <f>IF(B102="","","OP-"&amp;TEXT(ROW()-4,"000"))</f>
        <v/>
      </c>
      <c r="B102" s="60" t="n"/>
      <c r="C102" s="61" t="n"/>
      <c r="D102" s="60" t="n"/>
      <c r="E102" s="60" t="n"/>
      <c r="F102" s="60" t="n"/>
      <c r="G102" s="60" t="n"/>
      <c r="H102" s="60" t="n"/>
      <c r="I102" s="60" t="n"/>
      <c r="J102" s="60" t="n"/>
      <c r="K102" s="60" t="n"/>
      <c r="L102" s="60" t="n"/>
      <c r="M102" s="62" t="n"/>
      <c r="N102" s="60" t="n"/>
      <c r="O102" s="61" t="n"/>
      <c r="P102" s="61" t="n"/>
      <c r="Q102" s="63" t="n"/>
      <c r="R102" s="60" t="n"/>
      <c r="S102" s="60" t="n"/>
      <c r="T102" s="64">
        <f>IF(A102="","",IFERROR(INDEX('Bid-NoBid'!$T:$T,MATCH(A102,'Bid-NoBid'!$A:$A,0)),""))</f>
        <v/>
      </c>
      <c r="U102" s="59">
        <f>IF(A102="","",IFERROR(IF(OR(INDEX('Bid-NoBid'!$U:$U,MATCH(A102,'Bid-NoBid'!$A:$A,0))="",LEFT(INDEX('Bid-NoBid'!$U:$U,MATCH(A102,'Bid-NoBid'!$A:$A,0)),10)="Incomplete"),"Screen: "&amp;AC102,INDEX('Bid-NoBid'!$U:$U,MATCH(A102,'Bid-NoBid'!$A:$A,0))),"Screen: "&amp;AC102))</f>
        <v/>
      </c>
      <c r="V102" s="60" t="n"/>
      <c r="W102" s="60" t="n"/>
      <c r="X102" s="60" t="n"/>
      <c r="Y102" s="60" t="n"/>
      <c r="Z102" s="60" t="n"/>
      <c r="AA102" s="65" t="n"/>
      <c r="AB102" s="66" t="n"/>
      <c r="AC102" s="66" t="n"/>
      <c r="AD102" s="66" t="n"/>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66" t="n"/>
      <c r="AJ102" s="66" t="n"/>
      <c r="AK102" s="66" t="n"/>
      <c r="AL102" s="59">
        <f>IF(AND(OR(W102="Watching",W102="Preparing"),ISNUMBER(Q102)),IF(AND(Q102&gt;='Friday Summary'!$C$4,Q102&lt;='Friday Summary'!$C$4+14),Q102+ROW()/1000000,""),"")</f>
        <v/>
      </c>
    </row>
    <row r="103" ht="15" customHeight="1" s="51">
      <c r="A103" s="59">
        <f>IF(B103="","","OP-"&amp;TEXT(ROW()-4,"000"))</f>
        <v/>
      </c>
      <c r="B103" s="60" t="n"/>
      <c r="C103" s="61" t="n"/>
      <c r="D103" s="60" t="n"/>
      <c r="E103" s="60" t="n"/>
      <c r="F103" s="60" t="n"/>
      <c r="G103" s="60" t="n"/>
      <c r="H103" s="60" t="n"/>
      <c r="I103" s="60" t="n"/>
      <c r="J103" s="60" t="n"/>
      <c r="K103" s="60" t="n"/>
      <c r="L103" s="60" t="n"/>
      <c r="M103" s="62" t="n"/>
      <c r="N103" s="60" t="n"/>
      <c r="O103" s="61" t="n"/>
      <c r="P103" s="61" t="n"/>
      <c r="Q103" s="63" t="n"/>
      <c r="R103" s="60" t="n"/>
      <c r="S103" s="60" t="n"/>
      <c r="T103" s="64">
        <f>IF(A103="","",IFERROR(INDEX('Bid-NoBid'!$T:$T,MATCH(A103,'Bid-NoBid'!$A:$A,0)),""))</f>
        <v/>
      </c>
      <c r="U103" s="59">
        <f>IF(A103="","",IFERROR(IF(OR(INDEX('Bid-NoBid'!$U:$U,MATCH(A103,'Bid-NoBid'!$A:$A,0))="",LEFT(INDEX('Bid-NoBid'!$U:$U,MATCH(A103,'Bid-NoBid'!$A:$A,0)),10)="Incomplete"),"Screen: "&amp;AC103,INDEX('Bid-NoBid'!$U:$U,MATCH(A103,'Bid-NoBid'!$A:$A,0))),"Screen: "&amp;AC103))</f>
        <v/>
      </c>
      <c r="V103" s="60" t="n"/>
      <c r="W103" s="60" t="n"/>
      <c r="X103" s="60" t="n"/>
      <c r="Y103" s="60" t="n"/>
      <c r="Z103" s="60" t="n"/>
      <c r="AA103" s="65" t="n"/>
      <c r="AB103" s="66" t="n"/>
      <c r="AC103" s="66" t="n"/>
      <c r="AD103" s="66" t="n"/>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66" t="n"/>
      <c r="AJ103" s="66" t="n"/>
      <c r="AK103" s="66" t="n"/>
      <c r="AL103" s="59">
        <f>IF(AND(OR(W103="Watching",W103="Preparing"),ISNUMBER(Q103)),IF(AND(Q103&gt;='Friday Summary'!$C$4,Q103&lt;='Friday Summary'!$C$4+14),Q103+ROW()/1000000,""),"")</f>
        <v/>
      </c>
    </row>
    <row r="104" ht="15" customHeight="1" s="51">
      <c r="A104" s="59">
        <f>IF(B104="","","OP-"&amp;TEXT(ROW()-4,"000"))</f>
        <v/>
      </c>
      <c r="B104" s="60" t="n"/>
      <c r="C104" s="61" t="n"/>
      <c r="D104" s="60" t="n"/>
      <c r="E104" s="60" t="n"/>
      <c r="F104" s="60" t="n"/>
      <c r="G104" s="60" t="n"/>
      <c r="H104" s="60" t="n"/>
      <c r="I104" s="60" t="n"/>
      <c r="J104" s="60" t="n"/>
      <c r="K104" s="60" t="n"/>
      <c r="L104" s="60" t="n"/>
      <c r="M104" s="62" t="n"/>
      <c r="N104" s="60" t="n"/>
      <c r="O104" s="61" t="n"/>
      <c r="P104" s="61" t="n"/>
      <c r="Q104" s="63" t="n"/>
      <c r="R104" s="60" t="n"/>
      <c r="S104" s="60" t="n"/>
      <c r="T104" s="64">
        <f>IF(A104="","",IFERROR(INDEX('Bid-NoBid'!$T:$T,MATCH(A104,'Bid-NoBid'!$A:$A,0)),""))</f>
        <v/>
      </c>
      <c r="U104" s="59">
        <f>IF(A104="","",IFERROR(IF(OR(INDEX('Bid-NoBid'!$U:$U,MATCH(A104,'Bid-NoBid'!$A:$A,0))="",LEFT(INDEX('Bid-NoBid'!$U:$U,MATCH(A104,'Bid-NoBid'!$A:$A,0)),10)="Incomplete"),"Screen: "&amp;AC104,INDEX('Bid-NoBid'!$U:$U,MATCH(A104,'Bid-NoBid'!$A:$A,0))),"Screen: "&amp;AC104))</f>
        <v/>
      </c>
      <c r="V104" s="60" t="n"/>
      <c r="W104" s="60" t="n"/>
      <c r="X104" s="60" t="n"/>
      <c r="Y104" s="60" t="n"/>
      <c r="Z104" s="60" t="n"/>
      <c r="AA104" s="65" t="n"/>
      <c r="AB104" s="66" t="n"/>
      <c r="AC104" s="66" t="n"/>
      <c r="AD104" s="66" t="n"/>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66" t="n"/>
      <c r="AJ104" s="66" t="n"/>
      <c r="AK104" s="66" t="n"/>
      <c r="AL104" s="59">
        <f>IF(AND(OR(W104="Watching",W104="Preparing"),ISNUMBER(Q104)),IF(AND(Q104&gt;='Friday Summary'!$C$4,Q104&lt;='Friday Summary'!$C$4+14),Q104+ROW()/1000000,""),"")</f>
        <v/>
      </c>
    </row>
    <row r="105" ht="15" customHeight="1" s="51">
      <c r="A105" s="59">
        <f>IF(B105="","","OP-"&amp;TEXT(ROW()-4,"000"))</f>
        <v/>
      </c>
      <c r="B105" s="60" t="n"/>
      <c r="C105" s="61" t="n"/>
      <c r="D105" s="60" t="n"/>
      <c r="E105" s="60" t="n"/>
      <c r="F105" s="60" t="n"/>
      <c r="G105" s="60" t="n"/>
      <c r="H105" s="60" t="n"/>
      <c r="I105" s="60" t="n"/>
      <c r="J105" s="60" t="n"/>
      <c r="K105" s="60" t="n"/>
      <c r="L105" s="60" t="n"/>
      <c r="M105" s="62" t="n"/>
      <c r="N105" s="60" t="n"/>
      <c r="O105" s="61" t="n"/>
      <c r="P105" s="61" t="n"/>
      <c r="Q105" s="63" t="n"/>
      <c r="R105" s="60" t="n"/>
      <c r="S105" s="60" t="n"/>
      <c r="T105" s="64">
        <f>IF(A105="","",IFERROR(INDEX('Bid-NoBid'!$T:$T,MATCH(A105,'Bid-NoBid'!$A:$A,0)),""))</f>
        <v/>
      </c>
      <c r="U105" s="59">
        <f>IF(A105="","",IFERROR(IF(OR(INDEX('Bid-NoBid'!$U:$U,MATCH(A105,'Bid-NoBid'!$A:$A,0))="",LEFT(INDEX('Bid-NoBid'!$U:$U,MATCH(A105,'Bid-NoBid'!$A:$A,0)),10)="Incomplete"),"Screen: "&amp;AC105,INDEX('Bid-NoBid'!$U:$U,MATCH(A105,'Bid-NoBid'!$A:$A,0))),"Screen: "&amp;AC105))</f>
        <v/>
      </c>
      <c r="V105" s="60" t="n"/>
      <c r="W105" s="60" t="n"/>
      <c r="X105" s="60" t="n"/>
      <c r="Y105" s="60" t="n"/>
      <c r="Z105" s="60" t="n"/>
      <c r="AA105" s="65" t="n"/>
      <c r="AB105" s="66" t="n"/>
      <c r="AC105" s="66" t="n"/>
      <c r="AD105" s="66" t="n"/>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66" t="n"/>
      <c r="AJ105" s="66" t="n"/>
      <c r="AK105" s="66" t="n"/>
      <c r="AL105" s="59">
        <f>IF(AND(OR(W105="Watching",W105="Preparing"),ISNUMBER(Q105)),IF(AND(Q105&gt;='Friday Summary'!$C$4,Q105&lt;='Friday Summary'!$C$4+14),Q105+ROW()/1000000,""),"")</f>
        <v/>
      </c>
    </row>
    <row r="106" ht="15" customHeight="1" s="51">
      <c r="A106" s="59">
        <f>IF(B106="","","OP-"&amp;TEXT(ROW()-4,"000"))</f>
        <v/>
      </c>
      <c r="B106" s="60" t="n"/>
      <c r="C106" s="61" t="n"/>
      <c r="D106" s="60" t="n"/>
      <c r="E106" s="60" t="n"/>
      <c r="F106" s="60" t="n"/>
      <c r="G106" s="60" t="n"/>
      <c r="H106" s="60" t="n"/>
      <c r="I106" s="60" t="n"/>
      <c r="J106" s="60" t="n"/>
      <c r="K106" s="60" t="n"/>
      <c r="L106" s="60" t="n"/>
      <c r="M106" s="62" t="n"/>
      <c r="N106" s="60" t="n"/>
      <c r="O106" s="61" t="n"/>
      <c r="P106" s="61" t="n"/>
      <c r="Q106" s="63" t="n"/>
      <c r="R106" s="60" t="n"/>
      <c r="S106" s="60" t="n"/>
      <c r="T106" s="64">
        <f>IF(A106="","",IFERROR(INDEX('Bid-NoBid'!$T:$T,MATCH(A106,'Bid-NoBid'!$A:$A,0)),""))</f>
        <v/>
      </c>
      <c r="U106" s="59">
        <f>IF(A106="","",IFERROR(IF(OR(INDEX('Bid-NoBid'!$U:$U,MATCH(A106,'Bid-NoBid'!$A:$A,0))="",LEFT(INDEX('Bid-NoBid'!$U:$U,MATCH(A106,'Bid-NoBid'!$A:$A,0)),10)="Incomplete"),"Screen: "&amp;AC106,INDEX('Bid-NoBid'!$U:$U,MATCH(A106,'Bid-NoBid'!$A:$A,0))),"Screen: "&amp;AC106))</f>
        <v/>
      </c>
      <c r="V106" s="60" t="n"/>
      <c r="W106" s="60" t="n"/>
      <c r="X106" s="60" t="n"/>
      <c r="Y106" s="60" t="n"/>
      <c r="Z106" s="60" t="n"/>
      <c r="AA106" s="65" t="n"/>
      <c r="AB106" s="66" t="n"/>
      <c r="AC106" s="66" t="n"/>
      <c r="AD106" s="66" t="n"/>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66" t="n"/>
      <c r="AJ106" s="66" t="n"/>
      <c r="AK106" s="66" t="n"/>
      <c r="AL106" s="59">
        <f>IF(AND(OR(W106="Watching",W106="Preparing"),ISNUMBER(Q106)),IF(AND(Q106&gt;='Friday Summary'!$C$4,Q106&lt;='Friday Summary'!$C$4+14),Q106+ROW()/1000000,""),"")</f>
        <v/>
      </c>
    </row>
    <row r="107" ht="15" customHeight="1" s="51">
      <c r="A107" s="59">
        <f>IF(B107="","","OP-"&amp;TEXT(ROW()-4,"000"))</f>
        <v/>
      </c>
      <c r="B107" s="60" t="n"/>
      <c r="C107" s="61" t="n"/>
      <c r="D107" s="60" t="n"/>
      <c r="E107" s="60" t="n"/>
      <c r="F107" s="60" t="n"/>
      <c r="G107" s="60" t="n"/>
      <c r="H107" s="60" t="n"/>
      <c r="I107" s="60" t="n"/>
      <c r="J107" s="60" t="n"/>
      <c r="K107" s="60" t="n"/>
      <c r="L107" s="60" t="n"/>
      <c r="M107" s="62" t="n"/>
      <c r="N107" s="60" t="n"/>
      <c r="O107" s="61" t="n"/>
      <c r="P107" s="61" t="n"/>
      <c r="Q107" s="63" t="n"/>
      <c r="R107" s="60" t="n"/>
      <c r="S107" s="60" t="n"/>
      <c r="T107" s="64">
        <f>IF(A107="","",IFERROR(INDEX('Bid-NoBid'!$T:$T,MATCH(A107,'Bid-NoBid'!$A:$A,0)),""))</f>
        <v/>
      </c>
      <c r="U107" s="59">
        <f>IF(A107="","",IFERROR(IF(OR(INDEX('Bid-NoBid'!$U:$U,MATCH(A107,'Bid-NoBid'!$A:$A,0))="",LEFT(INDEX('Bid-NoBid'!$U:$U,MATCH(A107,'Bid-NoBid'!$A:$A,0)),10)="Incomplete"),"Screen: "&amp;AC107,INDEX('Bid-NoBid'!$U:$U,MATCH(A107,'Bid-NoBid'!$A:$A,0))),"Screen: "&amp;AC107))</f>
        <v/>
      </c>
      <c r="V107" s="60" t="n"/>
      <c r="W107" s="60" t="n"/>
      <c r="X107" s="60" t="n"/>
      <c r="Y107" s="60" t="n"/>
      <c r="Z107" s="60" t="n"/>
      <c r="AA107" s="65" t="n"/>
      <c r="AB107" s="66" t="n"/>
      <c r="AC107" s="66" t="n"/>
      <c r="AD107" s="66" t="n"/>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66" t="n"/>
      <c r="AJ107" s="66" t="n"/>
      <c r="AK107" s="66" t="n"/>
      <c r="AL107" s="59">
        <f>IF(AND(OR(W107="Watching",W107="Preparing"),ISNUMBER(Q107)),IF(AND(Q107&gt;='Friday Summary'!$C$4,Q107&lt;='Friday Summary'!$C$4+14),Q107+ROW()/1000000,""),"")</f>
        <v/>
      </c>
    </row>
    <row r="108" ht="15" customHeight="1" s="51">
      <c r="A108" s="59">
        <f>IF(B108="","","OP-"&amp;TEXT(ROW()-4,"000"))</f>
        <v/>
      </c>
      <c r="B108" s="60" t="n"/>
      <c r="C108" s="61" t="n"/>
      <c r="D108" s="60" t="n"/>
      <c r="E108" s="60" t="n"/>
      <c r="F108" s="60" t="n"/>
      <c r="G108" s="60" t="n"/>
      <c r="H108" s="60" t="n"/>
      <c r="I108" s="60" t="n"/>
      <c r="J108" s="60" t="n"/>
      <c r="K108" s="60" t="n"/>
      <c r="L108" s="60" t="n"/>
      <c r="M108" s="62" t="n"/>
      <c r="N108" s="60" t="n"/>
      <c r="O108" s="61" t="n"/>
      <c r="P108" s="61" t="n"/>
      <c r="Q108" s="63" t="n"/>
      <c r="R108" s="60" t="n"/>
      <c r="S108" s="60" t="n"/>
      <c r="T108" s="64">
        <f>IF(A108="","",IFERROR(INDEX('Bid-NoBid'!$T:$T,MATCH(A108,'Bid-NoBid'!$A:$A,0)),""))</f>
        <v/>
      </c>
      <c r="U108" s="59">
        <f>IF(A108="","",IFERROR(IF(OR(INDEX('Bid-NoBid'!$U:$U,MATCH(A108,'Bid-NoBid'!$A:$A,0))="",LEFT(INDEX('Bid-NoBid'!$U:$U,MATCH(A108,'Bid-NoBid'!$A:$A,0)),10)="Incomplete"),"Screen: "&amp;AC108,INDEX('Bid-NoBid'!$U:$U,MATCH(A108,'Bid-NoBid'!$A:$A,0))),"Screen: "&amp;AC108))</f>
        <v/>
      </c>
      <c r="V108" s="60" t="n"/>
      <c r="W108" s="60" t="n"/>
      <c r="X108" s="60" t="n"/>
      <c r="Y108" s="60" t="n"/>
      <c r="Z108" s="60" t="n"/>
      <c r="AA108" s="65" t="n"/>
      <c r="AB108" s="66" t="n"/>
      <c r="AC108" s="66" t="n"/>
      <c r="AD108" s="66" t="n"/>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66" t="n"/>
      <c r="AJ108" s="66" t="n"/>
      <c r="AK108" s="66" t="n"/>
      <c r="AL108" s="59">
        <f>IF(AND(OR(W108="Watching",W108="Preparing"),ISNUMBER(Q108)),IF(AND(Q108&gt;='Friday Summary'!$C$4,Q108&lt;='Friday Summary'!$C$4+14),Q108+ROW()/1000000,""),"")</f>
        <v/>
      </c>
    </row>
    <row r="109" ht="15" customHeight="1" s="51">
      <c r="A109" s="59">
        <f>IF(B109="","","OP-"&amp;TEXT(ROW()-4,"000"))</f>
        <v/>
      </c>
      <c r="B109" s="60" t="n"/>
      <c r="C109" s="61" t="n"/>
      <c r="D109" s="60" t="n"/>
      <c r="E109" s="60" t="n"/>
      <c r="F109" s="60" t="n"/>
      <c r="G109" s="60" t="n"/>
      <c r="H109" s="60" t="n"/>
      <c r="I109" s="60" t="n"/>
      <c r="J109" s="60" t="n"/>
      <c r="K109" s="60" t="n"/>
      <c r="L109" s="60" t="n"/>
      <c r="M109" s="62" t="n"/>
      <c r="N109" s="60" t="n"/>
      <c r="O109" s="61" t="n"/>
      <c r="P109" s="61" t="n"/>
      <c r="Q109" s="63" t="n"/>
      <c r="R109" s="60" t="n"/>
      <c r="S109" s="60" t="n"/>
      <c r="T109" s="64">
        <f>IF(A109="","",IFERROR(INDEX('Bid-NoBid'!$T:$T,MATCH(A109,'Bid-NoBid'!$A:$A,0)),""))</f>
        <v/>
      </c>
      <c r="U109" s="59">
        <f>IF(A109="","",IFERROR(IF(OR(INDEX('Bid-NoBid'!$U:$U,MATCH(A109,'Bid-NoBid'!$A:$A,0))="",LEFT(INDEX('Bid-NoBid'!$U:$U,MATCH(A109,'Bid-NoBid'!$A:$A,0)),10)="Incomplete"),"Screen: "&amp;AC109,INDEX('Bid-NoBid'!$U:$U,MATCH(A109,'Bid-NoBid'!$A:$A,0))),"Screen: "&amp;AC109))</f>
        <v/>
      </c>
      <c r="V109" s="60" t="n"/>
      <c r="W109" s="60" t="n"/>
      <c r="X109" s="60" t="n"/>
      <c r="Y109" s="60" t="n"/>
      <c r="Z109" s="60" t="n"/>
      <c r="AA109" s="65" t="n"/>
      <c r="AB109" s="66" t="n"/>
      <c r="AC109" s="66" t="n"/>
      <c r="AD109" s="66" t="n"/>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66" t="n"/>
      <c r="AJ109" s="66" t="n"/>
      <c r="AK109" s="66" t="n"/>
      <c r="AL109" s="59">
        <f>IF(AND(OR(W109="Watching",W109="Preparing"),ISNUMBER(Q109)),IF(AND(Q109&gt;='Friday Summary'!$C$4,Q109&lt;='Friday Summary'!$C$4+14),Q109+ROW()/1000000,""),"")</f>
        <v/>
      </c>
    </row>
    <row r="110" ht="15" customHeight="1" s="51">
      <c r="A110" s="59">
        <f>IF(B110="","","OP-"&amp;TEXT(ROW()-4,"000"))</f>
        <v/>
      </c>
      <c r="B110" s="60" t="n"/>
      <c r="C110" s="61" t="n"/>
      <c r="D110" s="60" t="n"/>
      <c r="E110" s="60" t="n"/>
      <c r="F110" s="60" t="n"/>
      <c r="G110" s="60" t="n"/>
      <c r="H110" s="60" t="n"/>
      <c r="I110" s="60" t="n"/>
      <c r="J110" s="60" t="n"/>
      <c r="K110" s="60" t="n"/>
      <c r="L110" s="60" t="n"/>
      <c r="M110" s="62" t="n"/>
      <c r="N110" s="60" t="n"/>
      <c r="O110" s="61" t="n"/>
      <c r="P110" s="61" t="n"/>
      <c r="Q110" s="63" t="n"/>
      <c r="R110" s="60" t="n"/>
      <c r="S110" s="60" t="n"/>
      <c r="T110" s="64">
        <f>IF(A110="","",IFERROR(INDEX('Bid-NoBid'!$T:$T,MATCH(A110,'Bid-NoBid'!$A:$A,0)),""))</f>
        <v/>
      </c>
      <c r="U110" s="59">
        <f>IF(A110="","",IFERROR(IF(OR(INDEX('Bid-NoBid'!$U:$U,MATCH(A110,'Bid-NoBid'!$A:$A,0))="",LEFT(INDEX('Bid-NoBid'!$U:$U,MATCH(A110,'Bid-NoBid'!$A:$A,0)),10)="Incomplete"),"Screen: "&amp;AC110,INDEX('Bid-NoBid'!$U:$U,MATCH(A110,'Bid-NoBid'!$A:$A,0))),"Screen: "&amp;AC110))</f>
        <v/>
      </c>
      <c r="V110" s="60" t="n"/>
      <c r="W110" s="60" t="n"/>
      <c r="X110" s="60" t="n"/>
      <c r="Y110" s="60" t="n"/>
      <c r="Z110" s="60" t="n"/>
      <c r="AA110" s="65" t="n"/>
      <c r="AB110" s="66" t="n"/>
      <c r="AC110" s="66" t="n"/>
      <c r="AD110" s="66" t="n"/>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66" t="n"/>
      <c r="AJ110" s="66" t="n"/>
      <c r="AK110" s="66" t="n"/>
      <c r="AL110" s="59">
        <f>IF(AND(OR(W110="Watching",W110="Preparing"),ISNUMBER(Q110)),IF(AND(Q110&gt;='Friday Summary'!$C$4,Q110&lt;='Friday Summary'!$C$4+14),Q110+ROW()/1000000,""),"")</f>
        <v/>
      </c>
    </row>
    <row r="111" ht="15" customHeight="1" s="51">
      <c r="A111" s="59">
        <f>IF(B111="","","OP-"&amp;TEXT(ROW()-4,"000"))</f>
        <v/>
      </c>
      <c r="B111" s="60" t="n"/>
      <c r="C111" s="61" t="n"/>
      <c r="D111" s="60" t="n"/>
      <c r="E111" s="60" t="n"/>
      <c r="F111" s="60" t="n"/>
      <c r="G111" s="60" t="n"/>
      <c r="H111" s="60" t="n"/>
      <c r="I111" s="60" t="n"/>
      <c r="J111" s="60" t="n"/>
      <c r="K111" s="60" t="n"/>
      <c r="L111" s="60" t="n"/>
      <c r="M111" s="62" t="n"/>
      <c r="N111" s="60" t="n"/>
      <c r="O111" s="61" t="n"/>
      <c r="P111" s="61" t="n"/>
      <c r="Q111" s="63" t="n"/>
      <c r="R111" s="60" t="n"/>
      <c r="S111" s="60" t="n"/>
      <c r="T111" s="64">
        <f>IF(A111="","",IFERROR(INDEX('Bid-NoBid'!$T:$T,MATCH(A111,'Bid-NoBid'!$A:$A,0)),""))</f>
        <v/>
      </c>
      <c r="U111" s="59">
        <f>IF(A111="","",IFERROR(IF(OR(INDEX('Bid-NoBid'!$U:$U,MATCH(A111,'Bid-NoBid'!$A:$A,0))="",LEFT(INDEX('Bid-NoBid'!$U:$U,MATCH(A111,'Bid-NoBid'!$A:$A,0)),10)="Incomplete"),"Screen: "&amp;AC111,INDEX('Bid-NoBid'!$U:$U,MATCH(A111,'Bid-NoBid'!$A:$A,0))),"Screen: "&amp;AC111))</f>
        <v/>
      </c>
      <c r="V111" s="60" t="n"/>
      <c r="W111" s="60" t="n"/>
      <c r="X111" s="60" t="n"/>
      <c r="Y111" s="60" t="n"/>
      <c r="Z111" s="60" t="n"/>
      <c r="AA111" s="65" t="n"/>
      <c r="AB111" s="66" t="n"/>
      <c r="AC111" s="66" t="n"/>
      <c r="AD111" s="66" t="n"/>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66" t="n"/>
      <c r="AJ111" s="66" t="n"/>
      <c r="AK111" s="66" t="n"/>
      <c r="AL111" s="59">
        <f>IF(AND(OR(W111="Watching",W111="Preparing"),ISNUMBER(Q111)),IF(AND(Q111&gt;='Friday Summary'!$C$4,Q111&lt;='Friday Summary'!$C$4+14),Q111+ROW()/1000000,""),"")</f>
        <v/>
      </c>
    </row>
    <row r="112" ht="15" customHeight="1" s="51">
      <c r="A112" s="59">
        <f>IF(B112="","","OP-"&amp;TEXT(ROW()-4,"000"))</f>
        <v/>
      </c>
      <c r="B112" s="60" t="n"/>
      <c r="C112" s="61" t="n"/>
      <c r="D112" s="60" t="n"/>
      <c r="E112" s="60" t="n"/>
      <c r="F112" s="60" t="n"/>
      <c r="G112" s="60" t="n"/>
      <c r="H112" s="60" t="n"/>
      <c r="I112" s="60" t="n"/>
      <c r="J112" s="60" t="n"/>
      <c r="K112" s="60" t="n"/>
      <c r="L112" s="60" t="n"/>
      <c r="M112" s="62" t="n"/>
      <c r="N112" s="60" t="n"/>
      <c r="O112" s="61" t="n"/>
      <c r="P112" s="61" t="n"/>
      <c r="Q112" s="63" t="n"/>
      <c r="R112" s="60" t="n"/>
      <c r="S112" s="60" t="n"/>
      <c r="T112" s="64">
        <f>IF(A112="","",IFERROR(INDEX('Bid-NoBid'!$T:$T,MATCH(A112,'Bid-NoBid'!$A:$A,0)),""))</f>
        <v/>
      </c>
      <c r="U112" s="59">
        <f>IF(A112="","",IFERROR(IF(OR(INDEX('Bid-NoBid'!$U:$U,MATCH(A112,'Bid-NoBid'!$A:$A,0))="",LEFT(INDEX('Bid-NoBid'!$U:$U,MATCH(A112,'Bid-NoBid'!$A:$A,0)),10)="Incomplete"),"Screen: "&amp;AC112,INDEX('Bid-NoBid'!$U:$U,MATCH(A112,'Bid-NoBid'!$A:$A,0))),"Screen: "&amp;AC112))</f>
        <v/>
      </c>
      <c r="V112" s="60" t="n"/>
      <c r="W112" s="60" t="n"/>
      <c r="X112" s="60" t="n"/>
      <c r="Y112" s="60" t="n"/>
      <c r="Z112" s="60" t="n"/>
      <c r="AA112" s="65" t="n"/>
      <c r="AB112" s="66" t="n"/>
      <c r="AC112" s="66" t="n"/>
      <c r="AD112" s="66" t="n"/>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66" t="n"/>
      <c r="AJ112" s="66" t="n"/>
      <c r="AK112" s="66" t="n"/>
      <c r="AL112" s="59">
        <f>IF(AND(OR(W112="Watching",W112="Preparing"),ISNUMBER(Q112)),IF(AND(Q112&gt;='Friday Summary'!$C$4,Q112&lt;='Friday Summary'!$C$4+14),Q112+ROW()/1000000,""),"")</f>
        <v/>
      </c>
    </row>
    <row r="113" ht="15" customHeight="1" s="51">
      <c r="A113" s="59">
        <f>IF(B113="","","OP-"&amp;TEXT(ROW()-4,"000"))</f>
        <v/>
      </c>
      <c r="B113" s="60" t="n"/>
      <c r="C113" s="61" t="n"/>
      <c r="D113" s="60" t="n"/>
      <c r="E113" s="60" t="n"/>
      <c r="F113" s="60" t="n"/>
      <c r="G113" s="60" t="n"/>
      <c r="H113" s="60" t="n"/>
      <c r="I113" s="60" t="n"/>
      <c r="J113" s="60" t="n"/>
      <c r="K113" s="60" t="n"/>
      <c r="L113" s="60" t="n"/>
      <c r="M113" s="62" t="n"/>
      <c r="N113" s="60" t="n"/>
      <c r="O113" s="61" t="n"/>
      <c r="P113" s="61" t="n"/>
      <c r="Q113" s="63" t="n"/>
      <c r="R113" s="60" t="n"/>
      <c r="S113" s="60" t="n"/>
      <c r="T113" s="64">
        <f>IF(A113="","",IFERROR(INDEX('Bid-NoBid'!$T:$T,MATCH(A113,'Bid-NoBid'!$A:$A,0)),""))</f>
        <v/>
      </c>
      <c r="U113" s="59">
        <f>IF(A113="","",IFERROR(IF(OR(INDEX('Bid-NoBid'!$U:$U,MATCH(A113,'Bid-NoBid'!$A:$A,0))="",LEFT(INDEX('Bid-NoBid'!$U:$U,MATCH(A113,'Bid-NoBid'!$A:$A,0)),10)="Incomplete"),"Screen: "&amp;AC113,INDEX('Bid-NoBid'!$U:$U,MATCH(A113,'Bid-NoBid'!$A:$A,0))),"Screen: "&amp;AC113))</f>
        <v/>
      </c>
      <c r="V113" s="60" t="n"/>
      <c r="W113" s="60" t="n"/>
      <c r="X113" s="60" t="n"/>
      <c r="Y113" s="60" t="n"/>
      <c r="Z113" s="60" t="n"/>
      <c r="AA113" s="65" t="n"/>
      <c r="AB113" s="66" t="n"/>
      <c r="AC113" s="66" t="n"/>
      <c r="AD113" s="66" t="n"/>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66" t="n"/>
      <c r="AJ113" s="66" t="n"/>
      <c r="AK113" s="66" t="n"/>
      <c r="AL113" s="59">
        <f>IF(AND(OR(W113="Watching",W113="Preparing"),ISNUMBER(Q113)),IF(AND(Q113&gt;='Friday Summary'!$C$4,Q113&lt;='Friday Summary'!$C$4+14),Q113+ROW()/1000000,""),"")</f>
        <v/>
      </c>
    </row>
    <row r="114" ht="15" customHeight="1" s="51">
      <c r="A114" s="59">
        <f>IF(B114="","","OP-"&amp;TEXT(ROW()-4,"000"))</f>
        <v/>
      </c>
      <c r="B114" s="60" t="n"/>
      <c r="C114" s="61" t="n"/>
      <c r="D114" s="60" t="n"/>
      <c r="E114" s="60" t="n"/>
      <c r="F114" s="60" t="n"/>
      <c r="G114" s="60" t="n"/>
      <c r="H114" s="60" t="n"/>
      <c r="I114" s="60" t="n"/>
      <c r="J114" s="60" t="n"/>
      <c r="K114" s="60" t="n"/>
      <c r="L114" s="60" t="n"/>
      <c r="M114" s="62" t="n"/>
      <c r="N114" s="60" t="n"/>
      <c r="O114" s="61" t="n"/>
      <c r="P114" s="61" t="n"/>
      <c r="Q114" s="63" t="n"/>
      <c r="R114" s="60" t="n"/>
      <c r="S114" s="60" t="n"/>
      <c r="T114" s="64">
        <f>IF(A114="","",IFERROR(INDEX('Bid-NoBid'!$T:$T,MATCH(A114,'Bid-NoBid'!$A:$A,0)),""))</f>
        <v/>
      </c>
      <c r="U114" s="59">
        <f>IF(A114="","",IFERROR(IF(OR(INDEX('Bid-NoBid'!$U:$U,MATCH(A114,'Bid-NoBid'!$A:$A,0))="",LEFT(INDEX('Bid-NoBid'!$U:$U,MATCH(A114,'Bid-NoBid'!$A:$A,0)),10)="Incomplete"),"Screen: "&amp;AC114,INDEX('Bid-NoBid'!$U:$U,MATCH(A114,'Bid-NoBid'!$A:$A,0))),"Screen: "&amp;AC114))</f>
        <v/>
      </c>
      <c r="V114" s="60" t="n"/>
      <c r="W114" s="60" t="n"/>
      <c r="X114" s="60" t="n"/>
      <c r="Y114" s="60" t="n"/>
      <c r="Z114" s="60" t="n"/>
      <c r="AA114" s="65" t="n"/>
      <c r="AB114" s="66" t="n"/>
      <c r="AC114" s="66" t="n"/>
      <c r="AD114" s="66" t="n"/>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66" t="n"/>
      <c r="AJ114" s="66" t="n"/>
      <c r="AK114" s="66" t="n"/>
      <c r="AL114" s="59">
        <f>IF(AND(OR(W114="Watching",W114="Preparing"),ISNUMBER(Q114)),IF(AND(Q114&gt;='Friday Summary'!$C$4,Q114&lt;='Friday Summary'!$C$4+14),Q114+ROW()/1000000,""),"")</f>
        <v/>
      </c>
    </row>
    <row r="115" ht="15" customHeight="1" s="51">
      <c r="A115" s="59">
        <f>IF(B115="","","OP-"&amp;TEXT(ROW()-4,"000"))</f>
        <v/>
      </c>
      <c r="B115" s="60" t="n"/>
      <c r="C115" s="61" t="n"/>
      <c r="D115" s="60" t="n"/>
      <c r="E115" s="60" t="n"/>
      <c r="F115" s="60" t="n"/>
      <c r="G115" s="60" t="n"/>
      <c r="H115" s="60" t="n"/>
      <c r="I115" s="60" t="n"/>
      <c r="J115" s="60" t="n"/>
      <c r="K115" s="60" t="n"/>
      <c r="L115" s="60" t="n"/>
      <c r="M115" s="62" t="n"/>
      <c r="N115" s="60" t="n"/>
      <c r="O115" s="61" t="n"/>
      <c r="P115" s="61" t="n"/>
      <c r="Q115" s="63" t="n"/>
      <c r="R115" s="60" t="n"/>
      <c r="S115" s="60" t="n"/>
      <c r="T115" s="64">
        <f>IF(A115="","",IFERROR(INDEX('Bid-NoBid'!$T:$T,MATCH(A115,'Bid-NoBid'!$A:$A,0)),""))</f>
        <v/>
      </c>
      <c r="U115" s="59">
        <f>IF(A115="","",IFERROR(IF(OR(INDEX('Bid-NoBid'!$U:$U,MATCH(A115,'Bid-NoBid'!$A:$A,0))="",LEFT(INDEX('Bid-NoBid'!$U:$U,MATCH(A115,'Bid-NoBid'!$A:$A,0)),10)="Incomplete"),"Screen: "&amp;AC115,INDEX('Bid-NoBid'!$U:$U,MATCH(A115,'Bid-NoBid'!$A:$A,0))),"Screen: "&amp;AC115))</f>
        <v/>
      </c>
      <c r="V115" s="60" t="n"/>
      <c r="W115" s="60" t="n"/>
      <c r="X115" s="60" t="n"/>
      <c r="Y115" s="60" t="n"/>
      <c r="Z115" s="60" t="n"/>
      <c r="AA115" s="65" t="n"/>
      <c r="AB115" s="66" t="n"/>
      <c r="AC115" s="66" t="n"/>
      <c r="AD115" s="66" t="n"/>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66" t="n"/>
      <c r="AJ115" s="66" t="n"/>
      <c r="AK115" s="66" t="n"/>
      <c r="AL115" s="59">
        <f>IF(AND(OR(W115="Watching",W115="Preparing"),ISNUMBER(Q115)),IF(AND(Q115&gt;='Friday Summary'!$C$4,Q115&lt;='Friday Summary'!$C$4+14),Q115+ROW()/1000000,""),"")</f>
        <v/>
      </c>
    </row>
    <row r="116" ht="15" customHeight="1" s="51">
      <c r="A116" s="59">
        <f>IF(B116="","","OP-"&amp;TEXT(ROW()-4,"000"))</f>
        <v/>
      </c>
      <c r="B116" s="60" t="n"/>
      <c r="C116" s="61" t="n"/>
      <c r="D116" s="60" t="n"/>
      <c r="E116" s="60" t="n"/>
      <c r="F116" s="60" t="n"/>
      <c r="G116" s="60" t="n"/>
      <c r="H116" s="60" t="n"/>
      <c r="I116" s="60" t="n"/>
      <c r="J116" s="60" t="n"/>
      <c r="K116" s="60" t="n"/>
      <c r="L116" s="60" t="n"/>
      <c r="M116" s="62" t="n"/>
      <c r="N116" s="60" t="n"/>
      <c r="O116" s="61" t="n"/>
      <c r="P116" s="61" t="n"/>
      <c r="Q116" s="63" t="n"/>
      <c r="R116" s="60" t="n"/>
      <c r="S116" s="60" t="n"/>
      <c r="T116" s="64">
        <f>IF(A116="","",IFERROR(INDEX('Bid-NoBid'!$T:$T,MATCH(A116,'Bid-NoBid'!$A:$A,0)),""))</f>
        <v/>
      </c>
      <c r="U116" s="59">
        <f>IF(A116="","",IFERROR(IF(OR(INDEX('Bid-NoBid'!$U:$U,MATCH(A116,'Bid-NoBid'!$A:$A,0))="",LEFT(INDEX('Bid-NoBid'!$U:$U,MATCH(A116,'Bid-NoBid'!$A:$A,0)),10)="Incomplete"),"Screen: "&amp;AC116,INDEX('Bid-NoBid'!$U:$U,MATCH(A116,'Bid-NoBid'!$A:$A,0))),"Screen: "&amp;AC116))</f>
        <v/>
      </c>
      <c r="V116" s="60" t="n"/>
      <c r="W116" s="60" t="n"/>
      <c r="X116" s="60" t="n"/>
      <c r="Y116" s="60" t="n"/>
      <c r="Z116" s="60" t="n"/>
      <c r="AA116" s="65" t="n"/>
      <c r="AB116" s="66" t="n"/>
      <c r="AC116" s="66" t="n"/>
      <c r="AD116" s="66" t="n"/>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66" t="n"/>
      <c r="AJ116" s="66" t="n"/>
      <c r="AK116" s="66" t="n"/>
      <c r="AL116" s="59">
        <f>IF(AND(OR(W116="Watching",W116="Preparing"),ISNUMBER(Q116)),IF(AND(Q116&gt;='Friday Summary'!$C$4,Q116&lt;='Friday Summary'!$C$4+14),Q116+ROW()/1000000,""),"")</f>
        <v/>
      </c>
    </row>
    <row r="117" ht="15" customHeight="1" s="51">
      <c r="A117" s="59">
        <f>IF(B117="","","OP-"&amp;TEXT(ROW()-4,"000"))</f>
        <v/>
      </c>
      <c r="B117" s="60" t="n"/>
      <c r="C117" s="61" t="n"/>
      <c r="D117" s="60" t="n"/>
      <c r="E117" s="60" t="n"/>
      <c r="F117" s="60" t="n"/>
      <c r="G117" s="60" t="n"/>
      <c r="H117" s="60" t="n"/>
      <c r="I117" s="60" t="n"/>
      <c r="J117" s="60" t="n"/>
      <c r="K117" s="60" t="n"/>
      <c r="L117" s="60" t="n"/>
      <c r="M117" s="62" t="n"/>
      <c r="N117" s="60" t="n"/>
      <c r="O117" s="61" t="n"/>
      <c r="P117" s="61" t="n"/>
      <c r="Q117" s="63" t="n"/>
      <c r="R117" s="60" t="n"/>
      <c r="S117" s="60" t="n"/>
      <c r="T117" s="64">
        <f>IF(A117="","",IFERROR(INDEX('Bid-NoBid'!$T:$T,MATCH(A117,'Bid-NoBid'!$A:$A,0)),""))</f>
        <v/>
      </c>
      <c r="U117" s="59">
        <f>IF(A117="","",IFERROR(IF(OR(INDEX('Bid-NoBid'!$U:$U,MATCH(A117,'Bid-NoBid'!$A:$A,0))="",LEFT(INDEX('Bid-NoBid'!$U:$U,MATCH(A117,'Bid-NoBid'!$A:$A,0)),10)="Incomplete"),"Screen: "&amp;AC117,INDEX('Bid-NoBid'!$U:$U,MATCH(A117,'Bid-NoBid'!$A:$A,0))),"Screen: "&amp;AC117))</f>
        <v/>
      </c>
      <c r="V117" s="60" t="n"/>
      <c r="W117" s="60" t="n"/>
      <c r="X117" s="60" t="n"/>
      <c r="Y117" s="60" t="n"/>
      <c r="Z117" s="60" t="n"/>
      <c r="AA117" s="65" t="n"/>
      <c r="AB117" s="66" t="n"/>
      <c r="AC117" s="66" t="n"/>
      <c r="AD117" s="66" t="n"/>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66" t="n"/>
      <c r="AJ117" s="66" t="n"/>
      <c r="AK117" s="66" t="n"/>
      <c r="AL117" s="59">
        <f>IF(AND(OR(W117="Watching",W117="Preparing"),ISNUMBER(Q117)),IF(AND(Q117&gt;='Friday Summary'!$C$4,Q117&lt;='Friday Summary'!$C$4+14),Q117+ROW()/1000000,""),"")</f>
        <v/>
      </c>
    </row>
    <row r="118" ht="15" customHeight="1" s="51">
      <c r="A118" s="59">
        <f>IF(B118="","","OP-"&amp;TEXT(ROW()-4,"000"))</f>
        <v/>
      </c>
      <c r="B118" s="60" t="n"/>
      <c r="C118" s="61" t="n"/>
      <c r="D118" s="60" t="n"/>
      <c r="E118" s="60" t="n"/>
      <c r="F118" s="60" t="n"/>
      <c r="G118" s="60" t="n"/>
      <c r="H118" s="60" t="n"/>
      <c r="I118" s="60" t="n"/>
      <c r="J118" s="60" t="n"/>
      <c r="K118" s="60" t="n"/>
      <c r="L118" s="60" t="n"/>
      <c r="M118" s="62" t="n"/>
      <c r="N118" s="60" t="n"/>
      <c r="O118" s="61" t="n"/>
      <c r="P118" s="61" t="n"/>
      <c r="Q118" s="63" t="n"/>
      <c r="R118" s="60" t="n"/>
      <c r="S118" s="60" t="n"/>
      <c r="T118" s="64">
        <f>IF(A118="","",IFERROR(INDEX('Bid-NoBid'!$T:$T,MATCH(A118,'Bid-NoBid'!$A:$A,0)),""))</f>
        <v/>
      </c>
      <c r="U118" s="59">
        <f>IF(A118="","",IFERROR(IF(OR(INDEX('Bid-NoBid'!$U:$U,MATCH(A118,'Bid-NoBid'!$A:$A,0))="",LEFT(INDEX('Bid-NoBid'!$U:$U,MATCH(A118,'Bid-NoBid'!$A:$A,0)),10)="Incomplete"),"Screen: "&amp;AC118,INDEX('Bid-NoBid'!$U:$U,MATCH(A118,'Bid-NoBid'!$A:$A,0))),"Screen: "&amp;AC118))</f>
        <v/>
      </c>
      <c r="V118" s="60" t="n"/>
      <c r="W118" s="60" t="n"/>
      <c r="X118" s="60" t="n"/>
      <c r="Y118" s="60" t="n"/>
      <c r="Z118" s="60" t="n"/>
      <c r="AA118" s="65" t="n"/>
      <c r="AB118" s="66" t="n"/>
      <c r="AC118" s="66" t="n"/>
      <c r="AD118" s="66" t="n"/>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66" t="n"/>
      <c r="AJ118" s="66" t="n"/>
      <c r="AK118" s="66" t="n"/>
      <c r="AL118" s="59">
        <f>IF(AND(OR(W118="Watching",W118="Preparing"),ISNUMBER(Q118)),IF(AND(Q118&gt;='Friday Summary'!$C$4,Q118&lt;='Friday Summary'!$C$4+14),Q118+ROW()/1000000,""),"")</f>
        <v/>
      </c>
    </row>
    <row r="119" ht="15" customHeight="1" s="51">
      <c r="A119" s="59">
        <f>IF(B119="","","OP-"&amp;TEXT(ROW()-4,"000"))</f>
        <v/>
      </c>
      <c r="B119" s="60" t="n"/>
      <c r="C119" s="61" t="n"/>
      <c r="D119" s="60" t="n"/>
      <c r="E119" s="60" t="n"/>
      <c r="F119" s="60" t="n"/>
      <c r="G119" s="60" t="n"/>
      <c r="H119" s="60" t="n"/>
      <c r="I119" s="60" t="n"/>
      <c r="J119" s="60" t="n"/>
      <c r="K119" s="60" t="n"/>
      <c r="L119" s="60" t="n"/>
      <c r="M119" s="62" t="n"/>
      <c r="N119" s="60" t="n"/>
      <c r="O119" s="61" t="n"/>
      <c r="P119" s="61" t="n"/>
      <c r="Q119" s="63" t="n"/>
      <c r="R119" s="60" t="n"/>
      <c r="S119" s="60" t="n"/>
      <c r="T119" s="64">
        <f>IF(A119="","",IFERROR(INDEX('Bid-NoBid'!$T:$T,MATCH(A119,'Bid-NoBid'!$A:$A,0)),""))</f>
        <v/>
      </c>
      <c r="U119" s="59">
        <f>IF(A119="","",IFERROR(IF(OR(INDEX('Bid-NoBid'!$U:$U,MATCH(A119,'Bid-NoBid'!$A:$A,0))="",LEFT(INDEX('Bid-NoBid'!$U:$U,MATCH(A119,'Bid-NoBid'!$A:$A,0)),10)="Incomplete"),"Screen: "&amp;AC119,INDEX('Bid-NoBid'!$U:$U,MATCH(A119,'Bid-NoBid'!$A:$A,0))),"Screen: "&amp;AC119))</f>
        <v/>
      </c>
      <c r="V119" s="60" t="n"/>
      <c r="W119" s="60" t="n"/>
      <c r="X119" s="60" t="n"/>
      <c r="Y119" s="60" t="n"/>
      <c r="Z119" s="60" t="n"/>
      <c r="AA119" s="65" t="n"/>
      <c r="AB119" s="66" t="n"/>
      <c r="AC119" s="66" t="n"/>
      <c r="AD119" s="66" t="n"/>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66" t="n"/>
      <c r="AJ119" s="66" t="n"/>
      <c r="AK119" s="66" t="n"/>
      <c r="AL119" s="59">
        <f>IF(AND(OR(W119="Watching",W119="Preparing"),ISNUMBER(Q119)),IF(AND(Q119&gt;='Friday Summary'!$C$4,Q119&lt;='Friday Summary'!$C$4+14),Q119+ROW()/1000000,""),"")</f>
        <v/>
      </c>
    </row>
    <row r="120" ht="15" customHeight="1" s="51">
      <c r="A120" s="59">
        <f>IF(B120="","","OP-"&amp;TEXT(ROW()-4,"000"))</f>
        <v/>
      </c>
      <c r="B120" s="60" t="n"/>
      <c r="C120" s="61" t="n"/>
      <c r="D120" s="60" t="n"/>
      <c r="E120" s="60" t="n"/>
      <c r="F120" s="60" t="n"/>
      <c r="G120" s="60" t="n"/>
      <c r="H120" s="60" t="n"/>
      <c r="I120" s="60" t="n"/>
      <c r="J120" s="60" t="n"/>
      <c r="K120" s="60" t="n"/>
      <c r="L120" s="60" t="n"/>
      <c r="M120" s="62" t="n"/>
      <c r="N120" s="60" t="n"/>
      <c r="O120" s="61" t="n"/>
      <c r="P120" s="61" t="n"/>
      <c r="Q120" s="63" t="n"/>
      <c r="R120" s="60" t="n"/>
      <c r="S120" s="60" t="n"/>
      <c r="T120" s="64">
        <f>IF(A120="","",IFERROR(INDEX('Bid-NoBid'!$T:$T,MATCH(A120,'Bid-NoBid'!$A:$A,0)),""))</f>
        <v/>
      </c>
      <c r="U120" s="59">
        <f>IF(A120="","",IFERROR(IF(OR(INDEX('Bid-NoBid'!$U:$U,MATCH(A120,'Bid-NoBid'!$A:$A,0))="",LEFT(INDEX('Bid-NoBid'!$U:$U,MATCH(A120,'Bid-NoBid'!$A:$A,0)),10)="Incomplete"),"Screen: "&amp;AC120,INDEX('Bid-NoBid'!$U:$U,MATCH(A120,'Bid-NoBid'!$A:$A,0))),"Screen: "&amp;AC120))</f>
        <v/>
      </c>
      <c r="V120" s="60" t="n"/>
      <c r="W120" s="60" t="n"/>
      <c r="X120" s="60" t="n"/>
      <c r="Y120" s="60" t="n"/>
      <c r="Z120" s="60" t="n"/>
      <c r="AA120" s="65" t="n"/>
      <c r="AB120" s="66" t="n"/>
      <c r="AC120" s="66" t="n"/>
      <c r="AD120" s="66" t="n"/>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66" t="n"/>
      <c r="AJ120" s="66" t="n"/>
      <c r="AK120" s="66" t="n"/>
      <c r="AL120" s="59">
        <f>IF(AND(OR(W120="Watching",W120="Preparing"),ISNUMBER(Q120)),IF(AND(Q120&gt;='Friday Summary'!$C$4,Q120&lt;='Friday Summary'!$C$4+14),Q120+ROW()/1000000,""),"")</f>
        <v/>
      </c>
    </row>
    <row r="121" ht="15" customHeight="1" s="51">
      <c r="A121" s="59">
        <f>IF(B121="","","OP-"&amp;TEXT(ROW()-4,"000"))</f>
        <v/>
      </c>
      <c r="B121" s="60" t="n"/>
      <c r="C121" s="61" t="n"/>
      <c r="D121" s="60" t="n"/>
      <c r="E121" s="60" t="n"/>
      <c r="F121" s="60" t="n"/>
      <c r="G121" s="60" t="n"/>
      <c r="H121" s="60" t="n"/>
      <c r="I121" s="60" t="n"/>
      <c r="J121" s="60" t="n"/>
      <c r="K121" s="60" t="n"/>
      <c r="L121" s="60" t="n"/>
      <c r="M121" s="62" t="n"/>
      <c r="N121" s="60" t="n"/>
      <c r="O121" s="61" t="n"/>
      <c r="P121" s="61" t="n"/>
      <c r="Q121" s="63" t="n"/>
      <c r="R121" s="60" t="n"/>
      <c r="S121" s="60" t="n"/>
      <c r="T121" s="64">
        <f>IF(A121="","",IFERROR(INDEX('Bid-NoBid'!$T:$T,MATCH(A121,'Bid-NoBid'!$A:$A,0)),""))</f>
        <v/>
      </c>
      <c r="U121" s="59">
        <f>IF(A121="","",IFERROR(IF(OR(INDEX('Bid-NoBid'!$U:$U,MATCH(A121,'Bid-NoBid'!$A:$A,0))="",LEFT(INDEX('Bid-NoBid'!$U:$U,MATCH(A121,'Bid-NoBid'!$A:$A,0)),10)="Incomplete"),"Screen: "&amp;AC121,INDEX('Bid-NoBid'!$U:$U,MATCH(A121,'Bid-NoBid'!$A:$A,0))),"Screen: "&amp;AC121))</f>
        <v/>
      </c>
      <c r="V121" s="60" t="n"/>
      <c r="W121" s="60" t="n"/>
      <c r="X121" s="60" t="n"/>
      <c r="Y121" s="60" t="n"/>
      <c r="Z121" s="60" t="n"/>
      <c r="AA121" s="65" t="n"/>
      <c r="AB121" s="66" t="n"/>
      <c r="AC121" s="66" t="n"/>
      <c r="AD121" s="66" t="n"/>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66" t="n"/>
      <c r="AJ121" s="66" t="n"/>
      <c r="AK121" s="66" t="n"/>
      <c r="AL121" s="59">
        <f>IF(AND(OR(W121="Watching",W121="Preparing"),ISNUMBER(Q121)),IF(AND(Q121&gt;='Friday Summary'!$C$4,Q121&lt;='Friday Summary'!$C$4+14),Q121+ROW()/1000000,""),"")</f>
        <v/>
      </c>
    </row>
    <row r="122" ht="15" customHeight="1" s="51">
      <c r="A122" s="59">
        <f>IF(B122="","","OP-"&amp;TEXT(ROW()-4,"000"))</f>
        <v/>
      </c>
      <c r="B122" s="60" t="n"/>
      <c r="C122" s="61" t="n"/>
      <c r="D122" s="60" t="n"/>
      <c r="E122" s="60" t="n"/>
      <c r="F122" s="60" t="n"/>
      <c r="G122" s="60" t="n"/>
      <c r="H122" s="60" t="n"/>
      <c r="I122" s="60" t="n"/>
      <c r="J122" s="60" t="n"/>
      <c r="K122" s="60" t="n"/>
      <c r="L122" s="60" t="n"/>
      <c r="M122" s="62" t="n"/>
      <c r="N122" s="60" t="n"/>
      <c r="O122" s="61" t="n"/>
      <c r="P122" s="61" t="n"/>
      <c r="Q122" s="63" t="n"/>
      <c r="R122" s="60" t="n"/>
      <c r="S122" s="60" t="n"/>
      <c r="T122" s="64">
        <f>IF(A122="","",IFERROR(INDEX('Bid-NoBid'!$T:$T,MATCH(A122,'Bid-NoBid'!$A:$A,0)),""))</f>
        <v/>
      </c>
      <c r="U122" s="59">
        <f>IF(A122="","",IFERROR(IF(OR(INDEX('Bid-NoBid'!$U:$U,MATCH(A122,'Bid-NoBid'!$A:$A,0))="",LEFT(INDEX('Bid-NoBid'!$U:$U,MATCH(A122,'Bid-NoBid'!$A:$A,0)),10)="Incomplete"),"Screen: "&amp;AC122,INDEX('Bid-NoBid'!$U:$U,MATCH(A122,'Bid-NoBid'!$A:$A,0))),"Screen: "&amp;AC122))</f>
        <v/>
      </c>
      <c r="V122" s="60" t="n"/>
      <c r="W122" s="60" t="n"/>
      <c r="X122" s="60" t="n"/>
      <c r="Y122" s="60" t="n"/>
      <c r="Z122" s="60" t="n"/>
      <c r="AA122" s="65" t="n"/>
      <c r="AB122" s="66" t="n"/>
      <c r="AC122" s="66" t="n"/>
      <c r="AD122" s="66" t="n"/>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66" t="n"/>
      <c r="AJ122" s="66" t="n"/>
      <c r="AK122" s="66" t="n"/>
      <c r="AL122" s="59">
        <f>IF(AND(OR(W122="Watching",W122="Preparing"),ISNUMBER(Q122)),IF(AND(Q122&gt;='Friday Summary'!$C$4,Q122&lt;='Friday Summary'!$C$4+14),Q122+ROW()/1000000,""),"")</f>
        <v/>
      </c>
    </row>
    <row r="123" ht="15" customHeight="1" s="51">
      <c r="A123" s="59">
        <f>IF(B123="","","OP-"&amp;TEXT(ROW()-4,"000"))</f>
        <v/>
      </c>
      <c r="B123" s="60" t="n"/>
      <c r="C123" s="61" t="n"/>
      <c r="D123" s="60" t="n"/>
      <c r="E123" s="60" t="n"/>
      <c r="F123" s="60" t="n"/>
      <c r="G123" s="60" t="n"/>
      <c r="H123" s="60" t="n"/>
      <c r="I123" s="60" t="n"/>
      <c r="J123" s="60" t="n"/>
      <c r="K123" s="60" t="n"/>
      <c r="L123" s="60" t="n"/>
      <c r="M123" s="62" t="n"/>
      <c r="N123" s="60" t="n"/>
      <c r="O123" s="61" t="n"/>
      <c r="P123" s="61" t="n"/>
      <c r="Q123" s="63" t="n"/>
      <c r="R123" s="60" t="n"/>
      <c r="S123" s="60" t="n"/>
      <c r="T123" s="64">
        <f>IF(A123="","",IFERROR(INDEX('Bid-NoBid'!$T:$T,MATCH(A123,'Bid-NoBid'!$A:$A,0)),""))</f>
        <v/>
      </c>
      <c r="U123" s="59">
        <f>IF(A123="","",IFERROR(IF(OR(INDEX('Bid-NoBid'!$U:$U,MATCH(A123,'Bid-NoBid'!$A:$A,0))="",LEFT(INDEX('Bid-NoBid'!$U:$U,MATCH(A123,'Bid-NoBid'!$A:$A,0)),10)="Incomplete"),"Screen: "&amp;AC123,INDEX('Bid-NoBid'!$U:$U,MATCH(A123,'Bid-NoBid'!$A:$A,0))),"Screen: "&amp;AC123))</f>
        <v/>
      </c>
      <c r="V123" s="60" t="n"/>
      <c r="W123" s="60" t="n"/>
      <c r="X123" s="60" t="n"/>
      <c r="Y123" s="60" t="n"/>
      <c r="Z123" s="60" t="n"/>
      <c r="AA123" s="65" t="n"/>
      <c r="AB123" s="66" t="n"/>
      <c r="AC123" s="66" t="n"/>
      <c r="AD123" s="66" t="n"/>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66" t="n"/>
      <c r="AJ123" s="66" t="n"/>
      <c r="AK123" s="66" t="n"/>
      <c r="AL123" s="59">
        <f>IF(AND(OR(W123="Watching",W123="Preparing"),ISNUMBER(Q123)),IF(AND(Q123&gt;='Friday Summary'!$C$4,Q123&lt;='Friday Summary'!$C$4+14),Q123+ROW()/1000000,""),"")</f>
        <v/>
      </c>
    </row>
    <row r="124" ht="15" customHeight="1" s="51">
      <c r="A124" s="59">
        <f>IF(B124="","","OP-"&amp;TEXT(ROW()-4,"000"))</f>
        <v/>
      </c>
      <c r="B124" s="60" t="n"/>
      <c r="C124" s="61" t="n"/>
      <c r="D124" s="60" t="n"/>
      <c r="E124" s="60" t="n"/>
      <c r="F124" s="60" t="n"/>
      <c r="G124" s="60" t="n"/>
      <c r="H124" s="60" t="n"/>
      <c r="I124" s="60" t="n"/>
      <c r="J124" s="60" t="n"/>
      <c r="K124" s="60" t="n"/>
      <c r="L124" s="60" t="n"/>
      <c r="M124" s="62" t="n"/>
      <c r="N124" s="60" t="n"/>
      <c r="O124" s="61" t="n"/>
      <c r="P124" s="61" t="n"/>
      <c r="Q124" s="63" t="n"/>
      <c r="R124" s="60" t="n"/>
      <c r="S124" s="60" t="n"/>
      <c r="T124" s="64">
        <f>IF(A124="","",IFERROR(INDEX('Bid-NoBid'!$T:$T,MATCH(A124,'Bid-NoBid'!$A:$A,0)),""))</f>
        <v/>
      </c>
      <c r="U124" s="59">
        <f>IF(A124="","",IFERROR(IF(OR(INDEX('Bid-NoBid'!$U:$U,MATCH(A124,'Bid-NoBid'!$A:$A,0))="",LEFT(INDEX('Bid-NoBid'!$U:$U,MATCH(A124,'Bid-NoBid'!$A:$A,0)),10)="Incomplete"),"Screen: "&amp;AC124,INDEX('Bid-NoBid'!$U:$U,MATCH(A124,'Bid-NoBid'!$A:$A,0))),"Screen: "&amp;AC124))</f>
        <v/>
      </c>
      <c r="V124" s="60" t="n"/>
      <c r="W124" s="60" t="n"/>
      <c r="X124" s="60" t="n"/>
      <c r="Y124" s="60" t="n"/>
      <c r="Z124" s="60" t="n"/>
      <c r="AA124" s="65" t="n"/>
      <c r="AB124" s="66" t="n"/>
      <c r="AC124" s="66" t="n"/>
      <c r="AD124" s="66" t="n"/>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66" t="n"/>
      <c r="AJ124" s="66" t="n"/>
      <c r="AK124" s="66" t="n"/>
      <c r="AL124" s="59">
        <f>IF(AND(OR(W124="Watching",W124="Preparing"),ISNUMBER(Q124)),IF(AND(Q124&gt;='Friday Summary'!$C$4,Q124&lt;='Friday Summary'!$C$4+14),Q124+ROW()/1000000,""),"")</f>
        <v/>
      </c>
    </row>
    <row r="125" ht="15" customHeight="1" s="51">
      <c r="A125" s="59">
        <f>IF(B125="","","OP-"&amp;TEXT(ROW()-4,"000"))</f>
        <v/>
      </c>
      <c r="B125" s="60" t="n"/>
      <c r="C125" s="61" t="n"/>
      <c r="D125" s="60" t="n"/>
      <c r="E125" s="60" t="n"/>
      <c r="F125" s="60" t="n"/>
      <c r="G125" s="60" t="n"/>
      <c r="H125" s="60" t="n"/>
      <c r="I125" s="60" t="n"/>
      <c r="J125" s="60" t="n"/>
      <c r="K125" s="60" t="n"/>
      <c r="L125" s="60" t="n"/>
      <c r="M125" s="62" t="n"/>
      <c r="N125" s="60" t="n"/>
      <c r="O125" s="61" t="n"/>
      <c r="P125" s="61" t="n"/>
      <c r="Q125" s="63" t="n"/>
      <c r="R125" s="60" t="n"/>
      <c r="S125" s="60" t="n"/>
      <c r="T125" s="64">
        <f>IF(A125="","",IFERROR(INDEX('Bid-NoBid'!$T:$T,MATCH(A125,'Bid-NoBid'!$A:$A,0)),""))</f>
        <v/>
      </c>
      <c r="U125" s="59">
        <f>IF(A125="","",IFERROR(IF(OR(INDEX('Bid-NoBid'!$U:$U,MATCH(A125,'Bid-NoBid'!$A:$A,0))="",LEFT(INDEX('Bid-NoBid'!$U:$U,MATCH(A125,'Bid-NoBid'!$A:$A,0)),10)="Incomplete"),"Screen: "&amp;AC125,INDEX('Bid-NoBid'!$U:$U,MATCH(A125,'Bid-NoBid'!$A:$A,0))),"Screen: "&amp;AC125))</f>
        <v/>
      </c>
      <c r="V125" s="60" t="n"/>
      <c r="W125" s="60" t="n"/>
      <c r="X125" s="60" t="n"/>
      <c r="Y125" s="60" t="n"/>
      <c r="Z125" s="60" t="n"/>
      <c r="AA125" s="65" t="n"/>
      <c r="AB125" s="66" t="n"/>
      <c r="AC125" s="66" t="n"/>
      <c r="AD125" s="66" t="n"/>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66" t="n"/>
      <c r="AJ125" s="66" t="n"/>
      <c r="AK125" s="66" t="n"/>
      <c r="AL125" s="59">
        <f>IF(AND(OR(W125="Watching",W125="Preparing"),ISNUMBER(Q125)),IF(AND(Q125&gt;='Friday Summary'!$C$4,Q125&lt;='Friday Summary'!$C$4+14),Q125+ROW()/1000000,""),"")</f>
        <v/>
      </c>
    </row>
    <row r="126" ht="15" customHeight="1" s="51">
      <c r="A126" s="59">
        <f>IF(B126="","","OP-"&amp;TEXT(ROW()-4,"000"))</f>
        <v/>
      </c>
      <c r="B126" s="60" t="n"/>
      <c r="C126" s="61" t="n"/>
      <c r="D126" s="60" t="n"/>
      <c r="E126" s="60" t="n"/>
      <c r="F126" s="60" t="n"/>
      <c r="G126" s="60" t="n"/>
      <c r="H126" s="60" t="n"/>
      <c r="I126" s="60" t="n"/>
      <c r="J126" s="60" t="n"/>
      <c r="K126" s="60" t="n"/>
      <c r="L126" s="60" t="n"/>
      <c r="M126" s="62" t="n"/>
      <c r="N126" s="60" t="n"/>
      <c r="O126" s="61" t="n"/>
      <c r="P126" s="61" t="n"/>
      <c r="Q126" s="63" t="n"/>
      <c r="R126" s="60" t="n"/>
      <c r="S126" s="60" t="n"/>
      <c r="T126" s="64">
        <f>IF(A126="","",IFERROR(INDEX('Bid-NoBid'!$T:$T,MATCH(A126,'Bid-NoBid'!$A:$A,0)),""))</f>
        <v/>
      </c>
      <c r="U126" s="59">
        <f>IF(A126="","",IFERROR(IF(OR(INDEX('Bid-NoBid'!$U:$U,MATCH(A126,'Bid-NoBid'!$A:$A,0))="",LEFT(INDEX('Bid-NoBid'!$U:$U,MATCH(A126,'Bid-NoBid'!$A:$A,0)),10)="Incomplete"),"Screen: "&amp;AC126,INDEX('Bid-NoBid'!$U:$U,MATCH(A126,'Bid-NoBid'!$A:$A,0))),"Screen: "&amp;AC126))</f>
        <v/>
      </c>
      <c r="V126" s="60" t="n"/>
      <c r="W126" s="60" t="n"/>
      <c r="X126" s="60" t="n"/>
      <c r="Y126" s="60" t="n"/>
      <c r="Z126" s="60" t="n"/>
      <c r="AA126" s="65" t="n"/>
      <c r="AB126" s="66" t="n"/>
      <c r="AC126" s="66" t="n"/>
      <c r="AD126" s="66" t="n"/>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66" t="n"/>
      <c r="AJ126" s="66" t="n"/>
      <c r="AK126" s="66" t="n"/>
      <c r="AL126" s="59">
        <f>IF(AND(OR(W126="Watching",W126="Preparing"),ISNUMBER(Q126)),IF(AND(Q126&gt;='Friday Summary'!$C$4,Q126&lt;='Friday Summary'!$C$4+14),Q126+ROW()/1000000,""),"")</f>
        <v/>
      </c>
    </row>
    <row r="127" ht="15" customHeight="1" s="51">
      <c r="A127" s="59">
        <f>IF(B127="","","OP-"&amp;TEXT(ROW()-4,"000"))</f>
        <v/>
      </c>
      <c r="B127" s="60" t="n"/>
      <c r="C127" s="61" t="n"/>
      <c r="D127" s="60" t="n"/>
      <c r="E127" s="60" t="n"/>
      <c r="F127" s="60" t="n"/>
      <c r="G127" s="60" t="n"/>
      <c r="H127" s="60" t="n"/>
      <c r="I127" s="60" t="n"/>
      <c r="J127" s="60" t="n"/>
      <c r="K127" s="60" t="n"/>
      <c r="L127" s="60" t="n"/>
      <c r="M127" s="62" t="n"/>
      <c r="N127" s="60" t="n"/>
      <c r="O127" s="61" t="n"/>
      <c r="P127" s="61" t="n"/>
      <c r="Q127" s="63" t="n"/>
      <c r="R127" s="60" t="n"/>
      <c r="S127" s="60" t="n"/>
      <c r="T127" s="64">
        <f>IF(A127="","",IFERROR(INDEX('Bid-NoBid'!$T:$T,MATCH(A127,'Bid-NoBid'!$A:$A,0)),""))</f>
        <v/>
      </c>
      <c r="U127" s="59">
        <f>IF(A127="","",IFERROR(IF(OR(INDEX('Bid-NoBid'!$U:$U,MATCH(A127,'Bid-NoBid'!$A:$A,0))="",LEFT(INDEX('Bid-NoBid'!$U:$U,MATCH(A127,'Bid-NoBid'!$A:$A,0)),10)="Incomplete"),"Screen: "&amp;AC127,INDEX('Bid-NoBid'!$U:$U,MATCH(A127,'Bid-NoBid'!$A:$A,0))),"Screen: "&amp;AC127))</f>
        <v/>
      </c>
      <c r="V127" s="60" t="n"/>
      <c r="W127" s="60" t="n"/>
      <c r="X127" s="60" t="n"/>
      <c r="Y127" s="60" t="n"/>
      <c r="Z127" s="60" t="n"/>
      <c r="AA127" s="65" t="n"/>
      <c r="AB127" s="66" t="n"/>
      <c r="AC127" s="66" t="n"/>
      <c r="AD127" s="66" t="n"/>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66" t="n"/>
      <c r="AJ127" s="66" t="n"/>
      <c r="AK127" s="66" t="n"/>
      <c r="AL127" s="59">
        <f>IF(AND(OR(W127="Watching",W127="Preparing"),ISNUMBER(Q127)),IF(AND(Q127&gt;='Friday Summary'!$C$4,Q127&lt;='Friday Summary'!$C$4+14),Q127+ROW()/1000000,""),"")</f>
        <v/>
      </c>
    </row>
    <row r="128" ht="15" customHeight="1" s="51">
      <c r="A128" s="59">
        <f>IF(B128="","","OP-"&amp;TEXT(ROW()-4,"000"))</f>
        <v/>
      </c>
      <c r="B128" s="60" t="n"/>
      <c r="C128" s="61" t="n"/>
      <c r="D128" s="60" t="n"/>
      <c r="E128" s="60" t="n"/>
      <c r="F128" s="60" t="n"/>
      <c r="G128" s="60" t="n"/>
      <c r="H128" s="60" t="n"/>
      <c r="I128" s="60" t="n"/>
      <c r="J128" s="60" t="n"/>
      <c r="K128" s="60" t="n"/>
      <c r="L128" s="60" t="n"/>
      <c r="M128" s="62" t="n"/>
      <c r="N128" s="60" t="n"/>
      <c r="O128" s="61" t="n"/>
      <c r="P128" s="61" t="n"/>
      <c r="Q128" s="63" t="n"/>
      <c r="R128" s="60" t="n"/>
      <c r="S128" s="60" t="n"/>
      <c r="T128" s="64">
        <f>IF(A128="","",IFERROR(INDEX('Bid-NoBid'!$T:$T,MATCH(A128,'Bid-NoBid'!$A:$A,0)),""))</f>
        <v/>
      </c>
      <c r="U128" s="59">
        <f>IF(A128="","",IFERROR(IF(OR(INDEX('Bid-NoBid'!$U:$U,MATCH(A128,'Bid-NoBid'!$A:$A,0))="",LEFT(INDEX('Bid-NoBid'!$U:$U,MATCH(A128,'Bid-NoBid'!$A:$A,0)),10)="Incomplete"),"Screen: "&amp;AC128,INDEX('Bid-NoBid'!$U:$U,MATCH(A128,'Bid-NoBid'!$A:$A,0))),"Screen: "&amp;AC128))</f>
        <v/>
      </c>
      <c r="V128" s="60" t="n"/>
      <c r="W128" s="60" t="n"/>
      <c r="X128" s="60" t="n"/>
      <c r="Y128" s="60" t="n"/>
      <c r="Z128" s="60" t="n"/>
      <c r="AA128" s="65" t="n"/>
      <c r="AB128" s="66" t="n"/>
      <c r="AC128" s="66" t="n"/>
      <c r="AD128" s="66" t="n"/>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66" t="n"/>
      <c r="AJ128" s="66" t="n"/>
      <c r="AK128" s="66" t="n"/>
      <c r="AL128" s="59">
        <f>IF(AND(OR(W128="Watching",W128="Preparing"),ISNUMBER(Q128)),IF(AND(Q128&gt;='Friday Summary'!$C$4,Q128&lt;='Friday Summary'!$C$4+14),Q128+ROW()/1000000,""),"")</f>
        <v/>
      </c>
    </row>
    <row r="129" ht="15" customHeight="1" s="51">
      <c r="A129" s="59">
        <f>IF(B129="","","OP-"&amp;TEXT(ROW()-4,"000"))</f>
        <v/>
      </c>
      <c r="B129" s="60" t="n"/>
      <c r="C129" s="61" t="n"/>
      <c r="D129" s="60" t="n"/>
      <c r="E129" s="60" t="n"/>
      <c r="F129" s="60" t="n"/>
      <c r="G129" s="60" t="n"/>
      <c r="H129" s="60" t="n"/>
      <c r="I129" s="60" t="n"/>
      <c r="J129" s="60" t="n"/>
      <c r="K129" s="60" t="n"/>
      <c r="L129" s="60" t="n"/>
      <c r="M129" s="62" t="n"/>
      <c r="N129" s="60" t="n"/>
      <c r="O129" s="61" t="n"/>
      <c r="P129" s="61" t="n"/>
      <c r="Q129" s="63" t="n"/>
      <c r="R129" s="60" t="n"/>
      <c r="S129" s="60" t="n"/>
      <c r="T129" s="64">
        <f>IF(A129="","",IFERROR(INDEX('Bid-NoBid'!$T:$T,MATCH(A129,'Bid-NoBid'!$A:$A,0)),""))</f>
        <v/>
      </c>
      <c r="U129" s="59">
        <f>IF(A129="","",IFERROR(IF(OR(INDEX('Bid-NoBid'!$U:$U,MATCH(A129,'Bid-NoBid'!$A:$A,0))="",LEFT(INDEX('Bid-NoBid'!$U:$U,MATCH(A129,'Bid-NoBid'!$A:$A,0)),10)="Incomplete"),"Screen: "&amp;AC129,INDEX('Bid-NoBid'!$U:$U,MATCH(A129,'Bid-NoBid'!$A:$A,0))),"Screen: "&amp;AC129))</f>
        <v/>
      </c>
      <c r="V129" s="60" t="n"/>
      <c r="W129" s="60" t="n"/>
      <c r="X129" s="60" t="n"/>
      <c r="Y129" s="60" t="n"/>
      <c r="Z129" s="60" t="n"/>
      <c r="AA129" s="65" t="n"/>
      <c r="AB129" s="66" t="n"/>
      <c r="AC129" s="66" t="n"/>
      <c r="AD129" s="66" t="n"/>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66" t="n"/>
      <c r="AJ129" s="66" t="n"/>
      <c r="AK129" s="66" t="n"/>
      <c r="AL129" s="59">
        <f>IF(AND(OR(W129="Watching",W129="Preparing"),ISNUMBER(Q129)),IF(AND(Q129&gt;='Friday Summary'!$C$4,Q129&lt;='Friday Summary'!$C$4+14),Q129+ROW()/1000000,""),"")</f>
        <v/>
      </c>
    </row>
    <row r="130" ht="15" customHeight="1" s="51">
      <c r="A130" s="59">
        <f>IF(B130="","","OP-"&amp;TEXT(ROW()-4,"000"))</f>
        <v/>
      </c>
      <c r="B130" s="60" t="n"/>
      <c r="C130" s="61" t="n"/>
      <c r="D130" s="60" t="n"/>
      <c r="E130" s="60" t="n"/>
      <c r="F130" s="60" t="n"/>
      <c r="G130" s="60" t="n"/>
      <c r="H130" s="60" t="n"/>
      <c r="I130" s="60" t="n"/>
      <c r="J130" s="60" t="n"/>
      <c r="K130" s="60" t="n"/>
      <c r="L130" s="60" t="n"/>
      <c r="M130" s="62" t="n"/>
      <c r="N130" s="60" t="n"/>
      <c r="O130" s="61" t="n"/>
      <c r="P130" s="61" t="n"/>
      <c r="Q130" s="63" t="n"/>
      <c r="R130" s="60" t="n"/>
      <c r="S130" s="60" t="n"/>
      <c r="T130" s="64">
        <f>IF(A130="","",IFERROR(INDEX('Bid-NoBid'!$T:$T,MATCH(A130,'Bid-NoBid'!$A:$A,0)),""))</f>
        <v/>
      </c>
      <c r="U130" s="59">
        <f>IF(A130="","",IFERROR(IF(OR(INDEX('Bid-NoBid'!$U:$U,MATCH(A130,'Bid-NoBid'!$A:$A,0))="",LEFT(INDEX('Bid-NoBid'!$U:$U,MATCH(A130,'Bid-NoBid'!$A:$A,0)),10)="Incomplete"),"Screen: "&amp;AC130,INDEX('Bid-NoBid'!$U:$U,MATCH(A130,'Bid-NoBid'!$A:$A,0))),"Screen: "&amp;AC130))</f>
        <v/>
      </c>
      <c r="V130" s="60" t="n"/>
      <c r="W130" s="60" t="n"/>
      <c r="X130" s="60" t="n"/>
      <c r="Y130" s="60" t="n"/>
      <c r="Z130" s="60" t="n"/>
      <c r="AA130" s="65" t="n"/>
      <c r="AB130" s="66" t="n"/>
      <c r="AC130" s="66" t="n"/>
      <c r="AD130" s="66" t="n"/>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66" t="n"/>
      <c r="AJ130" s="66" t="n"/>
      <c r="AK130" s="66" t="n"/>
      <c r="AL130" s="59">
        <f>IF(AND(OR(W130="Watching",W130="Preparing"),ISNUMBER(Q130)),IF(AND(Q130&gt;='Friday Summary'!$C$4,Q130&lt;='Friday Summary'!$C$4+14),Q130+ROW()/1000000,""),"")</f>
        <v/>
      </c>
    </row>
    <row r="131" ht="15" customHeight="1" s="51">
      <c r="A131" s="59">
        <f>IF(B131="","","OP-"&amp;TEXT(ROW()-4,"000"))</f>
        <v/>
      </c>
      <c r="B131" s="60" t="n"/>
      <c r="C131" s="61" t="n"/>
      <c r="D131" s="60" t="n"/>
      <c r="E131" s="60" t="n"/>
      <c r="F131" s="60" t="n"/>
      <c r="G131" s="60" t="n"/>
      <c r="H131" s="60" t="n"/>
      <c r="I131" s="60" t="n"/>
      <c r="J131" s="60" t="n"/>
      <c r="K131" s="60" t="n"/>
      <c r="L131" s="60" t="n"/>
      <c r="M131" s="62" t="n"/>
      <c r="N131" s="60" t="n"/>
      <c r="O131" s="61" t="n"/>
      <c r="P131" s="61" t="n"/>
      <c r="Q131" s="63" t="n"/>
      <c r="R131" s="60" t="n"/>
      <c r="S131" s="60" t="n"/>
      <c r="T131" s="64">
        <f>IF(A131="","",IFERROR(INDEX('Bid-NoBid'!$T:$T,MATCH(A131,'Bid-NoBid'!$A:$A,0)),""))</f>
        <v/>
      </c>
      <c r="U131" s="59">
        <f>IF(A131="","",IFERROR(IF(OR(INDEX('Bid-NoBid'!$U:$U,MATCH(A131,'Bid-NoBid'!$A:$A,0))="",LEFT(INDEX('Bid-NoBid'!$U:$U,MATCH(A131,'Bid-NoBid'!$A:$A,0)),10)="Incomplete"),"Screen: "&amp;AC131,INDEX('Bid-NoBid'!$U:$U,MATCH(A131,'Bid-NoBid'!$A:$A,0))),"Screen: "&amp;AC131))</f>
        <v/>
      </c>
      <c r="V131" s="60" t="n"/>
      <c r="W131" s="60" t="n"/>
      <c r="X131" s="60" t="n"/>
      <c r="Y131" s="60" t="n"/>
      <c r="Z131" s="60" t="n"/>
      <c r="AA131" s="65" t="n"/>
      <c r="AB131" s="66" t="n"/>
      <c r="AC131" s="66" t="n"/>
      <c r="AD131" s="66" t="n"/>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66" t="n"/>
      <c r="AJ131" s="66" t="n"/>
      <c r="AK131" s="66" t="n"/>
      <c r="AL131" s="59">
        <f>IF(AND(OR(W131="Watching",W131="Preparing"),ISNUMBER(Q131)),IF(AND(Q131&gt;='Friday Summary'!$C$4,Q131&lt;='Friday Summary'!$C$4+14),Q131+ROW()/1000000,""),"")</f>
        <v/>
      </c>
    </row>
    <row r="132" ht="15" customHeight="1" s="51">
      <c r="A132" s="59">
        <f>IF(B132="","","OP-"&amp;TEXT(ROW()-4,"000"))</f>
        <v/>
      </c>
      <c r="B132" s="60" t="n"/>
      <c r="C132" s="61" t="n"/>
      <c r="D132" s="60" t="n"/>
      <c r="E132" s="60" t="n"/>
      <c r="F132" s="60" t="n"/>
      <c r="G132" s="60" t="n"/>
      <c r="H132" s="60" t="n"/>
      <c r="I132" s="60" t="n"/>
      <c r="J132" s="60" t="n"/>
      <c r="K132" s="60" t="n"/>
      <c r="L132" s="60" t="n"/>
      <c r="M132" s="62" t="n"/>
      <c r="N132" s="60" t="n"/>
      <c r="O132" s="61" t="n"/>
      <c r="P132" s="61" t="n"/>
      <c r="Q132" s="63" t="n"/>
      <c r="R132" s="60" t="n"/>
      <c r="S132" s="60" t="n"/>
      <c r="T132" s="64">
        <f>IF(A132="","",IFERROR(INDEX('Bid-NoBid'!$T:$T,MATCH(A132,'Bid-NoBid'!$A:$A,0)),""))</f>
        <v/>
      </c>
      <c r="U132" s="59">
        <f>IF(A132="","",IFERROR(IF(OR(INDEX('Bid-NoBid'!$U:$U,MATCH(A132,'Bid-NoBid'!$A:$A,0))="",LEFT(INDEX('Bid-NoBid'!$U:$U,MATCH(A132,'Bid-NoBid'!$A:$A,0)),10)="Incomplete"),"Screen: "&amp;AC132,INDEX('Bid-NoBid'!$U:$U,MATCH(A132,'Bid-NoBid'!$A:$A,0))),"Screen: "&amp;AC132))</f>
        <v/>
      </c>
      <c r="V132" s="60" t="n"/>
      <c r="W132" s="60" t="n"/>
      <c r="X132" s="60" t="n"/>
      <c r="Y132" s="60" t="n"/>
      <c r="Z132" s="60" t="n"/>
      <c r="AA132" s="65" t="n"/>
      <c r="AB132" s="66" t="n"/>
      <c r="AC132" s="66" t="n"/>
      <c r="AD132" s="66" t="n"/>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66" t="n"/>
      <c r="AJ132" s="66" t="n"/>
      <c r="AK132" s="66" t="n"/>
      <c r="AL132" s="59">
        <f>IF(AND(OR(W132="Watching",W132="Preparing"),ISNUMBER(Q132)),IF(AND(Q132&gt;='Friday Summary'!$C$4,Q132&lt;='Friday Summary'!$C$4+14),Q132+ROW()/1000000,""),"")</f>
        <v/>
      </c>
    </row>
    <row r="133" ht="15" customHeight="1" s="51">
      <c r="A133" s="59">
        <f>IF(B133="","","OP-"&amp;TEXT(ROW()-4,"000"))</f>
        <v/>
      </c>
      <c r="B133" s="60" t="n"/>
      <c r="C133" s="61" t="n"/>
      <c r="D133" s="60" t="n"/>
      <c r="E133" s="60" t="n"/>
      <c r="F133" s="60" t="n"/>
      <c r="G133" s="60" t="n"/>
      <c r="H133" s="60" t="n"/>
      <c r="I133" s="60" t="n"/>
      <c r="J133" s="60" t="n"/>
      <c r="K133" s="60" t="n"/>
      <c r="L133" s="60" t="n"/>
      <c r="M133" s="62" t="n"/>
      <c r="N133" s="60" t="n"/>
      <c r="O133" s="61" t="n"/>
      <c r="P133" s="61" t="n"/>
      <c r="Q133" s="63" t="n"/>
      <c r="R133" s="60" t="n"/>
      <c r="S133" s="60" t="n"/>
      <c r="T133" s="64">
        <f>IF(A133="","",IFERROR(INDEX('Bid-NoBid'!$T:$T,MATCH(A133,'Bid-NoBid'!$A:$A,0)),""))</f>
        <v/>
      </c>
      <c r="U133" s="59">
        <f>IF(A133="","",IFERROR(IF(OR(INDEX('Bid-NoBid'!$U:$U,MATCH(A133,'Bid-NoBid'!$A:$A,0))="",LEFT(INDEX('Bid-NoBid'!$U:$U,MATCH(A133,'Bid-NoBid'!$A:$A,0)),10)="Incomplete"),"Screen: "&amp;AC133,INDEX('Bid-NoBid'!$U:$U,MATCH(A133,'Bid-NoBid'!$A:$A,0))),"Screen: "&amp;AC133))</f>
        <v/>
      </c>
      <c r="V133" s="60" t="n"/>
      <c r="W133" s="60" t="n"/>
      <c r="X133" s="60" t="n"/>
      <c r="Y133" s="60" t="n"/>
      <c r="Z133" s="60" t="n"/>
      <c r="AA133" s="65" t="n"/>
      <c r="AB133" s="66" t="n"/>
      <c r="AC133" s="66" t="n"/>
      <c r="AD133" s="66" t="n"/>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66" t="n"/>
      <c r="AJ133" s="66" t="n"/>
      <c r="AK133" s="66" t="n"/>
      <c r="AL133" s="59">
        <f>IF(AND(OR(W133="Watching",W133="Preparing"),ISNUMBER(Q133)),IF(AND(Q133&gt;='Friday Summary'!$C$4,Q133&lt;='Friday Summary'!$C$4+14),Q133+ROW()/1000000,""),"")</f>
        <v/>
      </c>
    </row>
    <row r="134" ht="15" customHeight="1" s="51">
      <c r="A134" s="59">
        <f>IF(B134="","","OP-"&amp;TEXT(ROW()-4,"000"))</f>
        <v/>
      </c>
      <c r="B134" s="60" t="n"/>
      <c r="C134" s="61" t="n"/>
      <c r="D134" s="60" t="n"/>
      <c r="E134" s="60" t="n"/>
      <c r="F134" s="60" t="n"/>
      <c r="G134" s="60" t="n"/>
      <c r="H134" s="60" t="n"/>
      <c r="I134" s="60" t="n"/>
      <c r="J134" s="60" t="n"/>
      <c r="K134" s="60" t="n"/>
      <c r="L134" s="60" t="n"/>
      <c r="M134" s="62" t="n"/>
      <c r="N134" s="60" t="n"/>
      <c r="O134" s="61" t="n"/>
      <c r="P134" s="61" t="n"/>
      <c r="Q134" s="63" t="n"/>
      <c r="R134" s="60" t="n"/>
      <c r="S134" s="60" t="n"/>
      <c r="T134" s="64">
        <f>IF(A134="","",IFERROR(INDEX('Bid-NoBid'!$T:$T,MATCH(A134,'Bid-NoBid'!$A:$A,0)),""))</f>
        <v/>
      </c>
      <c r="U134" s="59">
        <f>IF(A134="","",IFERROR(IF(OR(INDEX('Bid-NoBid'!$U:$U,MATCH(A134,'Bid-NoBid'!$A:$A,0))="",LEFT(INDEX('Bid-NoBid'!$U:$U,MATCH(A134,'Bid-NoBid'!$A:$A,0)),10)="Incomplete"),"Screen: "&amp;AC134,INDEX('Bid-NoBid'!$U:$U,MATCH(A134,'Bid-NoBid'!$A:$A,0))),"Screen: "&amp;AC134))</f>
        <v/>
      </c>
      <c r="V134" s="60" t="n"/>
      <c r="W134" s="60" t="n"/>
      <c r="X134" s="60" t="n"/>
      <c r="Y134" s="60" t="n"/>
      <c r="Z134" s="60" t="n"/>
      <c r="AA134" s="65" t="n"/>
      <c r="AB134" s="66" t="n"/>
      <c r="AC134" s="66" t="n"/>
      <c r="AD134" s="66" t="n"/>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66" t="n"/>
      <c r="AJ134" s="66" t="n"/>
      <c r="AK134" s="66" t="n"/>
      <c r="AL134" s="59">
        <f>IF(AND(OR(W134="Watching",W134="Preparing"),ISNUMBER(Q134)),IF(AND(Q134&gt;='Friday Summary'!$C$4,Q134&lt;='Friday Summary'!$C$4+14),Q134+ROW()/1000000,""),"")</f>
        <v/>
      </c>
    </row>
    <row r="135" ht="15" customHeight="1" s="51">
      <c r="A135" s="59">
        <f>IF(B135="","","OP-"&amp;TEXT(ROW()-4,"000"))</f>
        <v/>
      </c>
      <c r="B135" s="60" t="n"/>
      <c r="C135" s="61" t="n"/>
      <c r="D135" s="60" t="n"/>
      <c r="E135" s="60" t="n"/>
      <c r="F135" s="60" t="n"/>
      <c r="G135" s="60" t="n"/>
      <c r="H135" s="60" t="n"/>
      <c r="I135" s="60" t="n"/>
      <c r="J135" s="60" t="n"/>
      <c r="K135" s="60" t="n"/>
      <c r="L135" s="60" t="n"/>
      <c r="M135" s="62" t="n"/>
      <c r="N135" s="60" t="n"/>
      <c r="O135" s="61" t="n"/>
      <c r="P135" s="61" t="n"/>
      <c r="Q135" s="63" t="n"/>
      <c r="R135" s="60" t="n"/>
      <c r="S135" s="60" t="n"/>
      <c r="T135" s="64">
        <f>IF(A135="","",IFERROR(INDEX('Bid-NoBid'!$T:$T,MATCH(A135,'Bid-NoBid'!$A:$A,0)),""))</f>
        <v/>
      </c>
      <c r="U135" s="59">
        <f>IF(A135="","",IFERROR(IF(OR(INDEX('Bid-NoBid'!$U:$U,MATCH(A135,'Bid-NoBid'!$A:$A,0))="",LEFT(INDEX('Bid-NoBid'!$U:$U,MATCH(A135,'Bid-NoBid'!$A:$A,0)),10)="Incomplete"),"Screen: "&amp;AC135,INDEX('Bid-NoBid'!$U:$U,MATCH(A135,'Bid-NoBid'!$A:$A,0))),"Screen: "&amp;AC135))</f>
        <v/>
      </c>
      <c r="V135" s="60" t="n"/>
      <c r="W135" s="60" t="n"/>
      <c r="X135" s="60" t="n"/>
      <c r="Y135" s="60" t="n"/>
      <c r="Z135" s="60" t="n"/>
      <c r="AA135" s="65" t="n"/>
      <c r="AB135" s="66" t="n"/>
      <c r="AC135" s="66" t="n"/>
      <c r="AD135" s="66" t="n"/>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66" t="n"/>
      <c r="AJ135" s="66" t="n"/>
      <c r="AK135" s="66" t="n"/>
      <c r="AL135" s="59">
        <f>IF(AND(OR(W135="Watching",W135="Preparing"),ISNUMBER(Q135)),IF(AND(Q135&gt;='Friday Summary'!$C$4,Q135&lt;='Friday Summary'!$C$4+14),Q135+ROW()/1000000,""),"")</f>
        <v/>
      </c>
    </row>
    <row r="136" ht="15" customHeight="1" s="51">
      <c r="A136" s="59">
        <f>IF(B136="","","OP-"&amp;TEXT(ROW()-4,"000"))</f>
        <v/>
      </c>
      <c r="B136" s="60" t="n"/>
      <c r="C136" s="61" t="n"/>
      <c r="D136" s="60" t="n"/>
      <c r="E136" s="60" t="n"/>
      <c r="F136" s="60" t="n"/>
      <c r="G136" s="60" t="n"/>
      <c r="H136" s="60" t="n"/>
      <c r="I136" s="60" t="n"/>
      <c r="J136" s="60" t="n"/>
      <c r="K136" s="60" t="n"/>
      <c r="L136" s="60" t="n"/>
      <c r="M136" s="62" t="n"/>
      <c r="N136" s="60" t="n"/>
      <c r="O136" s="61" t="n"/>
      <c r="P136" s="61" t="n"/>
      <c r="Q136" s="63" t="n"/>
      <c r="R136" s="60" t="n"/>
      <c r="S136" s="60" t="n"/>
      <c r="T136" s="64">
        <f>IF(A136="","",IFERROR(INDEX('Bid-NoBid'!$T:$T,MATCH(A136,'Bid-NoBid'!$A:$A,0)),""))</f>
        <v/>
      </c>
      <c r="U136" s="59">
        <f>IF(A136="","",IFERROR(IF(OR(INDEX('Bid-NoBid'!$U:$U,MATCH(A136,'Bid-NoBid'!$A:$A,0))="",LEFT(INDEX('Bid-NoBid'!$U:$U,MATCH(A136,'Bid-NoBid'!$A:$A,0)),10)="Incomplete"),"Screen: "&amp;AC136,INDEX('Bid-NoBid'!$U:$U,MATCH(A136,'Bid-NoBid'!$A:$A,0))),"Screen: "&amp;AC136))</f>
        <v/>
      </c>
      <c r="V136" s="60" t="n"/>
      <c r="W136" s="60" t="n"/>
      <c r="X136" s="60" t="n"/>
      <c r="Y136" s="60" t="n"/>
      <c r="Z136" s="60" t="n"/>
      <c r="AA136" s="65" t="n"/>
      <c r="AB136" s="66" t="n"/>
      <c r="AC136" s="66" t="n"/>
      <c r="AD136" s="66" t="n"/>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66" t="n"/>
      <c r="AJ136" s="66" t="n"/>
      <c r="AK136" s="66" t="n"/>
      <c r="AL136" s="59">
        <f>IF(AND(OR(W136="Watching",W136="Preparing"),ISNUMBER(Q136)),IF(AND(Q136&gt;='Friday Summary'!$C$4,Q136&lt;='Friday Summary'!$C$4+14),Q136+ROW()/1000000,""),"")</f>
        <v/>
      </c>
    </row>
    <row r="137" ht="15" customHeight="1" s="51">
      <c r="A137" s="59">
        <f>IF(B137="","","OP-"&amp;TEXT(ROW()-4,"000"))</f>
        <v/>
      </c>
      <c r="B137" s="60" t="n"/>
      <c r="C137" s="61" t="n"/>
      <c r="D137" s="60" t="n"/>
      <c r="E137" s="60" t="n"/>
      <c r="F137" s="60" t="n"/>
      <c r="G137" s="60" t="n"/>
      <c r="H137" s="60" t="n"/>
      <c r="I137" s="60" t="n"/>
      <c r="J137" s="60" t="n"/>
      <c r="K137" s="60" t="n"/>
      <c r="L137" s="60" t="n"/>
      <c r="M137" s="62" t="n"/>
      <c r="N137" s="60" t="n"/>
      <c r="O137" s="61" t="n"/>
      <c r="P137" s="61" t="n"/>
      <c r="Q137" s="63" t="n"/>
      <c r="R137" s="60" t="n"/>
      <c r="S137" s="60" t="n"/>
      <c r="T137" s="64">
        <f>IF(A137="","",IFERROR(INDEX('Bid-NoBid'!$T:$T,MATCH(A137,'Bid-NoBid'!$A:$A,0)),""))</f>
        <v/>
      </c>
      <c r="U137" s="59">
        <f>IF(A137="","",IFERROR(IF(OR(INDEX('Bid-NoBid'!$U:$U,MATCH(A137,'Bid-NoBid'!$A:$A,0))="",LEFT(INDEX('Bid-NoBid'!$U:$U,MATCH(A137,'Bid-NoBid'!$A:$A,0)),10)="Incomplete"),"Screen: "&amp;AC137,INDEX('Bid-NoBid'!$U:$U,MATCH(A137,'Bid-NoBid'!$A:$A,0))),"Screen: "&amp;AC137))</f>
        <v/>
      </c>
      <c r="V137" s="60" t="n"/>
      <c r="W137" s="60" t="n"/>
      <c r="X137" s="60" t="n"/>
      <c r="Y137" s="60" t="n"/>
      <c r="Z137" s="60" t="n"/>
      <c r="AA137" s="65" t="n"/>
      <c r="AB137" s="66" t="n"/>
      <c r="AC137" s="66" t="n"/>
      <c r="AD137" s="66" t="n"/>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66" t="n"/>
      <c r="AJ137" s="66" t="n"/>
      <c r="AK137" s="66" t="n"/>
      <c r="AL137" s="59">
        <f>IF(AND(OR(W137="Watching",W137="Preparing"),ISNUMBER(Q137)),IF(AND(Q137&gt;='Friday Summary'!$C$4,Q137&lt;='Friday Summary'!$C$4+14),Q137+ROW()/1000000,""),"")</f>
        <v/>
      </c>
    </row>
    <row r="138" ht="15" customHeight="1" s="51">
      <c r="A138" s="59">
        <f>IF(B138="","","OP-"&amp;TEXT(ROW()-4,"000"))</f>
        <v/>
      </c>
      <c r="B138" s="60" t="n"/>
      <c r="C138" s="61" t="n"/>
      <c r="D138" s="60" t="n"/>
      <c r="E138" s="60" t="n"/>
      <c r="F138" s="60" t="n"/>
      <c r="G138" s="60" t="n"/>
      <c r="H138" s="60" t="n"/>
      <c r="I138" s="60" t="n"/>
      <c r="J138" s="60" t="n"/>
      <c r="K138" s="60" t="n"/>
      <c r="L138" s="60" t="n"/>
      <c r="M138" s="62" t="n"/>
      <c r="N138" s="60" t="n"/>
      <c r="O138" s="61" t="n"/>
      <c r="P138" s="61" t="n"/>
      <c r="Q138" s="63" t="n"/>
      <c r="R138" s="60" t="n"/>
      <c r="S138" s="60" t="n"/>
      <c r="T138" s="64">
        <f>IF(A138="","",IFERROR(INDEX('Bid-NoBid'!$T:$T,MATCH(A138,'Bid-NoBid'!$A:$A,0)),""))</f>
        <v/>
      </c>
      <c r="U138" s="59">
        <f>IF(A138="","",IFERROR(IF(OR(INDEX('Bid-NoBid'!$U:$U,MATCH(A138,'Bid-NoBid'!$A:$A,0))="",LEFT(INDEX('Bid-NoBid'!$U:$U,MATCH(A138,'Bid-NoBid'!$A:$A,0)),10)="Incomplete"),"Screen: "&amp;AC138,INDEX('Bid-NoBid'!$U:$U,MATCH(A138,'Bid-NoBid'!$A:$A,0))),"Screen: "&amp;AC138))</f>
        <v/>
      </c>
      <c r="V138" s="60" t="n"/>
      <c r="W138" s="60" t="n"/>
      <c r="X138" s="60" t="n"/>
      <c r="Y138" s="60" t="n"/>
      <c r="Z138" s="60" t="n"/>
      <c r="AA138" s="65" t="n"/>
      <c r="AB138" s="66" t="n"/>
      <c r="AC138" s="66" t="n"/>
      <c r="AD138" s="66" t="n"/>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66" t="n"/>
      <c r="AJ138" s="66" t="n"/>
      <c r="AK138" s="66" t="n"/>
      <c r="AL138" s="59">
        <f>IF(AND(OR(W138="Watching",W138="Preparing"),ISNUMBER(Q138)),IF(AND(Q138&gt;='Friday Summary'!$C$4,Q138&lt;='Friday Summary'!$C$4+14),Q138+ROW()/1000000,""),"")</f>
        <v/>
      </c>
    </row>
    <row r="139" ht="15" customHeight="1" s="51">
      <c r="A139" s="59">
        <f>IF(B139="","","OP-"&amp;TEXT(ROW()-4,"000"))</f>
        <v/>
      </c>
      <c r="B139" s="60" t="n"/>
      <c r="C139" s="61" t="n"/>
      <c r="D139" s="60" t="n"/>
      <c r="E139" s="60" t="n"/>
      <c r="F139" s="60" t="n"/>
      <c r="G139" s="60" t="n"/>
      <c r="H139" s="60" t="n"/>
      <c r="I139" s="60" t="n"/>
      <c r="J139" s="60" t="n"/>
      <c r="K139" s="60" t="n"/>
      <c r="L139" s="60" t="n"/>
      <c r="M139" s="62" t="n"/>
      <c r="N139" s="60" t="n"/>
      <c r="O139" s="61" t="n"/>
      <c r="P139" s="61" t="n"/>
      <c r="Q139" s="63" t="n"/>
      <c r="R139" s="60" t="n"/>
      <c r="S139" s="60" t="n"/>
      <c r="T139" s="64">
        <f>IF(A139="","",IFERROR(INDEX('Bid-NoBid'!$T:$T,MATCH(A139,'Bid-NoBid'!$A:$A,0)),""))</f>
        <v/>
      </c>
      <c r="U139" s="59">
        <f>IF(A139="","",IFERROR(IF(OR(INDEX('Bid-NoBid'!$U:$U,MATCH(A139,'Bid-NoBid'!$A:$A,0))="",LEFT(INDEX('Bid-NoBid'!$U:$U,MATCH(A139,'Bid-NoBid'!$A:$A,0)),10)="Incomplete"),"Screen: "&amp;AC139,INDEX('Bid-NoBid'!$U:$U,MATCH(A139,'Bid-NoBid'!$A:$A,0))),"Screen: "&amp;AC139))</f>
        <v/>
      </c>
      <c r="V139" s="60" t="n"/>
      <c r="W139" s="60" t="n"/>
      <c r="X139" s="60" t="n"/>
      <c r="Y139" s="60" t="n"/>
      <c r="Z139" s="60" t="n"/>
      <c r="AA139" s="65" t="n"/>
      <c r="AB139" s="66" t="n"/>
      <c r="AC139" s="66" t="n"/>
      <c r="AD139" s="66" t="n"/>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66" t="n"/>
      <c r="AJ139" s="66" t="n"/>
      <c r="AK139" s="66" t="n"/>
      <c r="AL139" s="59">
        <f>IF(AND(OR(W139="Watching",W139="Preparing"),ISNUMBER(Q139)),IF(AND(Q139&gt;='Friday Summary'!$C$4,Q139&lt;='Friday Summary'!$C$4+14),Q139+ROW()/1000000,""),"")</f>
        <v/>
      </c>
    </row>
    <row r="140" ht="15" customHeight="1" s="51">
      <c r="A140" s="59">
        <f>IF(B140="","","OP-"&amp;TEXT(ROW()-4,"000"))</f>
        <v/>
      </c>
      <c r="B140" s="60" t="n"/>
      <c r="C140" s="61" t="n"/>
      <c r="D140" s="60" t="n"/>
      <c r="E140" s="60" t="n"/>
      <c r="F140" s="60" t="n"/>
      <c r="G140" s="60" t="n"/>
      <c r="H140" s="60" t="n"/>
      <c r="I140" s="60" t="n"/>
      <c r="J140" s="60" t="n"/>
      <c r="K140" s="60" t="n"/>
      <c r="L140" s="60" t="n"/>
      <c r="M140" s="62" t="n"/>
      <c r="N140" s="60" t="n"/>
      <c r="O140" s="61" t="n"/>
      <c r="P140" s="61" t="n"/>
      <c r="Q140" s="63" t="n"/>
      <c r="R140" s="60" t="n"/>
      <c r="S140" s="60" t="n"/>
      <c r="T140" s="64">
        <f>IF(A140="","",IFERROR(INDEX('Bid-NoBid'!$T:$T,MATCH(A140,'Bid-NoBid'!$A:$A,0)),""))</f>
        <v/>
      </c>
      <c r="U140" s="59">
        <f>IF(A140="","",IFERROR(IF(OR(INDEX('Bid-NoBid'!$U:$U,MATCH(A140,'Bid-NoBid'!$A:$A,0))="",LEFT(INDEX('Bid-NoBid'!$U:$U,MATCH(A140,'Bid-NoBid'!$A:$A,0)),10)="Incomplete"),"Screen: "&amp;AC140,INDEX('Bid-NoBid'!$U:$U,MATCH(A140,'Bid-NoBid'!$A:$A,0))),"Screen: "&amp;AC140))</f>
        <v/>
      </c>
      <c r="V140" s="60" t="n"/>
      <c r="W140" s="60" t="n"/>
      <c r="X140" s="60" t="n"/>
      <c r="Y140" s="60" t="n"/>
      <c r="Z140" s="60" t="n"/>
      <c r="AA140" s="65" t="n"/>
      <c r="AB140" s="66" t="n"/>
      <c r="AC140" s="66" t="n"/>
      <c r="AD140" s="66" t="n"/>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66" t="n"/>
      <c r="AJ140" s="66" t="n"/>
      <c r="AK140" s="66" t="n"/>
      <c r="AL140" s="59">
        <f>IF(AND(OR(W140="Watching",W140="Preparing"),ISNUMBER(Q140)),IF(AND(Q140&gt;='Friday Summary'!$C$4,Q140&lt;='Friday Summary'!$C$4+14),Q140+ROW()/1000000,""),"")</f>
        <v/>
      </c>
    </row>
    <row r="141" ht="15" customHeight="1" s="51">
      <c r="A141" s="59">
        <f>IF(B141="","","OP-"&amp;TEXT(ROW()-4,"000"))</f>
        <v/>
      </c>
      <c r="B141" s="60" t="n"/>
      <c r="C141" s="61" t="n"/>
      <c r="D141" s="60" t="n"/>
      <c r="E141" s="60" t="n"/>
      <c r="F141" s="60" t="n"/>
      <c r="G141" s="60" t="n"/>
      <c r="H141" s="60" t="n"/>
      <c r="I141" s="60" t="n"/>
      <c r="J141" s="60" t="n"/>
      <c r="K141" s="60" t="n"/>
      <c r="L141" s="60" t="n"/>
      <c r="M141" s="62" t="n"/>
      <c r="N141" s="60" t="n"/>
      <c r="O141" s="61" t="n"/>
      <c r="P141" s="61" t="n"/>
      <c r="Q141" s="63" t="n"/>
      <c r="R141" s="60" t="n"/>
      <c r="S141" s="60" t="n"/>
      <c r="T141" s="64">
        <f>IF(A141="","",IFERROR(INDEX('Bid-NoBid'!$T:$T,MATCH(A141,'Bid-NoBid'!$A:$A,0)),""))</f>
        <v/>
      </c>
      <c r="U141" s="59">
        <f>IF(A141="","",IFERROR(IF(OR(INDEX('Bid-NoBid'!$U:$U,MATCH(A141,'Bid-NoBid'!$A:$A,0))="",LEFT(INDEX('Bid-NoBid'!$U:$U,MATCH(A141,'Bid-NoBid'!$A:$A,0)),10)="Incomplete"),"Screen: "&amp;AC141,INDEX('Bid-NoBid'!$U:$U,MATCH(A141,'Bid-NoBid'!$A:$A,0))),"Screen: "&amp;AC141))</f>
        <v/>
      </c>
      <c r="V141" s="60" t="n"/>
      <c r="W141" s="60" t="n"/>
      <c r="X141" s="60" t="n"/>
      <c r="Y141" s="60" t="n"/>
      <c r="Z141" s="60" t="n"/>
      <c r="AA141" s="65" t="n"/>
      <c r="AB141" s="66" t="n"/>
      <c r="AC141" s="66" t="n"/>
      <c r="AD141" s="66" t="n"/>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66" t="n"/>
      <c r="AJ141" s="66" t="n"/>
      <c r="AK141" s="66" t="n"/>
      <c r="AL141" s="59">
        <f>IF(AND(OR(W141="Watching",W141="Preparing"),ISNUMBER(Q141)),IF(AND(Q141&gt;='Friday Summary'!$C$4,Q141&lt;='Friday Summary'!$C$4+14),Q141+ROW()/1000000,""),"")</f>
        <v/>
      </c>
    </row>
    <row r="142" ht="15" customHeight="1" s="51">
      <c r="A142" s="59">
        <f>IF(B142="","","OP-"&amp;TEXT(ROW()-4,"000"))</f>
        <v/>
      </c>
      <c r="B142" s="60" t="n"/>
      <c r="C142" s="61" t="n"/>
      <c r="D142" s="60" t="n"/>
      <c r="E142" s="60" t="n"/>
      <c r="F142" s="60" t="n"/>
      <c r="G142" s="60" t="n"/>
      <c r="H142" s="60" t="n"/>
      <c r="I142" s="60" t="n"/>
      <c r="J142" s="60" t="n"/>
      <c r="K142" s="60" t="n"/>
      <c r="L142" s="60" t="n"/>
      <c r="M142" s="62" t="n"/>
      <c r="N142" s="60" t="n"/>
      <c r="O142" s="61" t="n"/>
      <c r="P142" s="61" t="n"/>
      <c r="Q142" s="63" t="n"/>
      <c r="R142" s="60" t="n"/>
      <c r="S142" s="60" t="n"/>
      <c r="T142" s="64">
        <f>IF(A142="","",IFERROR(INDEX('Bid-NoBid'!$T:$T,MATCH(A142,'Bid-NoBid'!$A:$A,0)),""))</f>
        <v/>
      </c>
      <c r="U142" s="59">
        <f>IF(A142="","",IFERROR(IF(OR(INDEX('Bid-NoBid'!$U:$U,MATCH(A142,'Bid-NoBid'!$A:$A,0))="",LEFT(INDEX('Bid-NoBid'!$U:$U,MATCH(A142,'Bid-NoBid'!$A:$A,0)),10)="Incomplete"),"Screen: "&amp;AC142,INDEX('Bid-NoBid'!$U:$U,MATCH(A142,'Bid-NoBid'!$A:$A,0))),"Screen: "&amp;AC142))</f>
        <v/>
      </c>
      <c r="V142" s="60" t="n"/>
      <c r="W142" s="60" t="n"/>
      <c r="X142" s="60" t="n"/>
      <c r="Y142" s="60" t="n"/>
      <c r="Z142" s="60" t="n"/>
      <c r="AA142" s="65" t="n"/>
      <c r="AB142" s="66" t="n"/>
      <c r="AC142" s="66" t="n"/>
      <c r="AD142" s="66" t="n"/>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66" t="n"/>
      <c r="AJ142" s="66" t="n"/>
      <c r="AK142" s="66" t="n"/>
      <c r="AL142" s="59">
        <f>IF(AND(OR(W142="Watching",W142="Preparing"),ISNUMBER(Q142)),IF(AND(Q142&gt;='Friday Summary'!$C$4,Q142&lt;='Friday Summary'!$C$4+14),Q142+ROW()/1000000,""),"")</f>
        <v/>
      </c>
    </row>
    <row r="143" ht="15" customHeight="1" s="51">
      <c r="A143" s="59">
        <f>IF(B143="","","OP-"&amp;TEXT(ROW()-4,"000"))</f>
        <v/>
      </c>
      <c r="B143" s="60" t="n"/>
      <c r="C143" s="61" t="n"/>
      <c r="D143" s="60" t="n"/>
      <c r="E143" s="60" t="n"/>
      <c r="F143" s="60" t="n"/>
      <c r="G143" s="60" t="n"/>
      <c r="H143" s="60" t="n"/>
      <c r="I143" s="60" t="n"/>
      <c r="J143" s="60" t="n"/>
      <c r="K143" s="60" t="n"/>
      <c r="L143" s="60" t="n"/>
      <c r="M143" s="62" t="n"/>
      <c r="N143" s="60" t="n"/>
      <c r="O143" s="61" t="n"/>
      <c r="P143" s="61" t="n"/>
      <c r="Q143" s="63" t="n"/>
      <c r="R143" s="60" t="n"/>
      <c r="S143" s="60" t="n"/>
      <c r="T143" s="64">
        <f>IF(A143="","",IFERROR(INDEX('Bid-NoBid'!$T:$T,MATCH(A143,'Bid-NoBid'!$A:$A,0)),""))</f>
        <v/>
      </c>
      <c r="U143" s="59">
        <f>IF(A143="","",IFERROR(IF(OR(INDEX('Bid-NoBid'!$U:$U,MATCH(A143,'Bid-NoBid'!$A:$A,0))="",LEFT(INDEX('Bid-NoBid'!$U:$U,MATCH(A143,'Bid-NoBid'!$A:$A,0)),10)="Incomplete"),"Screen: "&amp;AC143,INDEX('Bid-NoBid'!$U:$U,MATCH(A143,'Bid-NoBid'!$A:$A,0))),"Screen: "&amp;AC143))</f>
        <v/>
      </c>
      <c r="V143" s="60" t="n"/>
      <c r="W143" s="60" t="n"/>
      <c r="X143" s="60" t="n"/>
      <c r="Y143" s="60" t="n"/>
      <c r="Z143" s="60" t="n"/>
      <c r="AA143" s="65" t="n"/>
      <c r="AB143" s="66" t="n"/>
      <c r="AC143" s="66" t="n"/>
      <c r="AD143" s="66" t="n"/>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66" t="n"/>
      <c r="AJ143" s="66" t="n"/>
      <c r="AK143" s="66" t="n"/>
      <c r="AL143" s="59">
        <f>IF(AND(OR(W143="Watching",W143="Preparing"),ISNUMBER(Q143)),IF(AND(Q143&gt;='Friday Summary'!$C$4,Q143&lt;='Friday Summary'!$C$4+14),Q143+ROW()/1000000,""),"")</f>
        <v/>
      </c>
    </row>
    <row r="144" ht="15" customHeight="1" s="51">
      <c r="A144" s="59">
        <f>IF(B144="","","OP-"&amp;TEXT(ROW()-4,"000"))</f>
        <v/>
      </c>
      <c r="B144" s="60" t="n"/>
      <c r="C144" s="61" t="n"/>
      <c r="D144" s="60" t="n"/>
      <c r="E144" s="60" t="n"/>
      <c r="F144" s="60" t="n"/>
      <c r="G144" s="60" t="n"/>
      <c r="H144" s="60" t="n"/>
      <c r="I144" s="60" t="n"/>
      <c r="J144" s="60" t="n"/>
      <c r="K144" s="60" t="n"/>
      <c r="L144" s="60" t="n"/>
      <c r="M144" s="62" t="n"/>
      <c r="N144" s="60" t="n"/>
      <c r="O144" s="61" t="n"/>
      <c r="P144" s="61" t="n"/>
      <c r="Q144" s="63" t="n"/>
      <c r="R144" s="60" t="n"/>
      <c r="S144" s="60" t="n"/>
      <c r="T144" s="64">
        <f>IF(A144="","",IFERROR(INDEX('Bid-NoBid'!$T:$T,MATCH(A144,'Bid-NoBid'!$A:$A,0)),""))</f>
        <v/>
      </c>
      <c r="U144" s="59">
        <f>IF(A144="","",IFERROR(IF(OR(INDEX('Bid-NoBid'!$U:$U,MATCH(A144,'Bid-NoBid'!$A:$A,0))="",LEFT(INDEX('Bid-NoBid'!$U:$U,MATCH(A144,'Bid-NoBid'!$A:$A,0)),10)="Incomplete"),"Screen: "&amp;AC144,INDEX('Bid-NoBid'!$U:$U,MATCH(A144,'Bid-NoBid'!$A:$A,0))),"Screen: "&amp;AC144))</f>
        <v/>
      </c>
      <c r="V144" s="60" t="n"/>
      <c r="W144" s="60" t="n"/>
      <c r="X144" s="60" t="n"/>
      <c r="Y144" s="60" t="n"/>
      <c r="Z144" s="60" t="n"/>
      <c r="AA144" s="65" t="n"/>
      <c r="AB144" s="66" t="n"/>
      <c r="AC144" s="66" t="n"/>
      <c r="AD144" s="66" t="n"/>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66" t="n"/>
      <c r="AJ144" s="66" t="n"/>
      <c r="AK144" s="66" t="n"/>
      <c r="AL144" s="59">
        <f>IF(AND(OR(W144="Watching",W144="Preparing"),ISNUMBER(Q144)),IF(AND(Q144&gt;='Friday Summary'!$C$4,Q144&lt;='Friday Summary'!$C$4+14),Q144+ROW()/1000000,""),"")</f>
        <v/>
      </c>
    </row>
    <row r="145" ht="15" customHeight="1" s="51">
      <c r="A145" s="59">
        <f>IF(B145="","","OP-"&amp;TEXT(ROW()-4,"000"))</f>
        <v/>
      </c>
      <c r="B145" s="60" t="n"/>
      <c r="C145" s="61" t="n"/>
      <c r="D145" s="60" t="n"/>
      <c r="E145" s="60" t="n"/>
      <c r="F145" s="60" t="n"/>
      <c r="G145" s="60" t="n"/>
      <c r="H145" s="60" t="n"/>
      <c r="I145" s="60" t="n"/>
      <c r="J145" s="60" t="n"/>
      <c r="K145" s="60" t="n"/>
      <c r="L145" s="60" t="n"/>
      <c r="M145" s="62" t="n"/>
      <c r="N145" s="60" t="n"/>
      <c r="O145" s="61" t="n"/>
      <c r="P145" s="61" t="n"/>
      <c r="Q145" s="63" t="n"/>
      <c r="R145" s="60" t="n"/>
      <c r="S145" s="60" t="n"/>
      <c r="T145" s="64">
        <f>IF(A145="","",IFERROR(INDEX('Bid-NoBid'!$T:$T,MATCH(A145,'Bid-NoBid'!$A:$A,0)),""))</f>
        <v/>
      </c>
      <c r="U145" s="59">
        <f>IF(A145="","",IFERROR(IF(OR(INDEX('Bid-NoBid'!$U:$U,MATCH(A145,'Bid-NoBid'!$A:$A,0))="",LEFT(INDEX('Bid-NoBid'!$U:$U,MATCH(A145,'Bid-NoBid'!$A:$A,0)),10)="Incomplete"),"Screen: "&amp;AC145,INDEX('Bid-NoBid'!$U:$U,MATCH(A145,'Bid-NoBid'!$A:$A,0))),"Screen: "&amp;AC145))</f>
        <v/>
      </c>
      <c r="V145" s="60" t="n"/>
      <c r="W145" s="60" t="n"/>
      <c r="X145" s="60" t="n"/>
      <c r="Y145" s="60" t="n"/>
      <c r="Z145" s="60" t="n"/>
      <c r="AA145" s="65" t="n"/>
      <c r="AB145" s="66" t="n"/>
      <c r="AC145" s="66" t="n"/>
      <c r="AD145" s="66" t="n"/>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66" t="n"/>
      <c r="AJ145" s="66" t="n"/>
      <c r="AK145" s="66" t="n"/>
      <c r="AL145" s="59">
        <f>IF(AND(OR(W145="Watching",W145="Preparing"),ISNUMBER(Q145)),IF(AND(Q145&gt;='Friday Summary'!$C$4,Q145&lt;='Friday Summary'!$C$4+14),Q145+ROW()/1000000,""),"")</f>
        <v/>
      </c>
    </row>
    <row r="146" ht="15" customHeight="1" s="51">
      <c r="A146" s="59">
        <f>IF(B146="","","OP-"&amp;TEXT(ROW()-4,"000"))</f>
        <v/>
      </c>
      <c r="B146" s="60" t="n"/>
      <c r="C146" s="61" t="n"/>
      <c r="D146" s="60" t="n"/>
      <c r="E146" s="60" t="n"/>
      <c r="F146" s="60" t="n"/>
      <c r="G146" s="60" t="n"/>
      <c r="H146" s="60" t="n"/>
      <c r="I146" s="60" t="n"/>
      <c r="J146" s="60" t="n"/>
      <c r="K146" s="60" t="n"/>
      <c r="L146" s="60" t="n"/>
      <c r="M146" s="62" t="n"/>
      <c r="N146" s="60" t="n"/>
      <c r="O146" s="61" t="n"/>
      <c r="P146" s="61" t="n"/>
      <c r="Q146" s="63" t="n"/>
      <c r="R146" s="60" t="n"/>
      <c r="S146" s="60" t="n"/>
      <c r="T146" s="64">
        <f>IF(A146="","",IFERROR(INDEX('Bid-NoBid'!$T:$T,MATCH(A146,'Bid-NoBid'!$A:$A,0)),""))</f>
        <v/>
      </c>
      <c r="U146" s="59">
        <f>IF(A146="","",IFERROR(IF(OR(INDEX('Bid-NoBid'!$U:$U,MATCH(A146,'Bid-NoBid'!$A:$A,0))="",LEFT(INDEX('Bid-NoBid'!$U:$U,MATCH(A146,'Bid-NoBid'!$A:$A,0)),10)="Incomplete"),"Screen: "&amp;AC146,INDEX('Bid-NoBid'!$U:$U,MATCH(A146,'Bid-NoBid'!$A:$A,0))),"Screen: "&amp;AC146))</f>
        <v/>
      </c>
      <c r="V146" s="60" t="n"/>
      <c r="W146" s="60" t="n"/>
      <c r="X146" s="60" t="n"/>
      <c r="Y146" s="60" t="n"/>
      <c r="Z146" s="60" t="n"/>
      <c r="AA146" s="65" t="n"/>
      <c r="AB146" s="66" t="n"/>
      <c r="AC146" s="66" t="n"/>
      <c r="AD146" s="66" t="n"/>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66" t="n"/>
      <c r="AJ146" s="66" t="n"/>
      <c r="AK146" s="66" t="n"/>
      <c r="AL146" s="59">
        <f>IF(AND(OR(W146="Watching",W146="Preparing"),ISNUMBER(Q146)),IF(AND(Q146&gt;='Friday Summary'!$C$4,Q146&lt;='Friday Summary'!$C$4+14),Q146+ROW()/1000000,""),"")</f>
        <v/>
      </c>
    </row>
    <row r="147" ht="15" customHeight="1" s="51">
      <c r="A147" s="59">
        <f>IF(B147="","","OP-"&amp;TEXT(ROW()-4,"000"))</f>
        <v/>
      </c>
      <c r="B147" s="60" t="n"/>
      <c r="C147" s="61" t="n"/>
      <c r="D147" s="60" t="n"/>
      <c r="E147" s="60" t="n"/>
      <c r="F147" s="60" t="n"/>
      <c r="G147" s="60" t="n"/>
      <c r="H147" s="60" t="n"/>
      <c r="I147" s="60" t="n"/>
      <c r="J147" s="60" t="n"/>
      <c r="K147" s="60" t="n"/>
      <c r="L147" s="60" t="n"/>
      <c r="M147" s="62" t="n"/>
      <c r="N147" s="60" t="n"/>
      <c r="O147" s="61" t="n"/>
      <c r="P147" s="61" t="n"/>
      <c r="Q147" s="63" t="n"/>
      <c r="R147" s="60" t="n"/>
      <c r="S147" s="60" t="n"/>
      <c r="T147" s="64">
        <f>IF(A147="","",IFERROR(INDEX('Bid-NoBid'!$T:$T,MATCH(A147,'Bid-NoBid'!$A:$A,0)),""))</f>
        <v/>
      </c>
      <c r="U147" s="59">
        <f>IF(A147="","",IFERROR(IF(OR(INDEX('Bid-NoBid'!$U:$U,MATCH(A147,'Bid-NoBid'!$A:$A,0))="",LEFT(INDEX('Bid-NoBid'!$U:$U,MATCH(A147,'Bid-NoBid'!$A:$A,0)),10)="Incomplete"),"Screen: "&amp;AC147,INDEX('Bid-NoBid'!$U:$U,MATCH(A147,'Bid-NoBid'!$A:$A,0))),"Screen: "&amp;AC147))</f>
        <v/>
      </c>
      <c r="V147" s="60" t="n"/>
      <c r="W147" s="60" t="n"/>
      <c r="X147" s="60" t="n"/>
      <c r="Y147" s="60" t="n"/>
      <c r="Z147" s="60" t="n"/>
      <c r="AA147" s="65" t="n"/>
      <c r="AB147" s="66" t="n"/>
      <c r="AC147" s="66" t="n"/>
      <c r="AD147" s="66" t="n"/>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66" t="n"/>
      <c r="AJ147" s="66" t="n"/>
      <c r="AK147" s="66" t="n"/>
      <c r="AL147" s="59">
        <f>IF(AND(OR(W147="Watching",W147="Preparing"),ISNUMBER(Q147)),IF(AND(Q147&gt;='Friday Summary'!$C$4,Q147&lt;='Friday Summary'!$C$4+14),Q147+ROW()/1000000,""),"")</f>
        <v/>
      </c>
    </row>
    <row r="148" ht="15" customHeight="1" s="51">
      <c r="A148" s="59">
        <f>IF(B148="","","OP-"&amp;TEXT(ROW()-4,"000"))</f>
        <v/>
      </c>
      <c r="B148" s="60" t="n"/>
      <c r="C148" s="61" t="n"/>
      <c r="D148" s="60" t="n"/>
      <c r="E148" s="60" t="n"/>
      <c r="F148" s="60" t="n"/>
      <c r="G148" s="60" t="n"/>
      <c r="H148" s="60" t="n"/>
      <c r="I148" s="60" t="n"/>
      <c r="J148" s="60" t="n"/>
      <c r="K148" s="60" t="n"/>
      <c r="L148" s="60" t="n"/>
      <c r="M148" s="62" t="n"/>
      <c r="N148" s="60" t="n"/>
      <c r="O148" s="61" t="n"/>
      <c r="P148" s="61" t="n"/>
      <c r="Q148" s="63" t="n"/>
      <c r="R148" s="60" t="n"/>
      <c r="S148" s="60" t="n"/>
      <c r="T148" s="64">
        <f>IF(A148="","",IFERROR(INDEX('Bid-NoBid'!$T:$T,MATCH(A148,'Bid-NoBid'!$A:$A,0)),""))</f>
        <v/>
      </c>
      <c r="U148" s="59">
        <f>IF(A148="","",IFERROR(IF(OR(INDEX('Bid-NoBid'!$U:$U,MATCH(A148,'Bid-NoBid'!$A:$A,0))="",LEFT(INDEX('Bid-NoBid'!$U:$U,MATCH(A148,'Bid-NoBid'!$A:$A,0)),10)="Incomplete"),"Screen: "&amp;AC148,INDEX('Bid-NoBid'!$U:$U,MATCH(A148,'Bid-NoBid'!$A:$A,0))),"Screen: "&amp;AC148))</f>
        <v/>
      </c>
      <c r="V148" s="60" t="n"/>
      <c r="W148" s="60" t="n"/>
      <c r="X148" s="60" t="n"/>
      <c r="Y148" s="60" t="n"/>
      <c r="Z148" s="60" t="n"/>
      <c r="AA148" s="65" t="n"/>
      <c r="AB148" s="66" t="n"/>
      <c r="AC148" s="66" t="n"/>
      <c r="AD148" s="66" t="n"/>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66" t="n"/>
      <c r="AJ148" s="66" t="n"/>
      <c r="AK148" s="66" t="n"/>
      <c r="AL148" s="59">
        <f>IF(AND(OR(W148="Watching",W148="Preparing"),ISNUMBER(Q148)),IF(AND(Q148&gt;='Friday Summary'!$C$4,Q148&lt;='Friday Summary'!$C$4+14),Q148+ROW()/1000000,""),"")</f>
        <v/>
      </c>
    </row>
    <row r="149" ht="15" customHeight="1" s="51">
      <c r="A149" s="59">
        <f>IF(B149="","","OP-"&amp;TEXT(ROW()-4,"000"))</f>
        <v/>
      </c>
      <c r="B149" s="60" t="n"/>
      <c r="C149" s="61" t="n"/>
      <c r="D149" s="60" t="n"/>
      <c r="E149" s="60" t="n"/>
      <c r="F149" s="60" t="n"/>
      <c r="G149" s="60" t="n"/>
      <c r="H149" s="60" t="n"/>
      <c r="I149" s="60" t="n"/>
      <c r="J149" s="60" t="n"/>
      <c r="K149" s="60" t="n"/>
      <c r="L149" s="60" t="n"/>
      <c r="M149" s="62" t="n"/>
      <c r="N149" s="60" t="n"/>
      <c r="O149" s="61" t="n"/>
      <c r="P149" s="61" t="n"/>
      <c r="Q149" s="63" t="n"/>
      <c r="R149" s="60" t="n"/>
      <c r="S149" s="60" t="n"/>
      <c r="T149" s="64">
        <f>IF(A149="","",IFERROR(INDEX('Bid-NoBid'!$T:$T,MATCH(A149,'Bid-NoBid'!$A:$A,0)),""))</f>
        <v/>
      </c>
      <c r="U149" s="59">
        <f>IF(A149="","",IFERROR(IF(OR(INDEX('Bid-NoBid'!$U:$U,MATCH(A149,'Bid-NoBid'!$A:$A,0))="",LEFT(INDEX('Bid-NoBid'!$U:$U,MATCH(A149,'Bid-NoBid'!$A:$A,0)),10)="Incomplete"),"Screen: "&amp;AC149,INDEX('Bid-NoBid'!$U:$U,MATCH(A149,'Bid-NoBid'!$A:$A,0))),"Screen: "&amp;AC149))</f>
        <v/>
      </c>
      <c r="V149" s="60" t="n"/>
      <c r="W149" s="60" t="n"/>
      <c r="X149" s="60" t="n"/>
      <c r="Y149" s="60" t="n"/>
      <c r="Z149" s="60" t="n"/>
      <c r="AA149" s="65" t="n"/>
      <c r="AB149" s="66" t="n"/>
      <c r="AC149" s="66" t="n"/>
      <c r="AD149" s="66" t="n"/>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66" t="n"/>
      <c r="AJ149" s="66" t="n"/>
      <c r="AK149" s="66" t="n"/>
      <c r="AL149" s="59">
        <f>IF(AND(OR(W149="Watching",W149="Preparing"),ISNUMBER(Q149)),IF(AND(Q149&gt;='Friday Summary'!$C$4,Q149&lt;='Friday Summary'!$C$4+14),Q149+ROW()/1000000,""),"")</f>
        <v/>
      </c>
    </row>
    <row r="150" ht="15" customHeight="1" s="51">
      <c r="A150" s="59">
        <f>IF(B150="","","OP-"&amp;TEXT(ROW()-4,"000"))</f>
        <v/>
      </c>
      <c r="B150" s="60" t="n"/>
      <c r="C150" s="61" t="n"/>
      <c r="D150" s="60" t="n"/>
      <c r="E150" s="60" t="n"/>
      <c r="F150" s="60" t="n"/>
      <c r="G150" s="60" t="n"/>
      <c r="H150" s="60" t="n"/>
      <c r="I150" s="60" t="n"/>
      <c r="J150" s="60" t="n"/>
      <c r="K150" s="60" t="n"/>
      <c r="L150" s="60" t="n"/>
      <c r="M150" s="62" t="n"/>
      <c r="N150" s="60" t="n"/>
      <c r="O150" s="61" t="n"/>
      <c r="P150" s="61" t="n"/>
      <c r="Q150" s="63" t="n"/>
      <c r="R150" s="60" t="n"/>
      <c r="S150" s="60" t="n"/>
      <c r="T150" s="64">
        <f>IF(A150="","",IFERROR(INDEX('Bid-NoBid'!$T:$T,MATCH(A150,'Bid-NoBid'!$A:$A,0)),""))</f>
        <v/>
      </c>
      <c r="U150" s="59">
        <f>IF(A150="","",IFERROR(IF(OR(INDEX('Bid-NoBid'!$U:$U,MATCH(A150,'Bid-NoBid'!$A:$A,0))="",LEFT(INDEX('Bid-NoBid'!$U:$U,MATCH(A150,'Bid-NoBid'!$A:$A,0)),10)="Incomplete"),"Screen: "&amp;AC150,INDEX('Bid-NoBid'!$U:$U,MATCH(A150,'Bid-NoBid'!$A:$A,0))),"Screen: "&amp;AC150))</f>
        <v/>
      </c>
      <c r="V150" s="60" t="n"/>
      <c r="W150" s="60" t="n"/>
      <c r="X150" s="60" t="n"/>
      <c r="Y150" s="60" t="n"/>
      <c r="Z150" s="60" t="n"/>
      <c r="AA150" s="65" t="n"/>
      <c r="AB150" s="66" t="n"/>
      <c r="AC150" s="66" t="n"/>
      <c r="AD150" s="66" t="n"/>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66" t="n"/>
      <c r="AJ150" s="66" t="n"/>
      <c r="AK150" s="66" t="n"/>
      <c r="AL150" s="59">
        <f>IF(AND(OR(W150="Watching",W150="Preparing"),ISNUMBER(Q150)),IF(AND(Q150&gt;='Friday Summary'!$C$4,Q150&lt;='Friday Summary'!$C$4+14),Q150+ROW()/1000000,""),"")</f>
        <v/>
      </c>
    </row>
    <row r="151" ht="15" customHeight="1" s="51">
      <c r="A151" s="59">
        <f>IF(B151="","","OP-"&amp;TEXT(ROW()-4,"000"))</f>
        <v/>
      </c>
      <c r="B151" s="60" t="n"/>
      <c r="C151" s="61" t="n"/>
      <c r="D151" s="60" t="n"/>
      <c r="E151" s="60" t="n"/>
      <c r="F151" s="60" t="n"/>
      <c r="G151" s="60" t="n"/>
      <c r="H151" s="60" t="n"/>
      <c r="I151" s="60" t="n"/>
      <c r="J151" s="60" t="n"/>
      <c r="K151" s="60" t="n"/>
      <c r="L151" s="60" t="n"/>
      <c r="M151" s="62" t="n"/>
      <c r="N151" s="60" t="n"/>
      <c r="O151" s="61" t="n"/>
      <c r="P151" s="61" t="n"/>
      <c r="Q151" s="63" t="n"/>
      <c r="R151" s="60" t="n"/>
      <c r="S151" s="60" t="n"/>
      <c r="T151" s="64">
        <f>IF(A151="","",IFERROR(INDEX('Bid-NoBid'!$T:$T,MATCH(A151,'Bid-NoBid'!$A:$A,0)),""))</f>
        <v/>
      </c>
      <c r="U151" s="59">
        <f>IF(A151="","",IFERROR(IF(OR(INDEX('Bid-NoBid'!$U:$U,MATCH(A151,'Bid-NoBid'!$A:$A,0))="",LEFT(INDEX('Bid-NoBid'!$U:$U,MATCH(A151,'Bid-NoBid'!$A:$A,0)),10)="Incomplete"),"Screen: "&amp;AC151,INDEX('Bid-NoBid'!$U:$U,MATCH(A151,'Bid-NoBid'!$A:$A,0))),"Screen: "&amp;AC151))</f>
        <v/>
      </c>
      <c r="V151" s="60" t="n"/>
      <c r="W151" s="60" t="n"/>
      <c r="X151" s="60" t="n"/>
      <c r="Y151" s="60" t="n"/>
      <c r="Z151" s="60" t="n"/>
      <c r="AA151" s="65" t="n"/>
      <c r="AB151" s="66" t="n"/>
      <c r="AC151" s="66" t="n"/>
      <c r="AD151" s="66" t="n"/>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66" t="n"/>
      <c r="AJ151" s="66" t="n"/>
      <c r="AK151" s="66" t="n"/>
      <c r="AL151" s="59">
        <f>IF(AND(OR(W151="Watching",W151="Preparing"),ISNUMBER(Q151)),IF(AND(Q151&gt;='Friday Summary'!$C$4,Q151&lt;='Friday Summary'!$C$4+14),Q151+ROW()/1000000,""),"")</f>
        <v/>
      </c>
    </row>
    <row r="152" ht="15" customHeight="1" s="51">
      <c r="A152" s="59">
        <f>IF(B152="","","OP-"&amp;TEXT(ROW()-4,"000"))</f>
        <v/>
      </c>
      <c r="B152" s="60" t="n"/>
      <c r="C152" s="61" t="n"/>
      <c r="D152" s="60" t="n"/>
      <c r="E152" s="60" t="n"/>
      <c r="F152" s="60" t="n"/>
      <c r="G152" s="60" t="n"/>
      <c r="H152" s="60" t="n"/>
      <c r="I152" s="60" t="n"/>
      <c r="J152" s="60" t="n"/>
      <c r="K152" s="60" t="n"/>
      <c r="L152" s="60" t="n"/>
      <c r="M152" s="62" t="n"/>
      <c r="N152" s="60" t="n"/>
      <c r="O152" s="61" t="n"/>
      <c r="P152" s="61" t="n"/>
      <c r="Q152" s="63" t="n"/>
      <c r="R152" s="60" t="n"/>
      <c r="S152" s="60" t="n"/>
      <c r="T152" s="64">
        <f>IF(A152="","",IFERROR(INDEX('Bid-NoBid'!$T:$T,MATCH(A152,'Bid-NoBid'!$A:$A,0)),""))</f>
        <v/>
      </c>
      <c r="U152" s="59">
        <f>IF(A152="","",IFERROR(IF(OR(INDEX('Bid-NoBid'!$U:$U,MATCH(A152,'Bid-NoBid'!$A:$A,0))="",LEFT(INDEX('Bid-NoBid'!$U:$U,MATCH(A152,'Bid-NoBid'!$A:$A,0)),10)="Incomplete"),"Screen: "&amp;AC152,INDEX('Bid-NoBid'!$U:$U,MATCH(A152,'Bid-NoBid'!$A:$A,0))),"Screen: "&amp;AC152))</f>
        <v/>
      </c>
      <c r="V152" s="60" t="n"/>
      <c r="W152" s="60" t="n"/>
      <c r="X152" s="60" t="n"/>
      <c r="Y152" s="60" t="n"/>
      <c r="Z152" s="60" t="n"/>
      <c r="AA152" s="65" t="n"/>
      <c r="AB152" s="66" t="n"/>
      <c r="AC152" s="66" t="n"/>
      <c r="AD152" s="66" t="n"/>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66" t="n"/>
      <c r="AJ152" s="66" t="n"/>
      <c r="AK152" s="66" t="n"/>
      <c r="AL152" s="59">
        <f>IF(AND(OR(W152="Watching",W152="Preparing"),ISNUMBER(Q152)),IF(AND(Q152&gt;='Friday Summary'!$C$4,Q152&lt;='Friday Summary'!$C$4+14),Q152+ROW()/1000000,""),"")</f>
        <v/>
      </c>
    </row>
    <row r="153" ht="15" customHeight="1" s="51">
      <c r="A153" s="59">
        <f>IF(B153="","","OP-"&amp;TEXT(ROW()-4,"000"))</f>
        <v/>
      </c>
      <c r="B153" s="60" t="n"/>
      <c r="C153" s="61" t="n"/>
      <c r="D153" s="60" t="n"/>
      <c r="E153" s="60" t="n"/>
      <c r="F153" s="60" t="n"/>
      <c r="G153" s="60" t="n"/>
      <c r="H153" s="60" t="n"/>
      <c r="I153" s="60" t="n"/>
      <c r="J153" s="60" t="n"/>
      <c r="K153" s="60" t="n"/>
      <c r="L153" s="60" t="n"/>
      <c r="M153" s="62" t="n"/>
      <c r="N153" s="60" t="n"/>
      <c r="O153" s="61" t="n"/>
      <c r="P153" s="61" t="n"/>
      <c r="Q153" s="63" t="n"/>
      <c r="R153" s="60" t="n"/>
      <c r="S153" s="60" t="n"/>
      <c r="T153" s="64">
        <f>IF(A153="","",IFERROR(INDEX('Bid-NoBid'!$T:$T,MATCH(A153,'Bid-NoBid'!$A:$A,0)),""))</f>
        <v/>
      </c>
      <c r="U153" s="59">
        <f>IF(A153="","",IFERROR(IF(OR(INDEX('Bid-NoBid'!$U:$U,MATCH(A153,'Bid-NoBid'!$A:$A,0))="",LEFT(INDEX('Bid-NoBid'!$U:$U,MATCH(A153,'Bid-NoBid'!$A:$A,0)),10)="Incomplete"),"Screen: "&amp;AC153,INDEX('Bid-NoBid'!$U:$U,MATCH(A153,'Bid-NoBid'!$A:$A,0))),"Screen: "&amp;AC153))</f>
        <v/>
      </c>
      <c r="V153" s="60" t="n"/>
      <c r="W153" s="60" t="n"/>
      <c r="X153" s="60" t="n"/>
      <c r="Y153" s="60" t="n"/>
      <c r="Z153" s="60" t="n"/>
      <c r="AA153" s="65" t="n"/>
      <c r="AB153" s="66" t="n"/>
      <c r="AC153" s="66" t="n"/>
      <c r="AD153" s="66" t="n"/>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66" t="n"/>
      <c r="AJ153" s="66" t="n"/>
      <c r="AK153" s="66" t="n"/>
      <c r="AL153" s="59">
        <f>IF(AND(OR(W153="Watching",W153="Preparing"),ISNUMBER(Q153)),IF(AND(Q153&gt;='Friday Summary'!$C$4,Q153&lt;='Friday Summary'!$C$4+14),Q153+ROW()/1000000,""),"")</f>
        <v/>
      </c>
    </row>
    <row r="154" ht="15" customHeight="1" s="51">
      <c r="A154" s="59">
        <f>IF(B154="","","OP-"&amp;TEXT(ROW()-4,"000"))</f>
        <v/>
      </c>
      <c r="B154" s="60" t="n"/>
      <c r="C154" s="61" t="n"/>
      <c r="D154" s="60" t="n"/>
      <c r="E154" s="60" t="n"/>
      <c r="F154" s="60" t="n"/>
      <c r="G154" s="60" t="n"/>
      <c r="H154" s="60" t="n"/>
      <c r="I154" s="60" t="n"/>
      <c r="J154" s="60" t="n"/>
      <c r="K154" s="60" t="n"/>
      <c r="L154" s="60" t="n"/>
      <c r="M154" s="62" t="n"/>
      <c r="N154" s="60" t="n"/>
      <c r="O154" s="61" t="n"/>
      <c r="P154" s="61" t="n"/>
      <c r="Q154" s="63" t="n"/>
      <c r="R154" s="60" t="n"/>
      <c r="S154" s="60" t="n"/>
      <c r="T154" s="64">
        <f>IF(A154="","",IFERROR(INDEX('Bid-NoBid'!$T:$T,MATCH(A154,'Bid-NoBid'!$A:$A,0)),""))</f>
        <v/>
      </c>
      <c r="U154" s="59">
        <f>IF(A154="","",IFERROR(IF(OR(INDEX('Bid-NoBid'!$U:$U,MATCH(A154,'Bid-NoBid'!$A:$A,0))="",LEFT(INDEX('Bid-NoBid'!$U:$U,MATCH(A154,'Bid-NoBid'!$A:$A,0)),10)="Incomplete"),"Screen: "&amp;AC154,INDEX('Bid-NoBid'!$U:$U,MATCH(A154,'Bid-NoBid'!$A:$A,0))),"Screen: "&amp;AC154))</f>
        <v/>
      </c>
      <c r="V154" s="60" t="n"/>
      <c r="W154" s="60" t="n"/>
      <c r="X154" s="60" t="n"/>
      <c r="Y154" s="60" t="n"/>
      <c r="Z154" s="60" t="n"/>
      <c r="AA154" s="65" t="n"/>
      <c r="AB154" s="66" t="n"/>
      <c r="AC154" s="66" t="n"/>
      <c r="AD154" s="66" t="n"/>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66" t="n"/>
      <c r="AJ154" s="66" t="n"/>
      <c r="AK154" s="66" t="n"/>
      <c r="AL154" s="59">
        <f>IF(AND(OR(W154="Watching",W154="Preparing"),ISNUMBER(Q154)),IF(AND(Q154&gt;='Friday Summary'!$C$4,Q154&lt;='Friday Summary'!$C$4+14),Q154+ROW()/1000000,""),"")</f>
        <v/>
      </c>
    </row>
    <row r="155" ht="15" customHeight="1" s="51">
      <c r="A155" s="59">
        <f>IF(B155="","","OP-"&amp;TEXT(ROW()-4,"000"))</f>
        <v/>
      </c>
      <c r="B155" s="60" t="n"/>
      <c r="C155" s="61" t="n"/>
      <c r="D155" s="60" t="n"/>
      <c r="E155" s="60" t="n"/>
      <c r="F155" s="60" t="n"/>
      <c r="G155" s="60" t="n"/>
      <c r="H155" s="60" t="n"/>
      <c r="I155" s="60" t="n"/>
      <c r="J155" s="60" t="n"/>
      <c r="K155" s="60" t="n"/>
      <c r="L155" s="60" t="n"/>
      <c r="M155" s="62" t="n"/>
      <c r="N155" s="60" t="n"/>
      <c r="O155" s="61" t="n"/>
      <c r="P155" s="61" t="n"/>
      <c r="Q155" s="63" t="n"/>
      <c r="R155" s="60" t="n"/>
      <c r="S155" s="60" t="n"/>
      <c r="T155" s="64">
        <f>IF(A155="","",IFERROR(INDEX('Bid-NoBid'!$T:$T,MATCH(A155,'Bid-NoBid'!$A:$A,0)),""))</f>
        <v/>
      </c>
      <c r="U155" s="59">
        <f>IF(A155="","",IFERROR(IF(OR(INDEX('Bid-NoBid'!$U:$U,MATCH(A155,'Bid-NoBid'!$A:$A,0))="",LEFT(INDEX('Bid-NoBid'!$U:$U,MATCH(A155,'Bid-NoBid'!$A:$A,0)),10)="Incomplete"),"Screen: "&amp;AC155,INDEX('Bid-NoBid'!$U:$U,MATCH(A155,'Bid-NoBid'!$A:$A,0))),"Screen: "&amp;AC155))</f>
        <v/>
      </c>
      <c r="V155" s="60" t="n"/>
      <c r="W155" s="60" t="n"/>
      <c r="X155" s="60" t="n"/>
      <c r="Y155" s="60" t="n"/>
      <c r="Z155" s="60" t="n"/>
      <c r="AA155" s="65" t="n"/>
      <c r="AB155" s="66" t="n"/>
      <c r="AC155" s="66" t="n"/>
      <c r="AD155" s="66" t="n"/>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66" t="n"/>
      <c r="AJ155" s="66" t="n"/>
      <c r="AK155" s="66" t="n"/>
      <c r="AL155" s="59">
        <f>IF(AND(OR(W155="Watching",W155="Preparing"),ISNUMBER(Q155)),IF(AND(Q155&gt;='Friday Summary'!$C$4,Q155&lt;='Friday Summary'!$C$4+14),Q155+ROW()/1000000,""),"")</f>
        <v/>
      </c>
    </row>
    <row r="156" ht="15" customHeight="1" s="51">
      <c r="A156" s="59">
        <f>IF(B156="","","OP-"&amp;TEXT(ROW()-4,"000"))</f>
        <v/>
      </c>
      <c r="B156" s="60" t="n"/>
      <c r="C156" s="61" t="n"/>
      <c r="D156" s="60" t="n"/>
      <c r="E156" s="60" t="n"/>
      <c r="F156" s="60" t="n"/>
      <c r="G156" s="60" t="n"/>
      <c r="H156" s="60" t="n"/>
      <c r="I156" s="60" t="n"/>
      <c r="J156" s="60" t="n"/>
      <c r="K156" s="60" t="n"/>
      <c r="L156" s="60" t="n"/>
      <c r="M156" s="62" t="n"/>
      <c r="N156" s="60" t="n"/>
      <c r="O156" s="61" t="n"/>
      <c r="P156" s="61" t="n"/>
      <c r="Q156" s="63" t="n"/>
      <c r="R156" s="60" t="n"/>
      <c r="S156" s="60" t="n"/>
      <c r="T156" s="64">
        <f>IF(A156="","",IFERROR(INDEX('Bid-NoBid'!$T:$T,MATCH(A156,'Bid-NoBid'!$A:$A,0)),""))</f>
        <v/>
      </c>
      <c r="U156" s="59">
        <f>IF(A156="","",IFERROR(IF(OR(INDEX('Bid-NoBid'!$U:$U,MATCH(A156,'Bid-NoBid'!$A:$A,0))="",LEFT(INDEX('Bid-NoBid'!$U:$U,MATCH(A156,'Bid-NoBid'!$A:$A,0)),10)="Incomplete"),"Screen: "&amp;AC156,INDEX('Bid-NoBid'!$U:$U,MATCH(A156,'Bid-NoBid'!$A:$A,0))),"Screen: "&amp;AC156))</f>
        <v/>
      </c>
      <c r="V156" s="60" t="n"/>
      <c r="W156" s="60" t="n"/>
      <c r="X156" s="60" t="n"/>
      <c r="Y156" s="60" t="n"/>
      <c r="Z156" s="60" t="n"/>
      <c r="AA156" s="65" t="n"/>
      <c r="AB156" s="66" t="n"/>
      <c r="AC156" s="66" t="n"/>
      <c r="AD156" s="66" t="n"/>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66" t="n"/>
      <c r="AJ156" s="66" t="n"/>
      <c r="AK156" s="66" t="n"/>
      <c r="AL156" s="59">
        <f>IF(AND(OR(W156="Watching",W156="Preparing"),ISNUMBER(Q156)),IF(AND(Q156&gt;='Friday Summary'!$C$4,Q156&lt;='Friday Summary'!$C$4+14),Q156+ROW()/1000000,""),"")</f>
        <v/>
      </c>
    </row>
    <row r="157" ht="15" customHeight="1" s="51">
      <c r="A157" s="59">
        <f>IF(B157="","","OP-"&amp;TEXT(ROW()-4,"000"))</f>
        <v/>
      </c>
      <c r="B157" s="60" t="n"/>
      <c r="C157" s="61" t="n"/>
      <c r="D157" s="60" t="n"/>
      <c r="E157" s="60" t="n"/>
      <c r="F157" s="60" t="n"/>
      <c r="G157" s="60" t="n"/>
      <c r="H157" s="60" t="n"/>
      <c r="I157" s="60" t="n"/>
      <c r="J157" s="60" t="n"/>
      <c r="K157" s="60" t="n"/>
      <c r="L157" s="60" t="n"/>
      <c r="M157" s="62" t="n"/>
      <c r="N157" s="60" t="n"/>
      <c r="O157" s="61" t="n"/>
      <c r="P157" s="61" t="n"/>
      <c r="Q157" s="63" t="n"/>
      <c r="R157" s="60" t="n"/>
      <c r="S157" s="60" t="n"/>
      <c r="T157" s="64">
        <f>IF(A157="","",IFERROR(INDEX('Bid-NoBid'!$T:$T,MATCH(A157,'Bid-NoBid'!$A:$A,0)),""))</f>
        <v/>
      </c>
      <c r="U157" s="59">
        <f>IF(A157="","",IFERROR(IF(OR(INDEX('Bid-NoBid'!$U:$U,MATCH(A157,'Bid-NoBid'!$A:$A,0))="",LEFT(INDEX('Bid-NoBid'!$U:$U,MATCH(A157,'Bid-NoBid'!$A:$A,0)),10)="Incomplete"),"Screen: "&amp;AC157,INDEX('Bid-NoBid'!$U:$U,MATCH(A157,'Bid-NoBid'!$A:$A,0))),"Screen: "&amp;AC157))</f>
        <v/>
      </c>
      <c r="V157" s="60" t="n"/>
      <c r="W157" s="60" t="n"/>
      <c r="X157" s="60" t="n"/>
      <c r="Y157" s="60" t="n"/>
      <c r="Z157" s="60" t="n"/>
      <c r="AA157" s="65" t="n"/>
      <c r="AB157" s="66" t="n"/>
      <c r="AC157" s="66" t="n"/>
      <c r="AD157" s="66" t="n"/>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66" t="n"/>
      <c r="AJ157" s="66" t="n"/>
      <c r="AK157" s="66" t="n"/>
      <c r="AL157" s="59">
        <f>IF(AND(OR(W157="Watching",W157="Preparing"),ISNUMBER(Q157)),IF(AND(Q157&gt;='Friday Summary'!$C$4,Q157&lt;='Friday Summary'!$C$4+14),Q157+ROW()/1000000,""),"")</f>
        <v/>
      </c>
    </row>
    <row r="158" ht="15" customHeight="1" s="51">
      <c r="A158" s="59">
        <f>IF(B158="","","OP-"&amp;TEXT(ROW()-4,"000"))</f>
        <v/>
      </c>
      <c r="B158" s="60" t="n"/>
      <c r="C158" s="61" t="n"/>
      <c r="D158" s="60" t="n"/>
      <c r="E158" s="60" t="n"/>
      <c r="F158" s="60" t="n"/>
      <c r="G158" s="60" t="n"/>
      <c r="H158" s="60" t="n"/>
      <c r="I158" s="60" t="n"/>
      <c r="J158" s="60" t="n"/>
      <c r="K158" s="60" t="n"/>
      <c r="L158" s="60" t="n"/>
      <c r="M158" s="62" t="n"/>
      <c r="N158" s="60" t="n"/>
      <c r="O158" s="61" t="n"/>
      <c r="P158" s="61" t="n"/>
      <c r="Q158" s="63" t="n"/>
      <c r="R158" s="60" t="n"/>
      <c r="S158" s="60" t="n"/>
      <c r="T158" s="64">
        <f>IF(A158="","",IFERROR(INDEX('Bid-NoBid'!$T:$T,MATCH(A158,'Bid-NoBid'!$A:$A,0)),""))</f>
        <v/>
      </c>
      <c r="U158" s="59">
        <f>IF(A158="","",IFERROR(IF(OR(INDEX('Bid-NoBid'!$U:$U,MATCH(A158,'Bid-NoBid'!$A:$A,0))="",LEFT(INDEX('Bid-NoBid'!$U:$U,MATCH(A158,'Bid-NoBid'!$A:$A,0)),10)="Incomplete"),"Screen: "&amp;AC158,INDEX('Bid-NoBid'!$U:$U,MATCH(A158,'Bid-NoBid'!$A:$A,0))),"Screen: "&amp;AC158))</f>
        <v/>
      </c>
      <c r="V158" s="60" t="n"/>
      <c r="W158" s="60" t="n"/>
      <c r="X158" s="60" t="n"/>
      <c r="Y158" s="60" t="n"/>
      <c r="Z158" s="60" t="n"/>
      <c r="AA158" s="65" t="n"/>
      <c r="AB158" s="66" t="n"/>
      <c r="AC158" s="66" t="n"/>
      <c r="AD158" s="66" t="n"/>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66" t="n"/>
      <c r="AJ158" s="66" t="n"/>
      <c r="AK158" s="66" t="n"/>
      <c r="AL158" s="59">
        <f>IF(AND(OR(W158="Watching",W158="Preparing"),ISNUMBER(Q158)),IF(AND(Q158&gt;='Friday Summary'!$C$4,Q158&lt;='Friday Summary'!$C$4+14),Q158+ROW()/1000000,""),"")</f>
        <v/>
      </c>
    </row>
    <row r="159" ht="15" customHeight="1" s="51">
      <c r="A159" s="59">
        <f>IF(B159="","","OP-"&amp;TEXT(ROW()-4,"000"))</f>
        <v/>
      </c>
      <c r="B159" s="60" t="n"/>
      <c r="C159" s="61" t="n"/>
      <c r="D159" s="60" t="n"/>
      <c r="E159" s="60" t="n"/>
      <c r="F159" s="60" t="n"/>
      <c r="G159" s="60" t="n"/>
      <c r="H159" s="60" t="n"/>
      <c r="I159" s="60" t="n"/>
      <c r="J159" s="60" t="n"/>
      <c r="K159" s="60" t="n"/>
      <c r="L159" s="60" t="n"/>
      <c r="M159" s="62" t="n"/>
      <c r="N159" s="60" t="n"/>
      <c r="O159" s="61" t="n"/>
      <c r="P159" s="61" t="n"/>
      <c r="Q159" s="63" t="n"/>
      <c r="R159" s="60" t="n"/>
      <c r="S159" s="60" t="n"/>
      <c r="T159" s="64">
        <f>IF(A159="","",IFERROR(INDEX('Bid-NoBid'!$T:$T,MATCH(A159,'Bid-NoBid'!$A:$A,0)),""))</f>
        <v/>
      </c>
      <c r="U159" s="59">
        <f>IF(A159="","",IFERROR(IF(OR(INDEX('Bid-NoBid'!$U:$U,MATCH(A159,'Bid-NoBid'!$A:$A,0))="",LEFT(INDEX('Bid-NoBid'!$U:$U,MATCH(A159,'Bid-NoBid'!$A:$A,0)),10)="Incomplete"),"Screen: "&amp;AC159,INDEX('Bid-NoBid'!$U:$U,MATCH(A159,'Bid-NoBid'!$A:$A,0))),"Screen: "&amp;AC159))</f>
        <v/>
      </c>
      <c r="V159" s="60" t="n"/>
      <c r="W159" s="60" t="n"/>
      <c r="X159" s="60" t="n"/>
      <c r="Y159" s="60" t="n"/>
      <c r="Z159" s="60" t="n"/>
      <c r="AA159" s="65" t="n"/>
      <c r="AB159" s="66" t="n"/>
      <c r="AC159" s="66" t="n"/>
      <c r="AD159" s="66" t="n"/>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66" t="n"/>
      <c r="AJ159" s="66" t="n"/>
      <c r="AK159" s="66" t="n"/>
      <c r="AL159" s="59">
        <f>IF(AND(OR(W159="Watching",W159="Preparing"),ISNUMBER(Q159)),IF(AND(Q159&gt;='Friday Summary'!$C$4,Q159&lt;='Friday Summary'!$C$4+14),Q159+ROW()/1000000,""),"")</f>
        <v/>
      </c>
    </row>
    <row r="160" ht="15" customHeight="1" s="51">
      <c r="A160" s="59">
        <f>IF(B160="","","OP-"&amp;TEXT(ROW()-4,"000"))</f>
        <v/>
      </c>
      <c r="B160" s="60" t="n"/>
      <c r="C160" s="61" t="n"/>
      <c r="D160" s="60" t="n"/>
      <c r="E160" s="60" t="n"/>
      <c r="F160" s="60" t="n"/>
      <c r="G160" s="60" t="n"/>
      <c r="H160" s="60" t="n"/>
      <c r="I160" s="60" t="n"/>
      <c r="J160" s="60" t="n"/>
      <c r="K160" s="60" t="n"/>
      <c r="L160" s="60" t="n"/>
      <c r="M160" s="62" t="n"/>
      <c r="N160" s="60" t="n"/>
      <c r="O160" s="61" t="n"/>
      <c r="P160" s="61" t="n"/>
      <c r="Q160" s="63" t="n"/>
      <c r="R160" s="60" t="n"/>
      <c r="S160" s="60" t="n"/>
      <c r="T160" s="64">
        <f>IF(A160="","",IFERROR(INDEX('Bid-NoBid'!$T:$T,MATCH(A160,'Bid-NoBid'!$A:$A,0)),""))</f>
        <v/>
      </c>
      <c r="U160" s="59">
        <f>IF(A160="","",IFERROR(IF(OR(INDEX('Bid-NoBid'!$U:$U,MATCH(A160,'Bid-NoBid'!$A:$A,0))="",LEFT(INDEX('Bid-NoBid'!$U:$U,MATCH(A160,'Bid-NoBid'!$A:$A,0)),10)="Incomplete"),"Screen: "&amp;AC160,INDEX('Bid-NoBid'!$U:$U,MATCH(A160,'Bid-NoBid'!$A:$A,0))),"Screen: "&amp;AC160))</f>
        <v/>
      </c>
      <c r="V160" s="60" t="n"/>
      <c r="W160" s="60" t="n"/>
      <c r="X160" s="60" t="n"/>
      <c r="Y160" s="60" t="n"/>
      <c r="Z160" s="60" t="n"/>
      <c r="AA160" s="65" t="n"/>
      <c r="AB160" s="66" t="n"/>
      <c r="AC160" s="66" t="n"/>
      <c r="AD160" s="66" t="n"/>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66" t="n"/>
      <c r="AJ160" s="66" t="n"/>
      <c r="AK160" s="66" t="n"/>
      <c r="AL160" s="59">
        <f>IF(AND(OR(W160="Watching",W160="Preparing"),ISNUMBER(Q160)),IF(AND(Q160&gt;='Friday Summary'!$C$4,Q160&lt;='Friday Summary'!$C$4+14),Q160+ROW()/1000000,""),"")</f>
        <v/>
      </c>
    </row>
    <row r="161" ht="15" customHeight="1" s="51">
      <c r="A161" s="59">
        <f>IF(B161="","","OP-"&amp;TEXT(ROW()-4,"000"))</f>
        <v/>
      </c>
      <c r="B161" s="60" t="n"/>
      <c r="C161" s="61" t="n"/>
      <c r="D161" s="60" t="n"/>
      <c r="E161" s="60" t="n"/>
      <c r="F161" s="60" t="n"/>
      <c r="G161" s="60" t="n"/>
      <c r="H161" s="60" t="n"/>
      <c r="I161" s="60" t="n"/>
      <c r="J161" s="60" t="n"/>
      <c r="K161" s="60" t="n"/>
      <c r="L161" s="60" t="n"/>
      <c r="M161" s="62" t="n"/>
      <c r="N161" s="60" t="n"/>
      <c r="O161" s="61" t="n"/>
      <c r="P161" s="61" t="n"/>
      <c r="Q161" s="63" t="n"/>
      <c r="R161" s="60" t="n"/>
      <c r="S161" s="60" t="n"/>
      <c r="T161" s="64">
        <f>IF(A161="","",IFERROR(INDEX('Bid-NoBid'!$T:$T,MATCH(A161,'Bid-NoBid'!$A:$A,0)),""))</f>
        <v/>
      </c>
      <c r="U161" s="59">
        <f>IF(A161="","",IFERROR(IF(OR(INDEX('Bid-NoBid'!$U:$U,MATCH(A161,'Bid-NoBid'!$A:$A,0))="",LEFT(INDEX('Bid-NoBid'!$U:$U,MATCH(A161,'Bid-NoBid'!$A:$A,0)),10)="Incomplete"),"Screen: "&amp;AC161,INDEX('Bid-NoBid'!$U:$U,MATCH(A161,'Bid-NoBid'!$A:$A,0))),"Screen: "&amp;AC161))</f>
        <v/>
      </c>
      <c r="V161" s="60" t="n"/>
      <c r="W161" s="60" t="n"/>
      <c r="X161" s="60" t="n"/>
      <c r="Y161" s="60" t="n"/>
      <c r="Z161" s="60" t="n"/>
      <c r="AA161" s="65" t="n"/>
      <c r="AB161" s="66" t="n"/>
      <c r="AC161" s="66" t="n"/>
      <c r="AD161" s="66" t="n"/>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66" t="n"/>
      <c r="AJ161" s="66" t="n"/>
      <c r="AK161" s="66" t="n"/>
      <c r="AL161" s="59">
        <f>IF(AND(OR(W161="Watching",W161="Preparing"),ISNUMBER(Q161)),IF(AND(Q161&gt;='Friday Summary'!$C$4,Q161&lt;='Friday Summary'!$C$4+14),Q161+ROW()/1000000,""),"")</f>
        <v/>
      </c>
    </row>
    <row r="162" ht="15" customHeight="1" s="51">
      <c r="A162" s="59">
        <f>IF(B162="","","OP-"&amp;TEXT(ROW()-4,"000"))</f>
        <v/>
      </c>
      <c r="B162" s="60" t="n"/>
      <c r="C162" s="61" t="n"/>
      <c r="D162" s="60" t="n"/>
      <c r="E162" s="60" t="n"/>
      <c r="F162" s="60" t="n"/>
      <c r="G162" s="60" t="n"/>
      <c r="H162" s="60" t="n"/>
      <c r="I162" s="60" t="n"/>
      <c r="J162" s="60" t="n"/>
      <c r="K162" s="60" t="n"/>
      <c r="L162" s="60" t="n"/>
      <c r="M162" s="62" t="n"/>
      <c r="N162" s="60" t="n"/>
      <c r="O162" s="61" t="n"/>
      <c r="P162" s="61" t="n"/>
      <c r="Q162" s="63" t="n"/>
      <c r="R162" s="60" t="n"/>
      <c r="S162" s="60" t="n"/>
      <c r="T162" s="64">
        <f>IF(A162="","",IFERROR(INDEX('Bid-NoBid'!$T:$T,MATCH(A162,'Bid-NoBid'!$A:$A,0)),""))</f>
        <v/>
      </c>
      <c r="U162" s="59">
        <f>IF(A162="","",IFERROR(IF(OR(INDEX('Bid-NoBid'!$U:$U,MATCH(A162,'Bid-NoBid'!$A:$A,0))="",LEFT(INDEX('Bid-NoBid'!$U:$U,MATCH(A162,'Bid-NoBid'!$A:$A,0)),10)="Incomplete"),"Screen: "&amp;AC162,INDEX('Bid-NoBid'!$U:$U,MATCH(A162,'Bid-NoBid'!$A:$A,0))),"Screen: "&amp;AC162))</f>
        <v/>
      </c>
      <c r="V162" s="60" t="n"/>
      <c r="W162" s="60" t="n"/>
      <c r="X162" s="60" t="n"/>
      <c r="Y162" s="60" t="n"/>
      <c r="Z162" s="60" t="n"/>
      <c r="AA162" s="65" t="n"/>
      <c r="AB162" s="66" t="n"/>
      <c r="AC162" s="66" t="n"/>
      <c r="AD162" s="66" t="n"/>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66" t="n"/>
      <c r="AJ162" s="66" t="n"/>
      <c r="AK162" s="66" t="n"/>
      <c r="AL162" s="59">
        <f>IF(AND(OR(W162="Watching",W162="Preparing"),ISNUMBER(Q162)),IF(AND(Q162&gt;='Friday Summary'!$C$4,Q162&lt;='Friday Summary'!$C$4+14),Q162+ROW()/1000000,""),"")</f>
        <v/>
      </c>
    </row>
    <row r="163" ht="15" customHeight="1" s="51">
      <c r="A163" s="59">
        <f>IF(B163="","","OP-"&amp;TEXT(ROW()-4,"000"))</f>
        <v/>
      </c>
      <c r="B163" s="60" t="n"/>
      <c r="C163" s="61" t="n"/>
      <c r="D163" s="60" t="n"/>
      <c r="E163" s="60" t="n"/>
      <c r="F163" s="60" t="n"/>
      <c r="G163" s="60" t="n"/>
      <c r="H163" s="60" t="n"/>
      <c r="I163" s="60" t="n"/>
      <c r="J163" s="60" t="n"/>
      <c r="K163" s="60" t="n"/>
      <c r="L163" s="60" t="n"/>
      <c r="M163" s="62" t="n"/>
      <c r="N163" s="60" t="n"/>
      <c r="O163" s="61" t="n"/>
      <c r="P163" s="61" t="n"/>
      <c r="Q163" s="63" t="n"/>
      <c r="R163" s="60" t="n"/>
      <c r="S163" s="60" t="n"/>
      <c r="T163" s="64">
        <f>IF(A163="","",IFERROR(INDEX('Bid-NoBid'!$T:$T,MATCH(A163,'Bid-NoBid'!$A:$A,0)),""))</f>
        <v/>
      </c>
      <c r="U163" s="59">
        <f>IF(A163="","",IFERROR(IF(OR(INDEX('Bid-NoBid'!$U:$U,MATCH(A163,'Bid-NoBid'!$A:$A,0))="",LEFT(INDEX('Bid-NoBid'!$U:$U,MATCH(A163,'Bid-NoBid'!$A:$A,0)),10)="Incomplete"),"Screen: "&amp;AC163,INDEX('Bid-NoBid'!$U:$U,MATCH(A163,'Bid-NoBid'!$A:$A,0))),"Screen: "&amp;AC163))</f>
        <v/>
      </c>
      <c r="V163" s="60" t="n"/>
      <c r="W163" s="60" t="n"/>
      <c r="X163" s="60" t="n"/>
      <c r="Y163" s="60" t="n"/>
      <c r="Z163" s="60" t="n"/>
      <c r="AA163" s="65" t="n"/>
      <c r="AB163" s="66" t="n"/>
      <c r="AC163" s="66" t="n"/>
      <c r="AD163" s="66" t="n"/>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66" t="n"/>
      <c r="AJ163" s="66" t="n"/>
      <c r="AK163" s="66" t="n"/>
      <c r="AL163" s="59">
        <f>IF(AND(OR(W163="Watching",W163="Preparing"),ISNUMBER(Q163)),IF(AND(Q163&gt;='Friday Summary'!$C$4,Q163&lt;='Friday Summary'!$C$4+14),Q163+ROW()/1000000,""),"")</f>
        <v/>
      </c>
    </row>
    <row r="164" ht="15" customHeight="1" s="51">
      <c r="A164" s="59">
        <f>IF(B164="","","OP-"&amp;TEXT(ROW()-4,"000"))</f>
        <v/>
      </c>
      <c r="B164" s="60" t="n"/>
      <c r="C164" s="61" t="n"/>
      <c r="D164" s="60" t="n"/>
      <c r="E164" s="60" t="n"/>
      <c r="F164" s="60" t="n"/>
      <c r="G164" s="60" t="n"/>
      <c r="H164" s="60" t="n"/>
      <c r="I164" s="60" t="n"/>
      <c r="J164" s="60" t="n"/>
      <c r="K164" s="60" t="n"/>
      <c r="L164" s="60" t="n"/>
      <c r="M164" s="62" t="n"/>
      <c r="N164" s="60" t="n"/>
      <c r="O164" s="61" t="n"/>
      <c r="P164" s="61" t="n"/>
      <c r="Q164" s="63" t="n"/>
      <c r="R164" s="60" t="n"/>
      <c r="S164" s="60" t="n"/>
      <c r="T164" s="64">
        <f>IF(A164="","",IFERROR(INDEX('Bid-NoBid'!$T:$T,MATCH(A164,'Bid-NoBid'!$A:$A,0)),""))</f>
        <v/>
      </c>
      <c r="U164" s="59">
        <f>IF(A164="","",IFERROR(IF(OR(INDEX('Bid-NoBid'!$U:$U,MATCH(A164,'Bid-NoBid'!$A:$A,0))="",LEFT(INDEX('Bid-NoBid'!$U:$U,MATCH(A164,'Bid-NoBid'!$A:$A,0)),10)="Incomplete"),"Screen: "&amp;AC164,INDEX('Bid-NoBid'!$U:$U,MATCH(A164,'Bid-NoBid'!$A:$A,0))),"Screen: "&amp;AC164))</f>
        <v/>
      </c>
      <c r="V164" s="60" t="n"/>
      <c r="W164" s="60" t="n"/>
      <c r="X164" s="60" t="n"/>
      <c r="Y164" s="60" t="n"/>
      <c r="Z164" s="60" t="n"/>
      <c r="AA164" s="65" t="n"/>
      <c r="AB164" s="66" t="n"/>
      <c r="AC164" s="66" t="n"/>
      <c r="AD164" s="66" t="n"/>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66" t="n"/>
      <c r="AJ164" s="66" t="n"/>
      <c r="AK164" s="66" t="n"/>
      <c r="AL164" s="59">
        <f>IF(AND(OR(W164="Watching",W164="Preparing"),ISNUMBER(Q164)),IF(AND(Q164&gt;='Friday Summary'!$C$4,Q164&lt;='Friday Summary'!$C$4+14),Q164+ROW()/1000000,""),"")</f>
        <v/>
      </c>
    </row>
    <row r="165" ht="15" customHeight="1" s="51">
      <c r="A165" s="59">
        <f>IF(B165="","","OP-"&amp;TEXT(ROW()-4,"000"))</f>
        <v/>
      </c>
      <c r="B165" s="60" t="n"/>
      <c r="C165" s="61" t="n"/>
      <c r="D165" s="60" t="n"/>
      <c r="E165" s="60" t="n"/>
      <c r="F165" s="60" t="n"/>
      <c r="G165" s="60" t="n"/>
      <c r="H165" s="60" t="n"/>
      <c r="I165" s="60" t="n"/>
      <c r="J165" s="60" t="n"/>
      <c r="K165" s="60" t="n"/>
      <c r="L165" s="60" t="n"/>
      <c r="M165" s="62" t="n"/>
      <c r="N165" s="60" t="n"/>
      <c r="O165" s="61" t="n"/>
      <c r="P165" s="61" t="n"/>
      <c r="Q165" s="63" t="n"/>
      <c r="R165" s="60" t="n"/>
      <c r="S165" s="60" t="n"/>
      <c r="T165" s="64">
        <f>IF(A165="","",IFERROR(INDEX('Bid-NoBid'!$T:$T,MATCH(A165,'Bid-NoBid'!$A:$A,0)),""))</f>
        <v/>
      </c>
      <c r="U165" s="59">
        <f>IF(A165="","",IFERROR(IF(OR(INDEX('Bid-NoBid'!$U:$U,MATCH(A165,'Bid-NoBid'!$A:$A,0))="",LEFT(INDEX('Bid-NoBid'!$U:$U,MATCH(A165,'Bid-NoBid'!$A:$A,0)),10)="Incomplete"),"Screen: "&amp;AC165,INDEX('Bid-NoBid'!$U:$U,MATCH(A165,'Bid-NoBid'!$A:$A,0))),"Screen: "&amp;AC165))</f>
        <v/>
      </c>
      <c r="V165" s="60" t="n"/>
      <c r="W165" s="60" t="n"/>
      <c r="X165" s="60" t="n"/>
      <c r="Y165" s="60" t="n"/>
      <c r="Z165" s="60" t="n"/>
      <c r="AA165" s="65" t="n"/>
      <c r="AB165" s="66" t="n"/>
      <c r="AC165" s="66" t="n"/>
      <c r="AD165" s="66" t="n"/>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66" t="n"/>
      <c r="AJ165" s="66" t="n"/>
      <c r="AK165" s="66" t="n"/>
      <c r="AL165" s="59">
        <f>IF(AND(OR(W165="Watching",W165="Preparing"),ISNUMBER(Q165)),IF(AND(Q165&gt;='Friday Summary'!$C$4,Q165&lt;='Friday Summary'!$C$4+14),Q165+ROW()/1000000,""),"")</f>
        <v/>
      </c>
    </row>
    <row r="166" ht="15" customHeight="1" s="51">
      <c r="A166" s="59">
        <f>IF(B166="","","OP-"&amp;TEXT(ROW()-4,"000"))</f>
        <v/>
      </c>
      <c r="B166" s="60" t="n"/>
      <c r="C166" s="61" t="n"/>
      <c r="D166" s="60" t="n"/>
      <c r="E166" s="60" t="n"/>
      <c r="F166" s="60" t="n"/>
      <c r="G166" s="60" t="n"/>
      <c r="H166" s="60" t="n"/>
      <c r="I166" s="60" t="n"/>
      <c r="J166" s="60" t="n"/>
      <c r="K166" s="60" t="n"/>
      <c r="L166" s="60" t="n"/>
      <c r="M166" s="62" t="n"/>
      <c r="N166" s="60" t="n"/>
      <c r="O166" s="61" t="n"/>
      <c r="P166" s="61" t="n"/>
      <c r="Q166" s="63" t="n"/>
      <c r="R166" s="60" t="n"/>
      <c r="S166" s="60" t="n"/>
      <c r="T166" s="64">
        <f>IF(A166="","",IFERROR(INDEX('Bid-NoBid'!$T:$T,MATCH(A166,'Bid-NoBid'!$A:$A,0)),""))</f>
        <v/>
      </c>
      <c r="U166" s="59">
        <f>IF(A166="","",IFERROR(IF(OR(INDEX('Bid-NoBid'!$U:$U,MATCH(A166,'Bid-NoBid'!$A:$A,0))="",LEFT(INDEX('Bid-NoBid'!$U:$U,MATCH(A166,'Bid-NoBid'!$A:$A,0)),10)="Incomplete"),"Screen: "&amp;AC166,INDEX('Bid-NoBid'!$U:$U,MATCH(A166,'Bid-NoBid'!$A:$A,0))),"Screen: "&amp;AC166))</f>
        <v/>
      </c>
      <c r="V166" s="60" t="n"/>
      <c r="W166" s="60" t="n"/>
      <c r="X166" s="60" t="n"/>
      <c r="Y166" s="60" t="n"/>
      <c r="Z166" s="60" t="n"/>
      <c r="AA166" s="65" t="n"/>
      <c r="AB166" s="66" t="n"/>
      <c r="AC166" s="66" t="n"/>
      <c r="AD166" s="66" t="n"/>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66" t="n"/>
      <c r="AJ166" s="66" t="n"/>
      <c r="AK166" s="66" t="n"/>
      <c r="AL166" s="59">
        <f>IF(AND(OR(W166="Watching",W166="Preparing"),ISNUMBER(Q166)),IF(AND(Q166&gt;='Friday Summary'!$C$4,Q166&lt;='Friday Summary'!$C$4+14),Q166+ROW()/1000000,""),"")</f>
        <v/>
      </c>
    </row>
    <row r="167" ht="15" customHeight="1" s="51">
      <c r="A167" s="59">
        <f>IF(B167="","","OP-"&amp;TEXT(ROW()-4,"000"))</f>
        <v/>
      </c>
      <c r="B167" s="60" t="n"/>
      <c r="C167" s="61" t="n"/>
      <c r="D167" s="60" t="n"/>
      <c r="E167" s="60" t="n"/>
      <c r="F167" s="60" t="n"/>
      <c r="G167" s="60" t="n"/>
      <c r="H167" s="60" t="n"/>
      <c r="I167" s="60" t="n"/>
      <c r="J167" s="60" t="n"/>
      <c r="K167" s="60" t="n"/>
      <c r="L167" s="60" t="n"/>
      <c r="M167" s="62" t="n"/>
      <c r="N167" s="60" t="n"/>
      <c r="O167" s="61" t="n"/>
      <c r="P167" s="61" t="n"/>
      <c r="Q167" s="63" t="n"/>
      <c r="R167" s="60" t="n"/>
      <c r="S167" s="60" t="n"/>
      <c r="T167" s="64">
        <f>IF(A167="","",IFERROR(INDEX('Bid-NoBid'!$T:$T,MATCH(A167,'Bid-NoBid'!$A:$A,0)),""))</f>
        <v/>
      </c>
      <c r="U167" s="59">
        <f>IF(A167="","",IFERROR(IF(OR(INDEX('Bid-NoBid'!$U:$U,MATCH(A167,'Bid-NoBid'!$A:$A,0))="",LEFT(INDEX('Bid-NoBid'!$U:$U,MATCH(A167,'Bid-NoBid'!$A:$A,0)),10)="Incomplete"),"Screen: "&amp;AC167,INDEX('Bid-NoBid'!$U:$U,MATCH(A167,'Bid-NoBid'!$A:$A,0))),"Screen: "&amp;AC167))</f>
        <v/>
      </c>
      <c r="V167" s="60" t="n"/>
      <c r="W167" s="60" t="n"/>
      <c r="X167" s="60" t="n"/>
      <c r="Y167" s="60" t="n"/>
      <c r="Z167" s="60" t="n"/>
      <c r="AA167" s="65" t="n"/>
      <c r="AB167" s="66" t="n"/>
      <c r="AC167" s="66" t="n"/>
      <c r="AD167" s="66" t="n"/>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66" t="n"/>
      <c r="AJ167" s="66" t="n"/>
      <c r="AK167" s="66" t="n"/>
      <c r="AL167" s="59">
        <f>IF(AND(OR(W167="Watching",W167="Preparing"),ISNUMBER(Q167)),IF(AND(Q167&gt;='Friday Summary'!$C$4,Q167&lt;='Friday Summary'!$C$4+14),Q167+ROW()/1000000,""),"")</f>
        <v/>
      </c>
    </row>
    <row r="168" ht="15" customHeight="1" s="51">
      <c r="A168" s="59">
        <f>IF(B168="","","OP-"&amp;TEXT(ROW()-4,"000"))</f>
        <v/>
      </c>
      <c r="B168" s="60" t="n"/>
      <c r="C168" s="61" t="n"/>
      <c r="D168" s="60" t="n"/>
      <c r="E168" s="60" t="n"/>
      <c r="F168" s="60" t="n"/>
      <c r="G168" s="60" t="n"/>
      <c r="H168" s="60" t="n"/>
      <c r="I168" s="60" t="n"/>
      <c r="J168" s="60" t="n"/>
      <c r="K168" s="60" t="n"/>
      <c r="L168" s="60" t="n"/>
      <c r="M168" s="62" t="n"/>
      <c r="N168" s="60" t="n"/>
      <c r="O168" s="61" t="n"/>
      <c r="P168" s="61" t="n"/>
      <c r="Q168" s="63" t="n"/>
      <c r="R168" s="60" t="n"/>
      <c r="S168" s="60" t="n"/>
      <c r="T168" s="64">
        <f>IF(A168="","",IFERROR(INDEX('Bid-NoBid'!$T:$T,MATCH(A168,'Bid-NoBid'!$A:$A,0)),""))</f>
        <v/>
      </c>
      <c r="U168" s="59">
        <f>IF(A168="","",IFERROR(IF(OR(INDEX('Bid-NoBid'!$U:$U,MATCH(A168,'Bid-NoBid'!$A:$A,0))="",LEFT(INDEX('Bid-NoBid'!$U:$U,MATCH(A168,'Bid-NoBid'!$A:$A,0)),10)="Incomplete"),"Screen: "&amp;AC168,INDEX('Bid-NoBid'!$U:$U,MATCH(A168,'Bid-NoBid'!$A:$A,0))),"Screen: "&amp;AC168))</f>
        <v/>
      </c>
      <c r="V168" s="60" t="n"/>
      <c r="W168" s="60" t="n"/>
      <c r="X168" s="60" t="n"/>
      <c r="Y168" s="60" t="n"/>
      <c r="Z168" s="60" t="n"/>
      <c r="AA168" s="65" t="n"/>
      <c r="AB168" s="66" t="n"/>
      <c r="AC168" s="66" t="n"/>
      <c r="AD168" s="66" t="n"/>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66" t="n"/>
      <c r="AJ168" s="66" t="n"/>
      <c r="AK168" s="66" t="n"/>
      <c r="AL168" s="59">
        <f>IF(AND(OR(W168="Watching",W168="Preparing"),ISNUMBER(Q168)),IF(AND(Q168&gt;='Friday Summary'!$C$4,Q168&lt;='Friday Summary'!$C$4+14),Q168+ROW()/1000000,""),"")</f>
        <v/>
      </c>
    </row>
    <row r="169" ht="15" customHeight="1" s="51">
      <c r="A169" s="59">
        <f>IF(B169="","","OP-"&amp;TEXT(ROW()-4,"000"))</f>
        <v/>
      </c>
      <c r="B169" s="60" t="n"/>
      <c r="C169" s="61" t="n"/>
      <c r="D169" s="60" t="n"/>
      <c r="E169" s="60" t="n"/>
      <c r="F169" s="60" t="n"/>
      <c r="G169" s="60" t="n"/>
      <c r="H169" s="60" t="n"/>
      <c r="I169" s="60" t="n"/>
      <c r="J169" s="60" t="n"/>
      <c r="K169" s="60" t="n"/>
      <c r="L169" s="60" t="n"/>
      <c r="M169" s="62" t="n"/>
      <c r="N169" s="60" t="n"/>
      <c r="O169" s="61" t="n"/>
      <c r="P169" s="61" t="n"/>
      <c r="Q169" s="63" t="n"/>
      <c r="R169" s="60" t="n"/>
      <c r="S169" s="60" t="n"/>
      <c r="T169" s="64">
        <f>IF(A169="","",IFERROR(INDEX('Bid-NoBid'!$T:$T,MATCH(A169,'Bid-NoBid'!$A:$A,0)),""))</f>
        <v/>
      </c>
      <c r="U169" s="59">
        <f>IF(A169="","",IFERROR(IF(OR(INDEX('Bid-NoBid'!$U:$U,MATCH(A169,'Bid-NoBid'!$A:$A,0))="",LEFT(INDEX('Bid-NoBid'!$U:$U,MATCH(A169,'Bid-NoBid'!$A:$A,0)),10)="Incomplete"),"Screen: "&amp;AC169,INDEX('Bid-NoBid'!$U:$U,MATCH(A169,'Bid-NoBid'!$A:$A,0))),"Screen: "&amp;AC169))</f>
        <v/>
      </c>
      <c r="V169" s="60" t="n"/>
      <c r="W169" s="60" t="n"/>
      <c r="X169" s="60" t="n"/>
      <c r="Y169" s="60" t="n"/>
      <c r="Z169" s="60" t="n"/>
      <c r="AA169" s="65" t="n"/>
      <c r="AB169" s="66" t="n"/>
      <c r="AC169" s="66" t="n"/>
      <c r="AD169" s="66" t="n"/>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66" t="n"/>
      <c r="AJ169" s="66" t="n"/>
      <c r="AK169" s="66" t="n"/>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2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49"/>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2026-10-03T05:16:15Z</dcterms:modified>
  <cp:revision>0</cp:revision>
</cp:coreProperties>
</file>