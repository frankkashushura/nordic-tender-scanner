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46325.66666666666</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Deadline changed at source 29-Oct (was 29-Oct 14:00). 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70" t="inlineStr">
        <is>
          <t>S10/009/2026/2027/W/113</t>
        </is>
      </c>
      <c r="C227" s="71" t="n">
        <v>46321</v>
      </c>
      <c r="D227" s="70" t="inlineStr">
        <is>
          <t>NeST</t>
        </is>
      </c>
      <c r="E227" s="70" t="inlineStr">
        <is>
          <t>https://nest.go.tz/tenders/published-tenders</t>
        </is>
      </c>
      <c r="F227" s="70" t="inlineStr">
        <is>
          <t>TARURA - Kilimanjaro Regional Office</t>
        </is>
      </c>
      <c r="G227" s="70" t="inlineStr">
        <is>
          <t>government</t>
        </is>
      </c>
      <c r="H227" s="70" t="inlineStr">
        <is>
          <t>Upgrading of Shabani - Otaruni, Mto Umbwe Nyamaa B and Mwasi Kusini - Kishumundu Centre Roads to Gravel Standard, Roads Rehabilitation of Kibosho sokoni - Kibosho Hospital - Singa Juu and Nkonyaku P/S - Mkomilo and Opening of Kifura road in Moshi District</t>
        </is>
      </c>
      <c r="I227" s="70" t="inlineStr">
        <is>
          <t>From NeST notice (1 lot) – read the tender document</t>
        </is>
      </c>
      <c r="J227" s="70" t="inlineStr">
        <is>
          <t>Kilimanjaro (Moshi)</t>
        </is>
      </c>
      <c r="K227" s="70" t="inlineStr">
        <is>
          <t>renovation</t>
        </is>
      </c>
      <c r="L227" s="70" t="inlineStr">
        <is>
          <t>NeST login needed</t>
        </is>
      </c>
      <c r="M227" s="62" t="n"/>
      <c r="N227" s="70" t="inlineStr">
        <is>
          <t>unknown</t>
        </is>
      </c>
      <c r="O227" s="71" t="inlineStr">
        <is>
          <t>NeST login needed</t>
        </is>
      </c>
      <c r="P227" s="71" t="inlineStr">
        <is>
          <t>NeST login needed</t>
        </is>
      </c>
      <c r="Q227" s="72" t="n">
        <v>46328.45833333334</v>
      </c>
      <c r="R227" s="70" t="inlineStr">
        <is>
          <t>NeST login needed</t>
        </is>
      </c>
      <c r="S227" s="70" t="inlineStr">
        <is>
          <t>N</t>
        </is>
      </c>
      <c r="T227" s="64">
        <f>IF(A227="","",IFERROR(INDEX('Bid-NoBid'!$T:$T,MATCH(A227,'Bid-NoBid'!$A:$A,0)),""))</f>
        <v/>
      </c>
      <c r="U227" s="59">
        <f>IF(A227="","",IFERROR(IF(OR(INDEX('Bid-NoBid'!$U:$U,MATCH(A227,'Bid-NoBid'!$A:$A,0))="",LEFT(INDEX('Bid-NoBid'!$U:$U,MATCH(A227,'Bid-NoBid'!$A:$A,0)),10)="Incomplete"),"Screen: "&amp;AC227,INDEX('Bid-NoBid'!$U:$U,MATCH(A227,'Bid-NoBid'!$A:$A,0))),"Screen: "&amp;AC227))</f>
        <v/>
      </c>
      <c r="V227" s="60" t="n"/>
      <c r="W227" s="70" t="inlineStr">
        <is>
          <t>Watching</t>
        </is>
      </c>
      <c r="X227" s="70" t="inlineStr">
        <is>
          <t>Frank</t>
        </is>
      </c>
      <c r="Y227" s="60" t="n"/>
      <c r="Z227" s="60" t="n"/>
      <c r="AA227" s="73" t="n">
        <v>46321</v>
      </c>
      <c r="AB227" s="74" t="inlineStr">
        <is>
          <t>Small Works / Tender</t>
        </is>
      </c>
      <c r="AC227" s="74" t="inlineStr">
        <is>
          <t>Check</t>
        </is>
      </c>
      <c r="AD227" s="74" t="inlineStr">
        <is>
          <t>Auto (Small Works / Tender): Building works but remote from Dar</t>
        </is>
      </c>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74" t="inlineStr">
        <is>
          <t>Read the notice and decide with the QS Director whether to pursue</t>
        </is>
      </c>
      <c r="AJ227" s="74" t="inlineStr">
        <is>
          <t>Auto-scan</t>
        </is>
      </c>
      <c r="AK227" s="74" t="inlineStr">
        <is>
          <t>f3ddb3f1-00f5-4482-8c0f-4b732abc1cb9</t>
        </is>
      </c>
      <c r="AL227" s="59">
        <f>IF(AND(OR(W227="Watching",W227="Preparing"),ISNUMBER(Q227)),IF(AND(Q227&gt;='Friday Summary'!$C$4,Q227&lt;='Friday Summary'!$C$4+14),Q227+ROW()/1000000,""),"")</f>
        <v/>
      </c>
    </row>
    <row r="228" ht="15" customHeight="1" s="51">
      <c r="A228" s="59">
        <f>IF(B228="","","OP-"&amp;TEXT(ROW()-4,"000"))</f>
        <v/>
      </c>
      <c r="B228" s="70" t="inlineStr">
        <is>
          <t>S10/009/2026/2027/W/33</t>
        </is>
      </c>
      <c r="C228" s="71" t="n">
        <v>46321</v>
      </c>
      <c r="D228" s="70" t="inlineStr">
        <is>
          <t>NeST</t>
        </is>
      </c>
      <c r="E228" s="70" t="inlineStr">
        <is>
          <t>https://nest.go.tz/tenders/published-tenders</t>
        </is>
      </c>
      <c r="F228" s="70" t="inlineStr">
        <is>
          <t>TARURA - Kilimanjaro Regional Office</t>
        </is>
      </c>
      <c r="G228" s="70" t="inlineStr">
        <is>
          <t>government</t>
        </is>
      </c>
      <c r="H228" s="70" t="inlineStr">
        <is>
          <t>BRIDGE CONSTRUCTION AND REPAIR AT HAI DISTRICT</t>
        </is>
      </c>
      <c r="I228" s="70" t="inlineStr">
        <is>
          <t>From NeST notice (1 lot) – read the tender document</t>
        </is>
      </c>
      <c r="J228" s="70" t="inlineStr">
        <is>
          <t>Kilimanjaro (Moshi) (from client's office – confirm site)</t>
        </is>
      </c>
      <c r="K228" s="70" t="inlineStr">
        <is>
          <t>civil</t>
        </is>
      </c>
      <c r="L228" s="70" t="inlineStr">
        <is>
          <t>NeST login needed</t>
        </is>
      </c>
      <c r="M228" s="62" t="n"/>
      <c r="N228" s="70" t="inlineStr">
        <is>
          <t>unknown</t>
        </is>
      </c>
      <c r="O228" s="71" t="inlineStr">
        <is>
          <t>NeST login needed</t>
        </is>
      </c>
      <c r="P228" s="71" t="inlineStr">
        <is>
          <t>NeST login needed</t>
        </is>
      </c>
      <c r="Q228" s="72" t="n">
        <v>46328.58333333334</v>
      </c>
      <c r="R228" s="70" t="inlineStr">
        <is>
          <t>NeST login needed</t>
        </is>
      </c>
      <c r="S228" s="70" t="inlineStr">
        <is>
          <t>N</t>
        </is>
      </c>
      <c r="T228" s="64">
        <f>IF(A228="","",IFERROR(INDEX('Bid-NoBid'!$T:$T,MATCH(A228,'Bid-NoBid'!$A:$A,0)),""))</f>
        <v/>
      </c>
      <c r="U228" s="59">
        <f>IF(A228="","",IFERROR(IF(OR(INDEX('Bid-NoBid'!$U:$U,MATCH(A228,'Bid-NoBid'!$A:$A,0))="",LEFT(INDEX('Bid-NoBid'!$U:$U,MATCH(A228,'Bid-NoBid'!$A:$A,0)),10)="Incomplete"),"Screen: "&amp;AC228,INDEX('Bid-NoBid'!$U:$U,MATCH(A228,'Bid-NoBid'!$A:$A,0))),"Screen: "&amp;AC228))</f>
        <v/>
      </c>
      <c r="V228" s="60" t="n"/>
      <c r="W228" s="70" t="inlineStr">
        <is>
          <t>Watching</t>
        </is>
      </c>
      <c r="X228" s="70" t="inlineStr">
        <is>
          <t>Frank</t>
        </is>
      </c>
      <c r="Y228" s="60" t="n"/>
      <c r="Z228" s="60" t="n"/>
      <c r="AA228" s="73" t="n">
        <v>46321</v>
      </c>
      <c r="AB228" s="74" t="inlineStr">
        <is>
          <t>Small Works / Tender</t>
        </is>
      </c>
      <c r="AC228" s="74" t="inlineStr">
        <is>
          <t>Check</t>
        </is>
      </c>
      <c r="AD228" s="74" t="inlineStr">
        <is>
          <t>Auto (Small Works / Tender): Construction tender kept for review (would have been dropped: Remote civil works)</t>
        </is>
      </c>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74" t="inlineStr">
        <is>
          <t>Read the notice and decide with the QS Director whether to pursue</t>
        </is>
      </c>
      <c r="AJ228" s="74" t="inlineStr">
        <is>
          <t>Auto-scan</t>
        </is>
      </c>
      <c r="AK228" s="74" t="inlineStr">
        <is>
          <t>a61c3f15-48bf-4dba-90ac-aa3a55f0e977</t>
        </is>
      </c>
      <c r="AL228" s="59">
        <f>IF(AND(OR(W228="Watching",W228="Preparing"),ISNUMBER(Q228)),IF(AND(Q228&gt;='Friday Summary'!$C$4,Q228&lt;='Friday Summary'!$C$4+14),Q228+ROW()/1000000,""),"")</f>
        <v/>
      </c>
    </row>
    <row r="229" ht="15" customHeight="1" s="51">
      <c r="A229" s="59">
        <f>IF(B229="","","OP-"&amp;TEXT(ROW()-4,"000"))</f>
        <v/>
      </c>
      <c r="B229" s="70" t="inlineStr">
        <is>
          <t>82N7/2026/2027/W/27</t>
        </is>
      </c>
      <c r="C229" s="71" t="n">
        <v>46321</v>
      </c>
      <c r="D229" s="70" t="inlineStr">
        <is>
          <t>NeST</t>
        </is>
      </c>
      <c r="E229" s="70" t="inlineStr">
        <is>
          <t>https://nest.go.tz/tenders/published-tenders</t>
        </is>
      </c>
      <c r="F229" s="70" t="inlineStr">
        <is>
          <t>Mbinga Town Council</t>
        </is>
      </c>
      <c r="G229" s="70" t="inlineStr">
        <is>
          <t>government</t>
        </is>
      </c>
      <c r="H229" s="70" t="inlineStr">
        <is>
          <t>CONSTRUCTION OF WAREHOUSE AND SHOPS AT MAKITA AREA IN MBINGA TOWN COUNCIL</t>
        </is>
      </c>
      <c r="I229" s="70" t="inlineStr">
        <is>
          <t>From NeST notice (1 lot) – read the tender document</t>
        </is>
      </c>
      <c r="J229" s="70" t="inlineStr">
        <is>
          <t>Ruvuma (Mbinga)</t>
        </is>
      </c>
      <c r="K229" s="70" t="inlineStr">
        <is>
          <t>building</t>
        </is>
      </c>
      <c r="L229" s="70" t="inlineStr">
        <is>
          <t>NeST login needed</t>
        </is>
      </c>
      <c r="M229" s="62" t="n"/>
      <c r="N229" s="70" t="inlineStr">
        <is>
          <t>unknown</t>
        </is>
      </c>
      <c r="O229" s="71" t="inlineStr">
        <is>
          <t>NeST login needed</t>
        </is>
      </c>
      <c r="P229" s="71" t="inlineStr">
        <is>
          <t>NeST login needed</t>
        </is>
      </c>
      <c r="Q229" s="72" t="n">
        <v>46328.58333333334</v>
      </c>
      <c r="R229" s="70" t="inlineStr">
        <is>
          <t>NeST login needed</t>
        </is>
      </c>
      <c r="S229" s="70" t="inlineStr">
        <is>
          <t>N</t>
        </is>
      </c>
      <c r="T229" s="64">
        <f>IF(A229="","",IFERROR(INDEX('Bid-NoBid'!$T:$T,MATCH(A229,'Bid-NoBid'!$A:$A,0)),""))</f>
        <v/>
      </c>
      <c r="U229" s="59">
        <f>IF(A229="","",IFERROR(IF(OR(INDEX('Bid-NoBid'!$U:$U,MATCH(A229,'Bid-NoBid'!$A:$A,0))="",LEFT(INDEX('Bid-NoBid'!$U:$U,MATCH(A229,'Bid-NoBid'!$A:$A,0)),10)="Incomplete"),"Screen: "&amp;AC229,INDEX('Bid-NoBid'!$U:$U,MATCH(A229,'Bid-NoBid'!$A:$A,0))),"Screen: "&amp;AC229))</f>
        <v/>
      </c>
      <c r="V229" s="60" t="n"/>
      <c r="W229" s="70" t="inlineStr">
        <is>
          <t>Watching</t>
        </is>
      </c>
      <c r="X229" s="70" t="inlineStr">
        <is>
          <t>Frank</t>
        </is>
      </c>
      <c r="Y229" s="60" t="n"/>
      <c r="Z229" s="60" t="n"/>
      <c r="AA229" s="73" t="n">
        <v>46321</v>
      </c>
      <c r="AB229" s="74" t="inlineStr">
        <is>
          <t>Small Works / Tender</t>
        </is>
      </c>
      <c r="AC229" s="74" t="inlineStr">
        <is>
          <t>Check</t>
        </is>
      </c>
      <c r="AD229" s="74" t="inlineStr">
        <is>
          <t>Auto (Small Works / Tender): Building works but remote from Dar</t>
        </is>
      </c>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74" t="inlineStr">
        <is>
          <t>Read the notice and decide with the QS Director whether to pursue</t>
        </is>
      </c>
      <c r="AJ229" s="74" t="inlineStr">
        <is>
          <t>Auto-scan</t>
        </is>
      </c>
      <c r="AK229" s="74" t="inlineStr">
        <is>
          <t>9c8a2dc3-da2b-4fe0-923d-664177a88d66</t>
        </is>
      </c>
      <c r="AL229" s="59">
        <f>IF(AND(OR(W229="Watching",W229="Preparing"),ISNUMBER(Q229)),IF(AND(Q229&gt;='Friday Summary'!$C$4,Q229&lt;='Friday Summary'!$C$4+14),Q229+ROW()/1000000,""),"")</f>
        <v/>
      </c>
    </row>
    <row r="230" ht="15" customHeight="1" s="51">
      <c r="A230" s="59">
        <f>IF(B230="","","OP-"&amp;TEXT(ROW()-4,"000"))</f>
        <v/>
      </c>
      <c r="B230" s="70" t="inlineStr">
        <is>
          <t>STC/AF/BDC/W/01/2026-2027</t>
        </is>
      </c>
      <c r="C230" s="71" t="n">
        <v>46321</v>
      </c>
      <c r="D230" s="70" t="inlineStr">
        <is>
          <t>press</t>
        </is>
      </c>
      <c r="E230" s="70" t="inlineStr">
        <is>
          <t>https://www.ddotenders.co.tz/tender.php?page=home</t>
        </is>
      </c>
      <c r="F230" s="70" t="inlineStr">
        <is>
          <t>So They Can (STC)</t>
        </is>
      </c>
      <c r="G230" s="70" t="inlineStr">
        <is>
          <t>government</t>
        </is>
      </c>
      <c r="H230" s="70" t="inlineStr">
        <is>
          <t>Extension of Orng’Adida School</t>
        </is>
      </c>
      <c r="I230" s="70" t="inlineStr">
        <is>
          <t>From press notice (1 lot) – read the tender document</t>
        </is>
      </c>
      <c r="J230" s="70" t="inlineStr">
        <is>
          <t>Dar es Salaam</t>
        </is>
      </c>
      <c r="K230" s="70" t="inlineStr">
        <is>
          <t>building</t>
        </is>
      </c>
      <c r="L230" s="70" t="inlineStr">
        <is>
          <t>See tender document</t>
        </is>
      </c>
      <c r="M230" s="62" t="n"/>
      <c r="N230" s="70" t="inlineStr">
        <is>
          <t>unknown</t>
        </is>
      </c>
      <c r="O230" s="71" t="inlineStr">
        <is>
          <t>See tender document</t>
        </is>
      </c>
      <c r="P230" s="71" t="inlineStr">
        <is>
          <t>See tender document</t>
        </is>
      </c>
      <c r="Q230" s="72" t="n">
        <v>46332.41666666666</v>
      </c>
      <c r="R230" s="70" t="inlineStr">
        <is>
          <t>See tender document</t>
        </is>
      </c>
      <c r="S230" s="70" t="inlineStr">
        <is>
          <t>N</t>
        </is>
      </c>
      <c r="T230" s="64">
        <f>IF(A230="","",IFERROR(INDEX('Bid-NoBid'!$T:$T,MATCH(A230,'Bid-NoBid'!$A:$A,0)),""))</f>
        <v/>
      </c>
      <c r="U230" s="59">
        <f>IF(A230="","",IFERROR(IF(OR(INDEX('Bid-NoBid'!$U:$U,MATCH(A230,'Bid-NoBid'!$A:$A,0))="",LEFT(INDEX('Bid-NoBid'!$U:$U,MATCH(A230,'Bid-NoBid'!$A:$A,0)),10)="Incomplete"),"Screen: "&amp;AC230,INDEX('Bid-NoBid'!$U:$U,MATCH(A230,'Bid-NoBid'!$A:$A,0))),"Screen: "&amp;AC230))</f>
        <v/>
      </c>
      <c r="V230" s="60" t="n"/>
      <c r="W230" s="70" t="inlineStr">
        <is>
          <t>Watching</t>
        </is>
      </c>
      <c r="X230" s="70" t="inlineStr">
        <is>
          <t>Frank</t>
        </is>
      </c>
      <c r="Y230" s="60" t="n"/>
      <c r="Z230" s="60" t="n"/>
      <c r="AA230" s="73" t="n">
        <v>46321</v>
      </c>
      <c r="AB230" s="74" t="inlineStr">
        <is>
          <t>DDO Tenders (newspaper / private / donor)</t>
        </is>
      </c>
      <c r="AC230" s="74" t="inlineStr">
        <is>
          <t>Pursue</t>
        </is>
      </c>
      <c r="AD230" s="74" t="inlineStr">
        <is>
          <t>Auto (DDO Tenders): Building works within reach of Dar · deadline read from the web page – confirm</t>
        </is>
      </c>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74" t="inlineStr">
        <is>
          <t>Get the tender document, confirm value, CRB class, site visit and bid security; brief the MD</t>
        </is>
      </c>
      <c r="AJ230" s="74" t="inlineStr">
        <is>
          <t>Auto-scan</t>
        </is>
      </c>
      <c r="AK230" s="74" t="inlineStr">
        <is>
          <t>DDO:3104</t>
        </is>
      </c>
      <c r="AL230" s="59">
        <f>IF(AND(OR(W230="Watching",W230="Preparing"),ISNUMBER(Q230)),IF(AND(Q230&gt;='Friday Summary'!$C$4,Q230&lt;='Friday Summary'!$C$4+14),Q230+ROW()/1000000,""),"")</f>
        <v/>
      </c>
    </row>
    <row r="231" ht="15" customHeight="1" s="51">
      <c r="A231" s="59">
        <f>IF(B231="","","OP-"&amp;TEXT(ROW()-4,"000"))</f>
        <v/>
      </c>
      <c r="B231" s="70" t="inlineStr">
        <is>
          <t>(not shown)</t>
        </is>
      </c>
      <c r="C231" s="71" t="n">
        <v>46321</v>
      </c>
      <c r="D231" s="70" t="inlineStr">
        <is>
          <t>press</t>
        </is>
      </c>
      <c r="E231" s="70" t="inlineStr">
        <is>
          <t>https://www.tanzaniatenders.com/tender/upgrading-ndameni-usongo-kwalakamu-road-4-8km-and-kisale-dispensary-mahorosha-road-1-75km-9072c0a.php</t>
        </is>
      </c>
      <c r="F231" s="70" t="inlineStr">
        <is>
          <t>See advert</t>
        </is>
      </c>
      <c r="G231" s="70" t="inlineStr">
        <is>
          <t>government</t>
        </is>
      </c>
      <c r="H231" s="70" t="inlineStr">
        <is>
          <t>Upgrading of Ndameni - Usongo - Kwalakamu Road (4.8Km) and Kisale Dispensary - Mahorosha Road (1.75Km) to Gravel Standard in Rombo District.</t>
        </is>
      </c>
      <c r="I231" s="70" t="inlineStr">
        <is>
          <t>From press notice (1 lot) – read the tender document</t>
        </is>
      </c>
      <c r="J231" s="70" t="inlineStr">
        <is>
          <t>Not stated – read the notice</t>
        </is>
      </c>
      <c r="K231" s="70" t="inlineStr">
        <is>
          <t>civil</t>
        </is>
      </c>
      <c r="L231" s="70" t="inlineStr">
        <is>
          <t>See tender document</t>
        </is>
      </c>
      <c r="M231" s="62" t="n"/>
      <c r="N231" s="70" t="inlineStr">
        <is>
          <t>unknown</t>
        </is>
      </c>
      <c r="O231" s="71" t="inlineStr">
        <is>
          <t>See tender document</t>
        </is>
      </c>
      <c r="P231" s="71" t="inlineStr">
        <is>
          <t>See tender document</t>
        </is>
      </c>
      <c r="Q231" s="72" t="n">
        <v>46328.41666666666</v>
      </c>
      <c r="R231" s="70" t="inlineStr">
        <is>
          <t>See tender document</t>
        </is>
      </c>
      <c r="S231" s="70" t="inlineStr">
        <is>
          <t>N</t>
        </is>
      </c>
      <c r="T231" s="64">
        <f>IF(A231="","",IFERROR(INDEX('Bid-NoBid'!$T:$T,MATCH(A231,'Bid-NoBid'!$A:$A,0)),""))</f>
        <v/>
      </c>
      <c r="U231" s="59">
        <f>IF(A231="","",IFERROR(IF(OR(INDEX('Bid-NoBid'!$U:$U,MATCH(A231,'Bid-NoBid'!$A:$A,0))="",LEFT(INDEX('Bid-NoBid'!$U:$U,MATCH(A231,'Bid-NoBid'!$A:$A,0)),10)="Incomplete"),"Screen: "&amp;AC231,INDEX('Bid-NoBid'!$U:$U,MATCH(A231,'Bid-NoBid'!$A:$A,0))),"Screen: "&amp;AC231))</f>
        <v/>
      </c>
      <c r="V231" s="60" t="n"/>
      <c r="W231" s="70" t="inlineStr">
        <is>
          <t>Watching</t>
        </is>
      </c>
      <c r="X231" s="70" t="inlineStr">
        <is>
          <t>Frank</t>
        </is>
      </c>
      <c r="Y231" s="60" t="n"/>
      <c r="Z231" s="60" t="n"/>
      <c r="AA231" s="73" t="n"/>
      <c r="AB231" s="74" t="inlineStr">
        <is>
          <t>TanzaniaTenders.com (newspapers / portals / private)</t>
        </is>
      </c>
      <c r="AC231" s="74" t="inlineStr">
        <is>
          <t>Check</t>
        </is>
      </c>
      <c r="AD231" s="74" t="inlineStr">
        <is>
          <t>Auto (TanzaniaTenders.com): Civil works – confirm site, CRB class and margin · deadline read from the web page – confirm</t>
        </is>
      </c>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74" t="inlineStr">
        <is>
          <t>Read the notice and decide with the QS Director whether to pursue</t>
        </is>
      </c>
      <c r="AJ231" s="74" t="inlineStr">
        <is>
          <t>Auto-scan</t>
        </is>
      </c>
      <c r="AK231" s="74" t="inlineStr">
        <is>
          <t>TZT:151464970</t>
        </is>
      </c>
      <c r="AL231" s="59">
        <f>IF(AND(OR(W231="Watching",W231="Preparing"),ISNUMBER(Q231)),IF(AND(Q231&gt;='Friday Summary'!$C$4,Q231&lt;='Friday Summary'!$C$4+14),Q231+ROW()/1000000,""),"")</f>
        <v/>
      </c>
    </row>
    <row r="232" ht="15" customHeight="1" s="51">
      <c r="A232" s="59">
        <f>IF(B232="","","OP-"&amp;TEXT(ROW()-4,"000"))</f>
        <v/>
      </c>
      <c r="B232" s="70" t="inlineStr">
        <is>
          <t>(not shown)</t>
        </is>
      </c>
      <c r="C232" s="71" t="n">
        <v>46321</v>
      </c>
      <c r="D232" s="70" t="inlineStr">
        <is>
          <t>press</t>
        </is>
      </c>
      <c r="E232" s="70" t="inlineStr">
        <is>
          <t>https://www.tanzaniatenders.com/tender/proposed-construction-es-office-buildings-and-associated-structures-zonal-office-9064430.php</t>
        </is>
      </c>
      <c r="F232" s="70" t="inlineStr">
        <is>
          <t>See advert</t>
        </is>
      </c>
      <c r="G232" s="70" t="inlineStr">
        <is>
          <t>government</t>
        </is>
      </c>
      <c r="H232" s="70" t="inlineStr">
        <is>
          <t>Proposed Construction of Es Office Buildings and Associated Structures at Zonal Office.</t>
        </is>
      </c>
      <c r="I232" s="70" t="inlineStr">
        <is>
          <t>From press notice (1 lot) – read the tender document</t>
        </is>
      </c>
      <c r="J232" s="70" t="inlineStr">
        <is>
          <t>Not stated – read the notice</t>
        </is>
      </c>
      <c r="K232" s="70" t="inlineStr">
        <is>
          <t>building</t>
        </is>
      </c>
      <c r="L232" s="70" t="inlineStr">
        <is>
          <t>See tender document</t>
        </is>
      </c>
      <c r="M232" s="62" t="n"/>
      <c r="N232" s="70" t="inlineStr">
        <is>
          <t>unknown</t>
        </is>
      </c>
      <c r="O232" s="71" t="inlineStr">
        <is>
          <t>See tender document</t>
        </is>
      </c>
      <c r="P232" s="71" t="inlineStr">
        <is>
          <t>See tender document</t>
        </is>
      </c>
      <c r="Q232" s="72" t="n">
        <v>46331.41666666666</v>
      </c>
      <c r="R232" s="70" t="inlineStr">
        <is>
          <t>See tender document</t>
        </is>
      </c>
      <c r="S232" s="70" t="inlineStr">
        <is>
          <t>N</t>
        </is>
      </c>
      <c r="T232" s="64">
        <f>IF(A232="","",IFERROR(INDEX('Bid-NoBid'!$T:$T,MATCH(A232,'Bid-NoBid'!$A:$A,0)),""))</f>
        <v/>
      </c>
      <c r="U232" s="59">
        <f>IF(A232="","",IFERROR(IF(OR(INDEX('Bid-NoBid'!$U:$U,MATCH(A232,'Bid-NoBid'!$A:$A,0))="",LEFT(INDEX('Bid-NoBid'!$U:$U,MATCH(A232,'Bid-NoBid'!$A:$A,0)),10)="Incomplete"),"Screen: "&amp;AC232,INDEX('Bid-NoBid'!$U:$U,MATCH(A232,'Bid-NoBid'!$A:$A,0))),"Screen: "&amp;AC232))</f>
        <v/>
      </c>
      <c r="V232" s="60" t="n"/>
      <c r="W232" s="70" t="inlineStr">
        <is>
          <t>Watching</t>
        </is>
      </c>
      <c r="X232" s="70" t="inlineStr">
        <is>
          <t>Frank</t>
        </is>
      </c>
      <c r="Y232" s="60" t="n"/>
      <c r="Z232" s="60" t="n"/>
      <c r="AA232" s="73" t="n"/>
      <c r="AB232" s="74" t="inlineStr">
        <is>
          <t>TanzaniaTenders.com (newspapers / portals / private)</t>
        </is>
      </c>
      <c r="AC232" s="74" t="inlineStr">
        <is>
          <t>Check</t>
        </is>
      </c>
      <c r="AD232" s="74" t="inlineStr">
        <is>
          <t>Auto (TanzaniaTenders.com): Site not stated in the listing – read the notice · deadline read from the web page – confirm</t>
        </is>
      </c>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74" t="inlineStr">
        <is>
          <t>Read the notice and decide with the QS Director whether to pursue</t>
        </is>
      </c>
      <c r="AJ232" s="74" t="inlineStr">
        <is>
          <t>Auto-scan</t>
        </is>
      </c>
      <c r="AK232" s="74" t="inlineStr">
        <is>
          <t>TZT:151405616</t>
        </is>
      </c>
      <c r="AL232" s="59">
        <f>IF(AND(OR(W232="Watching",W232="Preparing"),ISNUMBER(Q232)),IF(AND(Q232&gt;='Friday Summary'!$C$4,Q232&lt;='Friday Summary'!$C$4+14),Q232+ROW()/1000000,""),"")</f>
        <v/>
      </c>
    </row>
    <row r="233" ht="15" customHeight="1" s="51">
      <c r="A233" s="59">
        <f>IF(B233="","","OP-"&amp;TEXT(ROW()-4,"000"))</f>
        <v/>
      </c>
      <c r="B233" s="70" t="inlineStr">
        <is>
          <t>75F2/2026/2027/W/07</t>
        </is>
      </c>
      <c r="C233" s="71" t="n">
        <v>46323</v>
      </c>
      <c r="D233" s="70" t="inlineStr">
        <is>
          <t>NeST</t>
        </is>
      </c>
      <c r="E233" s="70" t="inlineStr">
        <is>
          <t>https://nest.go.tz/tenders/published-tenders</t>
        </is>
      </c>
      <c r="F233" s="70" t="inlineStr">
        <is>
          <t>Same District Council</t>
        </is>
      </c>
      <c r="G233" s="70" t="inlineStr">
        <is>
          <t>government</t>
        </is>
      </c>
      <c r="H233" s="70" t="inlineStr">
        <is>
          <t>Construction of Catch Drains, Compacted Embankment and Desilting Works at Terite Gully, Ruvu Ward, Same District Council</t>
        </is>
      </c>
      <c r="I233" s="70" t="inlineStr">
        <is>
          <t>From NeST notice (1 lot) – read the tender document</t>
        </is>
      </c>
      <c r="J233" s="70" t="inlineStr">
        <is>
          <t>Kilimanjaro (Same) (from client's office – confirm site)</t>
        </is>
      </c>
      <c r="K233" s="70" t="inlineStr">
        <is>
          <t>civil</t>
        </is>
      </c>
      <c r="L233" s="70" t="inlineStr">
        <is>
          <t>NeST login needed</t>
        </is>
      </c>
      <c r="M233" s="62" t="n"/>
      <c r="N233" s="70" t="inlineStr">
        <is>
          <t>unknown</t>
        </is>
      </c>
      <c r="O233" s="71" t="inlineStr">
        <is>
          <t>NeST login needed</t>
        </is>
      </c>
      <c r="P233" s="71" t="inlineStr">
        <is>
          <t>NeST login needed</t>
        </is>
      </c>
      <c r="Q233" s="72" t="n">
        <v>46329.41666666666</v>
      </c>
      <c r="R233" s="70" t="inlineStr">
        <is>
          <t>NeST login needed</t>
        </is>
      </c>
      <c r="S233" s="70" t="inlineStr">
        <is>
          <t>N</t>
        </is>
      </c>
      <c r="T233" s="64">
        <f>IF(A233="","",IFERROR(INDEX('Bid-NoBid'!$T:$T,MATCH(A233,'Bid-NoBid'!$A:$A,0)),""))</f>
        <v/>
      </c>
      <c r="U233" s="59">
        <f>IF(A233="","",IFERROR(IF(OR(INDEX('Bid-NoBid'!$U:$U,MATCH(A233,'Bid-NoBid'!$A:$A,0))="",LEFT(INDEX('Bid-NoBid'!$U:$U,MATCH(A233,'Bid-NoBid'!$A:$A,0)),10)="Incomplete"),"Screen: "&amp;AC233,INDEX('Bid-NoBid'!$U:$U,MATCH(A233,'Bid-NoBid'!$A:$A,0))),"Screen: "&amp;AC233))</f>
        <v/>
      </c>
      <c r="V233" s="60" t="n"/>
      <c r="W233" s="70" t="inlineStr">
        <is>
          <t>Watching</t>
        </is>
      </c>
      <c r="X233" s="70" t="inlineStr">
        <is>
          <t>Frank</t>
        </is>
      </c>
      <c r="Y233" s="60" t="n"/>
      <c r="Z233" s="60" t="n"/>
      <c r="AA233" s="73" t="n">
        <v>46322</v>
      </c>
      <c r="AB233" s="74" t="inlineStr">
        <is>
          <t>Standard Invitation for Quotations -Works / Planned Tender</t>
        </is>
      </c>
      <c r="AC233" s="74" t="inlineStr">
        <is>
          <t>Check</t>
        </is>
      </c>
      <c r="AD233" s="74" t="inlineStr">
        <is>
          <t>Auto (Standard Invitation for Quotations -Works / Planned Tender): Construction tender kept for review (would have been dropped: Remote civil works)</t>
        </is>
      </c>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74" t="inlineStr">
        <is>
          <t>Read the notice and decide with the QS Director whether to pursue</t>
        </is>
      </c>
      <c r="AJ233" s="74" t="inlineStr">
        <is>
          <t>Auto-scan</t>
        </is>
      </c>
      <c r="AK233" s="74" t="inlineStr">
        <is>
          <t>5aa31084-8950-4a9b-b36c-d381934e28a5</t>
        </is>
      </c>
      <c r="AL233" s="59">
        <f>IF(AND(OR(W233="Watching",W233="Preparing"),ISNUMBER(Q233)),IF(AND(Q233&gt;='Friday Summary'!$C$4,Q233&lt;='Friday Summary'!$C$4+14),Q233+ROW()/1000000,""),"")</f>
        <v/>
      </c>
    </row>
    <row r="234" ht="15" customHeight="1" s="51">
      <c r="A234" s="59">
        <f>IF(B234="","","OP-"&amp;TEXT(ROW()-4,"000"))</f>
        <v/>
      </c>
      <c r="B234" s="70" t="inlineStr">
        <is>
          <t>87V3/2026/2027/W/05</t>
        </is>
      </c>
      <c r="C234" s="71" t="n">
        <v>46323</v>
      </c>
      <c r="D234" s="70" t="inlineStr">
        <is>
          <t>NeST</t>
        </is>
      </c>
      <c r="E234" s="70" t="inlineStr">
        <is>
          <t>https://nest.go.tz/tenders/published-tenders</t>
        </is>
      </c>
      <c r="F234" s="70" t="inlineStr">
        <is>
          <t>Karagwe District Council</t>
        </is>
      </c>
      <c r="G234" s="70" t="inlineStr">
        <is>
          <t>government</t>
        </is>
      </c>
      <c r="H234" s="70" t="inlineStr">
        <is>
          <t>CONSTRUCTION OF A CONFERENCE HALL AT KARAGWE DISTRICT COUNCIL</t>
        </is>
      </c>
      <c r="I234" s="70" t="inlineStr">
        <is>
          <t>From NeST notice (1 lot) – read the tender document</t>
        </is>
      </c>
      <c r="J234" s="70" t="inlineStr">
        <is>
          <t>Kagera (from client's office – confirm site)</t>
        </is>
      </c>
      <c r="K234" s="70" t="inlineStr">
        <is>
          <t>building</t>
        </is>
      </c>
      <c r="L234" s="70" t="inlineStr">
        <is>
          <t>NeST login needed</t>
        </is>
      </c>
      <c r="M234" s="62" t="n"/>
      <c r="N234" s="70" t="inlineStr">
        <is>
          <t>unknown</t>
        </is>
      </c>
      <c r="O234" s="71" t="inlineStr">
        <is>
          <t>NeST login needed</t>
        </is>
      </c>
      <c r="P234" s="71" t="inlineStr">
        <is>
          <t>NeST login needed</t>
        </is>
      </c>
      <c r="Q234" s="72" t="n">
        <v>46329.58333333334</v>
      </c>
      <c r="R234" s="70" t="inlineStr">
        <is>
          <t>NeST login needed</t>
        </is>
      </c>
      <c r="S234" s="70" t="inlineStr">
        <is>
          <t>N</t>
        </is>
      </c>
      <c r="T234" s="64">
        <f>IF(A234="","",IFERROR(INDEX('Bid-NoBid'!$T:$T,MATCH(A234,'Bid-NoBid'!$A:$A,0)),""))</f>
        <v/>
      </c>
      <c r="U234" s="59">
        <f>IF(A234="","",IFERROR(IF(OR(INDEX('Bid-NoBid'!$U:$U,MATCH(A234,'Bid-NoBid'!$A:$A,0))="",LEFT(INDEX('Bid-NoBid'!$U:$U,MATCH(A234,'Bid-NoBid'!$A:$A,0)),10)="Incomplete"),"Screen: "&amp;AC234,INDEX('Bid-NoBid'!$U:$U,MATCH(A234,'Bid-NoBid'!$A:$A,0))),"Screen: "&amp;AC234))</f>
        <v/>
      </c>
      <c r="V234" s="60" t="n"/>
      <c r="W234" s="70" t="inlineStr">
        <is>
          <t>Watching</t>
        </is>
      </c>
      <c r="X234" s="70" t="inlineStr">
        <is>
          <t>Frank</t>
        </is>
      </c>
      <c r="Y234" s="60" t="n"/>
      <c r="Z234" s="60" t="n"/>
      <c r="AA234" s="73" t="n">
        <v>46322</v>
      </c>
      <c r="AB234" s="74" t="inlineStr">
        <is>
          <t>Design and Build / Tender</t>
        </is>
      </c>
      <c r="AC234" s="74" t="inlineStr">
        <is>
          <t>Check</t>
        </is>
      </c>
      <c r="AD234" s="74" t="inlineStr">
        <is>
          <t>Auto (Design and Build / Tender): Construction tender kept for review (would have been dropped: Remote and closing soon)</t>
        </is>
      </c>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74" t="inlineStr">
        <is>
          <t>Read the notice and decide with the QS Director whether to pursue</t>
        </is>
      </c>
      <c r="AJ234" s="74" t="inlineStr">
        <is>
          <t>Auto-scan</t>
        </is>
      </c>
      <c r="AK234" s="74" t="inlineStr">
        <is>
          <t>647a1f97-cca3-46c4-89b5-8fd473591032</t>
        </is>
      </c>
      <c r="AL234" s="59">
        <f>IF(AND(OR(W234="Watching",W234="Preparing"),ISNUMBER(Q234)),IF(AND(Q234&gt;='Friday Summary'!$C$4,Q234&lt;='Friday Summary'!$C$4+14),Q234+ROW()/1000000,""),"")</f>
        <v/>
      </c>
    </row>
    <row r="235" ht="15" customHeight="1" s="51">
      <c r="A235" s="59">
        <f>IF(B235="","","OP-"&amp;TEXT(ROW()-4,"000"))</f>
        <v/>
      </c>
      <c r="B235" s="70" t="inlineStr">
        <is>
          <t>00005/2026/2027/W/02</t>
        </is>
      </c>
      <c r="C235" s="71" t="n">
        <v>46323</v>
      </c>
      <c r="D235" s="70" t="inlineStr">
        <is>
          <t>NeST</t>
        </is>
      </c>
      <c r="E235" s="70" t="inlineStr">
        <is>
          <t>https://nest.go.tz/tenders/published-tenders</t>
        </is>
      </c>
      <c r="F235" s="70" t="inlineStr">
        <is>
          <t>National Irrigation Commission</t>
        </is>
      </c>
      <c r="G235" s="70" t="inlineStr">
        <is>
          <t>government</t>
        </is>
      </c>
      <c r="H235" s="70" t="inlineStr">
        <is>
          <t>Construction of Pump House, Supply and install pumps at Lukenge Irrigation Scheme Mvomero District Morogoro Region</t>
        </is>
      </c>
      <c r="I235" s="70" t="inlineStr">
        <is>
          <t>From NeST notice (1 lot) – read the tender document</t>
        </is>
      </c>
      <c r="J235" s="70" t="inlineStr">
        <is>
          <t>Morogoro</t>
        </is>
      </c>
      <c r="K235" s="70" t="inlineStr">
        <is>
          <t>civil</t>
        </is>
      </c>
      <c r="L235" s="70" t="inlineStr">
        <is>
          <t>NeST login needed</t>
        </is>
      </c>
      <c r="M235" s="62" t="n"/>
      <c r="N235" s="70" t="inlineStr">
        <is>
          <t>unknown</t>
        </is>
      </c>
      <c r="O235" s="71" t="inlineStr">
        <is>
          <t>NeST login needed</t>
        </is>
      </c>
      <c r="P235" s="71" t="inlineStr">
        <is>
          <t>NeST login needed</t>
        </is>
      </c>
      <c r="Q235" s="72" t="n">
        <v>46330.45833333334</v>
      </c>
      <c r="R235" s="70" t="inlineStr">
        <is>
          <t>NeST login needed</t>
        </is>
      </c>
      <c r="S235" s="70" t="inlineStr">
        <is>
          <t>N</t>
        </is>
      </c>
      <c r="T235" s="64">
        <f>IF(A235="","",IFERROR(INDEX('Bid-NoBid'!$T:$T,MATCH(A235,'Bid-NoBid'!$A:$A,0)),""))</f>
        <v/>
      </c>
      <c r="U235" s="59">
        <f>IF(A235="","",IFERROR(IF(OR(INDEX('Bid-NoBid'!$U:$U,MATCH(A235,'Bid-NoBid'!$A:$A,0))="",LEFT(INDEX('Bid-NoBid'!$U:$U,MATCH(A235,'Bid-NoBid'!$A:$A,0)),10)="Incomplete"),"Screen: "&amp;AC235,INDEX('Bid-NoBid'!$U:$U,MATCH(A235,'Bid-NoBid'!$A:$A,0))),"Screen: "&amp;AC235))</f>
        <v/>
      </c>
      <c r="V235" s="60" t="n"/>
      <c r="W235" s="70" t="inlineStr">
        <is>
          <t>Watching</t>
        </is>
      </c>
      <c r="X235" s="70" t="inlineStr">
        <is>
          <t>Frank</t>
        </is>
      </c>
      <c r="Y235" s="60" t="n"/>
      <c r="Z235" s="60" t="n"/>
      <c r="AA235" s="73" t="n">
        <v>46322</v>
      </c>
      <c r="AB235" s="74" t="inlineStr">
        <is>
          <t>Small Works / Tender</t>
        </is>
      </c>
      <c r="AC235" s="74" t="inlineStr">
        <is>
          <t>Check</t>
        </is>
      </c>
      <c r="AD235" s="74" t="inlineStr">
        <is>
          <t>Auto (Small Works / Tender): Civil works – confirm site, CRB class and margin</t>
        </is>
      </c>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74" t="inlineStr">
        <is>
          <t>Read the notice and decide with the QS Director whether to pursue</t>
        </is>
      </c>
      <c r="AJ235" s="74" t="inlineStr">
        <is>
          <t>Auto-scan</t>
        </is>
      </c>
      <c r="AK235" s="74" t="inlineStr">
        <is>
          <t>f9aae22b-a82a-432d-8c8e-250960c9da82</t>
        </is>
      </c>
      <c r="AL235" s="59">
        <f>IF(AND(OR(W235="Watching",W235="Preparing"),ISNUMBER(Q235)),IF(AND(Q235&gt;='Friday Summary'!$C$4,Q235&lt;='Friday Summary'!$C$4+14),Q235+ROW()/1000000,""),"")</f>
        <v/>
      </c>
    </row>
    <row r="236" ht="15" customHeight="1" s="51">
      <c r="A236" s="59">
        <f>IF(B236="","","OP-"&amp;TEXT(ROW()-4,"000"))</f>
        <v/>
      </c>
      <c r="B236" s="70" t="inlineStr">
        <is>
          <t>TR24/001/2026/2027/W/03</t>
        </is>
      </c>
      <c r="C236" s="71" t="n">
        <v>46323</v>
      </c>
      <c r="D236" s="70" t="inlineStr">
        <is>
          <t>NeST</t>
        </is>
      </c>
      <c r="E236" s="70" t="inlineStr">
        <is>
          <t>https://nest.go.tz/tenders/published-tenders</t>
        </is>
      </c>
      <c r="F236" s="70" t="inlineStr">
        <is>
          <t>Gas Company (tanzania) Limited</t>
        </is>
      </c>
      <c r="G236" s="70" t="inlineStr">
        <is>
          <t>parastatal (verify)</t>
        </is>
      </c>
      <c r="H236" s="70" t="inlineStr">
        <is>
          <t>Maintenance of Access Roads - Gas Pipeline</t>
        </is>
      </c>
      <c r="I236" s="70" t="inlineStr">
        <is>
          <t>From NeST notice (1 lot) – read the tender document</t>
        </is>
      </c>
      <c r="J236" s="70" t="inlineStr">
        <is>
          <t>Dar es Salaam (Ilala) (from client's office – confirm site)</t>
        </is>
      </c>
      <c r="K236" s="70" t="inlineStr">
        <is>
          <t>civil</t>
        </is>
      </c>
      <c r="L236" s="70" t="inlineStr">
        <is>
          <t>NeST login needed</t>
        </is>
      </c>
      <c r="M236" s="62" t="n"/>
      <c r="N236" s="70" t="inlineStr">
        <is>
          <t>unknown</t>
        </is>
      </c>
      <c r="O236" s="71" t="inlineStr">
        <is>
          <t>NeST login needed</t>
        </is>
      </c>
      <c r="P236" s="71" t="inlineStr">
        <is>
          <t>NeST login needed</t>
        </is>
      </c>
      <c r="Q236" s="72" t="n">
        <v>46332.58333333334</v>
      </c>
      <c r="R236" s="70" t="inlineStr">
        <is>
          <t>NeST login needed</t>
        </is>
      </c>
      <c r="S236" s="70" t="inlineStr">
        <is>
          <t>N</t>
        </is>
      </c>
      <c r="T236" s="64">
        <f>IF(A236="","",IFERROR(INDEX('Bid-NoBid'!$T:$T,MATCH(A236,'Bid-NoBid'!$A:$A,0)),""))</f>
        <v/>
      </c>
      <c r="U236" s="59">
        <f>IF(A236="","",IFERROR(IF(OR(INDEX('Bid-NoBid'!$U:$U,MATCH(A236,'Bid-NoBid'!$A:$A,0))="",LEFT(INDEX('Bid-NoBid'!$U:$U,MATCH(A236,'Bid-NoBid'!$A:$A,0)),10)="Incomplete"),"Screen: "&amp;AC236,INDEX('Bid-NoBid'!$U:$U,MATCH(A236,'Bid-NoBid'!$A:$A,0))),"Screen: "&amp;AC236))</f>
        <v/>
      </c>
      <c r="V236" s="60" t="n"/>
      <c r="W236" s="70" t="inlineStr">
        <is>
          <t>Watching</t>
        </is>
      </c>
      <c r="X236" s="70" t="inlineStr">
        <is>
          <t>Frank</t>
        </is>
      </c>
      <c r="Y236" s="60" t="n"/>
      <c r="Z236" s="60" t="n"/>
      <c r="AA236" s="73" t="n">
        <v>46322</v>
      </c>
      <c r="AB236" s="74" t="inlineStr">
        <is>
          <t>Small Works / Tender</t>
        </is>
      </c>
      <c r="AC236" s="74" t="inlineStr">
        <is>
          <t>Check</t>
        </is>
      </c>
      <c r="AD236" s="74" t="inlineStr">
        <is>
          <t>Auto (Small Works / Tender): Civil works in Dar/Coast – confirm CRB class and margin</t>
        </is>
      </c>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74" t="inlineStr">
        <is>
          <t>Read the notice and decide with the QS Director whether to pursue</t>
        </is>
      </c>
      <c r="AJ236" s="74" t="inlineStr">
        <is>
          <t>Auto-scan</t>
        </is>
      </c>
      <c r="AK236" s="74" t="inlineStr">
        <is>
          <t>d5b364cc-da56-430e-850c-835f22a063c7</t>
        </is>
      </c>
      <c r="AL236" s="59">
        <f>IF(AND(OR(W236="Watching",W236="Preparing"),ISNUMBER(Q236)),IF(AND(Q236&gt;='Friday Summary'!$C$4,Q236&lt;='Friday Summary'!$C$4+14),Q236+ROW()/1000000,""),"")</f>
        <v/>
      </c>
    </row>
    <row r="237" ht="15" customHeight="1" s="51">
      <c r="A237" s="59">
        <f>IF(B237="","","OP-"&amp;TEXT(ROW()-4,"000"))</f>
        <v/>
      </c>
      <c r="B237" s="70" t="inlineStr">
        <is>
          <t>72C6/2026/2027/W/05</t>
        </is>
      </c>
      <c r="C237" s="71" t="n">
        <v>46324</v>
      </c>
      <c r="D237" s="70" t="inlineStr">
        <is>
          <t>NeST</t>
        </is>
      </c>
      <c r="E237" s="70" t="inlineStr">
        <is>
          <t>https://nest.go.tz/tenders/published-tenders</t>
        </is>
      </c>
      <c r="F237" s="70" t="inlineStr">
        <is>
          <t>Chamwino District Council</t>
        </is>
      </c>
      <c r="G237" s="70" t="inlineStr">
        <is>
          <t>government</t>
        </is>
      </c>
      <c r="H237" s="70" t="inlineStr">
        <is>
          <t>Construction of a Livestock Dipping Tank</t>
        </is>
      </c>
      <c r="I237" s="70" t="inlineStr">
        <is>
          <t>From NeST notice (1 lot) – read the tender document</t>
        </is>
      </c>
      <c r="J237" s="70" t="inlineStr">
        <is>
          <t>Dodoma (Chamwino) (from client's office – confirm site)</t>
        </is>
      </c>
      <c r="K237" s="70" t="inlineStr">
        <is>
          <t>building</t>
        </is>
      </c>
      <c r="L237" s="70" t="inlineStr">
        <is>
          <t>NeST login needed</t>
        </is>
      </c>
      <c r="M237" s="62" t="n"/>
      <c r="N237" s="70" t="inlineStr">
        <is>
          <t>unknown</t>
        </is>
      </c>
      <c r="O237" s="71" t="inlineStr">
        <is>
          <t>NeST login needed</t>
        </is>
      </c>
      <c r="P237" s="71" t="inlineStr">
        <is>
          <t>NeST login needed</t>
        </is>
      </c>
      <c r="Q237" s="72" t="n">
        <v>46328.58333333334</v>
      </c>
      <c r="R237" s="70" t="inlineStr">
        <is>
          <t>NeST login needed</t>
        </is>
      </c>
      <c r="S237" s="70" t="inlineStr">
        <is>
          <t>N</t>
        </is>
      </c>
      <c r="T237" s="64">
        <f>IF(A237="","",IFERROR(INDEX('Bid-NoBid'!$T:$T,MATCH(A237,'Bid-NoBid'!$A:$A,0)),""))</f>
        <v/>
      </c>
      <c r="U237" s="59">
        <f>IF(A237="","",IFERROR(IF(OR(INDEX('Bid-NoBid'!$U:$U,MATCH(A237,'Bid-NoBid'!$A:$A,0))="",LEFT(INDEX('Bid-NoBid'!$U:$U,MATCH(A237,'Bid-NoBid'!$A:$A,0)),10)="Incomplete"),"Screen: "&amp;AC237,INDEX('Bid-NoBid'!$U:$U,MATCH(A237,'Bid-NoBid'!$A:$A,0))),"Screen: "&amp;AC237))</f>
        <v/>
      </c>
      <c r="V237" s="60" t="n"/>
      <c r="W237" s="70" t="inlineStr">
        <is>
          <t>Watching</t>
        </is>
      </c>
      <c r="X237" s="70" t="inlineStr">
        <is>
          <t>Frank</t>
        </is>
      </c>
      <c r="Y237" s="60" t="n"/>
      <c r="Z237" s="60" t="n"/>
      <c r="AA237" s="73" t="n">
        <v>46321</v>
      </c>
      <c r="AB237" s="74" t="inlineStr">
        <is>
          <t>Standard Invitation for Quotations -Works / Planned Tender</t>
        </is>
      </c>
      <c r="AC237" s="74" t="inlineStr">
        <is>
          <t>Check</t>
        </is>
      </c>
      <c r="AD237" s="74" t="inlineStr">
        <is>
          <t>Auto (Standard Invitation for Quotations -Works / Planned Tender): Quotation route – value may be below TZS 200m</t>
        </is>
      </c>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74" t="inlineStr">
        <is>
          <t>Read the notice and decide with the QS Director whether to pursue</t>
        </is>
      </c>
      <c r="AJ237" s="74" t="inlineStr">
        <is>
          <t>Auto-scan</t>
        </is>
      </c>
      <c r="AK237" s="74" t="inlineStr">
        <is>
          <t>e130eb08-1b14-473b-bf91-eb579d8a1f9f</t>
        </is>
      </c>
      <c r="AL237" s="59">
        <f>IF(AND(OR(W237="Watching",W237="Preparing"),ISNUMBER(Q237)),IF(AND(Q237&gt;='Friday Summary'!$C$4,Q237&lt;='Friday Summary'!$C$4+14),Q237+ROW()/1000000,""),"")</f>
        <v/>
      </c>
    </row>
    <row r="238" ht="15" customHeight="1" s="51">
      <c r="A238" s="59">
        <f>IF(B238="","","OP-"&amp;TEXT(ROW()-4,"000"))</f>
        <v/>
      </c>
      <c r="B238" s="70" t="inlineStr">
        <is>
          <t>TR43/2026/2027/W/01</t>
        </is>
      </c>
      <c r="C238" s="71" t="n">
        <v>46324</v>
      </c>
      <c r="D238" s="70" t="inlineStr">
        <is>
          <t>NeST</t>
        </is>
      </c>
      <c r="E238" s="70" t="inlineStr">
        <is>
          <t>https://nest.go.tz/tenders/published-tenders</t>
        </is>
      </c>
      <c r="F238" s="70" t="inlineStr">
        <is>
          <t>Tanzania Library Service Board</t>
        </is>
      </c>
      <c r="G238" s="70" t="inlineStr">
        <is>
          <t>government</t>
        </is>
      </c>
      <c r="H238" s="70" t="inlineStr">
        <is>
          <t>Construction and Rehabilitation of SLADS buildings in Bagamoyo and Dar es Salaam Campus.</t>
        </is>
      </c>
      <c r="I238" s="70" t="inlineStr">
        <is>
          <t>From NeST notice (1 lot) – read the tender document</t>
        </is>
      </c>
      <c r="J238" s="70" t="inlineStr">
        <is>
          <t>Pwani (Bagamoyo)</t>
        </is>
      </c>
      <c r="K238" s="70" t="inlineStr">
        <is>
          <t>renovation</t>
        </is>
      </c>
      <c r="L238" s="70" t="inlineStr">
        <is>
          <t>NeST login needed</t>
        </is>
      </c>
      <c r="M238" s="62" t="n"/>
      <c r="N238" s="70" t="inlineStr">
        <is>
          <t>unknown</t>
        </is>
      </c>
      <c r="O238" s="71" t="inlineStr">
        <is>
          <t>NeST login needed</t>
        </is>
      </c>
      <c r="P238" s="71" t="inlineStr">
        <is>
          <t>NeST login needed</t>
        </is>
      </c>
      <c r="Q238" s="72" t="n">
        <v>46329.4375</v>
      </c>
      <c r="R238" s="70" t="inlineStr">
        <is>
          <t>NeST login needed</t>
        </is>
      </c>
      <c r="S238" s="70" t="inlineStr">
        <is>
          <t>N</t>
        </is>
      </c>
      <c r="T238" s="64">
        <f>IF(A238="","",IFERROR(INDEX('Bid-NoBid'!$T:$T,MATCH(A238,'Bid-NoBid'!$A:$A,0)),""))</f>
        <v/>
      </c>
      <c r="U238" s="59">
        <f>IF(A238="","",IFERROR(IF(OR(INDEX('Bid-NoBid'!$U:$U,MATCH(A238,'Bid-NoBid'!$A:$A,0))="",LEFT(INDEX('Bid-NoBid'!$U:$U,MATCH(A238,'Bid-NoBid'!$A:$A,0)),10)="Incomplete"),"Screen: "&amp;AC238,INDEX('Bid-NoBid'!$U:$U,MATCH(A238,'Bid-NoBid'!$A:$A,0))),"Screen: "&amp;AC238))</f>
        <v/>
      </c>
      <c r="V238" s="60" t="n"/>
      <c r="W238" s="70" t="inlineStr">
        <is>
          <t>Watching</t>
        </is>
      </c>
      <c r="X238" s="70" t="inlineStr">
        <is>
          <t>Frank</t>
        </is>
      </c>
      <c r="Y238" s="60" t="n"/>
      <c r="Z238" s="60" t="n"/>
      <c r="AA238" s="73" t="n">
        <v>46323</v>
      </c>
      <c r="AB238" s="74" t="inlineStr">
        <is>
          <t>Small Works / Tender</t>
        </is>
      </c>
      <c r="AC238" s="74" t="inlineStr">
        <is>
          <t>Pursue</t>
        </is>
      </c>
      <c r="AD238" s="74" t="inlineStr">
        <is>
          <t>Auto (Small Works / Tender): Building works within reach of Dar</t>
        </is>
      </c>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74" t="inlineStr">
        <is>
          <t>Get the tender document, confirm value, CRB class, site visit and bid security; brief the MD</t>
        </is>
      </c>
      <c r="AJ238" s="74" t="inlineStr">
        <is>
          <t>Auto-scan</t>
        </is>
      </c>
      <c r="AK238" s="74" t="inlineStr">
        <is>
          <t>1ae2a333-1528-498d-9ecb-670624eb6cd1</t>
        </is>
      </c>
      <c r="AL238" s="59">
        <f>IF(AND(OR(W238="Watching",W238="Preparing"),ISNUMBER(Q238)),IF(AND(Q238&gt;='Friday Summary'!$C$4,Q238&lt;='Friday Summary'!$C$4+14),Q238+ROW()/1000000,""),"")</f>
        <v/>
      </c>
    </row>
    <row r="239" ht="15" customHeight="1" s="51">
      <c r="A239" s="59">
        <f>IF(B239="","","OP-"&amp;TEXT(ROW()-4,"000"))</f>
        <v/>
      </c>
      <c r="B239" s="70" t="inlineStr">
        <is>
          <t>72C5/2026/2027/W/05</t>
        </is>
      </c>
      <c r="C239" s="71" t="n">
        <v>46324</v>
      </c>
      <c r="D239" s="70" t="inlineStr">
        <is>
          <t>NeST</t>
        </is>
      </c>
      <c r="E239" s="70" t="inlineStr">
        <is>
          <t>https://nest.go.tz/tenders/published-tenders</t>
        </is>
      </c>
      <c r="F239" s="70" t="inlineStr">
        <is>
          <t>Bahi District Council</t>
        </is>
      </c>
      <c r="G239" s="70" t="inlineStr">
        <is>
          <t>government</t>
        </is>
      </c>
      <c r="H239" s="70" t="inlineStr">
        <is>
          <t>Construction of a typical point-Source water project</t>
        </is>
      </c>
      <c r="I239" s="70" t="inlineStr">
        <is>
          <t>From NeST notice (1 lot) – read the tender document</t>
        </is>
      </c>
      <c r="J239" s="70" t="inlineStr">
        <is>
          <t>Dodoma (from client's office – confirm site)</t>
        </is>
      </c>
      <c r="K239" s="70" t="inlineStr">
        <is>
          <t>civil</t>
        </is>
      </c>
      <c r="L239" s="70" t="inlineStr">
        <is>
          <t>NeST login needed</t>
        </is>
      </c>
      <c r="M239" s="62" t="n"/>
      <c r="N239" s="70" t="inlineStr">
        <is>
          <t>unknown</t>
        </is>
      </c>
      <c r="O239" s="71" t="inlineStr">
        <is>
          <t>NeST login needed</t>
        </is>
      </c>
      <c r="P239" s="71" t="inlineStr">
        <is>
          <t>NeST login needed</t>
        </is>
      </c>
      <c r="Q239" s="72" t="n">
        <v>46329.58333333334</v>
      </c>
      <c r="R239" s="70" t="inlineStr">
        <is>
          <t>NeST login needed</t>
        </is>
      </c>
      <c r="S239" s="70" t="inlineStr">
        <is>
          <t>N</t>
        </is>
      </c>
      <c r="T239" s="64">
        <f>IF(A239="","",IFERROR(INDEX('Bid-NoBid'!$T:$T,MATCH(A239,'Bid-NoBid'!$A:$A,0)),""))</f>
        <v/>
      </c>
      <c r="U239" s="59">
        <f>IF(A239="","",IFERROR(IF(OR(INDEX('Bid-NoBid'!$U:$U,MATCH(A239,'Bid-NoBid'!$A:$A,0))="",LEFT(INDEX('Bid-NoBid'!$U:$U,MATCH(A239,'Bid-NoBid'!$A:$A,0)),10)="Incomplete"),"Screen: "&amp;AC239,INDEX('Bid-NoBid'!$U:$U,MATCH(A239,'Bid-NoBid'!$A:$A,0))),"Screen: "&amp;AC239))</f>
        <v/>
      </c>
      <c r="V239" s="60" t="n"/>
      <c r="W239" s="70" t="inlineStr">
        <is>
          <t>Watching</t>
        </is>
      </c>
      <c r="X239" s="70" t="inlineStr">
        <is>
          <t>Frank</t>
        </is>
      </c>
      <c r="Y239" s="60" t="n"/>
      <c r="Z239" s="60" t="n"/>
      <c r="AA239" s="73" t="n">
        <v>46323</v>
      </c>
      <c r="AB239" s="74" t="inlineStr">
        <is>
          <t>Small Works / Tender</t>
        </is>
      </c>
      <c r="AC239" s="74" t="inlineStr">
        <is>
          <t>Check</t>
        </is>
      </c>
      <c r="AD239" s="74" t="inlineStr">
        <is>
          <t>Auto (Small Works / Tender): Civil works – confirm site, CRB class and margin</t>
        </is>
      </c>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74" t="inlineStr">
        <is>
          <t>Read the notice and decide with the QS Director whether to pursue</t>
        </is>
      </c>
      <c r="AJ239" s="74" t="inlineStr">
        <is>
          <t>Auto-scan</t>
        </is>
      </c>
      <c r="AK239" s="74" t="inlineStr">
        <is>
          <t>a0774212-e861-4784-823b-a29911b64594</t>
        </is>
      </c>
      <c r="AL239" s="59">
        <f>IF(AND(OR(W239="Watching",W239="Preparing"),ISNUMBER(Q239)),IF(AND(Q239&gt;='Friday Summary'!$C$4,Q239&lt;='Friday Summary'!$C$4+14),Q239+ROW()/1000000,""),"")</f>
        <v/>
      </c>
    </row>
    <row r="240" ht="15" customHeight="1" s="51">
      <c r="A240" s="59">
        <f>IF(B240="","","OP-"&amp;TEXT(ROW()-4,"000"))</f>
        <v/>
      </c>
      <c r="B240" s="70" t="inlineStr">
        <is>
          <t>52/2026/2027/W/22</t>
        </is>
      </c>
      <c r="C240" s="71" t="n">
        <v>46324</v>
      </c>
      <c r="D240" s="70" t="inlineStr">
        <is>
          <t>NeST</t>
        </is>
      </c>
      <c r="E240" s="70" t="inlineStr">
        <is>
          <t>https://nest.go.tz/tenders/published-tenders</t>
        </is>
      </c>
      <c r="F240" s="70" t="inlineStr">
        <is>
          <t>Ministry of Health</t>
        </is>
      </c>
      <c r="G240" s="70" t="inlineStr">
        <is>
          <t>government</t>
        </is>
      </c>
      <c r="H240" s="70" t="inlineStr">
        <is>
          <t>Proposed Construction of academic Complex at Tanga collage of Health and allied Science-DHR (TMCHIP)</t>
        </is>
      </c>
      <c r="I240" s="70" t="inlineStr">
        <is>
          <t>From NeST notice (1 lot) – read the tender document</t>
        </is>
      </c>
      <c r="J240" s="70" t="inlineStr">
        <is>
          <t>Tanga</t>
        </is>
      </c>
      <c r="K240" s="70" t="inlineStr">
        <is>
          <t>building</t>
        </is>
      </c>
      <c r="L240" s="70" t="inlineStr">
        <is>
          <t>NeST login needed</t>
        </is>
      </c>
      <c r="M240" s="62" t="n"/>
      <c r="N240" s="70" t="inlineStr">
        <is>
          <t>unknown</t>
        </is>
      </c>
      <c r="O240" s="71" t="inlineStr">
        <is>
          <t>NeST login needed</t>
        </is>
      </c>
      <c r="P240" s="71" t="inlineStr">
        <is>
          <t>NeST login needed</t>
        </is>
      </c>
      <c r="Q240" s="72" t="n">
        <v>46331.58333333334</v>
      </c>
      <c r="R240" s="70" t="inlineStr">
        <is>
          <t>NeST login needed</t>
        </is>
      </c>
      <c r="S240" s="70" t="inlineStr">
        <is>
          <t>N</t>
        </is>
      </c>
      <c r="T240" s="64">
        <f>IF(A240="","",IFERROR(INDEX('Bid-NoBid'!$T:$T,MATCH(A240,'Bid-NoBid'!$A:$A,0)),""))</f>
        <v/>
      </c>
      <c r="U240" s="59">
        <f>IF(A240="","",IFERROR(IF(OR(INDEX('Bid-NoBid'!$U:$U,MATCH(A240,'Bid-NoBid'!$A:$A,0))="",LEFT(INDEX('Bid-NoBid'!$U:$U,MATCH(A240,'Bid-NoBid'!$A:$A,0)),10)="Incomplete"),"Screen: "&amp;AC240,INDEX('Bid-NoBid'!$U:$U,MATCH(A240,'Bid-NoBid'!$A:$A,0))),"Screen: "&amp;AC240))</f>
        <v/>
      </c>
      <c r="V240" s="60" t="n"/>
      <c r="W240" s="70" t="inlineStr">
        <is>
          <t>Watching</t>
        </is>
      </c>
      <c r="X240" s="70" t="inlineStr">
        <is>
          <t>Frank</t>
        </is>
      </c>
      <c r="Y240" s="60" t="n"/>
      <c r="Z240" s="60" t="n"/>
      <c r="AA240" s="73" t="n">
        <v>46324</v>
      </c>
      <c r="AB240" s="74" t="inlineStr">
        <is>
          <t>Small Works / Tender</t>
        </is>
      </c>
      <c r="AC240" s="74" t="inlineStr">
        <is>
          <t>Pursue</t>
        </is>
      </c>
      <c r="AD240" s="74" t="inlineStr">
        <is>
          <t>Auto (Small Works / Tender): Building works within reach of Dar</t>
        </is>
      </c>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74" t="inlineStr">
        <is>
          <t>Get the tender document, confirm value, CRB class, site visit and bid security; brief the MD</t>
        </is>
      </c>
      <c r="AJ240" s="74" t="inlineStr">
        <is>
          <t>Auto-scan</t>
        </is>
      </c>
      <c r="AK240" s="74" t="inlineStr">
        <is>
          <t>73a313ea-031f-433a-9f14-3b8192fcc4d2</t>
        </is>
      </c>
      <c r="AL240" s="59">
        <f>IF(AND(OR(W240="Watching",W240="Preparing"),ISNUMBER(Q240)),IF(AND(Q240&gt;='Friday Summary'!$C$4,Q240&lt;='Friday Summary'!$C$4+14),Q240+ROW()/1000000,""),"")</f>
        <v/>
      </c>
    </row>
    <row r="241" ht="15" customHeight="1" s="51">
      <c r="A241" s="59">
        <f>IF(B241="","","OP-"&amp;TEXT(ROW()-4,"000"))</f>
        <v/>
      </c>
      <c r="B241" s="70" t="inlineStr">
        <is>
          <t>80L2/2026/2027/W/02</t>
        </is>
      </c>
      <c r="C241" s="71" t="n">
        <v>46324</v>
      </c>
      <c r="D241" s="70" t="inlineStr">
        <is>
          <t>NeST</t>
        </is>
      </c>
      <c r="E241" s="70" t="inlineStr">
        <is>
          <t>https://nest.go.tz/tenders/published-tenders</t>
        </is>
      </c>
      <c r="F241" s="70" t="inlineStr">
        <is>
          <t>Masasi District Council</t>
        </is>
      </c>
      <c r="G241" s="70" t="inlineStr">
        <is>
          <t>government</t>
        </is>
      </c>
      <c r="H241" s="70" t="inlineStr">
        <is>
          <t>Construction of Ground water tank 31,000ltrs and installation hand water pump with Installation of rain gutter system on near building structure built in Mitesa Secondary School, Lipumburu Secondary School, Mlingula Secondary School, Msikisi Secondary School, Namajani Secondary School,Mpanyani Secondary School,Temeke Secondary School, Jida Secondary Schoo,Matawale Secondary School and Masasi Technical Secondary School</t>
        </is>
      </c>
      <c r="I241" s="70" t="inlineStr">
        <is>
          <t>From NeST notice (3 lots) – read the tender document</t>
        </is>
      </c>
      <c r="J241" s="70" t="inlineStr">
        <is>
          <t>Dar es Salaam (Temeke)</t>
        </is>
      </c>
      <c r="K241" s="70" t="inlineStr">
        <is>
          <t>building</t>
        </is>
      </c>
      <c r="L241" s="70" t="inlineStr">
        <is>
          <t>NeST login needed</t>
        </is>
      </c>
      <c r="M241" s="62" t="n"/>
      <c r="N241" s="70" t="inlineStr">
        <is>
          <t>unknown</t>
        </is>
      </c>
      <c r="O241" s="71" t="inlineStr">
        <is>
          <t>NeST login needed</t>
        </is>
      </c>
      <c r="P241" s="71" t="inlineStr">
        <is>
          <t>NeST login needed</t>
        </is>
      </c>
      <c r="Q241" s="72" t="n">
        <v>46331.58333333334</v>
      </c>
      <c r="R241" s="70" t="inlineStr">
        <is>
          <t>NeST login needed</t>
        </is>
      </c>
      <c r="S241" s="70" t="inlineStr">
        <is>
          <t>N</t>
        </is>
      </c>
      <c r="T241" s="64">
        <f>IF(A241="","",IFERROR(INDEX('Bid-NoBid'!$T:$T,MATCH(A241,'Bid-NoBid'!$A:$A,0)),""))</f>
        <v/>
      </c>
      <c r="U241" s="59">
        <f>IF(A241="","",IFERROR(IF(OR(INDEX('Bid-NoBid'!$U:$U,MATCH(A241,'Bid-NoBid'!$A:$A,0))="",LEFT(INDEX('Bid-NoBid'!$U:$U,MATCH(A241,'Bid-NoBid'!$A:$A,0)),10)="Incomplete"),"Screen: "&amp;AC241,INDEX('Bid-NoBid'!$U:$U,MATCH(A241,'Bid-NoBid'!$A:$A,0))),"Screen: "&amp;AC241))</f>
        <v/>
      </c>
      <c r="V241" s="60" t="n"/>
      <c r="W241" s="70" t="inlineStr">
        <is>
          <t>Watching</t>
        </is>
      </c>
      <c r="X241" s="70" t="inlineStr">
        <is>
          <t>Frank</t>
        </is>
      </c>
      <c r="Y241" s="60" t="n"/>
      <c r="Z241" s="60" t="n"/>
      <c r="AA241" s="73" t="n">
        <v>46324</v>
      </c>
      <c r="AB241" s="74" t="inlineStr">
        <is>
          <t>Small Works / Tender</t>
        </is>
      </c>
      <c r="AC241" s="74" t="inlineStr">
        <is>
          <t>Pursue</t>
        </is>
      </c>
      <c r="AD241" s="74" t="inlineStr">
        <is>
          <t>Auto (Small Works / Tender): Building works within reach of Dar</t>
        </is>
      </c>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74" t="inlineStr">
        <is>
          <t>Get the tender document, confirm value, CRB class, site visit and bid security; brief the MD</t>
        </is>
      </c>
      <c r="AJ241" s="74" t="inlineStr">
        <is>
          <t>Auto-scan</t>
        </is>
      </c>
      <c r="AK241" s="74" t="inlineStr">
        <is>
          <t>b215d10f-d82f-46c5-a6db-e40060d280fd</t>
        </is>
      </c>
      <c r="AL241" s="59">
        <f>IF(AND(OR(W241="Watching",W241="Preparing"),ISNUMBER(Q241)),IF(AND(Q241&gt;='Friday Summary'!$C$4,Q241&lt;='Friday Summary'!$C$4+14),Q241+ROW()/1000000,""),"")</f>
        <v/>
      </c>
    </row>
    <row r="242" ht="15" customHeight="1" s="51">
      <c r="A242" s="59">
        <f>IF(B242="","","OP-"&amp;TEXT(ROW()-4,"000"))</f>
        <v/>
      </c>
      <c r="B242" s="70" t="inlineStr">
        <is>
          <t>52/2026/2027/W/25</t>
        </is>
      </c>
      <c r="C242" s="71" t="n">
        <v>46324</v>
      </c>
      <c r="D242" s="70" t="inlineStr">
        <is>
          <t>NeST</t>
        </is>
      </c>
      <c r="E242" s="70" t="inlineStr">
        <is>
          <t>https://nest.go.tz/tenders/published-tenders</t>
        </is>
      </c>
      <c r="F242" s="70" t="inlineStr">
        <is>
          <t>Ministry of Health</t>
        </is>
      </c>
      <c r="G242" s="70" t="inlineStr">
        <is>
          <t>government</t>
        </is>
      </c>
      <c r="H242" s="70" t="inlineStr">
        <is>
          <t>COMPLETION OF CONFERENCE BUILDING FOR EDUCATIONAL DEVELOPMENT IN HEALTH ARUSHA (CEDHA)</t>
        </is>
      </c>
      <c r="I242" s="70" t="inlineStr">
        <is>
          <t>From NeST notice (1 lot) – read the tender document</t>
        </is>
      </c>
      <c r="J242" s="70" t="inlineStr">
        <is>
          <t>Arusha</t>
        </is>
      </c>
      <c r="K242" s="70" t="inlineStr">
        <is>
          <t>building</t>
        </is>
      </c>
      <c r="L242" s="70" t="inlineStr">
        <is>
          <t>NeST login needed</t>
        </is>
      </c>
      <c r="M242" s="62" t="n"/>
      <c r="N242" s="70" t="inlineStr">
        <is>
          <t>unknown</t>
        </is>
      </c>
      <c r="O242" s="71" t="inlineStr">
        <is>
          <t>NeST login needed</t>
        </is>
      </c>
      <c r="P242" s="71" t="inlineStr">
        <is>
          <t>NeST login needed</t>
        </is>
      </c>
      <c r="Q242" s="72" t="n">
        <v>46331.58333333334</v>
      </c>
      <c r="R242" s="70" t="inlineStr">
        <is>
          <t>NeST login needed</t>
        </is>
      </c>
      <c r="S242" s="70" t="inlineStr">
        <is>
          <t>N</t>
        </is>
      </c>
      <c r="T242" s="64">
        <f>IF(A242="","",IFERROR(INDEX('Bid-NoBid'!$T:$T,MATCH(A242,'Bid-NoBid'!$A:$A,0)),""))</f>
        <v/>
      </c>
      <c r="U242" s="59">
        <f>IF(A242="","",IFERROR(IF(OR(INDEX('Bid-NoBid'!$U:$U,MATCH(A242,'Bid-NoBid'!$A:$A,0))="",LEFT(INDEX('Bid-NoBid'!$U:$U,MATCH(A242,'Bid-NoBid'!$A:$A,0)),10)="Incomplete"),"Screen: "&amp;AC242,INDEX('Bid-NoBid'!$U:$U,MATCH(A242,'Bid-NoBid'!$A:$A,0))),"Screen: "&amp;AC242))</f>
        <v/>
      </c>
      <c r="V242" s="60" t="n"/>
      <c r="W242" s="70" t="inlineStr">
        <is>
          <t>Watching</t>
        </is>
      </c>
      <c r="X242" s="70" t="inlineStr">
        <is>
          <t>Frank</t>
        </is>
      </c>
      <c r="Y242" s="60" t="n"/>
      <c r="Z242" s="60" t="n"/>
      <c r="AA242" s="73" t="n">
        <v>46324</v>
      </c>
      <c r="AB242" s="74" t="inlineStr">
        <is>
          <t>Small Works / Tender</t>
        </is>
      </c>
      <c r="AC242" s="74" t="inlineStr">
        <is>
          <t>Check</t>
        </is>
      </c>
      <c r="AD242" s="74" t="inlineStr">
        <is>
          <t>Auto (Small Works / Tender): Building works but remote from Dar</t>
        </is>
      </c>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74" t="inlineStr">
        <is>
          <t>Read the notice and decide with the QS Director whether to pursue</t>
        </is>
      </c>
      <c r="AJ242" s="74" t="inlineStr">
        <is>
          <t>Auto-scan</t>
        </is>
      </c>
      <c r="AK242" s="74" t="inlineStr">
        <is>
          <t>77233593-3658-46c9-95fb-b0afd6759b5b</t>
        </is>
      </c>
      <c r="AL242" s="59">
        <f>IF(AND(OR(W242="Watching",W242="Preparing"),ISNUMBER(Q242)),IF(AND(Q242&gt;='Friday Summary'!$C$4,Q242&lt;='Friday Summary'!$C$4+14),Q242+ROW()/1000000,""),"")</f>
        <v/>
      </c>
    </row>
    <row r="243" ht="15" customHeight="1" s="51">
      <c r="A243" s="59">
        <f>IF(B243="","","OP-"&amp;TEXT(ROW()-4,"000"))</f>
        <v/>
      </c>
      <c r="B243" s="70" t="inlineStr">
        <is>
          <t>S10/2026/2027/W/09</t>
        </is>
      </c>
      <c r="C243" s="71" t="n">
        <v>46324</v>
      </c>
      <c r="D243" s="70" t="inlineStr">
        <is>
          <t>NeST</t>
        </is>
      </c>
      <c r="E243" s="70" t="inlineStr">
        <is>
          <t>https://nest.go.tz/tenders/published-tenders</t>
        </is>
      </c>
      <c r="F243" s="70" t="inlineStr">
        <is>
          <t>Tanzania Rural and Urban Roads Agency</t>
        </is>
      </c>
      <c r="G243" s="70" t="inlineStr">
        <is>
          <t>government</t>
        </is>
      </c>
      <c r="H243" s="70" t="inlineStr">
        <is>
          <t>Construction of TARURA HQ Building at Block M, Plot 11, 12, and 13 in Njedengwa Investment Area, Dodoma CC</t>
        </is>
      </c>
      <c r="I243" s="70" t="inlineStr">
        <is>
          <t>From NeST notice (1 lot) – read the tender document</t>
        </is>
      </c>
      <c r="J243" s="70" t="inlineStr">
        <is>
          <t>Dodoma</t>
        </is>
      </c>
      <c r="K243" s="70" t="inlineStr">
        <is>
          <t>building</t>
        </is>
      </c>
      <c r="L243" s="70" t="inlineStr">
        <is>
          <t>NeST login needed</t>
        </is>
      </c>
      <c r="M243" s="62" t="n"/>
      <c r="N243" s="70" t="inlineStr">
        <is>
          <t>unknown</t>
        </is>
      </c>
      <c r="O243" s="71" t="inlineStr">
        <is>
          <t>NeST login needed</t>
        </is>
      </c>
      <c r="P243" s="71" t="inlineStr">
        <is>
          <t>NeST login needed</t>
        </is>
      </c>
      <c r="Q243" s="72" t="n">
        <v>46338.625</v>
      </c>
      <c r="R243" s="70" t="inlineStr">
        <is>
          <t>NeST login needed</t>
        </is>
      </c>
      <c r="S243" s="70" t="inlineStr">
        <is>
          <t>N</t>
        </is>
      </c>
      <c r="T243" s="64">
        <f>IF(A243="","",IFERROR(INDEX('Bid-NoBid'!$T:$T,MATCH(A243,'Bid-NoBid'!$A:$A,0)),""))</f>
        <v/>
      </c>
      <c r="U243" s="59">
        <f>IF(A243="","",IFERROR(IF(OR(INDEX('Bid-NoBid'!$U:$U,MATCH(A243,'Bid-NoBid'!$A:$A,0))="",LEFT(INDEX('Bid-NoBid'!$U:$U,MATCH(A243,'Bid-NoBid'!$A:$A,0)),10)="Incomplete"),"Screen: "&amp;AC243,INDEX('Bid-NoBid'!$U:$U,MATCH(A243,'Bid-NoBid'!$A:$A,0))),"Screen: "&amp;AC243))</f>
        <v/>
      </c>
      <c r="V243" s="60" t="n"/>
      <c r="W243" s="70" t="inlineStr">
        <is>
          <t>Watching</t>
        </is>
      </c>
      <c r="X243" s="70" t="inlineStr">
        <is>
          <t>Frank</t>
        </is>
      </c>
      <c r="Y243" s="60" t="n"/>
      <c r="Z243" s="60" t="n"/>
      <c r="AA243" s="73" t="n">
        <v>46324</v>
      </c>
      <c r="AB243" s="74" t="inlineStr">
        <is>
          <t>Small Works / Tender</t>
        </is>
      </c>
      <c r="AC243" s="74" t="inlineStr">
        <is>
          <t>Pursue</t>
        </is>
      </c>
      <c r="AD243" s="74" t="inlineStr">
        <is>
          <t>Auto (Small Works / Tender): Building works within reach of Dar</t>
        </is>
      </c>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74" t="inlineStr">
        <is>
          <t>Get the tender document, confirm value, CRB class, site visit and bid security; brief the MD</t>
        </is>
      </c>
      <c r="AJ243" s="74" t="inlineStr">
        <is>
          <t>Auto-scan</t>
        </is>
      </c>
      <c r="AK243" s="74" t="inlineStr">
        <is>
          <t>a751575d-daba-4d06-a3ff-8231446635b3</t>
        </is>
      </c>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v>1</v>
      </c>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v>1</v>
      </c>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v>1</v>
      </c>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v>5</v>
      </c>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v>1</v>
      </c>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v>1</v>
      </c>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v>4</v>
      </c>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v>5</v>
      </c>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v>4</v>
      </c>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v>5</v>
      </c>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v>4</v>
      </c>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v>4</v>
      </c>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v>5</v>
      </c>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v>1</v>
      </c>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v>4</v>
      </c>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8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row r="80">
      <c r="A80" s="113" t="n">
        <v>46321</v>
      </c>
      <c r="B80" s="103" t="inlineStr">
        <is>
          <t>Automatic scan (all sources)</t>
        </is>
      </c>
      <c r="C80" s="103" t="inlineStr"/>
      <c r="D8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IUCEA procurement, ESAMI (Arusha) procurement, Shelter Afrique procurement, OPEC Fund procurement, IRC (International Rescue Committee) procurement, Norwegian Refugee Council procurement, Welthungerhilfe tenders, Concern Worldwide tenders: 3 new added to Pipeline (Small Works: 3); 2 screened out; 0 deadline change(s)</t>
        </is>
      </c>
      <c r="E80" s="103" t="n">
        <v>3</v>
      </c>
      <c r="F80" s="103" t="inlineStr">
        <is>
          <t>Auto-scanner</t>
        </is>
      </c>
    </row>
    <row r="81">
      <c r="A81" s="113" t="n">
        <v>46321</v>
      </c>
      <c r="B81" s="103" t="inlineStr">
        <is>
          <t>Automatic scan (all sources)</t>
        </is>
      </c>
      <c r="C81" s="103" t="inlineStr"/>
      <c r="D81"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1 new added to Pipeline (DDO Tenders: 1); 0 screened out; 0 deadline change(s)</t>
        </is>
      </c>
      <c r="E81" s="103" t="n">
        <v>1</v>
      </c>
      <c r="F81" s="103" t="inlineStr">
        <is>
          <t>Auto-scanner</t>
        </is>
      </c>
    </row>
    <row r="82">
      <c r="A82" s="113" t="n">
        <v>46321</v>
      </c>
      <c r="B82" s="103" t="inlineStr">
        <is>
          <t>Automatic scan (all sources)</t>
        </is>
      </c>
      <c r="C82" s="103" t="inlineStr"/>
      <c r="D82" s="103" t="inlineStr">
        <is>
          <t>Automatic scan of World Bank (Tanzania, civil works),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3 screened out; 0 deadline change(s)</t>
        </is>
      </c>
      <c r="E82" s="103" t="n">
        <v>2</v>
      </c>
      <c r="F82" s="103" t="inlineStr">
        <is>
          <t>Auto-scanner</t>
        </is>
      </c>
    </row>
    <row r="83">
      <c r="A83" s="113" t="n">
        <v>46322</v>
      </c>
      <c r="B83" s="103" t="inlineStr">
        <is>
          <t>Automatic scan (all sources)</t>
        </is>
      </c>
      <c r="C83" s="103" t="inlineStr"/>
      <c r="D8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 screened out; 0 deadline change(s)</t>
        </is>
      </c>
      <c r="E83" s="103" t="n">
        <v>0</v>
      </c>
      <c r="F83" s="103" t="inlineStr">
        <is>
          <t>Auto-scanner</t>
        </is>
      </c>
    </row>
    <row r="84">
      <c r="A84" s="113" t="n">
        <v>46323</v>
      </c>
      <c r="B84" s="103" t="inlineStr">
        <is>
          <t>Automatic scan (all sources)</t>
        </is>
      </c>
      <c r="C84" s="103" t="inlineStr"/>
      <c r="D8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4 new added to Pipeline (Standard Invitation for Quotations -Works: 1, Design and Build: 1, Small Works: 2); 4 screened out; 0 deadline change(s)</t>
        </is>
      </c>
      <c r="E84" s="103" t="n">
        <v>4</v>
      </c>
      <c r="F84" s="103" t="inlineStr">
        <is>
          <t>Auto-scanner</t>
        </is>
      </c>
    </row>
    <row r="85">
      <c r="A85" s="113" t="n">
        <v>46324</v>
      </c>
      <c r="B85" s="103" t="inlineStr">
        <is>
          <t>Automatic scan (all sources)</t>
        </is>
      </c>
      <c r="C85" s="103" t="inlineStr"/>
      <c r="D85"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7 new added to Pipeline (Standard Invitation for Quotations -Works: 1, Small Works: 6); 3 screened out; 1 deadline change(s)</t>
        </is>
      </c>
      <c r="E85" s="103" t="n">
        <v>7</v>
      </c>
      <c r="F85"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40"/>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row r="128">
      <c r="A128" s="114" t="n">
        <v>46321</v>
      </c>
      <c r="B128" s="111" t="inlineStr">
        <is>
          <t>S10/009/2026/2027/W/137</t>
        </is>
      </c>
      <c r="C128" s="111" t="inlineStr">
        <is>
          <t>TARURA - Kilimanjaro Regional Office</t>
        </is>
      </c>
      <c r="D128" s="111" t="inlineStr">
        <is>
          <t>Upgrading of KKKT Church Mwanga road to Double Surface Dressing in Mwanga District.</t>
        </is>
      </c>
      <c r="E128" s="111" t="inlineStr">
        <is>
          <t>Kilimanjaro (Mwanga)</t>
        </is>
      </c>
      <c r="F128" s="111" t="inlineStr">
        <is>
          <t>civil</t>
        </is>
      </c>
      <c r="G128" s="115" t="n">
        <v>46328.41666666666</v>
      </c>
      <c r="H128" s="111" t="inlineStr">
        <is>
          <t>Auto (Small Works / Tender): Large road works, likely above Civil Class IV – JV only (escalate to MD if of interest)</t>
        </is>
      </c>
      <c r="I128" s="111" t="inlineStr">
        <is>
          <t>501ee9ee-c2d0-4a81-8d40-54520212bd84</t>
        </is>
      </c>
      <c r="J128" s="111" t="inlineStr">
        <is>
          <t>NeST</t>
        </is>
      </c>
      <c r="K128" s="111" t="inlineStr">
        <is>
          <t>https://nest.go.tz/tenders/published-tenders</t>
        </is>
      </c>
    </row>
    <row r="129">
      <c r="A129" s="114" t="n">
        <v>46321</v>
      </c>
      <c r="B129" s="111" t="inlineStr">
        <is>
          <t>S10/009/2026/2027/W/183</t>
        </is>
      </c>
      <c r="C129" s="111" t="inlineStr">
        <is>
          <t>TARURA - Kilimanjaro Regional Office</t>
        </is>
      </c>
      <c r="D129" s="111" t="inlineStr">
        <is>
          <t>UPGRADING OF NDAMENI - USONGO - KWALAKAMU ROAD (4.8km) and KISALE DISPENSARY - MAHOROSHA ROAD (1.75km) TO GRAVEL STANDARD IN ROMBO DISTRICT.</t>
        </is>
      </c>
      <c r="E129" s="111" t="inlineStr">
        <is>
          <t>Kilimanjaro (Moshi) (from client's office – confirm site)</t>
        </is>
      </c>
      <c r="F129" s="111" t="inlineStr">
        <is>
          <t>civil</t>
        </is>
      </c>
      <c r="G129" s="115" t="n">
        <v>46328.41666666666</v>
      </c>
      <c r="H129" s="111" t="inlineStr">
        <is>
          <t>Auto (Small Works / Tender): Remote civil works</t>
        </is>
      </c>
      <c r="I129" s="111" t="inlineStr">
        <is>
          <t>3fddbbf1-9557-45a3-ab9d-0f8d23a368f1</t>
        </is>
      </c>
      <c r="J129" s="111" t="inlineStr">
        <is>
          <t>NeST</t>
        </is>
      </c>
      <c r="K129" s="111" t="inlineStr">
        <is>
          <t>https://nest.go.tz/tenders/published-tenders</t>
        </is>
      </c>
    </row>
    <row r="130">
      <c r="A130" s="114" t="n">
        <v>46321</v>
      </c>
      <c r="B130" s="111" t="inlineStr"/>
      <c r="C130" s="111" t="inlineStr">
        <is>
          <t>See advert</t>
        </is>
      </c>
      <c r="D130" s="111" t="inlineStr">
        <is>
          <t>Upgrading of Kkkt Church Mwanga Road to Double Surface Dressing in Mwanga District.</t>
        </is>
      </c>
      <c r="E130" s="111" t="inlineStr">
        <is>
          <t>Kilimanjaro (Mwanga)</t>
        </is>
      </c>
      <c r="F130" s="111" t="inlineStr">
        <is>
          <t>civil</t>
        </is>
      </c>
      <c r="G130" s="115" t="n">
        <v>46328.41666666666</v>
      </c>
      <c r="H130" s="111" t="inlineStr">
        <is>
          <t>Auto (TanzaniaTenders.com): Large road works, likely above Civil Class IV – JV only (escalate to MD if of interest) · deadline read from the web page – confirm</t>
        </is>
      </c>
      <c r="I130" s="111" t="inlineStr">
        <is>
          <t>TZT:151464972</t>
        </is>
      </c>
      <c r="J130" s="111" t="inlineStr">
        <is>
          <t>press</t>
        </is>
      </c>
      <c r="K130" s="111" t="inlineStr">
        <is>
          <t>https://www.tanzaniatenders.com/tender/upgrading-kkkt-church-mwanga-road-double-surface-dressing-mwanga-district-9072c0c.php</t>
        </is>
      </c>
    </row>
    <row r="131">
      <c r="A131" s="114" t="n">
        <v>46321</v>
      </c>
      <c r="B131" s="111" t="inlineStr"/>
      <c r="C131" s="111" t="inlineStr">
        <is>
          <t>See advert</t>
        </is>
      </c>
      <c r="D131" s="111" t="inlineStr">
        <is>
          <t>Spot Improvement Works 0.44Km Along Bus Stand-Dc Office Road, Spot Improvement Works 0.31Km Along Ccm-Rc Church Road, Spot Improvement Works 0.15Km Along Sweet Corner Road, Spot Improvement Works 0.25...</t>
        </is>
      </c>
      <c r="E131" s="111" t="inlineStr">
        <is>
          <t>Not stated – read the notice</t>
        </is>
      </c>
      <c r="F131" s="111" t="inlineStr">
        <is>
          <t>civil</t>
        </is>
      </c>
      <c r="G131" s="115" t="n">
        <v>46325.41666666666</v>
      </c>
      <c r="H131" s="111" t="inlineStr">
        <is>
          <t>Auto (TanzaniaTenders.com): Remote civil works · deadline read from the web page – confirm</t>
        </is>
      </c>
      <c r="I131" s="111" t="inlineStr">
        <is>
          <t>TZT:151405538</t>
        </is>
      </c>
      <c r="J131" s="111" t="inlineStr">
        <is>
          <t>press</t>
        </is>
      </c>
      <c r="K131" s="111" t="inlineStr">
        <is>
          <t>https://www.tanzaniatenders.com/tender/spot-improvement-works-0-44km-along-bus-stand-dc-office-road-spot-improvement-works-0-31km-along-cc-90643e2.php</t>
        </is>
      </c>
    </row>
    <row r="132">
      <c r="A132" s="114" t="n">
        <v>46321</v>
      </c>
      <c r="B132" s="111" t="inlineStr"/>
      <c r="C132" s="111" t="inlineStr">
        <is>
          <t>See advert</t>
        </is>
      </c>
      <c r="D132" s="111" t="inlineStr">
        <is>
          <t>Periodic Maintenance Works 0.1Km Along Bukoko-Mtunguru-Mwajinjama Road, Periodic Maintenance Works 0.1Km Along Matinje-Mwasung'ho Road, Periodic Maintenance Works 0.1Km Along Ibologero-Choma Road And....</t>
        </is>
      </c>
      <c r="E132" s="111" t="inlineStr">
        <is>
          <t>Not stated – read the notice</t>
        </is>
      </c>
      <c r="F132" s="111" t="inlineStr">
        <is>
          <t>civil</t>
        </is>
      </c>
      <c r="G132" s="115" t="n">
        <v>46325.41666666666</v>
      </c>
      <c r="H132" s="111" t="inlineStr">
        <is>
          <t>Auto (TanzaniaTenders.com): Remote civil works · deadline read from the web page – confirm</t>
        </is>
      </c>
      <c r="I132" s="111" t="inlineStr">
        <is>
          <t>TZT:151405534</t>
        </is>
      </c>
      <c r="J132" s="111" t="inlineStr">
        <is>
          <t>press</t>
        </is>
      </c>
      <c r="K132" s="111" t="inlineStr">
        <is>
          <t>https://www.tanzaniatenders.com/tender/periodic-maintenance-works-0-1km-along-bukoko-mtunguru-mwajinjama-road-periodic-maintenance-works-0-90643de.php</t>
        </is>
      </c>
    </row>
    <row r="133">
      <c r="A133" s="114" t="n">
        <v>46322</v>
      </c>
      <c r="B133" s="111" t="inlineStr">
        <is>
          <t>90DD1/2026/2027/W/05</t>
        </is>
      </c>
      <c r="C133" s="111" t="inlineStr">
        <is>
          <t>Songwe District Council</t>
        </is>
      </c>
      <c r="D133" s="111" t="inlineStr">
        <is>
          <t>UMALIZIAJI WA JENGO LA HALMASHAURI YA WILAYA YA SONGWE.</t>
        </is>
      </c>
      <c r="E133" s="111" t="inlineStr">
        <is>
          <t>Songwe</t>
        </is>
      </c>
      <c r="F133" s="111" t="inlineStr">
        <is>
          <t>building</t>
        </is>
      </c>
      <c r="G133" s="115" t="n">
        <v>46328.45833333334</v>
      </c>
      <c r="H133" s="111" t="inlineStr">
        <is>
          <t>Auto (Small Works / Tender): Remote and closing soon</t>
        </is>
      </c>
      <c r="I133" s="111" t="inlineStr">
        <is>
          <t>8ecf3ba7-16db-4c2a-9f0a-814dff405748</t>
        </is>
      </c>
      <c r="J133" s="111" t="inlineStr">
        <is>
          <t>NeST</t>
        </is>
      </c>
      <c r="K133" s="111" t="inlineStr">
        <is>
          <t>https://nest.go.tz/tenders/published-tenders</t>
        </is>
      </c>
    </row>
    <row r="134">
      <c r="A134" s="114" t="n">
        <v>46323</v>
      </c>
      <c r="B134" s="111" t="inlineStr">
        <is>
          <t>TR36/026/2026/2027/W/18</t>
        </is>
      </c>
      <c r="C134" s="111" t="inlineStr">
        <is>
          <t>TANROADS - Tanga Regional Office</t>
        </is>
      </c>
      <c r="D134" s="111" t="inlineStr">
        <is>
          <t>Installation of Solar Street Lights along Trunk Roads</t>
        </is>
      </c>
      <c r="E134" s="111" t="inlineStr">
        <is>
          <t>Tanga (from client's office – confirm site)</t>
        </is>
      </c>
      <c r="F134" s="111" t="inlineStr">
        <is>
          <t>MEP</t>
        </is>
      </c>
      <c r="G134" s="115" t="n">
        <v>46330.58333333334</v>
      </c>
      <c r="H134" s="111" t="inlineStr">
        <is>
          <t>Auto (Small Works / Tender): Specialist MEP works – pass to an electrical/mechanical subcontractor</t>
        </is>
      </c>
      <c r="I134" s="111" t="inlineStr">
        <is>
          <t>a559e412-72ca-4039-94d1-906f156b496b</t>
        </is>
      </c>
      <c r="J134" s="111" t="inlineStr">
        <is>
          <t>NeST</t>
        </is>
      </c>
      <c r="K134" s="111" t="inlineStr">
        <is>
          <t>https://nest.go.tz/tenders/published-tenders</t>
        </is>
      </c>
    </row>
    <row r="135">
      <c r="A135" s="114" t="n">
        <v>46323</v>
      </c>
      <c r="B135" s="111" t="inlineStr">
        <is>
          <t>TR36/001/2026/2027/W/67</t>
        </is>
      </c>
      <c r="C135" s="111" t="inlineStr">
        <is>
          <t>TANROADS - Arusha Regional Office</t>
        </is>
      </c>
      <c r="D135" s="111" t="inlineStr">
        <is>
          <t>Road Safety, Environmental and Social Activities (HQ Based) FY 2026/2027 in Arusha Region.</t>
        </is>
      </c>
      <c r="E135" s="111" t="inlineStr">
        <is>
          <t>Arusha</t>
        </is>
      </c>
      <c r="F135" s="111" t="inlineStr">
        <is>
          <t>civil</t>
        </is>
      </c>
      <c r="G135" s="115" t="n">
        <v>46330.58333333334</v>
      </c>
      <c r="H135" s="111" t="inlineStr">
        <is>
          <t>Auto (Small Works / Tender): Remote civil works</t>
        </is>
      </c>
      <c r="I135" s="111" t="inlineStr">
        <is>
          <t>917a2c18-fa91-4623-8fbf-a3f8d938ff54</t>
        </is>
      </c>
      <c r="J135" s="111" t="inlineStr">
        <is>
          <t>NeST</t>
        </is>
      </c>
      <c r="K135" s="111" t="inlineStr">
        <is>
          <t>https://nest.go.tz/tenders/published-tenders</t>
        </is>
      </c>
    </row>
    <row r="136">
      <c r="A136" s="114" t="n">
        <v>46323</v>
      </c>
      <c r="B136" s="111" t="inlineStr">
        <is>
          <t>TR36/001/2026/2027/W/38</t>
        </is>
      </c>
      <c r="C136" s="111" t="inlineStr">
        <is>
          <t>TANROADS - Arusha Regional Office</t>
        </is>
      </c>
      <c r="D136" s="111" t="inlineStr">
        <is>
          <t>Periodic Maintenance works and Routine /Recurrent works along Longido - SIHA (UP)</t>
        </is>
      </c>
      <c r="E136" s="111" t="inlineStr">
        <is>
          <t>Arusha (from client's office – confirm site)</t>
        </is>
      </c>
      <c r="F136" s="111" t="inlineStr">
        <is>
          <t>civil</t>
        </is>
      </c>
      <c r="G136" s="115" t="n">
        <v>46330.58333333334</v>
      </c>
      <c r="H136" s="111" t="inlineStr">
        <is>
          <t>Auto (Small Works / Tender): Remote civil works</t>
        </is>
      </c>
      <c r="I136" s="111" t="inlineStr">
        <is>
          <t>8cffa3cb-59ee-4b3d-a4d0-751d576406c5</t>
        </is>
      </c>
      <c r="J136" s="111" t="inlineStr">
        <is>
          <t>NeST</t>
        </is>
      </c>
      <c r="K136" s="111" t="inlineStr">
        <is>
          <t>https://nest.go.tz/tenders/published-tenders</t>
        </is>
      </c>
    </row>
    <row r="137">
      <c r="A137" s="114" t="n">
        <v>46323</v>
      </c>
      <c r="B137" s="111" t="inlineStr">
        <is>
          <t>S10/016/2026/2027/W/53</t>
        </is>
      </c>
      <c r="C137" s="111" t="inlineStr">
        <is>
          <t>TARURA - Mwanza Regional Office</t>
        </is>
      </c>
      <c r="D137" s="111" t="inlineStr">
        <is>
          <t>Upgrading of Ibondo - Kasungamile - Chamabanda, Kinoja - Sayuni - Marekano and Majinda - Ishokela Roads to Gravel Standard in Sengerema District</t>
        </is>
      </c>
      <c r="E137" s="111" t="inlineStr">
        <is>
          <t>Mwanza (Ilemela) (from client's office – confirm site)</t>
        </is>
      </c>
      <c r="F137" s="111" t="inlineStr">
        <is>
          <t>civil</t>
        </is>
      </c>
      <c r="G137" s="115" t="n">
        <v>46329.45833333334</v>
      </c>
      <c r="H137" s="111" t="inlineStr">
        <is>
          <t>Auto (Small Works / Tender): Remote civil works</t>
        </is>
      </c>
      <c r="I137" s="111" t="inlineStr">
        <is>
          <t>4e59b22b-18c4-46ca-8983-7fc9333b1aac</t>
        </is>
      </c>
      <c r="J137" s="111" t="inlineStr">
        <is>
          <t>NeST</t>
        </is>
      </c>
      <c r="K137" s="111" t="inlineStr">
        <is>
          <t>https://nest.go.tz/tenders/published-tenders</t>
        </is>
      </c>
    </row>
    <row r="138">
      <c r="A138" s="114" t="n">
        <v>46324</v>
      </c>
      <c r="B138" s="111" t="inlineStr">
        <is>
          <t>TR36/001/2026/2027/W/54</t>
        </is>
      </c>
      <c r="C138" s="111" t="inlineStr">
        <is>
          <t>TANROADS - Arusha Regional Office</t>
        </is>
      </c>
      <c r="D138" s="111" t="inlineStr">
        <is>
          <t>Rehabilitation works of Mto wa Mbu - Loliondo - 217km and Wasso - Kleins Gate Roads.</t>
        </is>
      </c>
      <c r="E138" s="111" t="inlineStr">
        <is>
          <t>Arusha (Loliondo)</t>
        </is>
      </c>
      <c r="F138" s="111" t="inlineStr">
        <is>
          <t>civil</t>
        </is>
      </c>
      <c r="G138" s="115" t="n">
        <v>46331.58333333334</v>
      </c>
      <c r="H138" s="111" t="inlineStr">
        <is>
          <t>Auto (Small Works / Tender): Remote civil works</t>
        </is>
      </c>
      <c r="I138" s="111" t="inlineStr">
        <is>
          <t>7e4672d3-573c-437b-8887-788b95cc623e</t>
        </is>
      </c>
      <c r="J138" s="111" t="inlineStr">
        <is>
          <t>NeST</t>
        </is>
      </c>
      <c r="K138" s="111" t="inlineStr">
        <is>
          <t>https://nest.go.tz/tenders/published-tenders</t>
        </is>
      </c>
    </row>
    <row r="139">
      <c r="A139" s="114" t="n">
        <v>46324</v>
      </c>
      <c r="B139" s="111" t="inlineStr">
        <is>
          <t>72C6/2026/2027/W/06</t>
        </is>
      </c>
      <c r="C139" s="111" t="inlineStr">
        <is>
          <t>Chamwino District Council</t>
        </is>
      </c>
      <c r="D139" s="111" t="inlineStr">
        <is>
          <t>Drip Irrigation System Project Covering Ten (10) Acres in Msamalo Ward</t>
        </is>
      </c>
      <c r="E139" s="111" t="inlineStr">
        <is>
          <t>Dodoma (Chamwino) (from client's office – confirm site)</t>
        </is>
      </c>
      <c r="F139" s="111" t="inlineStr">
        <is>
          <t>civil</t>
        </is>
      </c>
      <c r="G139" s="115" t="n">
        <v>46328.58333333334</v>
      </c>
      <c r="H139" s="111" t="inlineStr">
        <is>
          <t>Auto (Standard Invitation for Quotations -Works / Planned Tender): Remote civil works</t>
        </is>
      </c>
      <c r="I139" s="111" t="inlineStr">
        <is>
          <t>0ecf90a5-ccf7-482c-a181-cfd90dff20d9</t>
        </is>
      </c>
      <c r="J139" s="111" t="inlineStr">
        <is>
          <t>NeST</t>
        </is>
      </c>
      <c r="K139" s="111" t="inlineStr">
        <is>
          <t>https://nest.go.tz/tenders/published-tenders</t>
        </is>
      </c>
    </row>
    <row r="140">
      <c r="A140" s="114" t="n">
        <v>46324</v>
      </c>
      <c r="B140" s="111" t="inlineStr">
        <is>
          <t>72C6/2026/2027/W/07</t>
        </is>
      </c>
      <c r="C140" s="111" t="inlineStr">
        <is>
          <t>Chamwino District Council</t>
        </is>
      </c>
      <c r="D140" s="111" t="inlineStr">
        <is>
          <t>Rainwater Storage Dam Excavation Project in Nzali Village, Chilonwa Ward</t>
        </is>
      </c>
      <c r="E140" s="111" t="inlineStr">
        <is>
          <t>Dodoma (Chamwino) (from client's office – confirm site)</t>
        </is>
      </c>
      <c r="F140" s="111" t="inlineStr">
        <is>
          <t>civil</t>
        </is>
      </c>
      <c r="G140" s="115" t="n">
        <v>46328.58333333334</v>
      </c>
      <c r="H140" s="111" t="inlineStr">
        <is>
          <t>Auto (Standard Invitation for Quotations -Works / Planned Tender): Remote civil works</t>
        </is>
      </c>
      <c r="I140" s="111" t="inlineStr">
        <is>
          <t>3e58b5ef-84c5-4f27-9fb1-ef3d73714633</t>
        </is>
      </c>
      <c r="J140" s="111" t="inlineStr">
        <is>
          <t>NeST</t>
        </is>
      </c>
      <c r="K140"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2026-10-29T01:23:22Z</dcterms:modified>
  <cp:revision>0</cp:revision>
</cp:coreProperties>
</file>