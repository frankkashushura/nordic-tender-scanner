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Read Me" sheetId="1" state="visible" r:id="rId1"/>
    <sheet xmlns:r="http://schemas.openxmlformats.org/officeDocument/2006/relationships" name="Pipeline" sheetId="2" state="visible" r:id="rId2"/>
    <sheet xmlns:r="http://schemas.openxmlformats.org/officeDocument/2006/relationships" name="Bid-NoBid" sheetId="3" state="visible" r:id="rId3"/>
    <sheet xmlns:r="http://schemas.openxmlformats.org/officeDocument/2006/relationships" name="Friday Summary" sheetId="4" state="visible" r:id="rId4"/>
    <sheet xmlns:r="http://schemas.openxmlformats.org/officeDocument/2006/relationships" name="Panel 3 Feed" sheetId="5" state="visible" r:id="rId5"/>
    <sheet xmlns:r="http://schemas.openxmlformats.org/officeDocument/2006/relationships" name="Watch List" sheetId="6" state="visible" r:id="rId6"/>
    <sheet xmlns:r="http://schemas.openxmlformats.org/officeDocument/2006/relationships" name="Scan Log" sheetId="7" state="visible" r:id="rId7"/>
    <sheet xmlns:r="http://schemas.openxmlformats.org/officeDocument/2006/relationships" name="Lists" sheetId="8" state="visible" r:id="rId8"/>
    <sheet xmlns:r="http://schemas.openxmlformats.org/officeDocument/2006/relationships" name="Scoring Guide" sheetId="9" state="visible" r:id="rId9"/>
    <sheet xmlns:r="http://schemas.openxmlformats.org/officeDocument/2006/relationships"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9">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60" t="n"/>
      <c r="C43" s="61" t="n"/>
      <c r="D43" s="60" t="n"/>
      <c r="E43" s="60" t="n"/>
      <c r="F43" s="60" t="n"/>
      <c r="G43" s="60" t="n"/>
      <c r="H43" s="60" t="n"/>
      <c r="I43" s="60" t="n"/>
      <c r="J43" s="60" t="n"/>
      <c r="K43" s="60" t="n"/>
      <c r="L43" s="60" t="n"/>
      <c r="M43" s="62" t="n"/>
      <c r="N43" s="60" t="n"/>
      <c r="O43" s="61" t="n"/>
      <c r="P43" s="61" t="n"/>
      <c r="Q43" s="63" t="n"/>
      <c r="R43" s="60" t="n"/>
      <c r="S43" s="60" t="n"/>
      <c r="T43" s="64">
        <f>IF(A43="","",IFERROR(INDEX('Bid-NoBid'!$T:$T,MATCH(A43,'Bid-NoBid'!$A:$A,0)),""))</f>
        <v/>
      </c>
      <c r="U43" s="59">
        <f>IF(A43="","",IFERROR(IF(OR(INDEX('Bid-NoBid'!$U:$U,MATCH(A43,'Bid-NoBid'!$A:$A,0))="",LEFT(INDEX('Bid-NoBid'!$U:$U,MATCH(A43,'Bid-NoBid'!$A:$A,0)),10)="Incomplete"),"Screen: "&amp;AC43,INDEX('Bid-NoBid'!$U:$U,MATCH(A43,'Bid-NoBid'!$A:$A,0))),"Screen: "&amp;AC43))</f>
        <v/>
      </c>
      <c r="V43" s="60" t="n"/>
      <c r="W43" s="60" t="n"/>
      <c r="X43" s="60" t="n"/>
      <c r="Y43" s="60" t="n"/>
      <c r="Z43" s="60" t="n"/>
      <c r="AA43" s="65" t="n"/>
      <c r="AB43" s="66" t="n"/>
      <c r="AC43" s="66" t="n"/>
      <c r="AD43" s="66" t="n"/>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66" t="n"/>
      <c r="AJ43" s="66" t="n"/>
      <c r="AK43" s="66" t="n"/>
      <c r="AL43" s="59">
        <f>IF(AND(OR(W43="Watching",W43="Preparing"),ISNUMBER(Q43)),IF(AND(Q43&gt;='Friday Summary'!$C$4,Q43&lt;='Friday Summary'!$C$4+14),Q43+ROW()/1000000,""),"")</f>
        <v/>
      </c>
    </row>
    <row r="44" ht="15" customHeight="1" s="51">
      <c r="A44" s="59">
        <f>IF(B44="","","OP-"&amp;TEXT(ROW()-4,"000"))</f>
        <v/>
      </c>
      <c r="B44" s="60" t="n"/>
      <c r="C44" s="61" t="n"/>
      <c r="D44" s="60" t="n"/>
      <c r="E44" s="60" t="n"/>
      <c r="F44" s="60" t="n"/>
      <c r="G44" s="60" t="n"/>
      <c r="H44" s="60" t="n"/>
      <c r="I44" s="60" t="n"/>
      <c r="J44" s="60" t="n"/>
      <c r="K44" s="60" t="n"/>
      <c r="L44" s="60" t="n"/>
      <c r="M44" s="62" t="n"/>
      <c r="N44" s="60" t="n"/>
      <c r="O44" s="61" t="n"/>
      <c r="P44" s="61" t="n"/>
      <c r="Q44" s="63" t="n"/>
      <c r="R44" s="60" t="n"/>
      <c r="S44" s="60" t="n"/>
      <c r="T44" s="64">
        <f>IF(A44="","",IFERROR(INDEX('Bid-NoBid'!$T:$T,MATCH(A44,'Bid-NoBid'!$A:$A,0)),""))</f>
        <v/>
      </c>
      <c r="U44" s="59">
        <f>IF(A44="","",IFERROR(IF(OR(INDEX('Bid-NoBid'!$U:$U,MATCH(A44,'Bid-NoBid'!$A:$A,0))="",LEFT(INDEX('Bid-NoBid'!$U:$U,MATCH(A44,'Bid-NoBid'!$A:$A,0)),10)="Incomplete"),"Screen: "&amp;AC44,INDEX('Bid-NoBid'!$U:$U,MATCH(A44,'Bid-NoBid'!$A:$A,0))),"Screen: "&amp;AC44))</f>
        <v/>
      </c>
      <c r="V44" s="60" t="n"/>
      <c r="W44" s="60" t="n"/>
      <c r="X44" s="60" t="n"/>
      <c r="Y44" s="60" t="n"/>
      <c r="Z44" s="60" t="n"/>
      <c r="AA44" s="65" t="n"/>
      <c r="AB44" s="66" t="n"/>
      <c r="AC44" s="66" t="n"/>
      <c r="AD44" s="66" t="n"/>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66" t="n"/>
      <c r="AJ44" s="66" t="n"/>
      <c r="AK44" s="66" t="n"/>
      <c r="AL44" s="59">
        <f>IF(AND(OR(W44="Watching",W44="Preparing"),ISNUMBER(Q44)),IF(AND(Q44&gt;='Friday Summary'!$C$4,Q44&lt;='Friday Summary'!$C$4+14),Q44+ROW()/1000000,""),"")</f>
        <v/>
      </c>
    </row>
    <row r="45" ht="15" customHeight="1" s="51">
      <c r="A45" s="59">
        <f>IF(B45="","","OP-"&amp;TEXT(ROW()-4,"000"))</f>
        <v/>
      </c>
      <c r="B45" s="60" t="n"/>
      <c r="C45" s="61" t="n"/>
      <c r="D45" s="60" t="n"/>
      <c r="E45" s="60" t="n"/>
      <c r="F45" s="60" t="n"/>
      <c r="G45" s="60" t="n"/>
      <c r="H45" s="60" t="n"/>
      <c r="I45" s="60" t="n"/>
      <c r="J45" s="60" t="n"/>
      <c r="K45" s="60" t="n"/>
      <c r="L45" s="60" t="n"/>
      <c r="M45" s="62" t="n"/>
      <c r="N45" s="60" t="n"/>
      <c r="O45" s="61" t="n"/>
      <c r="P45" s="61" t="n"/>
      <c r="Q45" s="63" t="n"/>
      <c r="R45" s="60" t="n"/>
      <c r="S45" s="60" t="n"/>
      <c r="T45" s="64">
        <f>IF(A45="","",IFERROR(INDEX('Bid-NoBid'!$T:$T,MATCH(A45,'Bid-NoBid'!$A:$A,0)),""))</f>
        <v/>
      </c>
      <c r="U45" s="59">
        <f>IF(A45="","",IFERROR(IF(OR(INDEX('Bid-NoBid'!$U:$U,MATCH(A45,'Bid-NoBid'!$A:$A,0))="",LEFT(INDEX('Bid-NoBid'!$U:$U,MATCH(A45,'Bid-NoBid'!$A:$A,0)),10)="Incomplete"),"Screen: "&amp;AC45,INDEX('Bid-NoBid'!$U:$U,MATCH(A45,'Bid-NoBid'!$A:$A,0))),"Screen: "&amp;AC45))</f>
        <v/>
      </c>
      <c r="V45" s="60" t="n"/>
      <c r="W45" s="60" t="n"/>
      <c r="X45" s="60" t="n"/>
      <c r="Y45" s="60" t="n"/>
      <c r="Z45" s="60" t="n"/>
      <c r="AA45" s="65" t="n"/>
      <c r="AB45" s="66" t="n"/>
      <c r="AC45" s="66" t="n"/>
      <c r="AD45" s="66" t="n"/>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66" t="n"/>
      <c r="AJ45" s="66" t="n"/>
      <c r="AK45" s="66" t="n"/>
      <c r="AL45" s="59">
        <f>IF(AND(OR(W45="Watching",W45="Preparing"),ISNUMBER(Q45)),IF(AND(Q45&gt;='Friday Summary'!$C$4,Q45&lt;='Friday Summary'!$C$4+14),Q45+ROW()/1000000,""),"")</f>
        <v/>
      </c>
    </row>
    <row r="46" ht="15" customHeight="1" s="51">
      <c r="A46" s="59">
        <f>IF(B46="","","OP-"&amp;TEXT(ROW()-4,"000"))</f>
        <v/>
      </c>
      <c r="B46" s="60" t="n"/>
      <c r="C46" s="61" t="n"/>
      <c r="D46" s="60" t="n"/>
      <c r="E46" s="60" t="n"/>
      <c r="F46" s="60" t="n"/>
      <c r="G46" s="60" t="n"/>
      <c r="H46" s="60" t="n"/>
      <c r="I46" s="60" t="n"/>
      <c r="J46" s="60" t="n"/>
      <c r="K46" s="60" t="n"/>
      <c r="L46" s="60" t="n"/>
      <c r="M46" s="62" t="n"/>
      <c r="N46" s="60" t="n"/>
      <c r="O46" s="61" t="n"/>
      <c r="P46" s="61" t="n"/>
      <c r="Q46" s="63" t="n"/>
      <c r="R46" s="60" t="n"/>
      <c r="S46" s="60" t="n"/>
      <c r="T46" s="64">
        <f>IF(A46="","",IFERROR(INDEX('Bid-NoBid'!$T:$T,MATCH(A46,'Bid-NoBid'!$A:$A,0)),""))</f>
        <v/>
      </c>
      <c r="U46" s="59">
        <f>IF(A46="","",IFERROR(IF(OR(INDEX('Bid-NoBid'!$U:$U,MATCH(A46,'Bid-NoBid'!$A:$A,0))="",LEFT(INDEX('Bid-NoBid'!$U:$U,MATCH(A46,'Bid-NoBid'!$A:$A,0)),10)="Incomplete"),"Screen: "&amp;AC46,INDEX('Bid-NoBid'!$U:$U,MATCH(A46,'Bid-NoBid'!$A:$A,0))),"Screen: "&amp;AC46))</f>
        <v/>
      </c>
      <c r="V46" s="60" t="n"/>
      <c r="W46" s="60" t="n"/>
      <c r="X46" s="60" t="n"/>
      <c r="Y46" s="60" t="n"/>
      <c r="Z46" s="60" t="n"/>
      <c r="AA46" s="65" t="n"/>
      <c r="AB46" s="66" t="n"/>
      <c r="AC46" s="66" t="n"/>
      <c r="AD46" s="66" t="n"/>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66" t="n"/>
      <c r="AJ46" s="66" t="n"/>
      <c r="AK46" s="66" t="n"/>
      <c r="AL46" s="59">
        <f>IF(AND(OR(W46="Watching",W46="Preparing"),ISNUMBER(Q46)),IF(AND(Q46&gt;='Friday Summary'!$C$4,Q46&lt;='Friday Summary'!$C$4+14),Q46+ROW()/1000000,""),"")</f>
        <v/>
      </c>
    </row>
    <row r="47" ht="15" customHeight="1" s="51">
      <c r="A47" s="59">
        <f>IF(B47="","","OP-"&amp;TEXT(ROW()-4,"000"))</f>
        <v/>
      </c>
      <c r="B47" s="60" t="n"/>
      <c r="C47" s="61" t="n"/>
      <c r="D47" s="60" t="n"/>
      <c r="E47" s="60" t="n"/>
      <c r="F47" s="60" t="n"/>
      <c r="G47" s="60" t="n"/>
      <c r="H47" s="60" t="n"/>
      <c r="I47" s="60" t="n"/>
      <c r="J47" s="60" t="n"/>
      <c r="K47" s="60" t="n"/>
      <c r="L47" s="60" t="n"/>
      <c r="M47" s="62" t="n"/>
      <c r="N47" s="60" t="n"/>
      <c r="O47" s="61" t="n"/>
      <c r="P47" s="61" t="n"/>
      <c r="Q47" s="63" t="n"/>
      <c r="R47" s="60" t="n"/>
      <c r="S47" s="60" t="n"/>
      <c r="T47" s="64">
        <f>IF(A47="","",IFERROR(INDEX('Bid-NoBid'!$T:$T,MATCH(A47,'Bid-NoBid'!$A:$A,0)),""))</f>
        <v/>
      </c>
      <c r="U47" s="59">
        <f>IF(A47="","",IFERROR(IF(OR(INDEX('Bid-NoBid'!$U:$U,MATCH(A47,'Bid-NoBid'!$A:$A,0))="",LEFT(INDEX('Bid-NoBid'!$U:$U,MATCH(A47,'Bid-NoBid'!$A:$A,0)),10)="Incomplete"),"Screen: "&amp;AC47,INDEX('Bid-NoBid'!$U:$U,MATCH(A47,'Bid-NoBid'!$A:$A,0))),"Screen: "&amp;AC47))</f>
        <v/>
      </c>
      <c r="V47" s="60" t="n"/>
      <c r="W47" s="60" t="n"/>
      <c r="X47" s="60" t="n"/>
      <c r="Y47" s="60" t="n"/>
      <c r="Z47" s="60" t="n"/>
      <c r="AA47" s="65" t="n"/>
      <c r="AB47" s="66" t="n"/>
      <c r="AC47" s="66" t="n"/>
      <c r="AD47" s="66" t="n"/>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66" t="n"/>
      <c r="AJ47" s="66" t="n"/>
      <c r="AK47" s="66" t="n"/>
      <c r="AL47" s="59">
        <f>IF(AND(OR(W47="Watching",W47="Preparing"),ISNUMBER(Q47)),IF(AND(Q47&gt;='Friday Summary'!$C$4,Q47&lt;='Friday Summary'!$C$4+14),Q47+ROW()/1000000,""),"")</f>
        <v/>
      </c>
    </row>
    <row r="48" ht="15" customHeight="1" s="51">
      <c r="A48" s="59">
        <f>IF(B48="","","OP-"&amp;TEXT(ROW()-4,"000"))</f>
        <v/>
      </c>
      <c r="B48" s="60" t="n"/>
      <c r="C48" s="61" t="n"/>
      <c r="D48" s="60" t="n"/>
      <c r="E48" s="60" t="n"/>
      <c r="F48" s="60" t="n"/>
      <c r="G48" s="60" t="n"/>
      <c r="H48" s="60" t="n"/>
      <c r="I48" s="60" t="n"/>
      <c r="J48" s="60" t="n"/>
      <c r="K48" s="60" t="n"/>
      <c r="L48" s="60" t="n"/>
      <c r="M48" s="62" t="n"/>
      <c r="N48" s="60" t="n"/>
      <c r="O48" s="61" t="n"/>
      <c r="P48" s="61" t="n"/>
      <c r="Q48" s="63" t="n"/>
      <c r="R48" s="60" t="n"/>
      <c r="S48" s="60" t="n"/>
      <c r="T48" s="64">
        <f>IF(A48="","",IFERROR(INDEX('Bid-NoBid'!$T:$T,MATCH(A48,'Bid-NoBid'!$A:$A,0)),""))</f>
        <v/>
      </c>
      <c r="U48" s="59">
        <f>IF(A48="","",IFERROR(IF(OR(INDEX('Bid-NoBid'!$U:$U,MATCH(A48,'Bid-NoBid'!$A:$A,0))="",LEFT(INDEX('Bid-NoBid'!$U:$U,MATCH(A48,'Bid-NoBid'!$A:$A,0)),10)="Incomplete"),"Screen: "&amp;AC48,INDEX('Bid-NoBid'!$U:$U,MATCH(A48,'Bid-NoBid'!$A:$A,0))),"Screen: "&amp;AC48))</f>
        <v/>
      </c>
      <c r="V48" s="60" t="n"/>
      <c r="W48" s="60" t="n"/>
      <c r="X48" s="60" t="n"/>
      <c r="Y48" s="60" t="n"/>
      <c r="Z48" s="60" t="n"/>
      <c r="AA48" s="65" t="n"/>
      <c r="AB48" s="66" t="n"/>
      <c r="AC48" s="66" t="n"/>
      <c r="AD48" s="66" t="n"/>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66" t="n"/>
      <c r="AJ48" s="66" t="n"/>
      <c r="AK48" s="66" t="n"/>
      <c r="AL48" s="59">
        <f>IF(AND(OR(W48="Watching",W48="Preparing"),ISNUMBER(Q48)),IF(AND(Q48&gt;='Friday Summary'!$C$4,Q48&lt;='Friday Summary'!$C$4+14),Q48+ROW()/1000000,""),"")</f>
        <v/>
      </c>
    </row>
    <row r="49" ht="15" customHeight="1" s="51">
      <c r="A49" s="59">
        <f>IF(B49="","","OP-"&amp;TEXT(ROW()-4,"000"))</f>
        <v/>
      </c>
      <c r="B49" s="60" t="n"/>
      <c r="C49" s="61" t="n"/>
      <c r="D49" s="60" t="n"/>
      <c r="E49" s="60" t="n"/>
      <c r="F49" s="60" t="n"/>
      <c r="G49" s="60" t="n"/>
      <c r="H49" s="60" t="n"/>
      <c r="I49" s="60" t="n"/>
      <c r="J49" s="60" t="n"/>
      <c r="K49" s="60" t="n"/>
      <c r="L49" s="60" t="n"/>
      <c r="M49" s="62" t="n"/>
      <c r="N49" s="60" t="n"/>
      <c r="O49" s="61" t="n"/>
      <c r="P49" s="61" t="n"/>
      <c r="Q49" s="63" t="n"/>
      <c r="R49" s="60" t="n"/>
      <c r="S49" s="60" t="n"/>
      <c r="T49" s="64">
        <f>IF(A49="","",IFERROR(INDEX('Bid-NoBid'!$T:$T,MATCH(A49,'Bid-NoBid'!$A:$A,0)),""))</f>
        <v/>
      </c>
      <c r="U49" s="59">
        <f>IF(A49="","",IFERROR(IF(OR(INDEX('Bid-NoBid'!$U:$U,MATCH(A49,'Bid-NoBid'!$A:$A,0))="",LEFT(INDEX('Bid-NoBid'!$U:$U,MATCH(A49,'Bid-NoBid'!$A:$A,0)),10)="Incomplete"),"Screen: "&amp;AC49,INDEX('Bid-NoBid'!$U:$U,MATCH(A49,'Bid-NoBid'!$A:$A,0))),"Screen: "&amp;AC49))</f>
        <v/>
      </c>
      <c r="V49" s="60" t="n"/>
      <c r="W49" s="60" t="n"/>
      <c r="X49" s="60" t="n"/>
      <c r="Y49" s="60" t="n"/>
      <c r="Z49" s="60" t="n"/>
      <c r="AA49" s="65" t="n"/>
      <c r="AB49" s="66" t="n"/>
      <c r="AC49" s="66" t="n"/>
      <c r="AD49" s="66" t="n"/>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66" t="n"/>
      <c r="AJ49" s="66" t="n"/>
      <c r="AK49" s="66" t="n"/>
      <c r="AL49" s="59">
        <f>IF(AND(OR(W49="Watching",W49="Preparing"),ISNUMBER(Q49)),IF(AND(Q49&gt;='Friday Summary'!$C$4,Q49&lt;='Friday Summary'!$C$4+14),Q49+ROW()/1000000,""),"")</f>
        <v/>
      </c>
    </row>
    <row r="50" ht="15" customHeight="1" s="51">
      <c r="A50" s="59">
        <f>IF(B50="","","OP-"&amp;TEXT(ROW()-4,"000"))</f>
        <v/>
      </c>
      <c r="B50" s="60" t="n"/>
      <c r="C50" s="61" t="n"/>
      <c r="D50" s="60" t="n"/>
      <c r="E50" s="60" t="n"/>
      <c r="F50" s="60" t="n"/>
      <c r="G50" s="60" t="n"/>
      <c r="H50" s="60" t="n"/>
      <c r="I50" s="60" t="n"/>
      <c r="J50" s="60" t="n"/>
      <c r="K50" s="60" t="n"/>
      <c r="L50" s="60" t="n"/>
      <c r="M50" s="62" t="n"/>
      <c r="N50" s="60" t="n"/>
      <c r="O50" s="61" t="n"/>
      <c r="P50" s="61" t="n"/>
      <c r="Q50" s="63" t="n"/>
      <c r="R50" s="60" t="n"/>
      <c r="S50" s="60" t="n"/>
      <c r="T50" s="64">
        <f>IF(A50="","",IFERROR(INDEX('Bid-NoBid'!$T:$T,MATCH(A50,'Bid-NoBid'!$A:$A,0)),""))</f>
        <v/>
      </c>
      <c r="U50" s="59">
        <f>IF(A50="","",IFERROR(IF(OR(INDEX('Bid-NoBid'!$U:$U,MATCH(A50,'Bid-NoBid'!$A:$A,0))="",LEFT(INDEX('Bid-NoBid'!$U:$U,MATCH(A50,'Bid-NoBid'!$A:$A,0)),10)="Incomplete"),"Screen: "&amp;AC50,INDEX('Bid-NoBid'!$U:$U,MATCH(A50,'Bid-NoBid'!$A:$A,0))),"Screen: "&amp;AC50))</f>
        <v/>
      </c>
      <c r="V50" s="60" t="n"/>
      <c r="W50" s="60" t="n"/>
      <c r="X50" s="60" t="n"/>
      <c r="Y50" s="60" t="n"/>
      <c r="Z50" s="60" t="n"/>
      <c r="AA50" s="65" t="n"/>
      <c r="AB50" s="66" t="n"/>
      <c r="AC50" s="66" t="n"/>
      <c r="AD50" s="66" t="n"/>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66" t="n"/>
      <c r="AJ50" s="66" t="n"/>
      <c r="AK50" s="66" t="n"/>
      <c r="AL50" s="59">
        <f>IF(AND(OR(W50="Watching",W50="Preparing"),ISNUMBER(Q50)),IF(AND(Q50&gt;='Friday Summary'!$C$4,Q50&lt;='Friday Summary'!$C$4+14),Q50+ROW()/1000000,""),"")</f>
        <v/>
      </c>
    </row>
    <row r="51" ht="15" customHeight="1" s="51">
      <c r="A51" s="59">
        <f>IF(B51="","","OP-"&amp;TEXT(ROW()-4,"000"))</f>
        <v/>
      </c>
      <c r="B51" s="60" t="n"/>
      <c r="C51" s="61" t="n"/>
      <c r="D51" s="60" t="n"/>
      <c r="E51" s="60" t="n"/>
      <c r="F51" s="60" t="n"/>
      <c r="G51" s="60" t="n"/>
      <c r="H51" s="60" t="n"/>
      <c r="I51" s="60" t="n"/>
      <c r="J51" s="60" t="n"/>
      <c r="K51" s="60" t="n"/>
      <c r="L51" s="60" t="n"/>
      <c r="M51" s="62" t="n"/>
      <c r="N51" s="60" t="n"/>
      <c r="O51" s="61" t="n"/>
      <c r="P51" s="61" t="n"/>
      <c r="Q51" s="63" t="n"/>
      <c r="R51" s="60" t="n"/>
      <c r="S51" s="60" t="n"/>
      <c r="T51" s="64">
        <f>IF(A51="","",IFERROR(INDEX('Bid-NoBid'!$T:$T,MATCH(A51,'Bid-NoBid'!$A:$A,0)),""))</f>
        <v/>
      </c>
      <c r="U51" s="59">
        <f>IF(A51="","",IFERROR(IF(OR(INDEX('Bid-NoBid'!$U:$U,MATCH(A51,'Bid-NoBid'!$A:$A,0))="",LEFT(INDEX('Bid-NoBid'!$U:$U,MATCH(A51,'Bid-NoBid'!$A:$A,0)),10)="Incomplete"),"Screen: "&amp;AC51,INDEX('Bid-NoBid'!$U:$U,MATCH(A51,'Bid-NoBid'!$A:$A,0))),"Screen: "&amp;AC51))</f>
        <v/>
      </c>
      <c r="V51" s="60" t="n"/>
      <c r="W51" s="60" t="n"/>
      <c r="X51" s="60" t="n"/>
      <c r="Y51" s="60" t="n"/>
      <c r="Z51" s="60" t="n"/>
      <c r="AA51" s="65" t="n"/>
      <c r="AB51" s="66" t="n"/>
      <c r="AC51" s="66" t="n"/>
      <c r="AD51" s="66" t="n"/>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66" t="n"/>
      <c r="AJ51" s="66" t="n"/>
      <c r="AK51" s="66" t="n"/>
      <c r="AL51" s="59">
        <f>IF(AND(OR(W51="Watching",W51="Preparing"),ISNUMBER(Q51)),IF(AND(Q51&gt;='Friday Summary'!$C$4,Q51&lt;='Friday Summary'!$C$4+14),Q51+ROW()/1000000,""),"")</f>
        <v/>
      </c>
    </row>
    <row r="52" ht="15" customHeight="1" s="51">
      <c r="A52" s="59">
        <f>IF(B52="","","OP-"&amp;TEXT(ROW()-4,"000"))</f>
        <v/>
      </c>
      <c r="B52" s="60" t="n"/>
      <c r="C52" s="61" t="n"/>
      <c r="D52" s="60" t="n"/>
      <c r="E52" s="60" t="n"/>
      <c r="F52" s="60" t="n"/>
      <c r="G52" s="60" t="n"/>
      <c r="H52" s="60" t="n"/>
      <c r="I52" s="60" t="n"/>
      <c r="J52" s="60" t="n"/>
      <c r="K52" s="60" t="n"/>
      <c r="L52" s="60" t="n"/>
      <c r="M52" s="62" t="n"/>
      <c r="N52" s="60" t="n"/>
      <c r="O52" s="61" t="n"/>
      <c r="P52" s="61" t="n"/>
      <c r="Q52" s="63" t="n"/>
      <c r="R52" s="60" t="n"/>
      <c r="S52" s="60" t="n"/>
      <c r="T52" s="64">
        <f>IF(A52="","",IFERROR(INDEX('Bid-NoBid'!$T:$T,MATCH(A52,'Bid-NoBid'!$A:$A,0)),""))</f>
        <v/>
      </c>
      <c r="U52" s="59">
        <f>IF(A52="","",IFERROR(IF(OR(INDEX('Bid-NoBid'!$U:$U,MATCH(A52,'Bid-NoBid'!$A:$A,0))="",LEFT(INDEX('Bid-NoBid'!$U:$U,MATCH(A52,'Bid-NoBid'!$A:$A,0)),10)="Incomplete"),"Screen: "&amp;AC52,INDEX('Bid-NoBid'!$U:$U,MATCH(A52,'Bid-NoBid'!$A:$A,0))),"Screen: "&amp;AC52))</f>
        <v/>
      </c>
      <c r="V52" s="60" t="n"/>
      <c r="W52" s="60" t="n"/>
      <c r="X52" s="60" t="n"/>
      <c r="Y52" s="60" t="n"/>
      <c r="Z52" s="60" t="n"/>
      <c r="AA52" s="65" t="n"/>
      <c r="AB52" s="66" t="n"/>
      <c r="AC52" s="66" t="n"/>
      <c r="AD52" s="66" t="n"/>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66" t="n"/>
      <c r="AJ52" s="66" t="n"/>
      <c r="AK52" s="66" t="n"/>
      <c r="AL52" s="59">
        <f>IF(AND(OR(W52="Watching",W52="Preparing"),ISNUMBER(Q52)),IF(AND(Q52&gt;='Friday Summary'!$C$4,Q52&lt;='Friday Summary'!$C$4+14),Q52+ROW()/1000000,""),"")</f>
        <v/>
      </c>
    </row>
    <row r="53" ht="15" customHeight="1" s="51">
      <c r="A53" s="59">
        <f>IF(B53="","","OP-"&amp;TEXT(ROW()-4,"000"))</f>
        <v/>
      </c>
      <c r="B53" s="60" t="n"/>
      <c r="C53" s="61" t="n"/>
      <c r="D53" s="60" t="n"/>
      <c r="E53" s="60" t="n"/>
      <c r="F53" s="60" t="n"/>
      <c r="G53" s="60" t="n"/>
      <c r="H53" s="60" t="n"/>
      <c r="I53" s="60" t="n"/>
      <c r="J53" s="60" t="n"/>
      <c r="K53" s="60" t="n"/>
      <c r="L53" s="60" t="n"/>
      <c r="M53" s="62" t="n"/>
      <c r="N53" s="60" t="n"/>
      <c r="O53" s="61" t="n"/>
      <c r="P53" s="61" t="n"/>
      <c r="Q53" s="63" t="n"/>
      <c r="R53" s="60" t="n"/>
      <c r="S53" s="60" t="n"/>
      <c r="T53" s="64">
        <f>IF(A53="","",IFERROR(INDEX('Bid-NoBid'!$T:$T,MATCH(A53,'Bid-NoBid'!$A:$A,0)),""))</f>
        <v/>
      </c>
      <c r="U53" s="59">
        <f>IF(A53="","",IFERROR(IF(OR(INDEX('Bid-NoBid'!$U:$U,MATCH(A53,'Bid-NoBid'!$A:$A,0))="",LEFT(INDEX('Bid-NoBid'!$U:$U,MATCH(A53,'Bid-NoBid'!$A:$A,0)),10)="Incomplete"),"Screen: "&amp;AC53,INDEX('Bid-NoBid'!$U:$U,MATCH(A53,'Bid-NoBid'!$A:$A,0))),"Screen: "&amp;AC53))</f>
        <v/>
      </c>
      <c r="V53" s="60" t="n"/>
      <c r="W53" s="60" t="n"/>
      <c r="X53" s="60" t="n"/>
      <c r="Y53" s="60" t="n"/>
      <c r="Z53" s="60" t="n"/>
      <c r="AA53" s="65" t="n"/>
      <c r="AB53" s="66" t="n"/>
      <c r="AC53" s="66" t="n"/>
      <c r="AD53" s="66" t="n"/>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66" t="n"/>
      <c r="AJ53" s="66" t="n"/>
      <c r="AK53" s="66" t="n"/>
      <c r="AL53" s="59">
        <f>IF(AND(OR(W53="Watching",W53="Preparing"),ISNUMBER(Q53)),IF(AND(Q53&gt;='Friday Summary'!$C$4,Q53&lt;='Friday Summary'!$C$4+14),Q53+ROW()/1000000,""),"")</f>
        <v/>
      </c>
    </row>
    <row r="54" ht="15" customHeight="1" s="51">
      <c r="A54" s="59">
        <f>IF(B54="","","OP-"&amp;TEXT(ROW()-4,"000"))</f>
        <v/>
      </c>
      <c r="B54" s="60" t="n"/>
      <c r="C54" s="61" t="n"/>
      <c r="D54" s="60" t="n"/>
      <c r="E54" s="60" t="n"/>
      <c r="F54" s="60" t="n"/>
      <c r="G54" s="60" t="n"/>
      <c r="H54" s="60" t="n"/>
      <c r="I54" s="60" t="n"/>
      <c r="J54" s="60" t="n"/>
      <c r="K54" s="60" t="n"/>
      <c r="L54" s="60" t="n"/>
      <c r="M54" s="62" t="n"/>
      <c r="N54" s="60" t="n"/>
      <c r="O54" s="61" t="n"/>
      <c r="P54" s="61" t="n"/>
      <c r="Q54" s="63" t="n"/>
      <c r="R54" s="60" t="n"/>
      <c r="S54" s="60" t="n"/>
      <c r="T54" s="64">
        <f>IF(A54="","",IFERROR(INDEX('Bid-NoBid'!$T:$T,MATCH(A54,'Bid-NoBid'!$A:$A,0)),""))</f>
        <v/>
      </c>
      <c r="U54" s="59">
        <f>IF(A54="","",IFERROR(IF(OR(INDEX('Bid-NoBid'!$U:$U,MATCH(A54,'Bid-NoBid'!$A:$A,0))="",LEFT(INDEX('Bid-NoBid'!$U:$U,MATCH(A54,'Bid-NoBid'!$A:$A,0)),10)="Incomplete"),"Screen: "&amp;AC54,INDEX('Bid-NoBid'!$U:$U,MATCH(A54,'Bid-NoBid'!$A:$A,0))),"Screen: "&amp;AC54))</f>
        <v/>
      </c>
      <c r="V54" s="60" t="n"/>
      <c r="W54" s="60" t="n"/>
      <c r="X54" s="60" t="n"/>
      <c r="Y54" s="60" t="n"/>
      <c r="Z54" s="60" t="n"/>
      <c r="AA54" s="65" t="n"/>
      <c r="AB54" s="66" t="n"/>
      <c r="AC54" s="66" t="n"/>
      <c r="AD54" s="66" t="n"/>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66" t="n"/>
      <c r="AJ54" s="66" t="n"/>
      <c r="AK54" s="66" t="n"/>
      <c r="AL54" s="59">
        <f>IF(AND(OR(W54="Watching",W54="Preparing"),ISNUMBER(Q54)),IF(AND(Q54&gt;='Friday Summary'!$C$4,Q54&lt;='Friday Summary'!$C$4+14),Q54+ROW()/1000000,""),"")</f>
        <v/>
      </c>
    </row>
    <row r="55" ht="15" customHeight="1" s="51">
      <c r="A55" s="59">
        <f>IF(B55="","","OP-"&amp;TEXT(ROW()-4,"000"))</f>
        <v/>
      </c>
      <c r="B55" s="60" t="n"/>
      <c r="C55" s="61" t="n"/>
      <c r="D55" s="60" t="n"/>
      <c r="E55" s="60" t="n"/>
      <c r="F55" s="60" t="n"/>
      <c r="G55" s="60" t="n"/>
      <c r="H55" s="60" t="n"/>
      <c r="I55" s="60" t="n"/>
      <c r="J55" s="60" t="n"/>
      <c r="K55" s="60" t="n"/>
      <c r="L55" s="60" t="n"/>
      <c r="M55" s="62" t="n"/>
      <c r="N55" s="60" t="n"/>
      <c r="O55" s="61" t="n"/>
      <c r="P55" s="61" t="n"/>
      <c r="Q55" s="63" t="n"/>
      <c r="R55" s="60" t="n"/>
      <c r="S55" s="60" t="n"/>
      <c r="T55" s="64">
        <f>IF(A55="","",IFERROR(INDEX('Bid-NoBid'!$T:$T,MATCH(A55,'Bid-NoBid'!$A:$A,0)),""))</f>
        <v/>
      </c>
      <c r="U55" s="59">
        <f>IF(A55="","",IFERROR(IF(OR(INDEX('Bid-NoBid'!$U:$U,MATCH(A55,'Bid-NoBid'!$A:$A,0))="",LEFT(INDEX('Bid-NoBid'!$U:$U,MATCH(A55,'Bid-NoBid'!$A:$A,0)),10)="Incomplete"),"Screen: "&amp;AC55,INDEX('Bid-NoBid'!$U:$U,MATCH(A55,'Bid-NoBid'!$A:$A,0))),"Screen: "&amp;AC55))</f>
        <v/>
      </c>
      <c r="V55" s="60" t="n"/>
      <c r="W55" s="60" t="n"/>
      <c r="X55" s="60" t="n"/>
      <c r="Y55" s="60" t="n"/>
      <c r="Z55" s="60" t="n"/>
      <c r="AA55" s="65" t="n"/>
      <c r="AB55" s="66" t="n"/>
      <c r="AC55" s="66" t="n"/>
      <c r="AD55" s="66" t="n"/>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66" t="n"/>
      <c r="AJ55" s="66" t="n"/>
      <c r="AK55" s="66" t="n"/>
      <c r="AL55" s="59">
        <f>IF(AND(OR(W55="Watching",W55="Preparing"),ISNUMBER(Q55)),IF(AND(Q55&gt;='Friday Summary'!$C$4,Q55&lt;='Friday Summary'!$C$4+14),Q55+ROW()/1000000,""),"")</f>
        <v/>
      </c>
    </row>
    <row r="56" ht="15" customHeight="1" s="51">
      <c r="A56" s="59">
        <f>IF(B56="","","OP-"&amp;TEXT(ROW()-4,"000"))</f>
        <v/>
      </c>
      <c r="B56" s="60" t="n"/>
      <c r="C56" s="61" t="n"/>
      <c r="D56" s="60" t="n"/>
      <c r="E56" s="60" t="n"/>
      <c r="F56" s="60" t="n"/>
      <c r="G56" s="60" t="n"/>
      <c r="H56" s="60" t="n"/>
      <c r="I56" s="60" t="n"/>
      <c r="J56" s="60" t="n"/>
      <c r="K56" s="60" t="n"/>
      <c r="L56" s="60" t="n"/>
      <c r="M56" s="62" t="n"/>
      <c r="N56" s="60" t="n"/>
      <c r="O56" s="61" t="n"/>
      <c r="P56" s="61" t="n"/>
      <c r="Q56" s="63" t="n"/>
      <c r="R56" s="60" t="n"/>
      <c r="S56" s="60" t="n"/>
      <c r="T56" s="64">
        <f>IF(A56="","",IFERROR(INDEX('Bid-NoBid'!$T:$T,MATCH(A56,'Bid-NoBid'!$A:$A,0)),""))</f>
        <v/>
      </c>
      <c r="U56" s="59">
        <f>IF(A56="","",IFERROR(IF(OR(INDEX('Bid-NoBid'!$U:$U,MATCH(A56,'Bid-NoBid'!$A:$A,0))="",LEFT(INDEX('Bid-NoBid'!$U:$U,MATCH(A56,'Bid-NoBid'!$A:$A,0)),10)="Incomplete"),"Screen: "&amp;AC56,INDEX('Bid-NoBid'!$U:$U,MATCH(A56,'Bid-NoBid'!$A:$A,0))),"Screen: "&amp;AC56))</f>
        <v/>
      </c>
      <c r="V56" s="60" t="n"/>
      <c r="W56" s="60" t="n"/>
      <c r="X56" s="60" t="n"/>
      <c r="Y56" s="60" t="n"/>
      <c r="Z56" s="60" t="n"/>
      <c r="AA56" s="65" t="n"/>
      <c r="AB56" s="66" t="n"/>
      <c r="AC56" s="66" t="n"/>
      <c r="AD56" s="66" t="n"/>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66" t="n"/>
      <c r="AJ56" s="66" t="n"/>
      <c r="AK56" s="66" t="n"/>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2026-09-24T11:24:39Z</dcterms:created>
  <dcterms:modified xmlns:dcterms="http://purl.org/dc/terms/" xmlns:xsi="http://www.w3.org/2001/XMLSchema-instance" xsi:type="dcterms:W3CDTF">2026-09-26T06:26:16Z</dcterms:modified>
  <cp:revision>0</cp:revision>
</cp:coreProperties>
</file>