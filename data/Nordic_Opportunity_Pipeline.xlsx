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46297.58333333334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60" t="n"/>
      <c r="C68" s="61" t="n"/>
      <c r="D68" s="60" t="n"/>
      <c r="E68" s="60" t="n"/>
      <c r="F68" s="60" t="n"/>
      <c r="G68" s="60" t="n"/>
      <c r="H68" s="60" t="n"/>
      <c r="I68" s="60" t="n"/>
      <c r="J68" s="60" t="n"/>
      <c r="K68" s="60" t="n"/>
      <c r="L68" s="60" t="n"/>
      <c r="M68" s="62" t="n"/>
      <c r="N68" s="60" t="n"/>
      <c r="O68" s="61" t="n"/>
      <c r="P68" s="61" t="n"/>
      <c r="Q68" s="63" t="n"/>
      <c r="R68" s="60" t="n"/>
      <c r="S68" s="60" t="n"/>
      <c r="T68" s="64">
        <f>IF(A68="","",IFERROR(INDEX('Bid-NoBid'!$T:$T,MATCH(A68,'Bid-NoBid'!$A:$A,0)),""))</f>
        <v/>
      </c>
      <c r="U68" s="59">
        <f>IF(A68="","",IFERROR(IF(OR(INDEX('Bid-NoBid'!$U:$U,MATCH(A68,'Bid-NoBid'!$A:$A,0))="",LEFT(INDEX('Bid-NoBid'!$U:$U,MATCH(A68,'Bid-NoBid'!$A:$A,0)),10)="Incomplete"),"Screen: "&amp;AC68,INDEX('Bid-NoBid'!$U:$U,MATCH(A68,'Bid-NoBid'!$A:$A,0))),"Screen: "&amp;AC68))</f>
        <v/>
      </c>
      <c r="V68" s="60" t="n"/>
      <c r="W68" s="60" t="n"/>
      <c r="X68" s="60" t="n"/>
      <c r="Y68" s="60" t="n"/>
      <c r="Z68" s="60" t="n"/>
      <c r="AA68" s="65" t="n"/>
      <c r="AB68" s="66" t="n"/>
      <c r="AC68" s="66" t="n"/>
      <c r="AD68" s="66" t="n"/>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66" t="n"/>
      <c r="AJ68" s="66" t="n"/>
      <c r="AK68" s="66" t="n"/>
      <c r="AL68" s="59">
        <f>IF(AND(OR(W68="Watching",W68="Preparing"),ISNUMBER(Q68)),IF(AND(Q68&gt;='Friday Summary'!$C$4,Q68&lt;='Friday Summary'!$C$4+14),Q68+ROW()/1000000,""),"")</f>
        <v/>
      </c>
    </row>
    <row r="69" ht="15" customHeight="1" s="51">
      <c r="A69" s="59">
        <f>IF(B69="","","OP-"&amp;TEXT(ROW()-4,"000"))</f>
        <v/>
      </c>
      <c r="B69" s="60" t="n"/>
      <c r="C69" s="61" t="n"/>
      <c r="D69" s="60" t="n"/>
      <c r="E69" s="60" t="n"/>
      <c r="F69" s="60" t="n"/>
      <c r="G69" s="60" t="n"/>
      <c r="H69" s="60" t="n"/>
      <c r="I69" s="60" t="n"/>
      <c r="J69" s="60" t="n"/>
      <c r="K69" s="60" t="n"/>
      <c r="L69" s="60" t="n"/>
      <c r="M69" s="62" t="n"/>
      <c r="N69" s="60" t="n"/>
      <c r="O69" s="61" t="n"/>
      <c r="P69" s="61" t="n"/>
      <c r="Q69" s="63" t="n"/>
      <c r="R69" s="60" t="n"/>
      <c r="S69" s="60" t="n"/>
      <c r="T69" s="64">
        <f>IF(A69="","",IFERROR(INDEX('Bid-NoBid'!$T:$T,MATCH(A69,'Bid-NoBid'!$A:$A,0)),""))</f>
        <v/>
      </c>
      <c r="U69" s="59">
        <f>IF(A69="","",IFERROR(IF(OR(INDEX('Bid-NoBid'!$U:$U,MATCH(A69,'Bid-NoBid'!$A:$A,0))="",LEFT(INDEX('Bid-NoBid'!$U:$U,MATCH(A69,'Bid-NoBid'!$A:$A,0)),10)="Incomplete"),"Screen: "&amp;AC69,INDEX('Bid-NoBid'!$U:$U,MATCH(A69,'Bid-NoBid'!$A:$A,0))),"Screen: "&amp;AC69))</f>
        <v/>
      </c>
      <c r="V69" s="60" t="n"/>
      <c r="W69" s="60" t="n"/>
      <c r="X69" s="60" t="n"/>
      <c r="Y69" s="60" t="n"/>
      <c r="Z69" s="60" t="n"/>
      <c r="AA69" s="65" t="n"/>
      <c r="AB69" s="66" t="n"/>
      <c r="AC69" s="66" t="n"/>
      <c r="AD69" s="66" t="n"/>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66" t="n"/>
      <c r="AJ69" s="66" t="n"/>
      <c r="AK69" s="66" t="n"/>
      <c r="AL69" s="59">
        <f>IF(AND(OR(W69="Watching",W69="Preparing"),ISNUMBER(Q69)),IF(AND(Q69&gt;='Friday Summary'!$C$4,Q69&lt;='Friday Summary'!$C$4+14),Q69+ROW()/1000000,""),"")</f>
        <v/>
      </c>
    </row>
    <row r="70" ht="15" customHeight="1" s="51">
      <c r="A70" s="59">
        <f>IF(B70="","","OP-"&amp;TEXT(ROW()-4,"000"))</f>
        <v/>
      </c>
      <c r="B70" s="60" t="n"/>
      <c r="C70" s="61" t="n"/>
      <c r="D70" s="60" t="n"/>
      <c r="E70" s="60" t="n"/>
      <c r="F70" s="60" t="n"/>
      <c r="G70" s="60" t="n"/>
      <c r="H70" s="60" t="n"/>
      <c r="I70" s="60" t="n"/>
      <c r="J70" s="60" t="n"/>
      <c r="K70" s="60" t="n"/>
      <c r="L70" s="60" t="n"/>
      <c r="M70" s="62" t="n"/>
      <c r="N70" s="60" t="n"/>
      <c r="O70" s="61" t="n"/>
      <c r="P70" s="61" t="n"/>
      <c r="Q70" s="63" t="n"/>
      <c r="R70" s="60" t="n"/>
      <c r="S70" s="60" t="n"/>
      <c r="T70" s="64">
        <f>IF(A70="","",IFERROR(INDEX('Bid-NoBid'!$T:$T,MATCH(A70,'Bid-NoBid'!$A:$A,0)),""))</f>
        <v/>
      </c>
      <c r="U70" s="59">
        <f>IF(A70="","",IFERROR(IF(OR(INDEX('Bid-NoBid'!$U:$U,MATCH(A70,'Bid-NoBid'!$A:$A,0))="",LEFT(INDEX('Bid-NoBid'!$U:$U,MATCH(A70,'Bid-NoBid'!$A:$A,0)),10)="Incomplete"),"Screen: "&amp;AC70,INDEX('Bid-NoBid'!$U:$U,MATCH(A70,'Bid-NoBid'!$A:$A,0))),"Screen: "&amp;AC70))</f>
        <v/>
      </c>
      <c r="V70" s="60" t="n"/>
      <c r="W70" s="60" t="n"/>
      <c r="X70" s="60" t="n"/>
      <c r="Y70" s="60" t="n"/>
      <c r="Z70" s="60" t="n"/>
      <c r="AA70" s="65" t="n"/>
      <c r="AB70" s="66" t="n"/>
      <c r="AC70" s="66" t="n"/>
      <c r="AD70" s="66" t="n"/>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66" t="n"/>
      <c r="AJ70" s="66" t="n"/>
      <c r="AK70" s="66" t="n"/>
      <c r="AL70" s="59">
        <f>IF(AND(OR(W70="Watching",W70="Preparing"),ISNUMBER(Q70)),IF(AND(Q70&gt;='Friday Summary'!$C$4,Q70&lt;='Friday Summary'!$C$4+14),Q70+ROW()/1000000,""),"")</f>
        <v/>
      </c>
    </row>
    <row r="71" ht="15" customHeight="1" s="51">
      <c r="A71" s="59">
        <f>IF(B71="","","OP-"&amp;TEXT(ROW()-4,"000"))</f>
        <v/>
      </c>
      <c r="B71" s="60" t="n"/>
      <c r="C71" s="61" t="n"/>
      <c r="D71" s="60" t="n"/>
      <c r="E71" s="60" t="n"/>
      <c r="F71" s="60" t="n"/>
      <c r="G71" s="60" t="n"/>
      <c r="H71" s="60" t="n"/>
      <c r="I71" s="60" t="n"/>
      <c r="J71" s="60" t="n"/>
      <c r="K71" s="60" t="n"/>
      <c r="L71" s="60" t="n"/>
      <c r="M71" s="62" t="n"/>
      <c r="N71" s="60" t="n"/>
      <c r="O71" s="61" t="n"/>
      <c r="P71" s="61" t="n"/>
      <c r="Q71" s="63" t="n"/>
      <c r="R71" s="60" t="n"/>
      <c r="S71" s="60" t="n"/>
      <c r="T71" s="64">
        <f>IF(A71="","",IFERROR(INDEX('Bid-NoBid'!$T:$T,MATCH(A71,'Bid-NoBid'!$A:$A,0)),""))</f>
        <v/>
      </c>
      <c r="U71" s="59">
        <f>IF(A71="","",IFERROR(IF(OR(INDEX('Bid-NoBid'!$U:$U,MATCH(A71,'Bid-NoBid'!$A:$A,0))="",LEFT(INDEX('Bid-NoBid'!$U:$U,MATCH(A71,'Bid-NoBid'!$A:$A,0)),10)="Incomplete"),"Screen: "&amp;AC71,INDEX('Bid-NoBid'!$U:$U,MATCH(A71,'Bid-NoBid'!$A:$A,0))),"Screen: "&amp;AC71))</f>
        <v/>
      </c>
      <c r="V71" s="60" t="n"/>
      <c r="W71" s="60" t="n"/>
      <c r="X71" s="60" t="n"/>
      <c r="Y71" s="60" t="n"/>
      <c r="Z71" s="60" t="n"/>
      <c r="AA71" s="65" t="n"/>
      <c r="AB71" s="66" t="n"/>
      <c r="AC71" s="66" t="n"/>
      <c r="AD71" s="66" t="n"/>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66" t="n"/>
      <c r="AJ71" s="66" t="n"/>
      <c r="AK71" s="66" t="n"/>
      <c r="AL71" s="59">
        <f>IF(AND(OR(W71="Watching",W71="Preparing"),ISNUMBER(Q71)),IF(AND(Q71&gt;='Friday Summary'!$C$4,Q71&lt;='Friday Summary'!$C$4+14),Q71+ROW()/1000000,""),"")</f>
        <v/>
      </c>
    </row>
    <row r="72" ht="15" customHeight="1" s="51">
      <c r="A72" s="59">
        <f>IF(B72="","","OP-"&amp;TEXT(ROW()-4,"000"))</f>
        <v/>
      </c>
      <c r="B72" s="60" t="n"/>
      <c r="C72" s="61" t="n"/>
      <c r="D72" s="60" t="n"/>
      <c r="E72" s="60" t="n"/>
      <c r="F72" s="60" t="n"/>
      <c r="G72" s="60" t="n"/>
      <c r="H72" s="60" t="n"/>
      <c r="I72" s="60" t="n"/>
      <c r="J72" s="60" t="n"/>
      <c r="K72" s="60" t="n"/>
      <c r="L72" s="60" t="n"/>
      <c r="M72" s="62" t="n"/>
      <c r="N72" s="60" t="n"/>
      <c r="O72" s="61" t="n"/>
      <c r="P72" s="61" t="n"/>
      <c r="Q72" s="63" t="n"/>
      <c r="R72" s="60" t="n"/>
      <c r="S72" s="60" t="n"/>
      <c r="T72" s="64">
        <f>IF(A72="","",IFERROR(INDEX('Bid-NoBid'!$T:$T,MATCH(A72,'Bid-NoBid'!$A:$A,0)),""))</f>
        <v/>
      </c>
      <c r="U72" s="59">
        <f>IF(A72="","",IFERROR(IF(OR(INDEX('Bid-NoBid'!$U:$U,MATCH(A72,'Bid-NoBid'!$A:$A,0))="",LEFT(INDEX('Bid-NoBid'!$U:$U,MATCH(A72,'Bid-NoBid'!$A:$A,0)),10)="Incomplete"),"Screen: "&amp;AC72,INDEX('Bid-NoBid'!$U:$U,MATCH(A72,'Bid-NoBid'!$A:$A,0))),"Screen: "&amp;AC72))</f>
        <v/>
      </c>
      <c r="V72" s="60" t="n"/>
      <c r="W72" s="60" t="n"/>
      <c r="X72" s="60" t="n"/>
      <c r="Y72" s="60" t="n"/>
      <c r="Z72" s="60" t="n"/>
      <c r="AA72" s="65" t="n"/>
      <c r="AB72" s="66" t="n"/>
      <c r="AC72" s="66" t="n"/>
      <c r="AD72" s="66" t="n"/>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66" t="n"/>
      <c r="AJ72" s="66" t="n"/>
      <c r="AK72" s="66" t="n"/>
      <c r="AL72" s="59">
        <f>IF(AND(OR(W72="Watching",W72="Preparing"),ISNUMBER(Q72)),IF(AND(Q72&gt;='Friday Summary'!$C$4,Q72&lt;='Friday Summary'!$C$4+14),Q72+ROW()/1000000,""),"")</f>
        <v/>
      </c>
    </row>
    <row r="73" ht="15" customHeight="1" s="51">
      <c r="A73" s="59">
        <f>IF(B73="","","OP-"&amp;TEXT(ROW()-4,"000"))</f>
        <v/>
      </c>
      <c r="B73" s="60" t="n"/>
      <c r="C73" s="61" t="n"/>
      <c r="D73" s="60" t="n"/>
      <c r="E73" s="60" t="n"/>
      <c r="F73" s="60" t="n"/>
      <c r="G73" s="60" t="n"/>
      <c r="H73" s="60" t="n"/>
      <c r="I73" s="60" t="n"/>
      <c r="J73" s="60" t="n"/>
      <c r="K73" s="60" t="n"/>
      <c r="L73" s="60" t="n"/>
      <c r="M73" s="62" t="n"/>
      <c r="N73" s="60" t="n"/>
      <c r="O73" s="61" t="n"/>
      <c r="P73" s="61" t="n"/>
      <c r="Q73" s="63" t="n"/>
      <c r="R73" s="60" t="n"/>
      <c r="S73" s="60" t="n"/>
      <c r="T73" s="64">
        <f>IF(A73="","",IFERROR(INDEX('Bid-NoBid'!$T:$T,MATCH(A73,'Bid-NoBid'!$A:$A,0)),""))</f>
        <v/>
      </c>
      <c r="U73" s="59">
        <f>IF(A73="","",IFERROR(IF(OR(INDEX('Bid-NoBid'!$U:$U,MATCH(A73,'Bid-NoBid'!$A:$A,0))="",LEFT(INDEX('Bid-NoBid'!$U:$U,MATCH(A73,'Bid-NoBid'!$A:$A,0)),10)="Incomplete"),"Screen: "&amp;AC73,INDEX('Bid-NoBid'!$U:$U,MATCH(A73,'Bid-NoBid'!$A:$A,0))),"Screen: "&amp;AC73))</f>
        <v/>
      </c>
      <c r="V73" s="60" t="n"/>
      <c r="W73" s="60" t="n"/>
      <c r="X73" s="60" t="n"/>
      <c r="Y73" s="60" t="n"/>
      <c r="Z73" s="60" t="n"/>
      <c r="AA73" s="65" t="n"/>
      <c r="AB73" s="66" t="n"/>
      <c r="AC73" s="66" t="n"/>
      <c r="AD73" s="66" t="n"/>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66" t="n"/>
      <c r="AJ73" s="66" t="n"/>
      <c r="AK73" s="66" t="n"/>
      <c r="AL73" s="59">
        <f>IF(AND(OR(W73="Watching",W73="Preparing"),ISNUMBER(Q73)),IF(AND(Q73&gt;='Friday Summary'!$C$4,Q73&lt;='Friday Summary'!$C$4+14),Q73+ROW()/1000000,""),"")</f>
        <v/>
      </c>
    </row>
    <row r="74" ht="15" customHeight="1" s="51">
      <c r="A74" s="59">
        <f>IF(B74="","","OP-"&amp;TEXT(ROW()-4,"000"))</f>
        <v/>
      </c>
      <c r="B74" s="60" t="n"/>
      <c r="C74" s="61" t="n"/>
      <c r="D74" s="60" t="n"/>
      <c r="E74" s="60" t="n"/>
      <c r="F74" s="60" t="n"/>
      <c r="G74" s="60" t="n"/>
      <c r="H74" s="60" t="n"/>
      <c r="I74" s="60" t="n"/>
      <c r="J74" s="60" t="n"/>
      <c r="K74" s="60" t="n"/>
      <c r="L74" s="60" t="n"/>
      <c r="M74" s="62" t="n"/>
      <c r="N74" s="60" t="n"/>
      <c r="O74" s="61" t="n"/>
      <c r="P74" s="61" t="n"/>
      <c r="Q74" s="63" t="n"/>
      <c r="R74" s="60" t="n"/>
      <c r="S74" s="60" t="n"/>
      <c r="T74" s="64">
        <f>IF(A74="","",IFERROR(INDEX('Bid-NoBid'!$T:$T,MATCH(A74,'Bid-NoBid'!$A:$A,0)),""))</f>
        <v/>
      </c>
      <c r="U74" s="59">
        <f>IF(A74="","",IFERROR(IF(OR(INDEX('Bid-NoBid'!$U:$U,MATCH(A74,'Bid-NoBid'!$A:$A,0))="",LEFT(INDEX('Bid-NoBid'!$U:$U,MATCH(A74,'Bid-NoBid'!$A:$A,0)),10)="Incomplete"),"Screen: "&amp;AC74,INDEX('Bid-NoBid'!$U:$U,MATCH(A74,'Bid-NoBid'!$A:$A,0))),"Screen: "&amp;AC74))</f>
        <v/>
      </c>
      <c r="V74" s="60" t="n"/>
      <c r="W74" s="60" t="n"/>
      <c r="X74" s="60" t="n"/>
      <c r="Y74" s="60" t="n"/>
      <c r="Z74" s="60" t="n"/>
      <c r="AA74" s="65" t="n"/>
      <c r="AB74" s="66" t="n"/>
      <c r="AC74" s="66" t="n"/>
      <c r="AD74" s="66" t="n"/>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66" t="n"/>
      <c r="AJ74" s="66" t="n"/>
      <c r="AK74" s="66" t="n"/>
      <c r="AL74" s="59">
        <f>IF(AND(OR(W74="Watching",W74="Preparing"),ISNUMBER(Q74)),IF(AND(Q74&gt;='Friday Summary'!$C$4,Q74&lt;='Friday Summary'!$C$4+14),Q74+ROW()/1000000,""),"")</f>
        <v/>
      </c>
    </row>
    <row r="75" ht="15" customHeight="1" s="51">
      <c r="A75" s="59">
        <f>IF(B75="","","OP-"&amp;TEXT(ROW()-4,"000"))</f>
        <v/>
      </c>
      <c r="B75" s="60" t="n"/>
      <c r="C75" s="61" t="n"/>
      <c r="D75" s="60" t="n"/>
      <c r="E75" s="60" t="n"/>
      <c r="F75" s="60" t="n"/>
      <c r="G75" s="60" t="n"/>
      <c r="H75" s="60" t="n"/>
      <c r="I75" s="60" t="n"/>
      <c r="J75" s="60" t="n"/>
      <c r="K75" s="60" t="n"/>
      <c r="L75" s="60" t="n"/>
      <c r="M75" s="62" t="n"/>
      <c r="N75" s="60" t="n"/>
      <c r="O75" s="61" t="n"/>
      <c r="P75" s="61" t="n"/>
      <c r="Q75" s="63" t="n"/>
      <c r="R75" s="60" t="n"/>
      <c r="S75" s="60" t="n"/>
      <c r="T75" s="64">
        <f>IF(A75="","",IFERROR(INDEX('Bid-NoBid'!$T:$T,MATCH(A75,'Bid-NoBid'!$A:$A,0)),""))</f>
        <v/>
      </c>
      <c r="U75" s="59">
        <f>IF(A75="","",IFERROR(IF(OR(INDEX('Bid-NoBid'!$U:$U,MATCH(A75,'Bid-NoBid'!$A:$A,0))="",LEFT(INDEX('Bid-NoBid'!$U:$U,MATCH(A75,'Bid-NoBid'!$A:$A,0)),10)="Incomplete"),"Screen: "&amp;AC75,INDEX('Bid-NoBid'!$U:$U,MATCH(A75,'Bid-NoBid'!$A:$A,0))),"Screen: "&amp;AC75))</f>
        <v/>
      </c>
      <c r="V75" s="60" t="n"/>
      <c r="W75" s="60" t="n"/>
      <c r="X75" s="60" t="n"/>
      <c r="Y75" s="60" t="n"/>
      <c r="Z75" s="60" t="n"/>
      <c r="AA75" s="65" t="n"/>
      <c r="AB75" s="66" t="n"/>
      <c r="AC75" s="66" t="n"/>
      <c r="AD75" s="66" t="n"/>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66" t="n"/>
      <c r="AJ75" s="66" t="n"/>
      <c r="AK75" s="66" t="n"/>
      <c r="AL75" s="59">
        <f>IF(AND(OR(W75="Watching",W75="Preparing"),ISNUMBER(Q75)),IF(AND(Q75&gt;='Friday Summary'!$C$4,Q75&lt;='Friday Summary'!$C$4+14),Q75+ROW()/1000000,""),"")</f>
        <v/>
      </c>
    </row>
    <row r="76" ht="15" customHeight="1" s="51">
      <c r="A76" s="59">
        <f>IF(B76="","","OP-"&amp;TEXT(ROW()-4,"000"))</f>
        <v/>
      </c>
      <c r="B76" s="60" t="n"/>
      <c r="C76" s="61" t="n"/>
      <c r="D76" s="60" t="n"/>
      <c r="E76" s="60" t="n"/>
      <c r="F76" s="60" t="n"/>
      <c r="G76" s="60" t="n"/>
      <c r="H76" s="60" t="n"/>
      <c r="I76" s="60" t="n"/>
      <c r="J76" s="60" t="n"/>
      <c r="K76" s="60" t="n"/>
      <c r="L76" s="60" t="n"/>
      <c r="M76" s="62" t="n"/>
      <c r="N76" s="60" t="n"/>
      <c r="O76" s="61" t="n"/>
      <c r="P76" s="61" t="n"/>
      <c r="Q76" s="63" t="n"/>
      <c r="R76" s="60" t="n"/>
      <c r="S76" s="60" t="n"/>
      <c r="T76" s="64">
        <f>IF(A76="","",IFERROR(INDEX('Bid-NoBid'!$T:$T,MATCH(A76,'Bid-NoBid'!$A:$A,0)),""))</f>
        <v/>
      </c>
      <c r="U76" s="59">
        <f>IF(A76="","",IFERROR(IF(OR(INDEX('Bid-NoBid'!$U:$U,MATCH(A76,'Bid-NoBid'!$A:$A,0))="",LEFT(INDEX('Bid-NoBid'!$U:$U,MATCH(A76,'Bid-NoBid'!$A:$A,0)),10)="Incomplete"),"Screen: "&amp;AC76,INDEX('Bid-NoBid'!$U:$U,MATCH(A76,'Bid-NoBid'!$A:$A,0))),"Screen: "&amp;AC76))</f>
        <v/>
      </c>
      <c r="V76" s="60" t="n"/>
      <c r="W76" s="60" t="n"/>
      <c r="X76" s="60" t="n"/>
      <c r="Y76" s="60" t="n"/>
      <c r="Z76" s="60" t="n"/>
      <c r="AA76" s="65" t="n"/>
      <c r="AB76" s="66" t="n"/>
      <c r="AC76" s="66" t="n"/>
      <c r="AD76" s="66" t="n"/>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66" t="n"/>
      <c r="AJ76" s="66" t="n"/>
      <c r="AK76" s="66" t="n"/>
      <c r="AL76" s="59">
        <f>IF(AND(OR(W76="Watching",W76="Preparing"),ISNUMBER(Q76)),IF(AND(Q76&gt;='Friday Summary'!$C$4,Q76&lt;='Friday Summary'!$C$4+14),Q76+ROW()/1000000,""),"")</f>
        <v/>
      </c>
    </row>
    <row r="77" ht="15" customHeight="1" s="51">
      <c r="A77" s="59">
        <f>IF(B77="","","OP-"&amp;TEXT(ROW()-4,"000"))</f>
        <v/>
      </c>
      <c r="B77" s="60" t="n"/>
      <c r="C77" s="61" t="n"/>
      <c r="D77" s="60" t="n"/>
      <c r="E77" s="60" t="n"/>
      <c r="F77" s="60" t="n"/>
      <c r="G77" s="60" t="n"/>
      <c r="H77" s="60" t="n"/>
      <c r="I77" s="60" t="n"/>
      <c r="J77" s="60" t="n"/>
      <c r="K77" s="60" t="n"/>
      <c r="L77" s="60" t="n"/>
      <c r="M77" s="62" t="n"/>
      <c r="N77" s="60" t="n"/>
      <c r="O77" s="61" t="n"/>
      <c r="P77" s="61" t="n"/>
      <c r="Q77" s="63" t="n"/>
      <c r="R77" s="60" t="n"/>
      <c r="S77" s="60" t="n"/>
      <c r="T77" s="64">
        <f>IF(A77="","",IFERROR(INDEX('Bid-NoBid'!$T:$T,MATCH(A77,'Bid-NoBid'!$A:$A,0)),""))</f>
        <v/>
      </c>
      <c r="U77" s="59">
        <f>IF(A77="","",IFERROR(IF(OR(INDEX('Bid-NoBid'!$U:$U,MATCH(A77,'Bid-NoBid'!$A:$A,0))="",LEFT(INDEX('Bid-NoBid'!$U:$U,MATCH(A77,'Bid-NoBid'!$A:$A,0)),10)="Incomplete"),"Screen: "&amp;AC77,INDEX('Bid-NoBid'!$U:$U,MATCH(A77,'Bid-NoBid'!$A:$A,0))),"Screen: "&amp;AC77))</f>
        <v/>
      </c>
      <c r="V77" s="60" t="n"/>
      <c r="W77" s="60" t="n"/>
      <c r="X77" s="60" t="n"/>
      <c r="Y77" s="60" t="n"/>
      <c r="Z77" s="60" t="n"/>
      <c r="AA77" s="65" t="n"/>
      <c r="AB77" s="66" t="n"/>
      <c r="AC77" s="66" t="n"/>
      <c r="AD77" s="66" t="n"/>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66" t="n"/>
      <c r="AJ77" s="66" t="n"/>
      <c r="AK77" s="66" t="n"/>
      <c r="AL77" s="59">
        <f>IF(AND(OR(W77="Watching",W77="Preparing"),ISNUMBER(Q77)),IF(AND(Q77&gt;='Friday Summary'!$C$4,Q77&lt;='Friday Summary'!$C$4+14),Q77+ROW()/1000000,""),"")</f>
        <v/>
      </c>
    </row>
    <row r="78" ht="15" customHeight="1" s="51">
      <c r="A78" s="59">
        <f>IF(B78="","","OP-"&amp;TEXT(ROW()-4,"000"))</f>
        <v/>
      </c>
      <c r="B78" s="60" t="n"/>
      <c r="C78" s="61" t="n"/>
      <c r="D78" s="60" t="n"/>
      <c r="E78" s="60" t="n"/>
      <c r="F78" s="60" t="n"/>
      <c r="G78" s="60" t="n"/>
      <c r="H78" s="60" t="n"/>
      <c r="I78" s="60" t="n"/>
      <c r="J78" s="60" t="n"/>
      <c r="K78" s="60" t="n"/>
      <c r="L78" s="60" t="n"/>
      <c r="M78" s="62" t="n"/>
      <c r="N78" s="60" t="n"/>
      <c r="O78" s="61" t="n"/>
      <c r="P78" s="61" t="n"/>
      <c r="Q78" s="63" t="n"/>
      <c r="R78" s="60" t="n"/>
      <c r="S78" s="60" t="n"/>
      <c r="T78" s="64">
        <f>IF(A78="","",IFERROR(INDEX('Bid-NoBid'!$T:$T,MATCH(A78,'Bid-NoBid'!$A:$A,0)),""))</f>
        <v/>
      </c>
      <c r="U78" s="59">
        <f>IF(A78="","",IFERROR(IF(OR(INDEX('Bid-NoBid'!$U:$U,MATCH(A78,'Bid-NoBid'!$A:$A,0))="",LEFT(INDEX('Bid-NoBid'!$U:$U,MATCH(A78,'Bid-NoBid'!$A:$A,0)),10)="Incomplete"),"Screen: "&amp;AC78,INDEX('Bid-NoBid'!$U:$U,MATCH(A78,'Bid-NoBid'!$A:$A,0))),"Screen: "&amp;AC78))</f>
        <v/>
      </c>
      <c r="V78" s="60" t="n"/>
      <c r="W78" s="60" t="n"/>
      <c r="X78" s="60" t="n"/>
      <c r="Y78" s="60" t="n"/>
      <c r="Z78" s="60" t="n"/>
      <c r="AA78" s="65" t="n"/>
      <c r="AB78" s="66" t="n"/>
      <c r="AC78" s="66" t="n"/>
      <c r="AD78" s="66" t="n"/>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66" t="n"/>
      <c r="AJ78" s="66" t="n"/>
      <c r="AK78" s="66" t="n"/>
      <c r="AL78" s="59">
        <f>IF(AND(OR(W78="Watching",W78="Preparing"),ISNUMBER(Q78)),IF(AND(Q78&gt;='Friday Summary'!$C$4,Q78&lt;='Friday Summary'!$C$4+14),Q78+ROW()/1000000,""),"")</f>
        <v/>
      </c>
    </row>
    <row r="79" ht="15" customHeight="1" s="51">
      <c r="A79" s="59">
        <f>IF(B79="","","OP-"&amp;TEXT(ROW()-4,"000"))</f>
        <v/>
      </c>
      <c r="B79" s="60" t="n"/>
      <c r="C79" s="61" t="n"/>
      <c r="D79" s="60" t="n"/>
      <c r="E79" s="60" t="n"/>
      <c r="F79" s="60" t="n"/>
      <c r="G79" s="60" t="n"/>
      <c r="H79" s="60" t="n"/>
      <c r="I79" s="60" t="n"/>
      <c r="J79" s="60" t="n"/>
      <c r="K79" s="60" t="n"/>
      <c r="L79" s="60" t="n"/>
      <c r="M79" s="62" t="n"/>
      <c r="N79" s="60" t="n"/>
      <c r="O79" s="61" t="n"/>
      <c r="P79" s="61" t="n"/>
      <c r="Q79" s="63" t="n"/>
      <c r="R79" s="60" t="n"/>
      <c r="S79" s="60" t="n"/>
      <c r="T79" s="64">
        <f>IF(A79="","",IFERROR(INDEX('Bid-NoBid'!$T:$T,MATCH(A79,'Bid-NoBid'!$A:$A,0)),""))</f>
        <v/>
      </c>
      <c r="U79" s="59">
        <f>IF(A79="","",IFERROR(IF(OR(INDEX('Bid-NoBid'!$U:$U,MATCH(A79,'Bid-NoBid'!$A:$A,0))="",LEFT(INDEX('Bid-NoBid'!$U:$U,MATCH(A79,'Bid-NoBid'!$A:$A,0)),10)="Incomplete"),"Screen: "&amp;AC79,INDEX('Bid-NoBid'!$U:$U,MATCH(A79,'Bid-NoBid'!$A:$A,0))),"Screen: "&amp;AC79))</f>
        <v/>
      </c>
      <c r="V79" s="60" t="n"/>
      <c r="W79" s="60" t="n"/>
      <c r="X79" s="60" t="n"/>
      <c r="Y79" s="60" t="n"/>
      <c r="Z79" s="60" t="n"/>
      <c r="AA79" s="65" t="n"/>
      <c r="AB79" s="66" t="n"/>
      <c r="AC79" s="66" t="n"/>
      <c r="AD79" s="66" t="n"/>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66" t="n"/>
      <c r="AJ79" s="66" t="n"/>
      <c r="AK79" s="66" t="n"/>
      <c r="AL79" s="59">
        <f>IF(AND(OR(W79="Watching",W79="Preparing"),ISNUMBER(Q79)),IF(AND(Q79&gt;='Friday Summary'!$C$4,Q79&lt;='Friday Summary'!$C$4+14),Q79+ROW()/1000000,""),"")</f>
        <v/>
      </c>
    </row>
    <row r="80" ht="15" customHeight="1" s="51">
      <c r="A80" s="59">
        <f>IF(B80="","","OP-"&amp;TEXT(ROW()-4,"000"))</f>
        <v/>
      </c>
      <c r="B80" s="60" t="n"/>
      <c r="C80" s="61" t="n"/>
      <c r="D80" s="60" t="n"/>
      <c r="E80" s="60" t="n"/>
      <c r="F80" s="60" t="n"/>
      <c r="G80" s="60" t="n"/>
      <c r="H80" s="60" t="n"/>
      <c r="I80" s="60" t="n"/>
      <c r="J80" s="60" t="n"/>
      <c r="K80" s="60" t="n"/>
      <c r="L80" s="60" t="n"/>
      <c r="M80" s="62" t="n"/>
      <c r="N80" s="60" t="n"/>
      <c r="O80" s="61" t="n"/>
      <c r="P80" s="61" t="n"/>
      <c r="Q80" s="63" t="n"/>
      <c r="R80" s="60" t="n"/>
      <c r="S80" s="60" t="n"/>
      <c r="T80" s="64">
        <f>IF(A80="","",IFERROR(INDEX('Bid-NoBid'!$T:$T,MATCH(A80,'Bid-NoBid'!$A:$A,0)),""))</f>
        <v/>
      </c>
      <c r="U80" s="59">
        <f>IF(A80="","",IFERROR(IF(OR(INDEX('Bid-NoBid'!$U:$U,MATCH(A80,'Bid-NoBid'!$A:$A,0))="",LEFT(INDEX('Bid-NoBid'!$U:$U,MATCH(A80,'Bid-NoBid'!$A:$A,0)),10)="Incomplete"),"Screen: "&amp;AC80,INDEX('Bid-NoBid'!$U:$U,MATCH(A80,'Bid-NoBid'!$A:$A,0))),"Screen: "&amp;AC80))</f>
        <v/>
      </c>
      <c r="V80" s="60" t="n"/>
      <c r="W80" s="60" t="n"/>
      <c r="X80" s="60" t="n"/>
      <c r="Y80" s="60" t="n"/>
      <c r="Z80" s="60" t="n"/>
      <c r="AA80" s="65" t="n"/>
      <c r="AB80" s="66" t="n"/>
      <c r="AC80" s="66" t="n"/>
      <c r="AD80" s="66" t="n"/>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66" t="n"/>
      <c r="AJ80" s="66" t="n"/>
      <c r="AK80" s="66" t="n"/>
      <c r="AL80" s="59">
        <f>IF(AND(OR(W80="Watching",W80="Preparing"),ISNUMBER(Q80)),IF(AND(Q80&gt;='Friday Summary'!$C$4,Q80&lt;='Friday Summary'!$C$4+14),Q80+ROW()/1000000,""),"")</f>
        <v/>
      </c>
    </row>
    <row r="81" ht="15" customHeight="1" s="51">
      <c r="A81" s="59">
        <f>IF(B81="","","OP-"&amp;TEXT(ROW()-4,"000"))</f>
        <v/>
      </c>
      <c r="B81" s="60" t="n"/>
      <c r="C81" s="61" t="n"/>
      <c r="D81" s="60" t="n"/>
      <c r="E81" s="60" t="n"/>
      <c r="F81" s="60" t="n"/>
      <c r="G81" s="60" t="n"/>
      <c r="H81" s="60" t="n"/>
      <c r="I81" s="60" t="n"/>
      <c r="J81" s="60" t="n"/>
      <c r="K81" s="60" t="n"/>
      <c r="L81" s="60" t="n"/>
      <c r="M81" s="62" t="n"/>
      <c r="N81" s="60" t="n"/>
      <c r="O81" s="61" t="n"/>
      <c r="P81" s="61" t="n"/>
      <c r="Q81" s="63" t="n"/>
      <c r="R81" s="60" t="n"/>
      <c r="S81" s="60" t="n"/>
      <c r="T81" s="64">
        <f>IF(A81="","",IFERROR(INDEX('Bid-NoBid'!$T:$T,MATCH(A81,'Bid-NoBid'!$A:$A,0)),""))</f>
        <v/>
      </c>
      <c r="U81" s="59">
        <f>IF(A81="","",IFERROR(IF(OR(INDEX('Bid-NoBid'!$U:$U,MATCH(A81,'Bid-NoBid'!$A:$A,0))="",LEFT(INDEX('Bid-NoBid'!$U:$U,MATCH(A81,'Bid-NoBid'!$A:$A,0)),10)="Incomplete"),"Screen: "&amp;AC81,INDEX('Bid-NoBid'!$U:$U,MATCH(A81,'Bid-NoBid'!$A:$A,0))),"Screen: "&amp;AC81))</f>
        <v/>
      </c>
      <c r="V81" s="60" t="n"/>
      <c r="W81" s="60" t="n"/>
      <c r="X81" s="60" t="n"/>
      <c r="Y81" s="60" t="n"/>
      <c r="Z81" s="60" t="n"/>
      <c r="AA81" s="65" t="n"/>
      <c r="AB81" s="66" t="n"/>
      <c r="AC81" s="66" t="n"/>
      <c r="AD81" s="66" t="n"/>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66" t="n"/>
      <c r="AJ81" s="66" t="n"/>
      <c r="AK81" s="66" t="n"/>
      <c r="AL81" s="59">
        <f>IF(AND(OR(W81="Watching",W81="Preparing"),ISNUMBER(Q81)),IF(AND(Q81&gt;='Friday Summary'!$C$4,Q81&lt;='Friday Summary'!$C$4+14),Q81+ROW()/1000000,""),"")</f>
        <v/>
      </c>
    </row>
    <row r="82" ht="15" customHeight="1" s="51">
      <c r="A82" s="59">
        <f>IF(B82="","","OP-"&amp;TEXT(ROW()-4,"000"))</f>
        <v/>
      </c>
      <c r="B82" s="60" t="n"/>
      <c r="C82" s="61" t="n"/>
      <c r="D82" s="60" t="n"/>
      <c r="E82" s="60" t="n"/>
      <c r="F82" s="60" t="n"/>
      <c r="G82" s="60" t="n"/>
      <c r="H82" s="60" t="n"/>
      <c r="I82" s="60" t="n"/>
      <c r="J82" s="60" t="n"/>
      <c r="K82" s="60" t="n"/>
      <c r="L82" s="60" t="n"/>
      <c r="M82" s="62" t="n"/>
      <c r="N82" s="60" t="n"/>
      <c r="O82" s="61" t="n"/>
      <c r="P82" s="61" t="n"/>
      <c r="Q82" s="63" t="n"/>
      <c r="R82" s="60" t="n"/>
      <c r="S82" s="60" t="n"/>
      <c r="T82" s="64">
        <f>IF(A82="","",IFERROR(INDEX('Bid-NoBid'!$T:$T,MATCH(A82,'Bid-NoBid'!$A:$A,0)),""))</f>
        <v/>
      </c>
      <c r="U82" s="59">
        <f>IF(A82="","",IFERROR(IF(OR(INDEX('Bid-NoBid'!$U:$U,MATCH(A82,'Bid-NoBid'!$A:$A,0))="",LEFT(INDEX('Bid-NoBid'!$U:$U,MATCH(A82,'Bid-NoBid'!$A:$A,0)),10)="Incomplete"),"Screen: "&amp;AC82,INDEX('Bid-NoBid'!$U:$U,MATCH(A82,'Bid-NoBid'!$A:$A,0))),"Screen: "&amp;AC82))</f>
        <v/>
      </c>
      <c r="V82" s="60" t="n"/>
      <c r="W82" s="60" t="n"/>
      <c r="X82" s="60" t="n"/>
      <c r="Y82" s="60" t="n"/>
      <c r="Z82" s="60" t="n"/>
      <c r="AA82" s="65" t="n"/>
      <c r="AB82" s="66" t="n"/>
      <c r="AC82" s="66" t="n"/>
      <c r="AD82" s="66" t="n"/>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66" t="n"/>
      <c r="AJ82" s="66" t="n"/>
      <c r="AK82" s="66" t="n"/>
      <c r="AL82" s="59">
        <f>IF(AND(OR(W82="Watching",W82="Preparing"),ISNUMBER(Q82)),IF(AND(Q82&gt;='Friday Summary'!$C$4,Q82&lt;='Friday Summary'!$C$4+14),Q82+ROW()/1000000,""),"")</f>
        <v/>
      </c>
    </row>
    <row r="83" ht="15" customHeight="1" s="51">
      <c r="A83" s="59">
        <f>IF(B83="","","OP-"&amp;TEXT(ROW()-4,"000"))</f>
        <v/>
      </c>
      <c r="B83" s="60" t="n"/>
      <c r="C83" s="61" t="n"/>
      <c r="D83" s="60" t="n"/>
      <c r="E83" s="60" t="n"/>
      <c r="F83" s="60" t="n"/>
      <c r="G83" s="60" t="n"/>
      <c r="H83" s="60" t="n"/>
      <c r="I83" s="60" t="n"/>
      <c r="J83" s="60" t="n"/>
      <c r="K83" s="60" t="n"/>
      <c r="L83" s="60" t="n"/>
      <c r="M83" s="62" t="n"/>
      <c r="N83" s="60" t="n"/>
      <c r="O83" s="61" t="n"/>
      <c r="P83" s="61" t="n"/>
      <c r="Q83" s="63" t="n"/>
      <c r="R83" s="60" t="n"/>
      <c r="S83" s="60" t="n"/>
      <c r="T83" s="64">
        <f>IF(A83="","",IFERROR(INDEX('Bid-NoBid'!$T:$T,MATCH(A83,'Bid-NoBid'!$A:$A,0)),""))</f>
        <v/>
      </c>
      <c r="U83" s="59">
        <f>IF(A83="","",IFERROR(IF(OR(INDEX('Bid-NoBid'!$U:$U,MATCH(A83,'Bid-NoBid'!$A:$A,0))="",LEFT(INDEX('Bid-NoBid'!$U:$U,MATCH(A83,'Bid-NoBid'!$A:$A,0)),10)="Incomplete"),"Screen: "&amp;AC83,INDEX('Bid-NoBid'!$U:$U,MATCH(A83,'Bid-NoBid'!$A:$A,0))),"Screen: "&amp;AC83))</f>
        <v/>
      </c>
      <c r="V83" s="60" t="n"/>
      <c r="W83" s="60" t="n"/>
      <c r="X83" s="60" t="n"/>
      <c r="Y83" s="60" t="n"/>
      <c r="Z83" s="60" t="n"/>
      <c r="AA83" s="65" t="n"/>
      <c r="AB83" s="66" t="n"/>
      <c r="AC83" s="66" t="n"/>
      <c r="AD83" s="66" t="n"/>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66" t="n"/>
      <c r="AJ83" s="66" t="n"/>
      <c r="AK83" s="66" t="n"/>
      <c r="AL83" s="59">
        <f>IF(AND(OR(W83="Watching",W83="Preparing"),ISNUMBER(Q83)),IF(AND(Q83&gt;='Friday Summary'!$C$4,Q83&lt;='Friday Summary'!$C$4+14),Q83+ROW()/1000000,""),"")</f>
        <v/>
      </c>
    </row>
    <row r="84" ht="15" customHeight="1" s="51">
      <c r="A84" s="59">
        <f>IF(B84="","","OP-"&amp;TEXT(ROW()-4,"000"))</f>
        <v/>
      </c>
      <c r="B84" s="60" t="n"/>
      <c r="C84" s="61" t="n"/>
      <c r="D84" s="60" t="n"/>
      <c r="E84" s="60" t="n"/>
      <c r="F84" s="60" t="n"/>
      <c r="G84" s="60" t="n"/>
      <c r="H84" s="60" t="n"/>
      <c r="I84" s="60" t="n"/>
      <c r="J84" s="60" t="n"/>
      <c r="K84" s="60" t="n"/>
      <c r="L84" s="60" t="n"/>
      <c r="M84" s="62" t="n"/>
      <c r="N84" s="60" t="n"/>
      <c r="O84" s="61" t="n"/>
      <c r="P84" s="61" t="n"/>
      <c r="Q84" s="63" t="n"/>
      <c r="R84" s="60" t="n"/>
      <c r="S84" s="60" t="n"/>
      <c r="T84" s="64">
        <f>IF(A84="","",IFERROR(INDEX('Bid-NoBid'!$T:$T,MATCH(A84,'Bid-NoBid'!$A:$A,0)),""))</f>
        <v/>
      </c>
      <c r="U84" s="59">
        <f>IF(A84="","",IFERROR(IF(OR(INDEX('Bid-NoBid'!$U:$U,MATCH(A84,'Bid-NoBid'!$A:$A,0))="",LEFT(INDEX('Bid-NoBid'!$U:$U,MATCH(A84,'Bid-NoBid'!$A:$A,0)),10)="Incomplete"),"Screen: "&amp;AC84,INDEX('Bid-NoBid'!$U:$U,MATCH(A84,'Bid-NoBid'!$A:$A,0))),"Screen: "&amp;AC84))</f>
        <v/>
      </c>
      <c r="V84" s="60" t="n"/>
      <c r="W84" s="60" t="n"/>
      <c r="X84" s="60" t="n"/>
      <c r="Y84" s="60" t="n"/>
      <c r="Z84" s="60" t="n"/>
      <c r="AA84" s="65" t="n"/>
      <c r="AB84" s="66" t="n"/>
      <c r="AC84" s="66" t="n"/>
      <c r="AD84" s="66" t="n"/>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66" t="n"/>
      <c r="AJ84" s="66" t="n"/>
      <c r="AK84" s="66" t="n"/>
      <c r="AL84" s="59">
        <f>IF(AND(OR(W84="Watching",W84="Preparing"),ISNUMBER(Q84)),IF(AND(Q84&gt;='Friday Summary'!$C$4,Q84&lt;='Friday Summary'!$C$4+14),Q84+ROW()/1000000,""),"")</f>
        <v/>
      </c>
    </row>
    <row r="85" ht="15" customHeight="1" s="51">
      <c r="A85" s="59">
        <f>IF(B85="","","OP-"&amp;TEXT(ROW()-4,"000"))</f>
        <v/>
      </c>
      <c r="B85" s="60" t="n"/>
      <c r="C85" s="61" t="n"/>
      <c r="D85" s="60" t="n"/>
      <c r="E85" s="60" t="n"/>
      <c r="F85" s="60" t="n"/>
      <c r="G85" s="60" t="n"/>
      <c r="H85" s="60" t="n"/>
      <c r="I85" s="60" t="n"/>
      <c r="J85" s="60" t="n"/>
      <c r="K85" s="60" t="n"/>
      <c r="L85" s="60" t="n"/>
      <c r="M85" s="62" t="n"/>
      <c r="N85" s="60" t="n"/>
      <c r="O85" s="61" t="n"/>
      <c r="P85" s="61" t="n"/>
      <c r="Q85" s="63" t="n"/>
      <c r="R85" s="60" t="n"/>
      <c r="S85" s="60" t="n"/>
      <c r="T85" s="64">
        <f>IF(A85="","",IFERROR(INDEX('Bid-NoBid'!$T:$T,MATCH(A85,'Bid-NoBid'!$A:$A,0)),""))</f>
        <v/>
      </c>
      <c r="U85" s="59">
        <f>IF(A85="","",IFERROR(IF(OR(INDEX('Bid-NoBid'!$U:$U,MATCH(A85,'Bid-NoBid'!$A:$A,0))="",LEFT(INDEX('Bid-NoBid'!$U:$U,MATCH(A85,'Bid-NoBid'!$A:$A,0)),10)="Incomplete"),"Screen: "&amp;AC85,INDEX('Bid-NoBid'!$U:$U,MATCH(A85,'Bid-NoBid'!$A:$A,0))),"Screen: "&amp;AC85))</f>
        <v/>
      </c>
      <c r="V85" s="60" t="n"/>
      <c r="W85" s="60" t="n"/>
      <c r="X85" s="60" t="n"/>
      <c r="Y85" s="60" t="n"/>
      <c r="Z85" s="60" t="n"/>
      <c r="AA85" s="65" t="n"/>
      <c r="AB85" s="66" t="n"/>
      <c r="AC85" s="66" t="n"/>
      <c r="AD85" s="66" t="n"/>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66" t="n"/>
      <c r="AJ85" s="66" t="n"/>
      <c r="AK85" s="66" t="n"/>
      <c r="AL85" s="59">
        <f>IF(AND(OR(W85="Watching",W85="Preparing"),ISNUMBER(Q85)),IF(AND(Q85&gt;='Friday Summary'!$C$4,Q85&lt;='Friday Summary'!$C$4+14),Q85+ROW()/1000000,""),"")</f>
        <v/>
      </c>
    </row>
    <row r="86" ht="15" customHeight="1" s="51">
      <c r="A86" s="59">
        <f>IF(B86="","","OP-"&amp;TEXT(ROW()-4,"000"))</f>
        <v/>
      </c>
      <c r="B86" s="60" t="n"/>
      <c r="C86" s="61" t="n"/>
      <c r="D86" s="60" t="n"/>
      <c r="E86" s="60" t="n"/>
      <c r="F86" s="60" t="n"/>
      <c r="G86" s="60" t="n"/>
      <c r="H86" s="60" t="n"/>
      <c r="I86" s="60" t="n"/>
      <c r="J86" s="60" t="n"/>
      <c r="K86" s="60" t="n"/>
      <c r="L86" s="60" t="n"/>
      <c r="M86" s="62" t="n"/>
      <c r="N86" s="60" t="n"/>
      <c r="O86" s="61" t="n"/>
      <c r="P86" s="61" t="n"/>
      <c r="Q86" s="63" t="n"/>
      <c r="R86" s="60" t="n"/>
      <c r="S86" s="60" t="n"/>
      <c r="T86" s="64">
        <f>IF(A86="","",IFERROR(INDEX('Bid-NoBid'!$T:$T,MATCH(A86,'Bid-NoBid'!$A:$A,0)),""))</f>
        <v/>
      </c>
      <c r="U86" s="59">
        <f>IF(A86="","",IFERROR(IF(OR(INDEX('Bid-NoBid'!$U:$U,MATCH(A86,'Bid-NoBid'!$A:$A,0))="",LEFT(INDEX('Bid-NoBid'!$U:$U,MATCH(A86,'Bid-NoBid'!$A:$A,0)),10)="Incomplete"),"Screen: "&amp;AC86,INDEX('Bid-NoBid'!$U:$U,MATCH(A86,'Bid-NoBid'!$A:$A,0))),"Screen: "&amp;AC86))</f>
        <v/>
      </c>
      <c r="V86" s="60" t="n"/>
      <c r="W86" s="60" t="n"/>
      <c r="X86" s="60" t="n"/>
      <c r="Y86" s="60" t="n"/>
      <c r="Z86" s="60" t="n"/>
      <c r="AA86" s="65" t="n"/>
      <c r="AB86" s="66" t="n"/>
      <c r="AC86" s="66" t="n"/>
      <c r="AD86" s="66" t="n"/>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66" t="n"/>
      <c r="AJ86" s="66" t="n"/>
      <c r="AK86" s="66" t="n"/>
      <c r="AL86" s="59">
        <f>IF(AND(OR(W86="Watching",W86="Preparing"),ISNUMBER(Q86)),IF(AND(Q86&gt;='Friday Summary'!$C$4,Q86&lt;='Friday Summary'!$C$4+14),Q86+ROW()/1000000,""),"")</f>
        <v/>
      </c>
    </row>
    <row r="87" ht="15" customHeight="1" s="51">
      <c r="A87" s="59">
        <f>IF(B87="","","OP-"&amp;TEXT(ROW()-4,"000"))</f>
        <v/>
      </c>
      <c r="B87" s="60" t="n"/>
      <c r="C87" s="61" t="n"/>
      <c r="D87" s="60" t="n"/>
      <c r="E87" s="60" t="n"/>
      <c r="F87" s="60" t="n"/>
      <c r="G87" s="60" t="n"/>
      <c r="H87" s="60" t="n"/>
      <c r="I87" s="60" t="n"/>
      <c r="J87" s="60" t="n"/>
      <c r="K87" s="60" t="n"/>
      <c r="L87" s="60" t="n"/>
      <c r="M87" s="62" t="n"/>
      <c r="N87" s="60" t="n"/>
      <c r="O87" s="61" t="n"/>
      <c r="P87" s="61" t="n"/>
      <c r="Q87" s="63" t="n"/>
      <c r="R87" s="60" t="n"/>
      <c r="S87" s="60" t="n"/>
      <c r="T87" s="64">
        <f>IF(A87="","",IFERROR(INDEX('Bid-NoBid'!$T:$T,MATCH(A87,'Bid-NoBid'!$A:$A,0)),""))</f>
        <v/>
      </c>
      <c r="U87" s="59">
        <f>IF(A87="","",IFERROR(IF(OR(INDEX('Bid-NoBid'!$U:$U,MATCH(A87,'Bid-NoBid'!$A:$A,0))="",LEFT(INDEX('Bid-NoBid'!$U:$U,MATCH(A87,'Bid-NoBid'!$A:$A,0)),10)="Incomplete"),"Screen: "&amp;AC87,INDEX('Bid-NoBid'!$U:$U,MATCH(A87,'Bid-NoBid'!$A:$A,0))),"Screen: "&amp;AC87))</f>
        <v/>
      </c>
      <c r="V87" s="60" t="n"/>
      <c r="W87" s="60" t="n"/>
      <c r="X87" s="60" t="n"/>
      <c r="Y87" s="60" t="n"/>
      <c r="Z87" s="60" t="n"/>
      <c r="AA87" s="65" t="n"/>
      <c r="AB87" s="66" t="n"/>
      <c r="AC87" s="66" t="n"/>
      <c r="AD87" s="66" t="n"/>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66" t="n"/>
      <c r="AJ87" s="66" t="n"/>
      <c r="AK87" s="66" t="n"/>
      <c r="AL87" s="59">
        <f>IF(AND(OR(W87="Watching",W87="Preparing"),ISNUMBER(Q87)),IF(AND(Q87&gt;='Friday Summary'!$C$4,Q87&lt;='Friday Summary'!$C$4+14),Q87+ROW()/1000000,""),"")</f>
        <v/>
      </c>
    </row>
    <row r="88" ht="15" customHeight="1" s="51">
      <c r="A88" s="59">
        <f>IF(B88="","","OP-"&amp;TEXT(ROW()-4,"000"))</f>
        <v/>
      </c>
      <c r="B88" s="60" t="n"/>
      <c r="C88" s="61" t="n"/>
      <c r="D88" s="60" t="n"/>
      <c r="E88" s="60" t="n"/>
      <c r="F88" s="60" t="n"/>
      <c r="G88" s="60" t="n"/>
      <c r="H88" s="60" t="n"/>
      <c r="I88" s="60" t="n"/>
      <c r="J88" s="60" t="n"/>
      <c r="K88" s="60" t="n"/>
      <c r="L88" s="60" t="n"/>
      <c r="M88" s="62" t="n"/>
      <c r="N88" s="60" t="n"/>
      <c r="O88" s="61" t="n"/>
      <c r="P88" s="61" t="n"/>
      <c r="Q88" s="63" t="n"/>
      <c r="R88" s="60" t="n"/>
      <c r="S88" s="60" t="n"/>
      <c r="T88" s="64">
        <f>IF(A88="","",IFERROR(INDEX('Bid-NoBid'!$T:$T,MATCH(A88,'Bid-NoBid'!$A:$A,0)),""))</f>
        <v/>
      </c>
      <c r="U88" s="59">
        <f>IF(A88="","",IFERROR(IF(OR(INDEX('Bid-NoBid'!$U:$U,MATCH(A88,'Bid-NoBid'!$A:$A,0))="",LEFT(INDEX('Bid-NoBid'!$U:$U,MATCH(A88,'Bid-NoBid'!$A:$A,0)),10)="Incomplete"),"Screen: "&amp;AC88,INDEX('Bid-NoBid'!$U:$U,MATCH(A88,'Bid-NoBid'!$A:$A,0))),"Screen: "&amp;AC88))</f>
        <v/>
      </c>
      <c r="V88" s="60" t="n"/>
      <c r="W88" s="60" t="n"/>
      <c r="X88" s="60" t="n"/>
      <c r="Y88" s="60" t="n"/>
      <c r="Z88" s="60" t="n"/>
      <c r="AA88" s="65" t="n"/>
      <c r="AB88" s="66" t="n"/>
      <c r="AC88" s="66" t="n"/>
      <c r="AD88" s="66" t="n"/>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66" t="n"/>
      <c r="AJ88" s="66" t="n"/>
      <c r="AK88" s="66" t="n"/>
      <c r="AL88" s="59">
        <f>IF(AND(OR(W88="Watching",W88="Preparing"),ISNUMBER(Q88)),IF(AND(Q88&gt;='Friday Summary'!$C$4,Q88&lt;='Friday Summary'!$C$4+14),Q88+ROW()/1000000,""),"")</f>
        <v/>
      </c>
    </row>
    <row r="89" ht="15" customHeight="1" s="51">
      <c r="A89" s="59">
        <f>IF(B89="","","OP-"&amp;TEXT(ROW()-4,"000"))</f>
        <v/>
      </c>
      <c r="B89" s="60" t="n"/>
      <c r="C89" s="61" t="n"/>
      <c r="D89" s="60" t="n"/>
      <c r="E89" s="60" t="n"/>
      <c r="F89" s="60" t="n"/>
      <c r="G89" s="60" t="n"/>
      <c r="H89" s="60" t="n"/>
      <c r="I89" s="60" t="n"/>
      <c r="J89" s="60" t="n"/>
      <c r="K89" s="60" t="n"/>
      <c r="L89" s="60" t="n"/>
      <c r="M89" s="62" t="n"/>
      <c r="N89" s="60" t="n"/>
      <c r="O89" s="61" t="n"/>
      <c r="P89" s="61" t="n"/>
      <c r="Q89" s="63" t="n"/>
      <c r="R89" s="60" t="n"/>
      <c r="S89" s="60" t="n"/>
      <c r="T89" s="64">
        <f>IF(A89="","",IFERROR(INDEX('Bid-NoBid'!$T:$T,MATCH(A89,'Bid-NoBid'!$A:$A,0)),""))</f>
        <v/>
      </c>
      <c r="U89" s="59">
        <f>IF(A89="","",IFERROR(IF(OR(INDEX('Bid-NoBid'!$U:$U,MATCH(A89,'Bid-NoBid'!$A:$A,0))="",LEFT(INDEX('Bid-NoBid'!$U:$U,MATCH(A89,'Bid-NoBid'!$A:$A,0)),10)="Incomplete"),"Screen: "&amp;AC89,INDEX('Bid-NoBid'!$U:$U,MATCH(A89,'Bid-NoBid'!$A:$A,0))),"Screen: "&amp;AC89))</f>
        <v/>
      </c>
      <c r="V89" s="60" t="n"/>
      <c r="W89" s="60" t="n"/>
      <c r="X89" s="60" t="n"/>
      <c r="Y89" s="60" t="n"/>
      <c r="Z89" s="60" t="n"/>
      <c r="AA89" s="65" t="n"/>
      <c r="AB89" s="66" t="n"/>
      <c r="AC89" s="66" t="n"/>
      <c r="AD89" s="66" t="n"/>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66" t="n"/>
      <c r="AJ89" s="66" t="n"/>
      <c r="AK89" s="66" t="n"/>
      <c r="AL89" s="59">
        <f>IF(AND(OR(W89="Watching",W89="Preparing"),ISNUMBER(Q89)),IF(AND(Q89&gt;='Friday Summary'!$C$4,Q89&lt;='Friday Summary'!$C$4+14),Q89+ROW()/1000000,""),"")</f>
        <v/>
      </c>
    </row>
    <row r="90" ht="15" customHeight="1" s="51">
      <c r="A90" s="59">
        <f>IF(B90="","","OP-"&amp;TEXT(ROW()-4,"000"))</f>
        <v/>
      </c>
      <c r="B90" s="60" t="n"/>
      <c r="C90" s="61" t="n"/>
      <c r="D90" s="60" t="n"/>
      <c r="E90" s="60" t="n"/>
      <c r="F90" s="60" t="n"/>
      <c r="G90" s="60" t="n"/>
      <c r="H90" s="60" t="n"/>
      <c r="I90" s="60" t="n"/>
      <c r="J90" s="60" t="n"/>
      <c r="K90" s="60" t="n"/>
      <c r="L90" s="60" t="n"/>
      <c r="M90" s="62" t="n"/>
      <c r="N90" s="60" t="n"/>
      <c r="O90" s="61" t="n"/>
      <c r="P90" s="61" t="n"/>
      <c r="Q90" s="63" t="n"/>
      <c r="R90" s="60" t="n"/>
      <c r="S90" s="60" t="n"/>
      <c r="T90" s="64">
        <f>IF(A90="","",IFERROR(INDEX('Bid-NoBid'!$T:$T,MATCH(A90,'Bid-NoBid'!$A:$A,0)),""))</f>
        <v/>
      </c>
      <c r="U90" s="59">
        <f>IF(A90="","",IFERROR(IF(OR(INDEX('Bid-NoBid'!$U:$U,MATCH(A90,'Bid-NoBid'!$A:$A,0))="",LEFT(INDEX('Bid-NoBid'!$U:$U,MATCH(A90,'Bid-NoBid'!$A:$A,0)),10)="Incomplete"),"Screen: "&amp;AC90,INDEX('Bid-NoBid'!$U:$U,MATCH(A90,'Bid-NoBid'!$A:$A,0))),"Screen: "&amp;AC90))</f>
        <v/>
      </c>
      <c r="V90" s="60" t="n"/>
      <c r="W90" s="60" t="n"/>
      <c r="X90" s="60" t="n"/>
      <c r="Y90" s="60" t="n"/>
      <c r="Z90" s="60" t="n"/>
      <c r="AA90" s="65" t="n"/>
      <c r="AB90" s="66" t="n"/>
      <c r="AC90" s="66" t="n"/>
      <c r="AD90" s="66" t="n"/>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66" t="n"/>
      <c r="AJ90" s="66" t="n"/>
      <c r="AK90" s="66" t="n"/>
      <c r="AL90" s="59">
        <f>IF(AND(OR(W90="Watching",W90="Preparing"),ISNUMBER(Q90)),IF(AND(Q90&gt;='Friday Summary'!$C$4,Q90&lt;='Friday Summary'!$C$4+14),Q90+ROW()/1000000,""),"")</f>
        <v/>
      </c>
    </row>
    <row r="91" ht="15" customHeight="1" s="51">
      <c r="A91" s="59">
        <f>IF(B91="","","OP-"&amp;TEXT(ROW()-4,"000"))</f>
        <v/>
      </c>
      <c r="B91" s="60" t="n"/>
      <c r="C91" s="61" t="n"/>
      <c r="D91" s="60" t="n"/>
      <c r="E91" s="60" t="n"/>
      <c r="F91" s="60" t="n"/>
      <c r="G91" s="60" t="n"/>
      <c r="H91" s="60" t="n"/>
      <c r="I91" s="60" t="n"/>
      <c r="J91" s="60" t="n"/>
      <c r="K91" s="60" t="n"/>
      <c r="L91" s="60" t="n"/>
      <c r="M91" s="62" t="n"/>
      <c r="N91" s="60" t="n"/>
      <c r="O91" s="61" t="n"/>
      <c r="P91" s="61" t="n"/>
      <c r="Q91" s="63" t="n"/>
      <c r="R91" s="60" t="n"/>
      <c r="S91" s="60" t="n"/>
      <c r="T91" s="64">
        <f>IF(A91="","",IFERROR(INDEX('Bid-NoBid'!$T:$T,MATCH(A91,'Bid-NoBid'!$A:$A,0)),""))</f>
        <v/>
      </c>
      <c r="U91" s="59">
        <f>IF(A91="","",IFERROR(IF(OR(INDEX('Bid-NoBid'!$U:$U,MATCH(A91,'Bid-NoBid'!$A:$A,0))="",LEFT(INDEX('Bid-NoBid'!$U:$U,MATCH(A91,'Bid-NoBid'!$A:$A,0)),10)="Incomplete"),"Screen: "&amp;AC91,INDEX('Bid-NoBid'!$U:$U,MATCH(A91,'Bid-NoBid'!$A:$A,0))),"Screen: "&amp;AC91))</f>
        <v/>
      </c>
      <c r="V91" s="60" t="n"/>
      <c r="W91" s="60" t="n"/>
      <c r="X91" s="60" t="n"/>
      <c r="Y91" s="60" t="n"/>
      <c r="Z91" s="60" t="n"/>
      <c r="AA91" s="65" t="n"/>
      <c r="AB91" s="66" t="n"/>
      <c r="AC91" s="66" t="n"/>
      <c r="AD91" s="66" t="n"/>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66" t="n"/>
      <c r="AJ91" s="66" t="n"/>
      <c r="AK91" s="66" t="n"/>
      <c r="AL91" s="59">
        <f>IF(AND(OR(W91="Watching",W91="Preparing"),ISNUMBER(Q91)),IF(AND(Q91&gt;='Friday Summary'!$C$4,Q91&lt;='Friday Summary'!$C$4+14),Q91+ROW()/1000000,""),"")</f>
        <v/>
      </c>
    </row>
    <row r="92" ht="15" customHeight="1" s="51">
      <c r="A92" s="59">
        <f>IF(B92="","","OP-"&amp;TEXT(ROW()-4,"000"))</f>
        <v/>
      </c>
      <c r="B92" s="60" t="n"/>
      <c r="C92" s="61" t="n"/>
      <c r="D92" s="60" t="n"/>
      <c r="E92" s="60" t="n"/>
      <c r="F92" s="60" t="n"/>
      <c r="G92" s="60" t="n"/>
      <c r="H92" s="60" t="n"/>
      <c r="I92" s="60" t="n"/>
      <c r="J92" s="60" t="n"/>
      <c r="K92" s="60" t="n"/>
      <c r="L92" s="60" t="n"/>
      <c r="M92" s="62" t="n"/>
      <c r="N92" s="60" t="n"/>
      <c r="O92" s="61" t="n"/>
      <c r="P92" s="61" t="n"/>
      <c r="Q92" s="63" t="n"/>
      <c r="R92" s="60" t="n"/>
      <c r="S92" s="60" t="n"/>
      <c r="T92" s="64">
        <f>IF(A92="","",IFERROR(INDEX('Bid-NoBid'!$T:$T,MATCH(A92,'Bid-NoBid'!$A:$A,0)),""))</f>
        <v/>
      </c>
      <c r="U92" s="59">
        <f>IF(A92="","",IFERROR(IF(OR(INDEX('Bid-NoBid'!$U:$U,MATCH(A92,'Bid-NoBid'!$A:$A,0))="",LEFT(INDEX('Bid-NoBid'!$U:$U,MATCH(A92,'Bid-NoBid'!$A:$A,0)),10)="Incomplete"),"Screen: "&amp;AC92,INDEX('Bid-NoBid'!$U:$U,MATCH(A92,'Bid-NoBid'!$A:$A,0))),"Screen: "&amp;AC92))</f>
        <v/>
      </c>
      <c r="V92" s="60" t="n"/>
      <c r="W92" s="60" t="n"/>
      <c r="X92" s="60" t="n"/>
      <c r="Y92" s="60" t="n"/>
      <c r="Z92" s="60" t="n"/>
      <c r="AA92" s="65" t="n"/>
      <c r="AB92" s="66" t="n"/>
      <c r="AC92" s="66" t="n"/>
      <c r="AD92" s="66" t="n"/>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66" t="n"/>
      <c r="AJ92" s="66" t="n"/>
      <c r="AK92" s="66" t="n"/>
      <c r="AL92" s="59">
        <f>IF(AND(OR(W92="Watching",W92="Preparing"),ISNUMBER(Q92)),IF(AND(Q92&gt;='Friday Summary'!$C$4,Q92&lt;='Friday Summary'!$C$4+14),Q92+ROW()/1000000,""),"")</f>
        <v/>
      </c>
    </row>
    <row r="93" ht="15" customHeight="1" s="51">
      <c r="A93" s="59">
        <f>IF(B93="","","OP-"&amp;TEXT(ROW()-4,"000"))</f>
        <v/>
      </c>
      <c r="B93" s="60" t="n"/>
      <c r="C93" s="61" t="n"/>
      <c r="D93" s="60" t="n"/>
      <c r="E93" s="60" t="n"/>
      <c r="F93" s="60" t="n"/>
      <c r="G93" s="60" t="n"/>
      <c r="H93" s="60" t="n"/>
      <c r="I93" s="60" t="n"/>
      <c r="J93" s="60" t="n"/>
      <c r="K93" s="60" t="n"/>
      <c r="L93" s="60" t="n"/>
      <c r="M93" s="62" t="n"/>
      <c r="N93" s="60" t="n"/>
      <c r="O93" s="61" t="n"/>
      <c r="P93" s="61" t="n"/>
      <c r="Q93" s="63" t="n"/>
      <c r="R93" s="60" t="n"/>
      <c r="S93" s="60" t="n"/>
      <c r="T93" s="64">
        <f>IF(A93="","",IFERROR(INDEX('Bid-NoBid'!$T:$T,MATCH(A93,'Bid-NoBid'!$A:$A,0)),""))</f>
        <v/>
      </c>
      <c r="U93" s="59">
        <f>IF(A93="","",IFERROR(IF(OR(INDEX('Bid-NoBid'!$U:$U,MATCH(A93,'Bid-NoBid'!$A:$A,0))="",LEFT(INDEX('Bid-NoBid'!$U:$U,MATCH(A93,'Bid-NoBid'!$A:$A,0)),10)="Incomplete"),"Screen: "&amp;AC93,INDEX('Bid-NoBid'!$U:$U,MATCH(A93,'Bid-NoBid'!$A:$A,0))),"Screen: "&amp;AC93))</f>
        <v/>
      </c>
      <c r="V93" s="60" t="n"/>
      <c r="W93" s="60" t="n"/>
      <c r="X93" s="60" t="n"/>
      <c r="Y93" s="60" t="n"/>
      <c r="Z93" s="60" t="n"/>
      <c r="AA93" s="65" t="n"/>
      <c r="AB93" s="66" t="n"/>
      <c r="AC93" s="66" t="n"/>
      <c r="AD93" s="66" t="n"/>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66" t="n"/>
      <c r="AJ93" s="66" t="n"/>
      <c r="AK93" s="66" t="n"/>
      <c r="AL93" s="59">
        <f>IF(AND(OR(W93="Watching",W93="Preparing"),ISNUMBER(Q93)),IF(AND(Q93&gt;='Friday Summary'!$C$4,Q93&lt;='Friday Summary'!$C$4+14),Q93+ROW()/1000000,""),"")</f>
        <v/>
      </c>
    </row>
    <row r="94" ht="15" customHeight="1" s="51">
      <c r="A94" s="59">
        <f>IF(B94="","","OP-"&amp;TEXT(ROW()-4,"000"))</f>
        <v/>
      </c>
      <c r="B94" s="60" t="n"/>
      <c r="C94" s="61" t="n"/>
      <c r="D94" s="60" t="n"/>
      <c r="E94" s="60" t="n"/>
      <c r="F94" s="60" t="n"/>
      <c r="G94" s="60" t="n"/>
      <c r="H94" s="60" t="n"/>
      <c r="I94" s="60" t="n"/>
      <c r="J94" s="60" t="n"/>
      <c r="K94" s="60" t="n"/>
      <c r="L94" s="60" t="n"/>
      <c r="M94" s="62" t="n"/>
      <c r="N94" s="60" t="n"/>
      <c r="O94" s="61" t="n"/>
      <c r="P94" s="61" t="n"/>
      <c r="Q94" s="63" t="n"/>
      <c r="R94" s="60" t="n"/>
      <c r="S94" s="60" t="n"/>
      <c r="T94" s="64">
        <f>IF(A94="","",IFERROR(INDEX('Bid-NoBid'!$T:$T,MATCH(A94,'Bid-NoBid'!$A:$A,0)),""))</f>
        <v/>
      </c>
      <c r="U94" s="59">
        <f>IF(A94="","",IFERROR(IF(OR(INDEX('Bid-NoBid'!$U:$U,MATCH(A94,'Bid-NoBid'!$A:$A,0))="",LEFT(INDEX('Bid-NoBid'!$U:$U,MATCH(A94,'Bid-NoBid'!$A:$A,0)),10)="Incomplete"),"Screen: "&amp;AC94,INDEX('Bid-NoBid'!$U:$U,MATCH(A94,'Bid-NoBid'!$A:$A,0))),"Screen: "&amp;AC94))</f>
        <v/>
      </c>
      <c r="V94" s="60" t="n"/>
      <c r="W94" s="60" t="n"/>
      <c r="X94" s="60" t="n"/>
      <c r="Y94" s="60" t="n"/>
      <c r="Z94" s="60" t="n"/>
      <c r="AA94" s="65" t="n"/>
      <c r="AB94" s="66" t="n"/>
      <c r="AC94" s="66" t="n"/>
      <c r="AD94" s="66" t="n"/>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66" t="n"/>
      <c r="AJ94" s="66" t="n"/>
      <c r="AK94" s="66" t="n"/>
      <c r="AL94" s="59">
        <f>IF(AND(OR(W94="Watching",W94="Preparing"),ISNUMBER(Q94)),IF(AND(Q94&gt;='Friday Summary'!$C$4,Q94&lt;='Friday Summary'!$C$4+14),Q94+ROW()/1000000,""),"")</f>
        <v/>
      </c>
    </row>
    <row r="95" ht="15" customHeight="1" s="51">
      <c r="A95" s="59">
        <f>IF(B95="","","OP-"&amp;TEXT(ROW()-4,"000"))</f>
        <v/>
      </c>
      <c r="B95" s="60" t="n"/>
      <c r="C95" s="61" t="n"/>
      <c r="D95" s="60" t="n"/>
      <c r="E95" s="60" t="n"/>
      <c r="F95" s="60" t="n"/>
      <c r="G95" s="60" t="n"/>
      <c r="H95" s="60" t="n"/>
      <c r="I95" s="60" t="n"/>
      <c r="J95" s="60" t="n"/>
      <c r="K95" s="60" t="n"/>
      <c r="L95" s="60" t="n"/>
      <c r="M95" s="62" t="n"/>
      <c r="N95" s="60" t="n"/>
      <c r="O95" s="61" t="n"/>
      <c r="P95" s="61" t="n"/>
      <c r="Q95" s="63" t="n"/>
      <c r="R95" s="60" t="n"/>
      <c r="S95" s="60" t="n"/>
      <c r="T95" s="64">
        <f>IF(A95="","",IFERROR(INDEX('Bid-NoBid'!$T:$T,MATCH(A95,'Bid-NoBid'!$A:$A,0)),""))</f>
        <v/>
      </c>
      <c r="U95" s="59">
        <f>IF(A95="","",IFERROR(IF(OR(INDEX('Bid-NoBid'!$U:$U,MATCH(A95,'Bid-NoBid'!$A:$A,0))="",LEFT(INDEX('Bid-NoBid'!$U:$U,MATCH(A95,'Bid-NoBid'!$A:$A,0)),10)="Incomplete"),"Screen: "&amp;AC95,INDEX('Bid-NoBid'!$U:$U,MATCH(A95,'Bid-NoBid'!$A:$A,0))),"Screen: "&amp;AC95))</f>
        <v/>
      </c>
      <c r="V95" s="60" t="n"/>
      <c r="W95" s="60" t="n"/>
      <c r="X95" s="60" t="n"/>
      <c r="Y95" s="60" t="n"/>
      <c r="Z95" s="60" t="n"/>
      <c r="AA95" s="65" t="n"/>
      <c r="AB95" s="66" t="n"/>
      <c r="AC95" s="66" t="n"/>
      <c r="AD95" s="66" t="n"/>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66" t="n"/>
      <c r="AJ95" s="66" t="n"/>
      <c r="AK95" s="66" t="n"/>
      <c r="AL95" s="59">
        <f>IF(AND(OR(W95="Watching",W95="Preparing"),ISNUMBER(Q95)),IF(AND(Q95&gt;='Friday Summary'!$C$4,Q95&lt;='Friday Summary'!$C$4+14),Q95+ROW()/1000000,""),"")</f>
        <v/>
      </c>
    </row>
    <row r="96" ht="15" customHeight="1" s="51">
      <c r="A96" s="59">
        <f>IF(B96="","","OP-"&amp;TEXT(ROW()-4,"000"))</f>
        <v/>
      </c>
      <c r="B96" s="60" t="n"/>
      <c r="C96" s="61" t="n"/>
      <c r="D96" s="60" t="n"/>
      <c r="E96" s="60" t="n"/>
      <c r="F96" s="60" t="n"/>
      <c r="G96" s="60" t="n"/>
      <c r="H96" s="60" t="n"/>
      <c r="I96" s="60" t="n"/>
      <c r="J96" s="60" t="n"/>
      <c r="K96" s="60" t="n"/>
      <c r="L96" s="60" t="n"/>
      <c r="M96" s="62" t="n"/>
      <c r="N96" s="60" t="n"/>
      <c r="O96" s="61" t="n"/>
      <c r="P96" s="61" t="n"/>
      <c r="Q96" s="63" t="n"/>
      <c r="R96" s="60" t="n"/>
      <c r="S96" s="60" t="n"/>
      <c r="T96" s="64">
        <f>IF(A96="","",IFERROR(INDEX('Bid-NoBid'!$T:$T,MATCH(A96,'Bid-NoBid'!$A:$A,0)),""))</f>
        <v/>
      </c>
      <c r="U96" s="59">
        <f>IF(A96="","",IFERROR(IF(OR(INDEX('Bid-NoBid'!$U:$U,MATCH(A96,'Bid-NoBid'!$A:$A,0))="",LEFT(INDEX('Bid-NoBid'!$U:$U,MATCH(A96,'Bid-NoBid'!$A:$A,0)),10)="Incomplete"),"Screen: "&amp;AC96,INDEX('Bid-NoBid'!$U:$U,MATCH(A96,'Bid-NoBid'!$A:$A,0))),"Screen: "&amp;AC96))</f>
        <v/>
      </c>
      <c r="V96" s="60" t="n"/>
      <c r="W96" s="60" t="n"/>
      <c r="X96" s="60" t="n"/>
      <c r="Y96" s="60" t="n"/>
      <c r="Z96" s="60" t="n"/>
      <c r="AA96" s="65" t="n"/>
      <c r="AB96" s="66" t="n"/>
      <c r="AC96" s="66" t="n"/>
      <c r="AD96" s="66" t="n"/>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66" t="n"/>
      <c r="AJ96" s="66" t="n"/>
      <c r="AK96" s="66" t="n"/>
      <c r="AL96" s="59">
        <f>IF(AND(OR(W96="Watching",W96="Preparing"),ISNUMBER(Q96)),IF(AND(Q96&gt;='Friday Summary'!$C$4,Q96&lt;='Friday Summary'!$C$4+14),Q96+ROW()/1000000,""),"")</f>
        <v/>
      </c>
    </row>
    <row r="97" ht="15" customHeight="1" s="51">
      <c r="A97" s="59">
        <f>IF(B97="","","OP-"&amp;TEXT(ROW()-4,"000"))</f>
        <v/>
      </c>
      <c r="B97" s="60" t="n"/>
      <c r="C97" s="61" t="n"/>
      <c r="D97" s="60" t="n"/>
      <c r="E97" s="60" t="n"/>
      <c r="F97" s="60" t="n"/>
      <c r="G97" s="60" t="n"/>
      <c r="H97" s="60" t="n"/>
      <c r="I97" s="60" t="n"/>
      <c r="J97" s="60" t="n"/>
      <c r="K97" s="60" t="n"/>
      <c r="L97" s="60" t="n"/>
      <c r="M97" s="62" t="n"/>
      <c r="N97" s="60" t="n"/>
      <c r="O97" s="61" t="n"/>
      <c r="P97" s="61" t="n"/>
      <c r="Q97" s="63" t="n"/>
      <c r="R97" s="60" t="n"/>
      <c r="S97" s="60" t="n"/>
      <c r="T97" s="64">
        <f>IF(A97="","",IFERROR(INDEX('Bid-NoBid'!$T:$T,MATCH(A97,'Bid-NoBid'!$A:$A,0)),""))</f>
        <v/>
      </c>
      <c r="U97" s="59">
        <f>IF(A97="","",IFERROR(IF(OR(INDEX('Bid-NoBid'!$U:$U,MATCH(A97,'Bid-NoBid'!$A:$A,0))="",LEFT(INDEX('Bid-NoBid'!$U:$U,MATCH(A97,'Bid-NoBid'!$A:$A,0)),10)="Incomplete"),"Screen: "&amp;AC97,INDEX('Bid-NoBid'!$U:$U,MATCH(A97,'Bid-NoBid'!$A:$A,0))),"Screen: "&amp;AC97))</f>
        <v/>
      </c>
      <c r="V97" s="60" t="n"/>
      <c r="W97" s="60" t="n"/>
      <c r="X97" s="60" t="n"/>
      <c r="Y97" s="60" t="n"/>
      <c r="Z97" s="60" t="n"/>
      <c r="AA97" s="65" t="n"/>
      <c r="AB97" s="66" t="n"/>
      <c r="AC97" s="66" t="n"/>
      <c r="AD97" s="66" t="n"/>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66" t="n"/>
      <c r="AJ97" s="66" t="n"/>
      <c r="AK97" s="66" t="n"/>
      <c r="AL97" s="59">
        <f>IF(AND(OR(W97="Watching",W97="Preparing"),ISNUMBER(Q97)),IF(AND(Q97&gt;='Friday Summary'!$C$4,Q97&lt;='Friday Summary'!$C$4+14),Q97+ROW()/1000000,""),"")</f>
        <v/>
      </c>
    </row>
    <row r="98" ht="15" customHeight="1" s="51">
      <c r="A98" s="59">
        <f>IF(B98="","","OP-"&amp;TEXT(ROW()-4,"000"))</f>
        <v/>
      </c>
      <c r="B98" s="60" t="n"/>
      <c r="C98" s="61" t="n"/>
      <c r="D98" s="60" t="n"/>
      <c r="E98" s="60" t="n"/>
      <c r="F98" s="60" t="n"/>
      <c r="G98" s="60" t="n"/>
      <c r="H98" s="60" t="n"/>
      <c r="I98" s="60" t="n"/>
      <c r="J98" s="60" t="n"/>
      <c r="K98" s="60" t="n"/>
      <c r="L98" s="60" t="n"/>
      <c r="M98" s="62" t="n"/>
      <c r="N98" s="60" t="n"/>
      <c r="O98" s="61" t="n"/>
      <c r="P98" s="61" t="n"/>
      <c r="Q98" s="63" t="n"/>
      <c r="R98" s="60" t="n"/>
      <c r="S98" s="60" t="n"/>
      <c r="T98" s="64">
        <f>IF(A98="","",IFERROR(INDEX('Bid-NoBid'!$T:$T,MATCH(A98,'Bid-NoBid'!$A:$A,0)),""))</f>
        <v/>
      </c>
      <c r="U98" s="59">
        <f>IF(A98="","",IFERROR(IF(OR(INDEX('Bid-NoBid'!$U:$U,MATCH(A98,'Bid-NoBid'!$A:$A,0))="",LEFT(INDEX('Bid-NoBid'!$U:$U,MATCH(A98,'Bid-NoBid'!$A:$A,0)),10)="Incomplete"),"Screen: "&amp;AC98,INDEX('Bid-NoBid'!$U:$U,MATCH(A98,'Bid-NoBid'!$A:$A,0))),"Screen: "&amp;AC98))</f>
        <v/>
      </c>
      <c r="V98" s="60" t="n"/>
      <c r="W98" s="60" t="n"/>
      <c r="X98" s="60" t="n"/>
      <c r="Y98" s="60" t="n"/>
      <c r="Z98" s="60" t="n"/>
      <c r="AA98" s="65" t="n"/>
      <c r="AB98" s="66" t="n"/>
      <c r="AC98" s="66" t="n"/>
      <c r="AD98" s="66" t="n"/>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66" t="n"/>
      <c r="AJ98" s="66" t="n"/>
      <c r="AK98" s="66" t="n"/>
      <c r="AL98" s="59">
        <f>IF(AND(OR(W98="Watching",W98="Preparing"),ISNUMBER(Q98)),IF(AND(Q98&gt;='Friday Summary'!$C$4,Q98&lt;='Friday Summary'!$C$4+14),Q98+ROW()/1000000,""),"")</f>
        <v/>
      </c>
    </row>
    <row r="99" ht="15" customHeight="1" s="51">
      <c r="A99" s="59">
        <f>IF(B99="","","OP-"&amp;TEXT(ROW()-4,"000"))</f>
        <v/>
      </c>
      <c r="B99" s="60" t="n"/>
      <c r="C99" s="61" t="n"/>
      <c r="D99" s="60" t="n"/>
      <c r="E99" s="60" t="n"/>
      <c r="F99" s="60" t="n"/>
      <c r="G99" s="60" t="n"/>
      <c r="H99" s="60" t="n"/>
      <c r="I99" s="60" t="n"/>
      <c r="J99" s="60" t="n"/>
      <c r="K99" s="60" t="n"/>
      <c r="L99" s="60" t="n"/>
      <c r="M99" s="62" t="n"/>
      <c r="N99" s="60" t="n"/>
      <c r="O99" s="61" t="n"/>
      <c r="P99" s="61" t="n"/>
      <c r="Q99" s="63" t="n"/>
      <c r="R99" s="60" t="n"/>
      <c r="S99" s="60" t="n"/>
      <c r="T99" s="64">
        <f>IF(A99="","",IFERROR(INDEX('Bid-NoBid'!$T:$T,MATCH(A99,'Bid-NoBid'!$A:$A,0)),""))</f>
        <v/>
      </c>
      <c r="U99" s="59">
        <f>IF(A99="","",IFERROR(IF(OR(INDEX('Bid-NoBid'!$U:$U,MATCH(A99,'Bid-NoBid'!$A:$A,0))="",LEFT(INDEX('Bid-NoBid'!$U:$U,MATCH(A99,'Bid-NoBid'!$A:$A,0)),10)="Incomplete"),"Screen: "&amp;AC99,INDEX('Bid-NoBid'!$U:$U,MATCH(A99,'Bid-NoBid'!$A:$A,0))),"Screen: "&amp;AC99))</f>
        <v/>
      </c>
      <c r="V99" s="60" t="n"/>
      <c r="W99" s="60" t="n"/>
      <c r="X99" s="60" t="n"/>
      <c r="Y99" s="60" t="n"/>
      <c r="Z99" s="60" t="n"/>
      <c r="AA99" s="65" t="n"/>
      <c r="AB99" s="66" t="n"/>
      <c r="AC99" s="66" t="n"/>
      <c r="AD99" s="66" t="n"/>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66" t="n"/>
      <c r="AJ99" s="66" t="n"/>
      <c r="AK99" s="66" t="n"/>
      <c r="AL99" s="59">
        <f>IF(AND(OR(W99="Watching",W99="Preparing"),ISNUMBER(Q99)),IF(AND(Q99&gt;='Friday Summary'!$C$4,Q99&lt;='Friday Summary'!$C$4+14),Q99+ROW()/1000000,""),"")</f>
        <v/>
      </c>
    </row>
    <row r="100" ht="15" customHeight="1" s="51">
      <c r="A100" s="59">
        <f>IF(B100="","","OP-"&amp;TEXT(ROW()-4,"000"))</f>
        <v/>
      </c>
      <c r="B100" s="60" t="n"/>
      <c r="C100" s="61" t="n"/>
      <c r="D100" s="60" t="n"/>
      <c r="E100" s="60" t="n"/>
      <c r="F100" s="60" t="n"/>
      <c r="G100" s="60" t="n"/>
      <c r="H100" s="60" t="n"/>
      <c r="I100" s="60" t="n"/>
      <c r="J100" s="60" t="n"/>
      <c r="K100" s="60" t="n"/>
      <c r="L100" s="60" t="n"/>
      <c r="M100" s="62" t="n"/>
      <c r="N100" s="60" t="n"/>
      <c r="O100" s="61" t="n"/>
      <c r="P100" s="61" t="n"/>
      <c r="Q100" s="63" t="n"/>
      <c r="R100" s="60" t="n"/>
      <c r="S100" s="60" t="n"/>
      <c r="T100" s="64">
        <f>IF(A100="","",IFERROR(INDEX('Bid-NoBid'!$T:$T,MATCH(A100,'Bid-NoBid'!$A:$A,0)),""))</f>
        <v/>
      </c>
      <c r="U100" s="59">
        <f>IF(A100="","",IFERROR(IF(OR(INDEX('Bid-NoBid'!$U:$U,MATCH(A100,'Bid-NoBid'!$A:$A,0))="",LEFT(INDEX('Bid-NoBid'!$U:$U,MATCH(A100,'Bid-NoBid'!$A:$A,0)),10)="Incomplete"),"Screen: "&amp;AC100,INDEX('Bid-NoBid'!$U:$U,MATCH(A100,'Bid-NoBid'!$A:$A,0))),"Screen: "&amp;AC100))</f>
        <v/>
      </c>
      <c r="V100" s="60" t="n"/>
      <c r="W100" s="60" t="n"/>
      <c r="X100" s="60" t="n"/>
      <c r="Y100" s="60" t="n"/>
      <c r="Z100" s="60" t="n"/>
      <c r="AA100" s="65" t="n"/>
      <c r="AB100" s="66" t="n"/>
      <c r="AC100" s="66" t="n"/>
      <c r="AD100" s="66" t="n"/>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66" t="n"/>
      <c r="AJ100" s="66" t="n"/>
      <c r="AK100" s="66" t="n"/>
      <c r="AL100" s="59">
        <f>IF(AND(OR(W100="Watching",W100="Preparing"),ISNUMBER(Q100)),IF(AND(Q100&gt;='Friday Summary'!$C$4,Q100&lt;='Friday Summary'!$C$4+14),Q100+ROW()/1000000,""),"")</f>
        <v/>
      </c>
    </row>
    <row r="101" ht="15" customHeight="1" s="51">
      <c r="A101" s="59">
        <f>IF(B101="","","OP-"&amp;TEXT(ROW()-4,"000"))</f>
        <v/>
      </c>
      <c r="B101" s="60" t="n"/>
      <c r="C101" s="61" t="n"/>
      <c r="D101" s="60" t="n"/>
      <c r="E101" s="60" t="n"/>
      <c r="F101" s="60" t="n"/>
      <c r="G101" s="60" t="n"/>
      <c r="H101" s="60" t="n"/>
      <c r="I101" s="60" t="n"/>
      <c r="J101" s="60" t="n"/>
      <c r="K101" s="60" t="n"/>
      <c r="L101" s="60" t="n"/>
      <c r="M101" s="62" t="n"/>
      <c r="N101" s="60" t="n"/>
      <c r="O101" s="61" t="n"/>
      <c r="P101" s="61" t="n"/>
      <c r="Q101" s="63" t="n"/>
      <c r="R101" s="60" t="n"/>
      <c r="S101" s="60" t="n"/>
      <c r="T101" s="64">
        <f>IF(A101="","",IFERROR(INDEX('Bid-NoBid'!$T:$T,MATCH(A101,'Bid-NoBid'!$A:$A,0)),""))</f>
        <v/>
      </c>
      <c r="U101" s="59">
        <f>IF(A101="","",IFERROR(IF(OR(INDEX('Bid-NoBid'!$U:$U,MATCH(A101,'Bid-NoBid'!$A:$A,0))="",LEFT(INDEX('Bid-NoBid'!$U:$U,MATCH(A101,'Bid-NoBid'!$A:$A,0)),10)="Incomplete"),"Screen: "&amp;AC101,INDEX('Bid-NoBid'!$U:$U,MATCH(A101,'Bid-NoBid'!$A:$A,0))),"Screen: "&amp;AC101))</f>
        <v/>
      </c>
      <c r="V101" s="60" t="n"/>
      <c r="W101" s="60" t="n"/>
      <c r="X101" s="60" t="n"/>
      <c r="Y101" s="60" t="n"/>
      <c r="Z101" s="60" t="n"/>
      <c r="AA101" s="65" t="n"/>
      <c r="AB101" s="66" t="n"/>
      <c r="AC101" s="66" t="n"/>
      <c r="AD101" s="66" t="n"/>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66" t="n"/>
      <c r="AJ101" s="66" t="n"/>
      <c r="AK101" s="66" t="n"/>
      <c r="AL101" s="59">
        <f>IF(AND(OR(W101="Watching",W101="Preparing"),ISNUMBER(Q101)),IF(AND(Q101&gt;='Friday Summary'!$C$4,Q101&lt;='Friday Summary'!$C$4+14),Q101+ROW()/1000000,""),"")</f>
        <v/>
      </c>
    </row>
    <row r="102" ht="15" customHeight="1" s="51">
      <c r="A102" s="59">
        <f>IF(B102="","","OP-"&amp;TEXT(ROW()-4,"000"))</f>
        <v/>
      </c>
      <c r="B102" s="60" t="n"/>
      <c r="C102" s="61" t="n"/>
      <c r="D102" s="60" t="n"/>
      <c r="E102" s="60" t="n"/>
      <c r="F102" s="60" t="n"/>
      <c r="G102" s="60" t="n"/>
      <c r="H102" s="60" t="n"/>
      <c r="I102" s="60" t="n"/>
      <c r="J102" s="60" t="n"/>
      <c r="K102" s="60" t="n"/>
      <c r="L102" s="60" t="n"/>
      <c r="M102" s="62" t="n"/>
      <c r="N102" s="60" t="n"/>
      <c r="O102" s="61" t="n"/>
      <c r="P102" s="61" t="n"/>
      <c r="Q102" s="63" t="n"/>
      <c r="R102" s="60" t="n"/>
      <c r="S102" s="60" t="n"/>
      <c r="T102" s="64">
        <f>IF(A102="","",IFERROR(INDEX('Bid-NoBid'!$T:$T,MATCH(A102,'Bid-NoBid'!$A:$A,0)),""))</f>
        <v/>
      </c>
      <c r="U102" s="59">
        <f>IF(A102="","",IFERROR(IF(OR(INDEX('Bid-NoBid'!$U:$U,MATCH(A102,'Bid-NoBid'!$A:$A,0))="",LEFT(INDEX('Bid-NoBid'!$U:$U,MATCH(A102,'Bid-NoBid'!$A:$A,0)),10)="Incomplete"),"Screen: "&amp;AC102,INDEX('Bid-NoBid'!$U:$U,MATCH(A102,'Bid-NoBid'!$A:$A,0))),"Screen: "&amp;AC102))</f>
        <v/>
      </c>
      <c r="V102" s="60" t="n"/>
      <c r="W102" s="60" t="n"/>
      <c r="X102" s="60" t="n"/>
      <c r="Y102" s="60" t="n"/>
      <c r="Z102" s="60" t="n"/>
      <c r="AA102" s="65" t="n"/>
      <c r="AB102" s="66" t="n"/>
      <c r="AC102" s="66" t="n"/>
      <c r="AD102" s="66" t="n"/>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66" t="n"/>
      <c r="AJ102" s="66" t="n"/>
      <c r="AK102" s="66" t="n"/>
      <c r="AL102" s="59">
        <f>IF(AND(OR(W102="Watching",W102="Preparing"),ISNUMBER(Q102)),IF(AND(Q102&gt;='Friday Summary'!$C$4,Q102&lt;='Friday Summary'!$C$4+14),Q102+ROW()/1000000,""),"")</f>
        <v/>
      </c>
    </row>
    <row r="103" ht="15" customHeight="1" s="51">
      <c r="A103" s="59">
        <f>IF(B103="","","OP-"&amp;TEXT(ROW()-4,"000"))</f>
        <v/>
      </c>
      <c r="B103" s="60" t="n"/>
      <c r="C103" s="61" t="n"/>
      <c r="D103" s="60" t="n"/>
      <c r="E103" s="60" t="n"/>
      <c r="F103" s="60" t="n"/>
      <c r="G103" s="60" t="n"/>
      <c r="H103" s="60" t="n"/>
      <c r="I103" s="60" t="n"/>
      <c r="J103" s="60" t="n"/>
      <c r="K103" s="60" t="n"/>
      <c r="L103" s="60" t="n"/>
      <c r="M103" s="62" t="n"/>
      <c r="N103" s="60" t="n"/>
      <c r="O103" s="61" t="n"/>
      <c r="P103" s="61" t="n"/>
      <c r="Q103" s="63" t="n"/>
      <c r="R103" s="60" t="n"/>
      <c r="S103" s="60" t="n"/>
      <c r="T103" s="64">
        <f>IF(A103="","",IFERROR(INDEX('Bid-NoBid'!$T:$T,MATCH(A103,'Bid-NoBid'!$A:$A,0)),""))</f>
        <v/>
      </c>
      <c r="U103" s="59">
        <f>IF(A103="","",IFERROR(IF(OR(INDEX('Bid-NoBid'!$U:$U,MATCH(A103,'Bid-NoBid'!$A:$A,0))="",LEFT(INDEX('Bid-NoBid'!$U:$U,MATCH(A103,'Bid-NoBid'!$A:$A,0)),10)="Incomplete"),"Screen: "&amp;AC103,INDEX('Bid-NoBid'!$U:$U,MATCH(A103,'Bid-NoBid'!$A:$A,0))),"Screen: "&amp;AC103))</f>
        <v/>
      </c>
      <c r="V103" s="60" t="n"/>
      <c r="W103" s="60" t="n"/>
      <c r="X103" s="60" t="n"/>
      <c r="Y103" s="60" t="n"/>
      <c r="Z103" s="60" t="n"/>
      <c r="AA103" s="65" t="n"/>
      <c r="AB103" s="66" t="n"/>
      <c r="AC103" s="66" t="n"/>
      <c r="AD103" s="66" t="n"/>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66" t="n"/>
      <c r="AJ103" s="66" t="n"/>
      <c r="AK103" s="66" t="n"/>
      <c r="AL103" s="59">
        <f>IF(AND(OR(W103="Watching",W103="Preparing"),ISNUMBER(Q103)),IF(AND(Q103&gt;='Friday Summary'!$C$4,Q103&lt;='Friday Summary'!$C$4+14),Q103+ROW()/1000000,""),"")</f>
        <v/>
      </c>
    </row>
    <row r="104" ht="15" customHeight="1" s="51">
      <c r="A104" s="59">
        <f>IF(B104="","","OP-"&amp;TEXT(ROW()-4,"000"))</f>
        <v/>
      </c>
      <c r="B104" s="60" t="n"/>
      <c r="C104" s="61" t="n"/>
      <c r="D104" s="60" t="n"/>
      <c r="E104" s="60" t="n"/>
      <c r="F104" s="60" t="n"/>
      <c r="G104" s="60" t="n"/>
      <c r="H104" s="60" t="n"/>
      <c r="I104" s="60" t="n"/>
      <c r="J104" s="60" t="n"/>
      <c r="K104" s="60" t="n"/>
      <c r="L104" s="60" t="n"/>
      <c r="M104" s="62" t="n"/>
      <c r="N104" s="60" t="n"/>
      <c r="O104" s="61" t="n"/>
      <c r="P104" s="61" t="n"/>
      <c r="Q104" s="63" t="n"/>
      <c r="R104" s="60" t="n"/>
      <c r="S104" s="60" t="n"/>
      <c r="T104" s="64">
        <f>IF(A104="","",IFERROR(INDEX('Bid-NoBid'!$T:$T,MATCH(A104,'Bid-NoBid'!$A:$A,0)),""))</f>
        <v/>
      </c>
      <c r="U104" s="59">
        <f>IF(A104="","",IFERROR(IF(OR(INDEX('Bid-NoBid'!$U:$U,MATCH(A104,'Bid-NoBid'!$A:$A,0))="",LEFT(INDEX('Bid-NoBid'!$U:$U,MATCH(A104,'Bid-NoBid'!$A:$A,0)),10)="Incomplete"),"Screen: "&amp;AC104,INDEX('Bid-NoBid'!$U:$U,MATCH(A104,'Bid-NoBid'!$A:$A,0))),"Screen: "&amp;AC104))</f>
        <v/>
      </c>
      <c r="V104" s="60" t="n"/>
      <c r="W104" s="60" t="n"/>
      <c r="X104" s="60" t="n"/>
      <c r="Y104" s="60" t="n"/>
      <c r="Z104" s="60" t="n"/>
      <c r="AA104" s="65" t="n"/>
      <c r="AB104" s="66" t="n"/>
      <c r="AC104" s="66" t="n"/>
      <c r="AD104" s="66" t="n"/>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66" t="n"/>
      <c r="AJ104" s="66" t="n"/>
      <c r="AK104" s="66" t="n"/>
      <c r="AL104" s="59">
        <f>IF(AND(OR(W104="Watching",W104="Preparing"),ISNUMBER(Q104)),IF(AND(Q104&gt;='Friday Summary'!$C$4,Q104&lt;='Friday Summary'!$C$4+14),Q104+ROW()/1000000,""),"")</f>
        <v/>
      </c>
    </row>
    <row r="105" ht="15" customHeight="1" s="51">
      <c r="A105" s="59">
        <f>IF(B105="","","OP-"&amp;TEXT(ROW()-4,"000"))</f>
        <v/>
      </c>
      <c r="B105" s="60" t="n"/>
      <c r="C105" s="61" t="n"/>
      <c r="D105" s="60" t="n"/>
      <c r="E105" s="60" t="n"/>
      <c r="F105" s="60" t="n"/>
      <c r="G105" s="60" t="n"/>
      <c r="H105" s="60" t="n"/>
      <c r="I105" s="60" t="n"/>
      <c r="J105" s="60" t="n"/>
      <c r="K105" s="60" t="n"/>
      <c r="L105" s="60" t="n"/>
      <c r="M105" s="62" t="n"/>
      <c r="N105" s="60" t="n"/>
      <c r="O105" s="61" t="n"/>
      <c r="P105" s="61" t="n"/>
      <c r="Q105" s="63" t="n"/>
      <c r="R105" s="60" t="n"/>
      <c r="S105" s="60" t="n"/>
      <c r="T105" s="64">
        <f>IF(A105="","",IFERROR(INDEX('Bid-NoBid'!$T:$T,MATCH(A105,'Bid-NoBid'!$A:$A,0)),""))</f>
        <v/>
      </c>
      <c r="U105" s="59">
        <f>IF(A105="","",IFERROR(IF(OR(INDEX('Bid-NoBid'!$U:$U,MATCH(A105,'Bid-NoBid'!$A:$A,0))="",LEFT(INDEX('Bid-NoBid'!$U:$U,MATCH(A105,'Bid-NoBid'!$A:$A,0)),10)="Incomplete"),"Screen: "&amp;AC105,INDEX('Bid-NoBid'!$U:$U,MATCH(A105,'Bid-NoBid'!$A:$A,0))),"Screen: "&amp;AC105))</f>
        <v/>
      </c>
      <c r="V105" s="60" t="n"/>
      <c r="W105" s="60" t="n"/>
      <c r="X105" s="60" t="n"/>
      <c r="Y105" s="60" t="n"/>
      <c r="Z105" s="60" t="n"/>
      <c r="AA105" s="65" t="n"/>
      <c r="AB105" s="66" t="n"/>
      <c r="AC105" s="66" t="n"/>
      <c r="AD105" s="66" t="n"/>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66" t="n"/>
      <c r="AJ105" s="66" t="n"/>
      <c r="AK105" s="66" t="n"/>
      <c r="AL105" s="59">
        <f>IF(AND(OR(W105="Watching",W105="Preparing"),ISNUMBER(Q105)),IF(AND(Q105&gt;='Friday Summary'!$C$4,Q105&lt;='Friday Summary'!$C$4+14),Q105+ROW()/1000000,""),"")</f>
        <v/>
      </c>
    </row>
    <row r="106" ht="15" customHeight="1" s="51">
      <c r="A106" s="59">
        <f>IF(B106="","","OP-"&amp;TEXT(ROW()-4,"000"))</f>
        <v/>
      </c>
      <c r="B106" s="60" t="n"/>
      <c r="C106" s="61" t="n"/>
      <c r="D106" s="60" t="n"/>
      <c r="E106" s="60" t="n"/>
      <c r="F106" s="60" t="n"/>
      <c r="G106" s="60" t="n"/>
      <c r="H106" s="60" t="n"/>
      <c r="I106" s="60" t="n"/>
      <c r="J106" s="60" t="n"/>
      <c r="K106" s="60" t="n"/>
      <c r="L106" s="60" t="n"/>
      <c r="M106" s="62" t="n"/>
      <c r="N106" s="60" t="n"/>
      <c r="O106" s="61" t="n"/>
      <c r="P106" s="61" t="n"/>
      <c r="Q106" s="63" t="n"/>
      <c r="R106" s="60" t="n"/>
      <c r="S106" s="60" t="n"/>
      <c r="T106" s="64">
        <f>IF(A106="","",IFERROR(INDEX('Bid-NoBid'!$T:$T,MATCH(A106,'Bid-NoBid'!$A:$A,0)),""))</f>
        <v/>
      </c>
      <c r="U106" s="59">
        <f>IF(A106="","",IFERROR(IF(OR(INDEX('Bid-NoBid'!$U:$U,MATCH(A106,'Bid-NoBid'!$A:$A,0))="",LEFT(INDEX('Bid-NoBid'!$U:$U,MATCH(A106,'Bid-NoBid'!$A:$A,0)),10)="Incomplete"),"Screen: "&amp;AC106,INDEX('Bid-NoBid'!$U:$U,MATCH(A106,'Bid-NoBid'!$A:$A,0))),"Screen: "&amp;AC106))</f>
        <v/>
      </c>
      <c r="V106" s="60" t="n"/>
      <c r="W106" s="60" t="n"/>
      <c r="X106" s="60" t="n"/>
      <c r="Y106" s="60" t="n"/>
      <c r="Z106" s="60" t="n"/>
      <c r="AA106" s="65" t="n"/>
      <c r="AB106" s="66" t="n"/>
      <c r="AC106" s="66" t="n"/>
      <c r="AD106" s="66" t="n"/>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66" t="n"/>
      <c r="AJ106" s="66" t="n"/>
      <c r="AK106" s="66" t="n"/>
      <c r="AL106" s="59">
        <f>IF(AND(OR(W106="Watching",W106="Preparing"),ISNUMBER(Q106)),IF(AND(Q106&gt;='Friday Summary'!$C$4,Q106&lt;='Friday Summary'!$C$4+14),Q106+ROW()/1000000,""),"")</f>
        <v/>
      </c>
    </row>
    <row r="107" ht="15" customHeight="1" s="51">
      <c r="A107" s="59">
        <f>IF(B107="","","OP-"&amp;TEXT(ROW()-4,"000"))</f>
        <v/>
      </c>
      <c r="B107" s="60" t="n"/>
      <c r="C107" s="61" t="n"/>
      <c r="D107" s="60" t="n"/>
      <c r="E107" s="60" t="n"/>
      <c r="F107" s="60" t="n"/>
      <c r="G107" s="60" t="n"/>
      <c r="H107" s="60" t="n"/>
      <c r="I107" s="60" t="n"/>
      <c r="J107" s="60" t="n"/>
      <c r="K107" s="60" t="n"/>
      <c r="L107" s="60" t="n"/>
      <c r="M107" s="62" t="n"/>
      <c r="N107" s="60" t="n"/>
      <c r="O107" s="61" t="n"/>
      <c r="P107" s="61" t="n"/>
      <c r="Q107" s="63" t="n"/>
      <c r="R107" s="60" t="n"/>
      <c r="S107" s="60" t="n"/>
      <c r="T107" s="64">
        <f>IF(A107="","",IFERROR(INDEX('Bid-NoBid'!$T:$T,MATCH(A107,'Bid-NoBid'!$A:$A,0)),""))</f>
        <v/>
      </c>
      <c r="U107" s="59">
        <f>IF(A107="","",IFERROR(IF(OR(INDEX('Bid-NoBid'!$U:$U,MATCH(A107,'Bid-NoBid'!$A:$A,0))="",LEFT(INDEX('Bid-NoBid'!$U:$U,MATCH(A107,'Bid-NoBid'!$A:$A,0)),10)="Incomplete"),"Screen: "&amp;AC107,INDEX('Bid-NoBid'!$U:$U,MATCH(A107,'Bid-NoBid'!$A:$A,0))),"Screen: "&amp;AC107))</f>
        <v/>
      </c>
      <c r="V107" s="60" t="n"/>
      <c r="W107" s="60" t="n"/>
      <c r="X107" s="60" t="n"/>
      <c r="Y107" s="60" t="n"/>
      <c r="Z107" s="60" t="n"/>
      <c r="AA107" s="65" t="n"/>
      <c r="AB107" s="66" t="n"/>
      <c r="AC107" s="66" t="n"/>
      <c r="AD107" s="66" t="n"/>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66" t="n"/>
      <c r="AJ107" s="66" t="n"/>
      <c r="AK107" s="66" t="n"/>
      <c r="AL107" s="59">
        <f>IF(AND(OR(W107="Watching",W107="Preparing"),ISNUMBER(Q107)),IF(AND(Q107&gt;='Friday Summary'!$C$4,Q107&lt;='Friday Summary'!$C$4+14),Q107+ROW()/1000000,""),"")</f>
        <v/>
      </c>
    </row>
    <row r="108" ht="15" customHeight="1" s="51">
      <c r="A108" s="59">
        <f>IF(B108="","","OP-"&amp;TEXT(ROW()-4,"000"))</f>
        <v/>
      </c>
      <c r="B108" s="60" t="n"/>
      <c r="C108" s="61" t="n"/>
      <c r="D108" s="60" t="n"/>
      <c r="E108" s="60" t="n"/>
      <c r="F108" s="60" t="n"/>
      <c r="G108" s="60" t="n"/>
      <c r="H108" s="60" t="n"/>
      <c r="I108" s="60" t="n"/>
      <c r="J108" s="60" t="n"/>
      <c r="K108" s="60" t="n"/>
      <c r="L108" s="60" t="n"/>
      <c r="M108" s="62" t="n"/>
      <c r="N108" s="60" t="n"/>
      <c r="O108" s="61" t="n"/>
      <c r="P108" s="61" t="n"/>
      <c r="Q108" s="63" t="n"/>
      <c r="R108" s="60" t="n"/>
      <c r="S108" s="60" t="n"/>
      <c r="T108" s="64">
        <f>IF(A108="","",IFERROR(INDEX('Bid-NoBid'!$T:$T,MATCH(A108,'Bid-NoBid'!$A:$A,0)),""))</f>
        <v/>
      </c>
      <c r="U108" s="59">
        <f>IF(A108="","",IFERROR(IF(OR(INDEX('Bid-NoBid'!$U:$U,MATCH(A108,'Bid-NoBid'!$A:$A,0))="",LEFT(INDEX('Bid-NoBid'!$U:$U,MATCH(A108,'Bid-NoBid'!$A:$A,0)),10)="Incomplete"),"Screen: "&amp;AC108,INDEX('Bid-NoBid'!$U:$U,MATCH(A108,'Bid-NoBid'!$A:$A,0))),"Screen: "&amp;AC108))</f>
        <v/>
      </c>
      <c r="V108" s="60" t="n"/>
      <c r="W108" s="60" t="n"/>
      <c r="X108" s="60" t="n"/>
      <c r="Y108" s="60" t="n"/>
      <c r="Z108" s="60" t="n"/>
      <c r="AA108" s="65" t="n"/>
      <c r="AB108" s="66" t="n"/>
      <c r="AC108" s="66" t="n"/>
      <c r="AD108" s="66" t="n"/>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66" t="n"/>
      <c r="AJ108" s="66" t="n"/>
      <c r="AK108" s="66" t="n"/>
      <c r="AL108" s="59">
        <f>IF(AND(OR(W108="Watching",W108="Preparing"),ISNUMBER(Q108)),IF(AND(Q108&gt;='Friday Summary'!$C$4,Q108&lt;='Friday Summary'!$C$4+14),Q108+ROW()/1000000,""),"")</f>
        <v/>
      </c>
    </row>
    <row r="109" ht="15" customHeight="1" s="51">
      <c r="A109" s="59">
        <f>IF(B109="","","OP-"&amp;TEXT(ROW()-4,"000"))</f>
        <v/>
      </c>
      <c r="B109" s="60" t="n"/>
      <c r="C109" s="61" t="n"/>
      <c r="D109" s="60" t="n"/>
      <c r="E109" s="60" t="n"/>
      <c r="F109" s="60" t="n"/>
      <c r="G109" s="60" t="n"/>
      <c r="H109" s="60" t="n"/>
      <c r="I109" s="60" t="n"/>
      <c r="J109" s="60" t="n"/>
      <c r="K109" s="60" t="n"/>
      <c r="L109" s="60" t="n"/>
      <c r="M109" s="62" t="n"/>
      <c r="N109" s="60" t="n"/>
      <c r="O109" s="61" t="n"/>
      <c r="P109" s="61" t="n"/>
      <c r="Q109" s="63" t="n"/>
      <c r="R109" s="60" t="n"/>
      <c r="S109" s="60" t="n"/>
      <c r="T109" s="64">
        <f>IF(A109="","",IFERROR(INDEX('Bid-NoBid'!$T:$T,MATCH(A109,'Bid-NoBid'!$A:$A,0)),""))</f>
        <v/>
      </c>
      <c r="U109" s="59">
        <f>IF(A109="","",IFERROR(IF(OR(INDEX('Bid-NoBid'!$U:$U,MATCH(A109,'Bid-NoBid'!$A:$A,0))="",LEFT(INDEX('Bid-NoBid'!$U:$U,MATCH(A109,'Bid-NoBid'!$A:$A,0)),10)="Incomplete"),"Screen: "&amp;AC109,INDEX('Bid-NoBid'!$U:$U,MATCH(A109,'Bid-NoBid'!$A:$A,0))),"Screen: "&amp;AC109))</f>
        <v/>
      </c>
      <c r="V109" s="60" t="n"/>
      <c r="W109" s="60" t="n"/>
      <c r="X109" s="60" t="n"/>
      <c r="Y109" s="60" t="n"/>
      <c r="Z109" s="60" t="n"/>
      <c r="AA109" s="65" t="n"/>
      <c r="AB109" s="66" t="n"/>
      <c r="AC109" s="66" t="n"/>
      <c r="AD109" s="66" t="n"/>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66" t="n"/>
      <c r="AJ109" s="66" t="n"/>
      <c r="AK109" s="66" t="n"/>
      <c r="AL109" s="59">
        <f>IF(AND(OR(W109="Watching",W109="Preparing"),ISNUMBER(Q109)),IF(AND(Q109&gt;='Friday Summary'!$C$4,Q109&lt;='Friday Summary'!$C$4+14),Q109+ROW()/1000000,""),"")</f>
        <v/>
      </c>
    </row>
    <row r="110" ht="15" customHeight="1" s="51">
      <c r="A110" s="59">
        <f>IF(B110="","","OP-"&amp;TEXT(ROW()-4,"000"))</f>
        <v/>
      </c>
      <c r="B110" s="60" t="n"/>
      <c r="C110" s="61" t="n"/>
      <c r="D110" s="60" t="n"/>
      <c r="E110" s="60" t="n"/>
      <c r="F110" s="60" t="n"/>
      <c r="G110" s="60" t="n"/>
      <c r="H110" s="60" t="n"/>
      <c r="I110" s="60" t="n"/>
      <c r="J110" s="60" t="n"/>
      <c r="K110" s="60" t="n"/>
      <c r="L110" s="60" t="n"/>
      <c r="M110" s="62" t="n"/>
      <c r="N110" s="60" t="n"/>
      <c r="O110" s="61" t="n"/>
      <c r="P110" s="61" t="n"/>
      <c r="Q110" s="63" t="n"/>
      <c r="R110" s="60" t="n"/>
      <c r="S110" s="60" t="n"/>
      <c r="T110" s="64">
        <f>IF(A110="","",IFERROR(INDEX('Bid-NoBid'!$T:$T,MATCH(A110,'Bid-NoBid'!$A:$A,0)),""))</f>
        <v/>
      </c>
      <c r="U110" s="59">
        <f>IF(A110="","",IFERROR(IF(OR(INDEX('Bid-NoBid'!$U:$U,MATCH(A110,'Bid-NoBid'!$A:$A,0))="",LEFT(INDEX('Bid-NoBid'!$U:$U,MATCH(A110,'Bid-NoBid'!$A:$A,0)),10)="Incomplete"),"Screen: "&amp;AC110,INDEX('Bid-NoBid'!$U:$U,MATCH(A110,'Bid-NoBid'!$A:$A,0))),"Screen: "&amp;AC110))</f>
        <v/>
      </c>
      <c r="V110" s="60" t="n"/>
      <c r="W110" s="60" t="n"/>
      <c r="X110" s="60" t="n"/>
      <c r="Y110" s="60" t="n"/>
      <c r="Z110" s="60" t="n"/>
      <c r="AA110" s="65" t="n"/>
      <c r="AB110" s="66" t="n"/>
      <c r="AC110" s="66" t="n"/>
      <c r="AD110" s="66" t="n"/>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66" t="n"/>
      <c r="AJ110" s="66" t="n"/>
      <c r="AK110" s="66" t="n"/>
      <c r="AL110" s="59">
        <f>IF(AND(OR(W110="Watching",W110="Preparing"),ISNUMBER(Q110)),IF(AND(Q110&gt;='Friday Summary'!$C$4,Q110&lt;='Friday Summary'!$C$4+14),Q110+ROW()/1000000,""),"")</f>
        <v/>
      </c>
    </row>
    <row r="111" ht="15" customHeight="1" s="51">
      <c r="A111" s="59">
        <f>IF(B111="","","OP-"&amp;TEXT(ROW()-4,"000"))</f>
        <v/>
      </c>
      <c r="B111" s="60" t="n"/>
      <c r="C111" s="61" t="n"/>
      <c r="D111" s="60" t="n"/>
      <c r="E111" s="60" t="n"/>
      <c r="F111" s="60" t="n"/>
      <c r="G111" s="60" t="n"/>
      <c r="H111" s="60" t="n"/>
      <c r="I111" s="60" t="n"/>
      <c r="J111" s="60" t="n"/>
      <c r="K111" s="60" t="n"/>
      <c r="L111" s="60" t="n"/>
      <c r="M111" s="62" t="n"/>
      <c r="N111" s="60" t="n"/>
      <c r="O111" s="61" t="n"/>
      <c r="P111" s="61" t="n"/>
      <c r="Q111" s="63" t="n"/>
      <c r="R111" s="60" t="n"/>
      <c r="S111" s="60" t="n"/>
      <c r="T111" s="64">
        <f>IF(A111="","",IFERROR(INDEX('Bid-NoBid'!$T:$T,MATCH(A111,'Bid-NoBid'!$A:$A,0)),""))</f>
        <v/>
      </c>
      <c r="U111" s="59">
        <f>IF(A111="","",IFERROR(IF(OR(INDEX('Bid-NoBid'!$U:$U,MATCH(A111,'Bid-NoBid'!$A:$A,0))="",LEFT(INDEX('Bid-NoBid'!$U:$U,MATCH(A111,'Bid-NoBid'!$A:$A,0)),10)="Incomplete"),"Screen: "&amp;AC111,INDEX('Bid-NoBid'!$U:$U,MATCH(A111,'Bid-NoBid'!$A:$A,0))),"Screen: "&amp;AC111))</f>
        <v/>
      </c>
      <c r="V111" s="60" t="n"/>
      <c r="W111" s="60" t="n"/>
      <c r="X111" s="60" t="n"/>
      <c r="Y111" s="60" t="n"/>
      <c r="Z111" s="60" t="n"/>
      <c r="AA111" s="65" t="n"/>
      <c r="AB111" s="66" t="n"/>
      <c r="AC111" s="66" t="n"/>
      <c r="AD111" s="66" t="n"/>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66" t="n"/>
      <c r="AJ111" s="66" t="n"/>
      <c r="AK111" s="66" t="n"/>
      <c r="AL111" s="59">
        <f>IF(AND(OR(W111="Watching",W111="Preparing"),ISNUMBER(Q111)),IF(AND(Q111&gt;='Friday Summary'!$C$4,Q111&lt;='Friday Summary'!$C$4+14),Q111+ROW()/1000000,""),"")</f>
        <v/>
      </c>
    </row>
    <row r="112" ht="15" customHeight="1" s="51">
      <c r="A112" s="59">
        <f>IF(B112="","","OP-"&amp;TEXT(ROW()-4,"000"))</f>
        <v/>
      </c>
      <c r="B112" s="60" t="n"/>
      <c r="C112" s="61" t="n"/>
      <c r="D112" s="60" t="n"/>
      <c r="E112" s="60" t="n"/>
      <c r="F112" s="60" t="n"/>
      <c r="G112" s="60" t="n"/>
      <c r="H112" s="60" t="n"/>
      <c r="I112" s="60" t="n"/>
      <c r="J112" s="60" t="n"/>
      <c r="K112" s="60" t="n"/>
      <c r="L112" s="60" t="n"/>
      <c r="M112" s="62" t="n"/>
      <c r="N112" s="60" t="n"/>
      <c r="O112" s="61" t="n"/>
      <c r="P112" s="61" t="n"/>
      <c r="Q112" s="63" t="n"/>
      <c r="R112" s="60" t="n"/>
      <c r="S112" s="60" t="n"/>
      <c r="T112" s="64">
        <f>IF(A112="","",IFERROR(INDEX('Bid-NoBid'!$T:$T,MATCH(A112,'Bid-NoBid'!$A:$A,0)),""))</f>
        <v/>
      </c>
      <c r="U112" s="59">
        <f>IF(A112="","",IFERROR(IF(OR(INDEX('Bid-NoBid'!$U:$U,MATCH(A112,'Bid-NoBid'!$A:$A,0))="",LEFT(INDEX('Bid-NoBid'!$U:$U,MATCH(A112,'Bid-NoBid'!$A:$A,0)),10)="Incomplete"),"Screen: "&amp;AC112,INDEX('Bid-NoBid'!$U:$U,MATCH(A112,'Bid-NoBid'!$A:$A,0))),"Screen: "&amp;AC112))</f>
        <v/>
      </c>
      <c r="V112" s="60" t="n"/>
      <c r="W112" s="60" t="n"/>
      <c r="X112" s="60" t="n"/>
      <c r="Y112" s="60" t="n"/>
      <c r="Z112" s="60" t="n"/>
      <c r="AA112" s="65" t="n"/>
      <c r="AB112" s="66" t="n"/>
      <c r="AC112" s="66" t="n"/>
      <c r="AD112" s="66" t="n"/>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66" t="n"/>
      <c r="AJ112" s="66" t="n"/>
      <c r="AK112" s="66" t="n"/>
      <c r="AL112" s="59">
        <f>IF(AND(OR(W112="Watching",W112="Preparing"),ISNUMBER(Q112)),IF(AND(Q112&gt;='Friday Summary'!$C$4,Q112&lt;='Friday Summary'!$C$4+14),Q112+ROW()/1000000,""),"")</f>
        <v/>
      </c>
    </row>
    <row r="113" ht="15" customHeight="1" s="51">
      <c r="A113" s="59">
        <f>IF(B113="","","OP-"&amp;TEXT(ROW()-4,"000"))</f>
        <v/>
      </c>
      <c r="B113" s="60" t="n"/>
      <c r="C113" s="61" t="n"/>
      <c r="D113" s="60" t="n"/>
      <c r="E113" s="60" t="n"/>
      <c r="F113" s="60" t="n"/>
      <c r="G113" s="60" t="n"/>
      <c r="H113" s="60" t="n"/>
      <c r="I113" s="60" t="n"/>
      <c r="J113" s="60" t="n"/>
      <c r="K113" s="60" t="n"/>
      <c r="L113" s="60" t="n"/>
      <c r="M113" s="62" t="n"/>
      <c r="N113" s="60" t="n"/>
      <c r="O113" s="61" t="n"/>
      <c r="P113" s="61" t="n"/>
      <c r="Q113" s="63" t="n"/>
      <c r="R113" s="60" t="n"/>
      <c r="S113" s="60" t="n"/>
      <c r="T113" s="64">
        <f>IF(A113="","",IFERROR(INDEX('Bid-NoBid'!$T:$T,MATCH(A113,'Bid-NoBid'!$A:$A,0)),""))</f>
        <v/>
      </c>
      <c r="U113" s="59">
        <f>IF(A113="","",IFERROR(IF(OR(INDEX('Bid-NoBid'!$U:$U,MATCH(A113,'Bid-NoBid'!$A:$A,0))="",LEFT(INDEX('Bid-NoBid'!$U:$U,MATCH(A113,'Bid-NoBid'!$A:$A,0)),10)="Incomplete"),"Screen: "&amp;AC113,INDEX('Bid-NoBid'!$U:$U,MATCH(A113,'Bid-NoBid'!$A:$A,0))),"Screen: "&amp;AC113))</f>
        <v/>
      </c>
      <c r="V113" s="60" t="n"/>
      <c r="W113" s="60" t="n"/>
      <c r="X113" s="60" t="n"/>
      <c r="Y113" s="60" t="n"/>
      <c r="Z113" s="60" t="n"/>
      <c r="AA113" s="65" t="n"/>
      <c r="AB113" s="66" t="n"/>
      <c r="AC113" s="66" t="n"/>
      <c r="AD113" s="66" t="n"/>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66" t="n"/>
      <c r="AJ113" s="66" t="n"/>
      <c r="AK113" s="66" t="n"/>
      <c r="AL113" s="59">
        <f>IF(AND(OR(W113="Watching",W113="Preparing"),ISNUMBER(Q113)),IF(AND(Q113&gt;='Friday Summary'!$C$4,Q113&lt;='Friday Summary'!$C$4+14),Q113+ROW()/1000000,""),"")</f>
        <v/>
      </c>
    </row>
    <row r="114" ht="15" customHeight="1" s="51">
      <c r="A114" s="59">
        <f>IF(B114="","","OP-"&amp;TEXT(ROW()-4,"000"))</f>
        <v/>
      </c>
      <c r="B114" s="60" t="n"/>
      <c r="C114" s="61" t="n"/>
      <c r="D114" s="60" t="n"/>
      <c r="E114" s="60" t="n"/>
      <c r="F114" s="60" t="n"/>
      <c r="G114" s="60" t="n"/>
      <c r="H114" s="60" t="n"/>
      <c r="I114" s="60" t="n"/>
      <c r="J114" s="60" t="n"/>
      <c r="K114" s="60" t="n"/>
      <c r="L114" s="60" t="n"/>
      <c r="M114" s="62" t="n"/>
      <c r="N114" s="60" t="n"/>
      <c r="O114" s="61" t="n"/>
      <c r="P114" s="61" t="n"/>
      <c r="Q114" s="63" t="n"/>
      <c r="R114" s="60" t="n"/>
      <c r="S114" s="60" t="n"/>
      <c r="T114" s="64">
        <f>IF(A114="","",IFERROR(INDEX('Bid-NoBid'!$T:$T,MATCH(A114,'Bid-NoBid'!$A:$A,0)),""))</f>
        <v/>
      </c>
      <c r="U114" s="59">
        <f>IF(A114="","",IFERROR(IF(OR(INDEX('Bid-NoBid'!$U:$U,MATCH(A114,'Bid-NoBid'!$A:$A,0))="",LEFT(INDEX('Bid-NoBid'!$U:$U,MATCH(A114,'Bid-NoBid'!$A:$A,0)),10)="Incomplete"),"Screen: "&amp;AC114,INDEX('Bid-NoBid'!$U:$U,MATCH(A114,'Bid-NoBid'!$A:$A,0))),"Screen: "&amp;AC114))</f>
        <v/>
      </c>
      <c r="V114" s="60" t="n"/>
      <c r="W114" s="60" t="n"/>
      <c r="X114" s="60" t="n"/>
      <c r="Y114" s="60" t="n"/>
      <c r="Z114" s="60" t="n"/>
      <c r="AA114" s="65" t="n"/>
      <c r="AB114" s="66" t="n"/>
      <c r="AC114" s="66" t="n"/>
      <c r="AD114" s="66" t="n"/>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66" t="n"/>
      <c r="AJ114" s="66" t="n"/>
      <c r="AK114" s="66" t="n"/>
      <c r="AL114" s="59">
        <f>IF(AND(OR(W114="Watching",W114="Preparing"),ISNUMBER(Q114)),IF(AND(Q114&gt;='Friday Summary'!$C$4,Q114&lt;='Friday Summary'!$C$4+14),Q114+ROW()/1000000,""),"")</f>
        <v/>
      </c>
    </row>
    <row r="115" ht="15" customHeight="1" s="51">
      <c r="A115" s="59">
        <f>IF(B115="","","OP-"&amp;TEXT(ROW()-4,"000"))</f>
        <v/>
      </c>
      <c r="B115" s="60" t="n"/>
      <c r="C115" s="61" t="n"/>
      <c r="D115" s="60" t="n"/>
      <c r="E115" s="60" t="n"/>
      <c r="F115" s="60" t="n"/>
      <c r="G115" s="60" t="n"/>
      <c r="H115" s="60" t="n"/>
      <c r="I115" s="60" t="n"/>
      <c r="J115" s="60" t="n"/>
      <c r="K115" s="60" t="n"/>
      <c r="L115" s="60" t="n"/>
      <c r="M115" s="62" t="n"/>
      <c r="N115" s="60" t="n"/>
      <c r="O115" s="61" t="n"/>
      <c r="P115" s="61" t="n"/>
      <c r="Q115" s="63" t="n"/>
      <c r="R115" s="60" t="n"/>
      <c r="S115" s="60" t="n"/>
      <c r="T115" s="64">
        <f>IF(A115="","",IFERROR(INDEX('Bid-NoBid'!$T:$T,MATCH(A115,'Bid-NoBid'!$A:$A,0)),""))</f>
        <v/>
      </c>
      <c r="U115" s="59">
        <f>IF(A115="","",IFERROR(IF(OR(INDEX('Bid-NoBid'!$U:$U,MATCH(A115,'Bid-NoBid'!$A:$A,0))="",LEFT(INDEX('Bid-NoBid'!$U:$U,MATCH(A115,'Bid-NoBid'!$A:$A,0)),10)="Incomplete"),"Screen: "&amp;AC115,INDEX('Bid-NoBid'!$U:$U,MATCH(A115,'Bid-NoBid'!$A:$A,0))),"Screen: "&amp;AC115))</f>
        <v/>
      </c>
      <c r="V115" s="60" t="n"/>
      <c r="W115" s="60" t="n"/>
      <c r="X115" s="60" t="n"/>
      <c r="Y115" s="60" t="n"/>
      <c r="Z115" s="60" t="n"/>
      <c r="AA115" s="65" t="n"/>
      <c r="AB115" s="66" t="n"/>
      <c r="AC115" s="66" t="n"/>
      <c r="AD115" s="66" t="n"/>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66" t="n"/>
      <c r="AJ115" s="66" t="n"/>
      <c r="AK115" s="66" t="n"/>
      <c r="AL115" s="59">
        <f>IF(AND(OR(W115="Watching",W115="Preparing"),ISNUMBER(Q115)),IF(AND(Q115&gt;='Friday Summary'!$C$4,Q115&lt;='Friday Summary'!$C$4+14),Q115+ROW()/1000000,""),"")</f>
        <v/>
      </c>
    </row>
    <row r="116" ht="15" customHeight="1" s="51">
      <c r="A116" s="59">
        <f>IF(B116="","","OP-"&amp;TEXT(ROW()-4,"000"))</f>
        <v/>
      </c>
      <c r="B116" s="60" t="n"/>
      <c r="C116" s="61" t="n"/>
      <c r="D116" s="60" t="n"/>
      <c r="E116" s="60" t="n"/>
      <c r="F116" s="60" t="n"/>
      <c r="G116" s="60" t="n"/>
      <c r="H116" s="60" t="n"/>
      <c r="I116" s="60" t="n"/>
      <c r="J116" s="60" t="n"/>
      <c r="K116" s="60" t="n"/>
      <c r="L116" s="60" t="n"/>
      <c r="M116" s="62" t="n"/>
      <c r="N116" s="60" t="n"/>
      <c r="O116" s="61" t="n"/>
      <c r="P116" s="61" t="n"/>
      <c r="Q116" s="63" t="n"/>
      <c r="R116" s="60" t="n"/>
      <c r="S116" s="60" t="n"/>
      <c r="T116" s="64">
        <f>IF(A116="","",IFERROR(INDEX('Bid-NoBid'!$T:$T,MATCH(A116,'Bid-NoBid'!$A:$A,0)),""))</f>
        <v/>
      </c>
      <c r="U116" s="59">
        <f>IF(A116="","",IFERROR(IF(OR(INDEX('Bid-NoBid'!$U:$U,MATCH(A116,'Bid-NoBid'!$A:$A,0))="",LEFT(INDEX('Bid-NoBid'!$U:$U,MATCH(A116,'Bid-NoBid'!$A:$A,0)),10)="Incomplete"),"Screen: "&amp;AC116,INDEX('Bid-NoBid'!$U:$U,MATCH(A116,'Bid-NoBid'!$A:$A,0))),"Screen: "&amp;AC116))</f>
        <v/>
      </c>
      <c r="V116" s="60" t="n"/>
      <c r="W116" s="60" t="n"/>
      <c r="X116" s="60" t="n"/>
      <c r="Y116" s="60" t="n"/>
      <c r="Z116" s="60" t="n"/>
      <c r="AA116" s="65" t="n"/>
      <c r="AB116" s="66" t="n"/>
      <c r="AC116" s="66" t="n"/>
      <c r="AD116" s="66" t="n"/>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66" t="n"/>
      <c r="AJ116" s="66" t="n"/>
      <c r="AK116" s="66" t="n"/>
      <c r="AL116" s="59">
        <f>IF(AND(OR(W116="Watching",W116="Preparing"),ISNUMBER(Q116)),IF(AND(Q116&gt;='Friday Summary'!$C$4,Q116&lt;='Friday Summary'!$C$4+14),Q116+ROW()/1000000,""),"")</f>
        <v/>
      </c>
    </row>
    <row r="117" ht="15" customHeight="1" s="51">
      <c r="A117" s="59">
        <f>IF(B117="","","OP-"&amp;TEXT(ROW()-4,"000"))</f>
        <v/>
      </c>
      <c r="B117" s="60" t="n"/>
      <c r="C117" s="61" t="n"/>
      <c r="D117" s="60" t="n"/>
      <c r="E117" s="60" t="n"/>
      <c r="F117" s="60" t="n"/>
      <c r="G117" s="60" t="n"/>
      <c r="H117" s="60" t="n"/>
      <c r="I117" s="60" t="n"/>
      <c r="J117" s="60" t="n"/>
      <c r="K117" s="60" t="n"/>
      <c r="L117" s="60" t="n"/>
      <c r="M117" s="62" t="n"/>
      <c r="N117" s="60" t="n"/>
      <c r="O117" s="61" t="n"/>
      <c r="P117" s="61" t="n"/>
      <c r="Q117" s="63" t="n"/>
      <c r="R117" s="60" t="n"/>
      <c r="S117" s="60" t="n"/>
      <c r="T117" s="64">
        <f>IF(A117="","",IFERROR(INDEX('Bid-NoBid'!$T:$T,MATCH(A117,'Bid-NoBid'!$A:$A,0)),""))</f>
        <v/>
      </c>
      <c r="U117" s="59">
        <f>IF(A117="","",IFERROR(IF(OR(INDEX('Bid-NoBid'!$U:$U,MATCH(A117,'Bid-NoBid'!$A:$A,0))="",LEFT(INDEX('Bid-NoBid'!$U:$U,MATCH(A117,'Bid-NoBid'!$A:$A,0)),10)="Incomplete"),"Screen: "&amp;AC117,INDEX('Bid-NoBid'!$U:$U,MATCH(A117,'Bid-NoBid'!$A:$A,0))),"Screen: "&amp;AC117))</f>
        <v/>
      </c>
      <c r="V117" s="60" t="n"/>
      <c r="W117" s="60" t="n"/>
      <c r="X117" s="60" t="n"/>
      <c r="Y117" s="60" t="n"/>
      <c r="Z117" s="60" t="n"/>
      <c r="AA117" s="65" t="n"/>
      <c r="AB117" s="66" t="n"/>
      <c r="AC117" s="66" t="n"/>
      <c r="AD117" s="66" t="n"/>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66" t="n"/>
      <c r="AJ117" s="66" t="n"/>
      <c r="AK117" s="66" t="n"/>
      <c r="AL117" s="59">
        <f>IF(AND(OR(W117="Watching",W117="Preparing"),ISNUMBER(Q117)),IF(AND(Q117&gt;='Friday Summary'!$C$4,Q117&lt;='Friday Summary'!$C$4+14),Q117+ROW()/1000000,""),"")</f>
        <v/>
      </c>
    </row>
    <row r="118" ht="15" customHeight="1" s="51">
      <c r="A118" s="59">
        <f>IF(B118="","","OP-"&amp;TEXT(ROW()-4,"000"))</f>
        <v/>
      </c>
      <c r="B118" s="60" t="n"/>
      <c r="C118" s="61" t="n"/>
      <c r="D118" s="60" t="n"/>
      <c r="E118" s="60" t="n"/>
      <c r="F118" s="60" t="n"/>
      <c r="G118" s="60" t="n"/>
      <c r="H118" s="60" t="n"/>
      <c r="I118" s="60" t="n"/>
      <c r="J118" s="60" t="n"/>
      <c r="K118" s="60" t="n"/>
      <c r="L118" s="60" t="n"/>
      <c r="M118" s="62" t="n"/>
      <c r="N118" s="60" t="n"/>
      <c r="O118" s="61" t="n"/>
      <c r="P118" s="61" t="n"/>
      <c r="Q118" s="63" t="n"/>
      <c r="R118" s="60" t="n"/>
      <c r="S118" s="60" t="n"/>
      <c r="T118" s="64">
        <f>IF(A118="","",IFERROR(INDEX('Bid-NoBid'!$T:$T,MATCH(A118,'Bid-NoBid'!$A:$A,0)),""))</f>
        <v/>
      </c>
      <c r="U118" s="59">
        <f>IF(A118="","",IFERROR(IF(OR(INDEX('Bid-NoBid'!$U:$U,MATCH(A118,'Bid-NoBid'!$A:$A,0))="",LEFT(INDEX('Bid-NoBid'!$U:$U,MATCH(A118,'Bid-NoBid'!$A:$A,0)),10)="Incomplete"),"Screen: "&amp;AC118,INDEX('Bid-NoBid'!$U:$U,MATCH(A118,'Bid-NoBid'!$A:$A,0))),"Screen: "&amp;AC118))</f>
        <v/>
      </c>
      <c r="V118" s="60" t="n"/>
      <c r="W118" s="60" t="n"/>
      <c r="X118" s="60" t="n"/>
      <c r="Y118" s="60" t="n"/>
      <c r="Z118" s="60" t="n"/>
      <c r="AA118" s="65" t="n"/>
      <c r="AB118" s="66" t="n"/>
      <c r="AC118" s="66" t="n"/>
      <c r="AD118" s="66" t="n"/>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66" t="n"/>
      <c r="AJ118" s="66" t="n"/>
      <c r="AK118" s="66" t="n"/>
      <c r="AL118" s="59">
        <f>IF(AND(OR(W118="Watching",W118="Preparing"),ISNUMBER(Q118)),IF(AND(Q118&gt;='Friday Summary'!$C$4,Q118&lt;='Friday Summary'!$C$4+14),Q118+ROW()/1000000,""),"")</f>
        <v/>
      </c>
    </row>
    <row r="119" ht="15" customHeight="1" s="51">
      <c r="A119" s="59">
        <f>IF(B119="","","OP-"&amp;TEXT(ROW()-4,"000"))</f>
        <v/>
      </c>
      <c r="B119" s="60" t="n"/>
      <c r="C119" s="61" t="n"/>
      <c r="D119" s="60" t="n"/>
      <c r="E119" s="60" t="n"/>
      <c r="F119" s="60" t="n"/>
      <c r="G119" s="60" t="n"/>
      <c r="H119" s="60" t="n"/>
      <c r="I119" s="60" t="n"/>
      <c r="J119" s="60" t="n"/>
      <c r="K119" s="60" t="n"/>
      <c r="L119" s="60" t="n"/>
      <c r="M119" s="62" t="n"/>
      <c r="N119" s="60" t="n"/>
      <c r="O119" s="61" t="n"/>
      <c r="P119" s="61" t="n"/>
      <c r="Q119" s="63" t="n"/>
      <c r="R119" s="60" t="n"/>
      <c r="S119" s="60" t="n"/>
      <c r="T119" s="64">
        <f>IF(A119="","",IFERROR(INDEX('Bid-NoBid'!$T:$T,MATCH(A119,'Bid-NoBid'!$A:$A,0)),""))</f>
        <v/>
      </c>
      <c r="U119" s="59">
        <f>IF(A119="","",IFERROR(IF(OR(INDEX('Bid-NoBid'!$U:$U,MATCH(A119,'Bid-NoBid'!$A:$A,0))="",LEFT(INDEX('Bid-NoBid'!$U:$U,MATCH(A119,'Bid-NoBid'!$A:$A,0)),10)="Incomplete"),"Screen: "&amp;AC119,INDEX('Bid-NoBid'!$U:$U,MATCH(A119,'Bid-NoBid'!$A:$A,0))),"Screen: "&amp;AC119))</f>
        <v/>
      </c>
      <c r="V119" s="60" t="n"/>
      <c r="W119" s="60" t="n"/>
      <c r="X119" s="60" t="n"/>
      <c r="Y119" s="60" t="n"/>
      <c r="Z119" s="60" t="n"/>
      <c r="AA119" s="65" t="n"/>
      <c r="AB119" s="66" t="n"/>
      <c r="AC119" s="66" t="n"/>
      <c r="AD119" s="66" t="n"/>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66" t="n"/>
      <c r="AJ119" s="66" t="n"/>
      <c r="AK119" s="66" t="n"/>
      <c r="AL119" s="59">
        <f>IF(AND(OR(W119="Watching",W119="Preparing"),ISNUMBER(Q119)),IF(AND(Q119&gt;='Friday Summary'!$C$4,Q119&lt;='Friday Summary'!$C$4+14),Q119+ROW()/1000000,""),"")</f>
        <v/>
      </c>
    </row>
    <row r="120" ht="15" customHeight="1" s="51">
      <c r="A120" s="59">
        <f>IF(B120="","","OP-"&amp;TEXT(ROW()-4,"000"))</f>
        <v/>
      </c>
      <c r="B120" s="60" t="n"/>
      <c r="C120" s="61" t="n"/>
      <c r="D120" s="60" t="n"/>
      <c r="E120" s="60" t="n"/>
      <c r="F120" s="60" t="n"/>
      <c r="G120" s="60" t="n"/>
      <c r="H120" s="60" t="n"/>
      <c r="I120" s="60" t="n"/>
      <c r="J120" s="60" t="n"/>
      <c r="K120" s="60" t="n"/>
      <c r="L120" s="60" t="n"/>
      <c r="M120" s="62" t="n"/>
      <c r="N120" s="60" t="n"/>
      <c r="O120" s="61" t="n"/>
      <c r="P120" s="61" t="n"/>
      <c r="Q120" s="63" t="n"/>
      <c r="R120" s="60" t="n"/>
      <c r="S120" s="60" t="n"/>
      <c r="T120" s="64">
        <f>IF(A120="","",IFERROR(INDEX('Bid-NoBid'!$T:$T,MATCH(A120,'Bid-NoBid'!$A:$A,0)),""))</f>
        <v/>
      </c>
      <c r="U120" s="59">
        <f>IF(A120="","",IFERROR(IF(OR(INDEX('Bid-NoBid'!$U:$U,MATCH(A120,'Bid-NoBid'!$A:$A,0))="",LEFT(INDEX('Bid-NoBid'!$U:$U,MATCH(A120,'Bid-NoBid'!$A:$A,0)),10)="Incomplete"),"Screen: "&amp;AC120,INDEX('Bid-NoBid'!$U:$U,MATCH(A120,'Bid-NoBid'!$A:$A,0))),"Screen: "&amp;AC120))</f>
        <v/>
      </c>
      <c r="V120" s="60" t="n"/>
      <c r="W120" s="60" t="n"/>
      <c r="X120" s="60" t="n"/>
      <c r="Y120" s="60" t="n"/>
      <c r="Z120" s="60" t="n"/>
      <c r="AA120" s="65" t="n"/>
      <c r="AB120" s="66" t="n"/>
      <c r="AC120" s="66" t="n"/>
      <c r="AD120" s="66" t="n"/>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66" t="n"/>
      <c r="AJ120" s="66" t="n"/>
      <c r="AK120" s="66" t="n"/>
      <c r="AL120" s="59">
        <f>IF(AND(OR(W120="Watching",W120="Preparing"),ISNUMBER(Q120)),IF(AND(Q120&gt;='Friday Summary'!$C$4,Q120&lt;='Friday Summary'!$C$4+14),Q120+ROW()/1000000,""),"")</f>
        <v/>
      </c>
    </row>
    <row r="121" ht="15" customHeight="1" s="51">
      <c r="A121" s="59">
        <f>IF(B121="","","OP-"&amp;TEXT(ROW()-4,"000"))</f>
        <v/>
      </c>
      <c r="B121" s="60" t="n"/>
      <c r="C121" s="61" t="n"/>
      <c r="D121" s="60" t="n"/>
      <c r="E121" s="60" t="n"/>
      <c r="F121" s="60" t="n"/>
      <c r="G121" s="60" t="n"/>
      <c r="H121" s="60" t="n"/>
      <c r="I121" s="60" t="n"/>
      <c r="J121" s="60" t="n"/>
      <c r="K121" s="60" t="n"/>
      <c r="L121" s="60" t="n"/>
      <c r="M121" s="62" t="n"/>
      <c r="N121" s="60" t="n"/>
      <c r="O121" s="61" t="n"/>
      <c r="P121" s="61" t="n"/>
      <c r="Q121" s="63" t="n"/>
      <c r="R121" s="60" t="n"/>
      <c r="S121" s="60" t="n"/>
      <c r="T121" s="64">
        <f>IF(A121="","",IFERROR(INDEX('Bid-NoBid'!$T:$T,MATCH(A121,'Bid-NoBid'!$A:$A,0)),""))</f>
        <v/>
      </c>
      <c r="U121" s="59">
        <f>IF(A121="","",IFERROR(IF(OR(INDEX('Bid-NoBid'!$U:$U,MATCH(A121,'Bid-NoBid'!$A:$A,0))="",LEFT(INDEX('Bid-NoBid'!$U:$U,MATCH(A121,'Bid-NoBid'!$A:$A,0)),10)="Incomplete"),"Screen: "&amp;AC121,INDEX('Bid-NoBid'!$U:$U,MATCH(A121,'Bid-NoBid'!$A:$A,0))),"Screen: "&amp;AC121))</f>
        <v/>
      </c>
      <c r="V121" s="60" t="n"/>
      <c r="W121" s="60" t="n"/>
      <c r="X121" s="60" t="n"/>
      <c r="Y121" s="60" t="n"/>
      <c r="Z121" s="60" t="n"/>
      <c r="AA121" s="65" t="n"/>
      <c r="AB121" s="66" t="n"/>
      <c r="AC121" s="66" t="n"/>
      <c r="AD121" s="66" t="n"/>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66" t="n"/>
      <c r="AJ121" s="66" t="n"/>
      <c r="AK121" s="66" t="n"/>
      <c r="AL121" s="59">
        <f>IF(AND(OR(W121="Watching",W121="Preparing"),ISNUMBER(Q121)),IF(AND(Q121&gt;='Friday Summary'!$C$4,Q121&lt;='Friday Summary'!$C$4+14),Q121+ROW()/1000000,""),"")</f>
        <v/>
      </c>
    </row>
    <row r="122" ht="15" customHeight="1" s="51">
      <c r="A122" s="59">
        <f>IF(B122="","","OP-"&amp;TEXT(ROW()-4,"000"))</f>
        <v/>
      </c>
      <c r="B122" s="60" t="n"/>
      <c r="C122" s="61" t="n"/>
      <c r="D122" s="60" t="n"/>
      <c r="E122" s="60" t="n"/>
      <c r="F122" s="60" t="n"/>
      <c r="G122" s="60" t="n"/>
      <c r="H122" s="60" t="n"/>
      <c r="I122" s="60" t="n"/>
      <c r="J122" s="60" t="n"/>
      <c r="K122" s="60" t="n"/>
      <c r="L122" s="60" t="n"/>
      <c r="M122" s="62" t="n"/>
      <c r="N122" s="60" t="n"/>
      <c r="O122" s="61" t="n"/>
      <c r="P122" s="61" t="n"/>
      <c r="Q122" s="63" t="n"/>
      <c r="R122" s="60" t="n"/>
      <c r="S122" s="60" t="n"/>
      <c r="T122" s="64">
        <f>IF(A122="","",IFERROR(INDEX('Bid-NoBid'!$T:$T,MATCH(A122,'Bid-NoBid'!$A:$A,0)),""))</f>
        <v/>
      </c>
      <c r="U122" s="59">
        <f>IF(A122="","",IFERROR(IF(OR(INDEX('Bid-NoBid'!$U:$U,MATCH(A122,'Bid-NoBid'!$A:$A,0))="",LEFT(INDEX('Bid-NoBid'!$U:$U,MATCH(A122,'Bid-NoBid'!$A:$A,0)),10)="Incomplete"),"Screen: "&amp;AC122,INDEX('Bid-NoBid'!$U:$U,MATCH(A122,'Bid-NoBid'!$A:$A,0))),"Screen: "&amp;AC122))</f>
        <v/>
      </c>
      <c r="V122" s="60" t="n"/>
      <c r="W122" s="60" t="n"/>
      <c r="X122" s="60" t="n"/>
      <c r="Y122" s="60" t="n"/>
      <c r="Z122" s="60" t="n"/>
      <c r="AA122" s="65" t="n"/>
      <c r="AB122" s="66" t="n"/>
      <c r="AC122" s="66" t="n"/>
      <c r="AD122" s="66" t="n"/>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66" t="n"/>
      <c r="AJ122" s="66" t="n"/>
      <c r="AK122" s="66" t="n"/>
      <c r="AL122" s="59">
        <f>IF(AND(OR(W122="Watching",W122="Preparing"),ISNUMBER(Q122)),IF(AND(Q122&gt;='Friday Summary'!$C$4,Q122&lt;='Friday Summary'!$C$4+14),Q122+ROW()/1000000,""),"")</f>
        <v/>
      </c>
    </row>
    <row r="123" ht="15" customHeight="1" s="51">
      <c r="A123" s="59">
        <f>IF(B123="","","OP-"&amp;TEXT(ROW()-4,"000"))</f>
        <v/>
      </c>
      <c r="B123" s="60" t="n"/>
      <c r="C123" s="61" t="n"/>
      <c r="D123" s="60" t="n"/>
      <c r="E123" s="60" t="n"/>
      <c r="F123" s="60" t="n"/>
      <c r="G123" s="60" t="n"/>
      <c r="H123" s="60" t="n"/>
      <c r="I123" s="60" t="n"/>
      <c r="J123" s="60" t="n"/>
      <c r="K123" s="60" t="n"/>
      <c r="L123" s="60" t="n"/>
      <c r="M123" s="62" t="n"/>
      <c r="N123" s="60" t="n"/>
      <c r="O123" s="61" t="n"/>
      <c r="P123" s="61" t="n"/>
      <c r="Q123" s="63" t="n"/>
      <c r="R123" s="60" t="n"/>
      <c r="S123" s="60" t="n"/>
      <c r="T123" s="64">
        <f>IF(A123="","",IFERROR(INDEX('Bid-NoBid'!$T:$T,MATCH(A123,'Bid-NoBid'!$A:$A,0)),""))</f>
        <v/>
      </c>
      <c r="U123" s="59">
        <f>IF(A123="","",IFERROR(IF(OR(INDEX('Bid-NoBid'!$U:$U,MATCH(A123,'Bid-NoBid'!$A:$A,0))="",LEFT(INDEX('Bid-NoBid'!$U:$U,MATCH(A123,'Bid-NoBid'!$A:$A,0)),10)="Incomplete"),"Screen: "&amp;AC123,INDEX('Bid-NoBid'!$U:$U,MATCH(A123,'Bid-NoBid'!$A:$A,0))),"Screen: "&amp;AC123))</f>
        <v/>
      </c>
      <c r="V123" s="60" t="n"/>
      <c r="W123" s="60" t="n"/>
      <c r="X123" s="60" t="n"/>
      <c r="Y123" s="60" t="n"/>
      <c r="Z123" s="60" t="n"/>
      <c r="AA123" s="65" t="n"/>
      <c r="AB123" s="66" t="n"/>
      <c r="AC123" s="66" t="n"/>
      <c r="AD123" s="66" t="n"/>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66" t="n"/>
      <c r="AJ123" s="66" t="n"/>
      <c r="AK123" s="66" t="n"/>
      <c r="AL123" s="59">
        <f>IF(AND(OR(W123="Watching",W123="Preparing"),ISNUMBER(Q123)),IF(AND(Q123&gt;='Friday Summary'!$C$4,Q123&lt;='Friday Summary'!$C$4+14),Q123+ROW()/1000000,""),"")</f>
        <v/>
      </c>
    </row>
    <row r="124" ht="15" customHeight="1" s="51">
      <c r="A124" s="59">
        <f>IF(B124="","","OP-"&amp;TEXT(ROW()-4,"000"))</f>
        <v/>
      </c>
      <c r="B124" s="60" t="n"/>
      <c r="C124" s="61" t="n"/>
      <c r="D124" s="60" t="n"/>
      <c r="E124" s="60" t="n"/>
      <c r="F124" s="60" t="n"/>
      <c r="G124" s="60" t="n"/>
      <c r="H124" s="60" t="n"/>
      <c r="I124" s="60" t="n"/>
      <c r="J124" s="60" t="n"/>
      <c r="K124" s="60" t="n"/>
      <c r="L124" s="60" t="n"/>
      <c r="M124" s="62" t="n"/>
      <c r="N124" s="60" t="n"/>
      <c r="O124" s="61" t="n"/>
      <c r="P124" s="61" t="n"/>
      <c r="Q124" s="63" t="n"/>
      <c r="R124" s="60" t="n"/>
      <c r="S124" s="60" t="n"/>
      <c r="T124" s="64">
        <f>IF(A124="","",IFERROR(INDEX('Bid-NoBid'!$T:$T,MATCH(A124,'Bid-NoBid'!$A:$A,0)),""))</f>
        <v/>
      </c>
      <c r="U124" s="59">
        <f>IF(A124="","",IFERROR(IF(OR(INDEX('Bid-NoBid'!$U:$U,MATCH(A124,'Bid-NoBid'!$A:$A,0))="",LEFT(INDEX('Bid-NoBid'!$U:$U,MATCH(A124,'Bid-NoBid'!$A:$A,0)),10)="Incomplete"),"Screen: "&amp;AC124,INDEX('Bid-NoBid'!$U:$U,MATCH(A124,'Bid-NoBid'!$A:$A,0))),"Screen: "&amp;AC124))</f>
        <v/>
      </c>
      <c r="V124" s="60" t="n"/>
      <c r="W124" s="60" t="n"/>
      <c r="X124" s="60" t="n"/>
      <c r="Y124" s="60" t="n"/>
      <c r="Z124" s="60" t="n"/>
      <c r="AA124" s="65" t="n"/>
      <c r="AB124" s="66" t="n"/>
      <c r="AC124" s="66" t="n"/>
      <c r="AD124" s="66" t="n"/>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66" t="n"/>
      <c r="AJ124" s="66" t="n"/>
      <c r="AK124" s="66" t="n"/>
      <c r="AL124" s="59">
        <f>IF(AND(OR(W124="Watching",W124="Preparing"),ISNUMBER(Q124)),IF(AND(Q124&gt;='Friday Summary'!$C$4,Q124&lt;='Friday Summary'!$C$4+14),Q124+ROW()/1000000,""),"")</f>
        <v/>
      </c>
    </row>
    <row r="125" ht="15" customHeight="1" s="51">
      <c r="A125" s="59">
        <f>IF(B125="","","OP-"&amp;TEXT(ROW()-4,"000"))</f>
        <v/>
      </c>
      <c r="B125" s="60" t="n"/>
      <c r="C125" s="61" t="n"/>
      <c r="D125" s="60" t="n"/>
      <c r="E125" s="60" t="n"/>
      <c r="F125" s="60" t="n"/>
      <c r="G125" s="60" t="n"/>
      <c r="H125" s="60" t="n"/>
      <c r="I125" s="60" t="n"/>
      <c r="J125" s="60" t="n"/>
      <c r="K125" s="60" t="n"/>
      <c r="L125" s="60" t="n"/>
      <c r="M125" s="62" t="n"/>
      <c r="N125" s="60" t="n"/>
      <c r="O125" s="61" t="n"/>
      <c r="P125" s="61" t="n"/>
      <c r="Q125" s="63" t="n"/>
      <c r="R125" s="60" t="n"/>
      <c r="S125" s="60" t="n"/>
      <c r="T125" s="64">
        <f>IF(A125="","",IFERROR(INDEX('Bid-NoBid'!$T:$T,MATCH(A125,'Bid-NoBid'!$A:$A,0)),""))</f>
        <v/>
      </c>
      <c r="U125" s="59">
        <f>IF(A125="","",IFERROR(IF(OR(INDEX('Bid-NoBid'!$U:$U,MATCH(A125,'Bid-NoBid'!$A:$A,0))="",LEFT(INDEX('Bid-NoBid'!$U:$U,MATCH(A125,'Bid-NoBid'!$A:$A,0)),10)="Incomplete"),"Screen: "&amp;AC125,INDEX('Bid-NoBid'!$U:$U,MATCH(A125,'Bid-NoBid'!$A:$A,0))),"Screen: "&amp;AC125))</f>
        <v/>
      </c>
      <c r="V125" s="60" t="n"/>
      <c r="W125" s="60" t="n"/>
      <c r="X125" s="60" t="n"/>
      <c r="Y125" s="60" t="n"/>
      <c r="Z125" s="60" t="n"/>
      <c r="AA125" s="65" t="n"/>
      <c r="AB125" s="66" t="n"/>
      <c r="AC125" s="66" t="n"/>
      <c r="AD125" s="66" t="n"/>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66" t="n"/>
      <c r="AJ125" s="66" t="n"/>
      <c r="AK125" s="66" t="n"/>
      <c r="AL125" s="59">
        <f>IF(AND(OR(W125="Watching",W125="Preparing"),ISNUMBER(Q125)),IF(AND(Q125&gt;='Friday Summary'!$C$4,Q125&lt;='Friday Summary'!$C$4+14),Q125+ROW()/1000000,""),"")</f>
        <v/>
      </c>
    </row>
    <row r="126" ht="15" customHeight="1" s="51">
      <c r="A126" s="59">
        <f>IF(B126="","","OP-"&amp;TEXT(ROW()-4,"000"))</f>
        <v/>
      </c>
      <c r="B126" s="60" t="n"/>
      <c r="C126" s="61" t="n"/>
      <c r="D126" s="60" t="n"/>
      <c r="E126" s="60" t="n"/>
      <c r="F126" s="60" t="n"/>
      <c r="G126" s="60" t="n"/>
      <c r="H126" s="60" t="n"/>
      <c r="I126" s="60" t="n"/>
      <c r="J126" s="60" t="n"/>
      <c r="K126" s="60" t="n"/>
      <c r="L126" s="60" t="n"/>
      <c r="M126" s="62" t="n"/>
      <c r="N126" s="60" t="n"/>
      <c r="O126" s="61" t="n"/>
      <c r="P126" s="61" t="n"/>
      <c r="Q126" s="63" t="n"/>
      <c r="R126" s="60" t="n"/>
      <c r="S126" s="60" t="n"/>
      <c r="T126" s="64">
        <f>IF(A126="","",IFERROR(INDEX('Bid-NoBid'!$T:$T,MATCH(A126,'Bid-NoBid'!$A:$A,0)),""))</f>
        <v/>
      </c>
      <c r="U126" s="59">
        <f>IF(A126="","",IFERROR(IF(OR(INDEX('Bid-NoBid'!$U:$U,MATCH(A126,'Bid-NoBid'!$A:$A,0))="",LEFT(INDEX('Bid-NoBid'!$U:$U,MATCH(A126,'Bid-NoBid'!$A:$A,0)),10)="Incomplete"),"Screen: "&amp;AC126,INDEX('Bid-NoBid'!$U:$U,MATCH(A126,'Bid-NoBid'!$A:$A,0))),"Screen: "&amp;AC126))</f>
        <v/>
      </c>
      <c r="V126" s="60" t="n"/>
      <c r="W126" s="60" t="n"/>
      <c r="X126" s="60" t="n"/>
      <c r="Y126" s="60" t="n"/>
      <c r="Z126" s="60" t="n"/>
      <c r="AA126" s="65" t="n"/>
      <c r="AB126" s="66" t="n"/>
      <c r="AC126" s="66" t="n"/>
      <c r="AD126" s="66" t="n"/>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66" t="n"/>
      <c r="AJ126" s="66" t="n"/>
      <c r="AK126" s="66" t="n"/>
      <c r="AL126" s="59">
        <f>IF(AND(OR(W126="Watching",W126="Preparing"),ISNUMBER(Q126)),IF(AND(Q126&gt;='Friday Summary'!$C$4,Q126&lt;='Friday Summary'!$C$4+14),Q126+ROW()/1000000,""),"")</f>
        <v/>
      </c>
    </row>
    <row r="127" ht="15" customHeight="1" s="51">
      <c r="A127" s="59">
        <f>IF(B127="","","OP-"&amp;TEXT(ROW()-4,"000"))</f>
        <v/>
      </c>
      <c r="B127" s="60" t="n"/>
      <c r="C127" s="61" t="n"/>
      <c r="D127" s="60" t="n"/>
      <c r="E127" s="60" t="n"/>
      <c r="F127" s="60" t="n"/>
      <c r="G127" s="60" t="n"/>
      <c r="H127" s="60" t="n"/>
      <c r="I127" s="60" t="n"/>
      <c r="J127" s="60" t="n"/>
      <c r="K127" s="60" t="n"/>
      <c r="L127" s="60" t="n"/>
      <c r="M127" s="62" t="n"/>
      <c r="N127" s="60" t="n"/>
      <c r="O127" s="61" t="n"/>
      <c r="P127" s="61" t="n"/>
      <c r="Q127" s="63" t="n"/>
      <c r="R127" s="60" t="n"/>
      <c r="S127" s="60" t="n"/>
      <c r="T127" s="64">
        <f>IF(A127="","",IFERROR(INDEX('Bid-NoBid'!$T:$T,MATCH(A127,'Bid-NoBid'!$A:$A,0)),""))</f>
        <v/>
      </c>
      <c r="U127" s="59">
        <f>IF(A127="","",IFERROR(IF(OR(INDEX('Bid-NoBid'!$U:$U,MATCH(A127,'Bid-NoBid'!$A:$A,0))="",LEFT(INDEX('Bid-NoBid'!$U:$U,MATCH(A127,'Bid-NoBid'!$A:$A,0)),10)="Incomplete"),"Screen: "&amp;AC127,INDEX('Bid-NoBid'!$U:$U,MATCH(A127,'Bid-NoBid'!$A:$A,0))),"Screen: "&amp;AC127))</f>
        <v/>
      </c>
      <c r="V127" s="60" t="n"/>
      <c r="W127" s="60" t="n"/>
      <c r="X127" s="60" t="n"/>
      <c r="Y127" s="60" t="n"/>
      <c r="Z127" s="60" t="n"/>
      <c r="AA127" s="65" t="n"/>
      <c r="AB127" s="66" t="n"/>
      <c r="AC127" s="66" t="n"/>
      <c r="AD127" s="66" t="n"/>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66" t="n"/>
      <c r="AJ127" s="66" t="n"/>
      <c r="AK127" s="66" t="n"/>
      <c r="AL127" s="59">
        <f>IF(AND(OR(W127="Watching",W127="Preparing"),ISNUMBER(Q127)),IF(AND(Q127&gt;='Friday Summary'!$C$4,Q127&lt;='Friday Summary'!$C$4+14),Q127+ROW()/1000000,""),"")</f>
        <v/>
      </c>
    </row>
    <row r="128" ht="15" customHeight="1" s="51">
      <c r="A128" s="59">
        <f>IF(B128="","","OP-"&amp;TEXT(ROW()-4,"000"))</f>
        <v/>
      </c>
      <c r="B128" s="60" t="n"/>
      <c r="C128" s="61" t="n"/>
      <c r="D128" s="60" t="n"/>
      <c r="E128" s="60" t="n"/>
      <c r="F128" s="60" t="n"/>
      <c r="G128" s="60" t="n"/>
      <c r="H128" s="60" t="n"/>
      <c r="I128" s="60" t="n"/>
      <c r="J128" s="60" t="n"/>
      <c r="K128" s="60" t="n"/>
      <c r="L128" s="60" t="n"/>
      <c r="M128" s="62" t="n"/>
      <c r="N128" s="60" t="n"/>
      <c r="O128" s="61" t="n"/>
      <c r="P128" s="61" t="n"/>
      <c r="Q128" s="63" t="n"/>
      <c r="R128" s="60" t="n"/>
      <c r="S128" s="60" t="n"/>
      <c r="T128" s="64">
        <f>IF(A128="","",IFERROR(INDEX('Bid-NoBid'!$T:$T,MATCH(A128,'Bid-NoBid'!$A:$A,0)),""))</f>
        <v/>
      </c>
      <c r="U128" s="59">
        <f>IF(A128="","",IFERROR(IF(OR(INDEX('Bid-NoBid'!$U:$U,MATCH(A128,'Bid-NoBid'!$A:$A,0))="",LEFT(INDEX('Bid-NoBid'!$U:$U,MATCH(A128,'Bid-NoBid'!$A:$A,0)),10)="Incomplete"),"Screen: "&amp;AC128,INDEX('Bid-NoBid'!$U:$U,MATCH(A128,'Bid-NoBid'!$A:$A,0))),"Screen: "&amp;AC128))</f>
        <v/>
      </c>
      <c r="V128" s="60" t="n"/>
      <c r="W128" s="60" t="n"/>
      <c r="X128" s="60" t="n"/>
      <c r="Y128" s="60" t="n"/>
      <c r="Z128" s="60" t="n"/>
      <c r="AA128" s="65" t="n"/>
      <c r="AB128" s="66" t="n"/>
      <c r="AC128" s="66" t="n"/>
      <c r="AD128" s="66" t="n"/>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66" t="n"/>
      <c r="AJ128" s="66" t="n"/>
      <c r="AK128" s="66" t="n"/>
      <c r="AL128" s="59">
        <f>IF(AND(OR(W128="Watching",W128="Preparing"),ISNUMBER(Q128)),IF(AND(Q128&gt;='Friday Summary'!$C$4,Q128&lt;='Friday Summary'!$C$4+14),Q128+ROW()/1000000,""),"")</f>
        <v/>
      </c>
    </row>
    <row r="129" ht="15" customHeight="1" s="51">
      <c r="A129" s="59">
        <f>IF(B129="","","OP-"&amp;TEXT(ROW()-4,"000"))</f>
        <v/>
      </c>
      <c r="B129" s="60" t="n"/>
      <c r="C129" s="61" t="n"/>
      <c r="D129" s="60" t="n"/>
      <c r="E129" s="60" t="n"/>
      <c r="F129" s="60" t="n"/>
      <c r="G129" s="60" t="n"/>
      <c r="H129" s="60" t="n"/>
      <c r="I129" s="60" t="n"/>
      <c r="J129" s="60" t="n"/>
      <c r="K129" s="60" t="n"/>
      <c r="L129" s="60" t="n"/>
      <c r="M129" s="62" t="n"/>
      <c r="N129" s="60" t="n"/>
      <c r="O129" s="61" t="n"/>
      <c r="P129" s="61" t="n"/>
      <c r="Q129" s="63" t="n"/>
      <c r="R129" s="60" t="n"/>
      <c r="S129" s="60" t="n"/>
      <c r="T129" s="64">
        <f>IF(A129="","",IFERROR(INDEX('Bid-NoBid'!$T:$T,MATCH(A129,'Bid-NoBid'!$A:$A,0)),""))</f>
        <v/>
      </c>
      <c r="U129" s="59">
        <f>IF(A129="","",IFERROR(IF(OR(INDEX('Bid-NoBid'!$U:$U,MATCH(A129,'Bid-NoBid'!$A:$A,0))="",LEFT(INDEX('Bid-NoBid'!$U:$U,MATCH(A129,'Bid-NoBid'!$A:$A,0)),10)="Incomplete"),"Screen: "&amp;AC129,INDEX('Bid-NoBid'!$U:$U,MATCH(A129,'Bid-NoBid'!$A:$A,0))),"Screen: "&amp;AC129))</f>
        <v/>
      </c>
      <c r="V129" s="60" t="n"/>
      <c r="W129" s="60" t="n"/>
      <c r="X129" s="60" t="n"/>
      <c r="Y129" s="60" t="n"/>
      <c r="Z129" s="60" t="n"/>
      <c r="AA129" s="65" t="n"/>
      <c r="AB129" s="66" t="n"/>
      <c r="AC129" s="66" t="n"/>
      <c r="AD129" s="66" t="n"/>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66" t="n"/>
      <c r="AJ129" s="66" t="n"/>
      <c r="AK129" s="66" t="n"/>
      <c r="AL129" s="59">
        <f>IF(AND(OR(W129="Watching",W129="Preparing"),ISNUMBER(Q129)),IF(AND(Q129&gt;='Friday Summary'!$C$4,Q129&lt;='Friday Summary'!$C$4+14),Q129+ROW()/1000000,""),"")</f>
        <v/>
      </c>
    </row>
    <row r="130" ht="15" customHeight="1" s="51">
      <c r="A130" s="59">
        <f>IF(B130="","","OP-"&amp;TEXT(ROW()-4,"000"))</f>
        <v/>
      </c>
      <c r="B130" s="60" t="n"/>
      <c r="C130" s="61" t="n"/>
      <c r="D130" s="60" t="n"/>
      <c r="E130" s="60" t="n"/>
      <c r="F130" s="60" t="n"/>
      <c r="G130" s="60" t="n"/>
      <c r="H130" s="60" t="n"/>
      <c r="I130" s="60" t="n"/>
      <c r="J130" s="60" t="n"/>
      <c r="K130" s="60" t="n"/>
      <c r="L130" s="60" t="n"/>
      <c r="M130" s="62" t="n"/>
      <c r="N130" s="60" t="n"/>
      <c r="O130" s="61" t="n"/>
      <c r="P130" s="61" t="n"/>
      <c r="Q130" s="63" t="n"/>
      <c r="R130" s="60" t="n"/>
      <c r="S130" s="60" t="n"/>
      <c r="T130" s="64">
        <f>IF(A130="","",IFERROR(INDEX('Bid-NoBid'!$T:$T,MATCH(A130,'Bid-NoBid'!$A:$A,0)),""))</f>
        <v/>
      </c>
      <c r="U130" s="59">
        <f>IF(A130="","",IFERROR(IF(OR(INDEX('Bid-NoBid'!$U:$U,MATCH(A130,'Bid-NoBid'!$A:$A,0))="",LEFT(INDEX('Bid-NoBid'!$U:$U,MATCH(A130,'Bid-NoBid'!$A:$A,0)),10)="Incomplete"),"Screen: "&amp;AC130,INDEX('Bid-NoBid'!$U:$U,MATCH(A130,'Bid-NoBid'!$A:$A,0))),"Screen: "&amp;AC130))</f>
        <v/>
      </c>
      <c r="V130" s="60" t="n"/>
      <c r="W130" s="60" t="n"/>
      <c r="X130" s="60" t="n"/>
      <c r="Y130" s="60" t="n"/>
      <c r="Z130" s="60" t="n"/>
      <c r="AA130" s="65" t="n"/>
      <c r="AB130" s="66" t="n"/>
      <c r="AC130" s="66" t="n"/>
      <c r="AD130" s="66" t="n"/>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66" t="n"/>
      <c r="AJ130" s="66" t="n"/>
      <c r="AK130" s="66" t="n"/>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1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49"/>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2026-10-02T05:36:01Z</dcterms:modified>
  <cp:revision>0</cp:revision>
</cp:coreProperties>
</file>