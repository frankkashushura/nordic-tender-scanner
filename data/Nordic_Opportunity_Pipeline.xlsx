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70" t="inlineStr">
        <is>
          <t>(not shown)</t>
        </is>
      </c>
      <c r="C222" s="71" t="n">
        <v>46319</v>
      </c>
      <c r="D222" s="70" t="inlineStr">
        <is>
          <t>press</t>
        </is>
      </c>
      <c r="E222" s="70" t="inlineStr">
        <is>
          <t>https://www.tanzaniatenders.com/tender/survey-and-design-irrigation-weir-and-1km-lined-main-canal-initiating-proposed-irrigation-scheme-mih-90643df.php</t>
        </is>
      </c>
      <c r="F222" s="70" t="inlineStr">
        <is>
          <t>See advert</t>
        </is>
      </c>
      <c r="G222" s="70" t="inlineStr">
        <is>
          <t>government</t>
        </is>
      </c>
      <c r="H222" s="70" t="inlineStr">
        <is>
          <t>Survey and Design of Irrigation Weir and 1Km Lined Main Canal for Initiating Proposed Irrigation Scheme at Mihama Village in Kishapu District</t>
        </is>
      </c>
      <c r="I222" s="70" t="inlineStr">
        <is>
          <t>From press notice (1 lot) – read the tender document</t>
        </is>
      </c>
      <c r="J222" s="70" t="inlineStr">
        <is>
          <t>Not stated – read the notice</t>
        </is>
      </c>
      <c r="K222" s="70" t="inlineStr">
        <is>
          <t>civil</t>
        </is>
      </c>
      <c r="L222" s="70" t="inlineStr">
        <is>
          <t>See tender document</t>
        </is>
      </c>
      <c r="M222" s="62" t="n"/>
      <c r="N222" s="70" t="inlineStr">
        <is>
          <t>unknown</t>
        </is>
      </c>
      <c r="O222" s="71" t="inlineStr">
        <is>
          <t>See tender document</t>
        </is>
      </c>
      <c r="P222" s="71" t="inlineStr">
        <is>
          <t>See tender document</t>
        </is>
      </c>
      <c r="Q222" s="72" t="n">
        <v>46328.41666666666</v>
      </c>
      <c r="R222" s="70" t="inlineStr">
        <is>
          <t>See tender document</t>
        </is>
      </c>
      <c r="S222" s="70" t="inlineStr">
        <is>
          <t>N</t>
        </is>
      </c>
      <c r="T222" s="64">
        <f>IF(A222="","",IFERROR(INDEX('Bid-NoBid'!$T:$T,MATCH(A222,'Bid-NoBid'!$A:$A,0)),""))</f>
        <v/>
      </c>
      <c r="U222" s="59">
        <f>IF(A222="","",IFERROR(IF(OR(INDEX('Bid-NoBid'!$U:$U,MATCH(A222,'Bid-NoBid'!$A:$A,0))="",LEFT(INDEX('Bid-NoBid'!$U:$U,MATCH(A222,'Bid-NoBid'!$A:$A,0)),10)="Incomplete"),"Screen: "&amp;AC222,INDEX('Bid-NoBid'!$U:$U,MATCH(A222,'Bid-NoBid'!$A:$A,0))),"Screen: "&amp;AC222))</f>
        <v/>
      </c>
      <c r="V222" s="60" t="n"/>
      <c r="W222" s="70" t="inlineStr">
        <is>
          <t>Watching</t>
        </is>
      </c>
      <c r="X222" s="70" t="inlineStr">
        <is>
          <t>Frank</t>
        </is>
      </c>
      <c r="Y222" s="60" t="n"/>
      <c r="Z222" s="60" t="n"/>
      <c r="AA222" s="73" t="n"/>
      <c r="AB222" s="74" t="inlineStr">
        <is>
          <t>TanzaniaTenders.com (newspapers / portals / private)</t>
        </is>
      </c>
      <c r="AC222" s="74" t="inlineStr">
        <is>
          <t>Check</t>
        </is>
      </c>
      <c r="AD222" s="74" t="inlineStr">
        <is>
          <t>Auto (TanzaniaTenders.com): Civil works – confirm site, CRB class and margin · deadline read from the web page – confirm</t>
        </is>
      </c>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74" t="inlineStr">
        <is>
          <t>Read the notice and decide with the QS Director whether to pursue</t>
        </is>
      </c>
      <c r="AJ222" s="74" t="inlineStr">
        <is>
          <t>Auto-scan</t>
        </is>
      </c>
      <c r="AK222" s="74" t="inlineStr">
        <is>
          <t>TZT:151405535</t>
        </is>
      </c>
      <c r="AL222" s="59">
        <f>IF(AND(OR(W222="Watching",W222="Preparing"),ISNUMBER(Q222)),IF(AND(Q222&gt;='Friday Summary'!$C$4,Q222&lt;='Friday Summary'!$C$4+14),Q222+ROW()/1000000,""),"")</f>
        <v/>
      </c>
    </row>
    <row r="223" ht="15" customHeight="1" s="51">
      <c r="A223" s="59">
        <f>IF(B223="","","OP-"&amp;TEXT(ROW()-4,"000"))</f>
        <v/>
      </c>
      <c r="B223" s="70" t="inlineStr">
        <is>
          <t>(not shown)</t>
        </is>
      </c>
      <c r="C223" s="71" t="n">
        <v>46319</v>
      </c>
      <c r="D223" s="70" t="inlineStr">
        <is>
          <t>press</t>
        </is>
      </c>
      <c r="E223" s="70" t="inlineStr">
        <is>
          <t>https://www.tanzaniatenders.com/tender/survey-and-design-small-charco-dam-livestock-masanga-ward-90643d3.php</t>
        </is>
      </c>
      <c r="F223" s="70" t="inlineStr">
        <is>
          <t>See advert</t>
        </is>
      </c>
      <c r="G223" s="70" t="inlineStr">
        <is>
          <t>government</t>
        </is>
      </c>
      <c r="H223" s="70" t="inlineStr">
        <is>
          <t>Survey and Design of Small Charco-Dam for Livestock at Masanga Ward</t>
        </is>
      </c>
      <c r="I223" s="70" t="inlineStr">
        <is>
          <t>From press notice (1 lot) – read the tender document</t>
        </is>
      </c>
      <c r="J223" s="70" t="inlineStr">
        <is>
          <t>Not stated – read the notice</t>
        </is>
      </c>
      <c r="K223" s="70" t="inlineStr">
        <is>
          <t>civil</t>
        </is>
      </c>
      <c r="L223" s="70" t="inlineStr">
        <is>
          <t>See tender document</t>
        </is>
      </c>
      <c r="M223" s="62" t="n"/>
      <c r="N223" s="70" t="inlineStr">
        <is>
          <t>unknown</t>
        </is>
      </c>
      <c r="O223" s="71" t="inlineStr">
        <is>
          <t>See tender document</t>
        </is>
      </c>
      <c r="P223" s="71" t="inlineStr">
        <is>
          <t>See tender document</t>
        </is>
      </c>
      <c r="Q223" s="72" t="n">
        <v>46328.41666666666</v>
      </c>
      <c r="R223" s="70" t="inlineStr">
        <is>
          <t>See tender document</t>
        </is>
      </c>
      <c r="S223" s="70" t="inlineStr">
        <is>
          <t>N</t>
        </is>
      </c>
      <c r="T223" s="64">
        <f>IF(A223="","",IFERROR(INDEX('Bid-NoBid'!$T:$T,MATCH(A223,'Bid-NoBid'!$A:$A,0)),""))</f>
        <v/>
      </c>
      <c r="U223" s="59">
        <f>IF(A223="","",IFERROR(IF(OR(INDEX('Bid-NoBid'!$U:$U,MATCH(A223,'Bid-NoBid'!$A:$A,0))="",LEFT(INDEX('Bid-NoBid'!$U:$U,MATCH(A223,'Bid-NoBid'!$A:$A,0)),10)="Incomplete"),"Screen: "&amp;AC223,INDEX('Bid-NoBid'!$U:$U,MATCH(A223,'Bid-NoBid'!$A:$A,0))),"Screen: "&amp;AC223))</f>
        <v/>
      </c>
      <c r="V223" s="60" t="n"/>
      <c r="W223" s="70" t="inlineStr">
        <is>
          <t>Watching</t>
        </is>
      </c>
      <c r="X223" s="70" t="inlineStr">
        <is>
          <t>Frank</t>
        </is>
      </c>
      <c r="Y223" s="60" t="n"/>
      <c r="Z223" s="60" t="n"/>
      <c r="AA223" s="73" t="n"/>
      <c r="AB223" s="74" t="inlineStr">
        <is>
          <t>TanzaniaTenders.com (newspapers / portals / private)</t>
        </is>
      </c>
      <c r="AC223" s="74" t="inlineStr">
        <is>
          <t>Check</t>
        </is>
      </c>
      <c r="AD223" s="74" t="inlineStr">
        <is>
          <t>Auto (TanzaniaTenders.com): Civil works – confirm site, CRB class and margin · deadline read from the web page – confirm</t>
        </is>
      </c>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74" t="inlineStr">
        <is>
          <t>Read the notice and decide with the QS Director whether to pursue</t>
        </is>
      </c>
      <c r="AJ223" s="74" t="inlineStr">
        <is>
          <t>Auto-scan</t>
        </is>
      </c>
      <c r="AK223" s="74" t="inlineStr">
        <is>
          <t>TZT:151405523</t>
        </is>
      </c>
      <c r="AL223" s="59">
        <f>IF(AND(OR(W223="Watching",W223="Preparing"),ISNUMBER(Q223)),IF(AND(Q223&gt;='Friday Summary'!$C$4,Q223&lt;='Friday Summary'!$C$4+14),Q223+ROW()/1000000,""),"")</f>
        <v/>
      </c>
    </row>
    <row r="224" ht="15" customHeight="1" s="51">
      <c r="A224" s="59">
        <f>IF(B224="","","OP-"&amp;TEXT(ROW()-4,"000"))</f>
        <v/>
      </c>
      <c r="B224" s="70" t="inlineStr">
        <is>
          <t>(not shown)</t>
        </is>
      </c>
      <c r="C224" s="71" t="n">
        <v>46319</v>
      </c>
      <c r="D224" s="70" t="inlineStr">
        <is>
          <t>press</t>
        </is>
      </c>
      <c r="E224" s="70" t="inlineStr">
        <is>
          <t>https://www.tanzaniatenders.com/tender/establishment-long-term-agreement-lta-building-maintenance-services-906616a.php</t>
        </is>
      </c>
      <c r="F224" s="70" t="inlineStr">
        <is>
          <t>See advert</t>
        </is>
      </c>
      <c r="G224" s="70" t="inlineStr">
        <is>
          <t>government</t>
        </is>
      </c>
      <c r="H224" s="70" t="inlineStr">
        <is>
          <t>Establishment of Long-Term Agreement (LTA) for Building Maintenance Services.</t>
        </is>
      </c>
      <c r="I224" s="70" t="inlineStr">
        <is>
          <t>From press notice (1 lot) – read the tender document</t>
        </is>
      </c>
      <c r="J224" s="70" t="inlineStr">
        <is>
          <t>Not stated – read the notice</t>
        </is>
      </c>
      <c r="K224" s="70" t="inlineStr">
        <is>
          <t>building</t>
        </is>
      </c>
      <c r="L224" s="70" t="inlineStr">
        <is>
          <t>See tender document</t>
        </is>
      </c>
      <c r="M224" s="62" t="n"/>
      <c r="N224" s="70" t="inlineStr">
        <is>
          <t>unknown</t>
        </is>
      </c>
      <c r="O224" s="71" t="inlineStr">
        <is>
          <t>See tender document</t>
        </is>
      </c>
      <c r="P224" s="71" t="inlineStr">
        <is>
          <t>See tender document</t>
        </is>
      </c>
      <c r="Q224" s="72" t="n">
        <v>46344.41666666666</v>
      </c>
      <c r="R224" s="70" t="inlineStr">
        <is>
          <t>See tender document</t>
        </is>
      </c>
      <c r="S224" s="70" t="inlineStr">
        <is>
          <t>N</t>
        </is>
      </c>
      <c r="T224" s="64">
        <f>IF(A224="","",IFERROR(INDEX('Bid-NoBid'!$T:$T,MATCH(A224,'Bid-NoBid'!$A:$A,0)),""))</f>
        <v/>
      </c>
      <c r="U224" s="59">
        <f>IF(A224="","",IFERROR(IF(OR(INDEX('Bid-NoBid'!$U:$U,MATCH(A224,'Bid-NoBid'!$A:$A,0))="",LEFT(INDEX('Bid-NoBid'!$U:$U,MATCH(A224,'Bid-NoBid'!$A:$A,0)),10)="Incomplete"),"Screen: "&amp;AC224,INDEX('Bid-NoBid'!$U:$U,MATCH(A224,'Bid-NoBid'!$A:$A,0))),"Screen: "&amp;AC224))</f>
        <v/>
      </c>
      <c r="V224" s="60" t="n"/>
      <c r="W224" s="70" t="inlineStr">
        <is>
          <t>Watching</t>
        </is>
      </c>
      <c r="X224" s="70" t="inlineStr">
        <is>
          <t>Frank</t>
        </is>
      </c>
      <c r="Y224" s="60" t="n"/>
      <c r="Z224" s="60" t="n"/>
      <c r="AA224" s="73" t="n"/>
      <c r="AB224" s="74" t="inlineStr">
        <is>
          <t>TanzaniaTenders.com (newspapers / portals / private)</t>
        </is>
      </c>
      <c r="AC224" s="74" t="inlineStr">
        <is>
          <t>Check</t>
        </is>
      </c>
      <c r="AD224" s="74" t="inlineStr">
        <is>
          <t>Auto (TanzaniaTenders.com): Site not stated in the listing – read the notice · deadline read from the web page – confirm</t>
        </is>
      </c>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74" t="inlineStr">
        <is>
          <t>Read the notice and decide with the QS Director whether to pursue</t>
        </is>
      </c>
      <c r="AJ224" s="74" t="inlineStr">
        <is>
          <t>Auto-scan</t>
        </is>
      </c>
      <c r="AK224" s="74" t="inlineStr">
        <is>
          <t>TZT:151413098</t>
        </is>
      </c>
      <c r="AL224" s="59">
        <f>IF(AND(OR(W224="Watching",W224="Preparing"),ISNUMBER(Q224)),IF(AND(Q224&gt;='Friday Summary'!$C$4,Q224&lt;='Friday Summary'!$C$4+14),Q224+ROW()/1000000,""),"")</f>
        <v/>
      </c>
    </row>
    <row r="225" ht="15" customHeight="1" s="51">
      <c r="A225" s="59">
        <f>IF(B225="","","OP-"&amp;TEXT(ROW()-4,"000"))</f>
        <v/>
      </c>
      <c r="B225" s="70" t="inlineStr">
        <is>
          <t>(not shown)</t>
        </is>
      </c>
      <c r="C225" s="71" t="n">
        <v>46319</v>
      </c>
      <c r="D225" s="70" t="inlineStr">
        <is>
          <t>aggregator</t>
        </is>
      </c>
      <c r="E225" s="70" t="inlineStr">
        <is>
          <t>https://www.biddetail.com/latest-tenders/119785507$cb4b4987-225e-4b60-8951-f45db16f8ff9</t>
        </is>
      </c>
      <c r="F225" s="70" t="inlineStr">
        <is>
          <t>See notice</t>
        </is>
      </c>
      <c r="G225" s="70" t="inlineStr">
        <is>
          <t>government</t>
        </is>
      </c>
      <c r="H225" s="70" t="inlineStr">
        <is>
          <t>Request For Quotation For Establishment Of Lta For Building Maint ......</t>
        </is>
      </c>
      <c r="I225" s="70" t="inlineStr">
        <is>
          <t>From aggregator notice (1 lot) – read the tender document</t>
        </is>
      </c>
      <c r="J225" s="70" t="inlineStr">
        <is>
          <t>Not stated – read the notice</t>
        </is>
      </c>
      <c r="K225" s="70" t="inlineStr">
        <is>
          <t>building</t>
        </is>
      </c>
      <c r="L225" s="70" t="inlineStr">
        <is>
          <t>See tender document</t>
        </is>
      </c>
      <c r="M225" s="62" t="n"/>
      <c r="N225" s="70" t="inlineStr">
        <is>
          <t>unknown</t>
        </is>
      </c>
      <c r="O225" s="71" t="inlineStr">
        <is>
          <t>See tender document</t>
        </is>
      </c>
      <c r="P225" s="71" t="inlineStr">
        <is>
          <t>See tender document</t>
        </is>
      </c>
      <c r="Q225" s="72" t="n"/>
      <c r="R225" s="70" t="inlineStr">
        <is>
          <t>See tender document</t>
        </is>
      </c>
      <c r="S225" s="70" t="inlineStr">
        <is>
          <t>N</t>
        </is>
      </c>
      <c r="T225" s="64">
        <f>IF(A225="","",IFERROR(INDEX('Bid-NoBid'!$T:$T,MATCH(A225,'Bid-NoBid'!$A:$A,0)),""))</f>
        <v/>
      </c>
      <c r="U225" s="59">
        <f>IF(A225="","",IFERROR(IF(OR(INDEX('Bid-NoBid'!$U:$U,MATCH(A225,'Bid-NoBid'!$A:$A,0))="",LEFT(INDEX('Bid-NoBid'!$U:$U,MATCH(A225,'Bid-NoBid'!$A:$A,0)),10)="Incomplete"),"Screen: "&amp;AC225,INDEX('Bid-NoBid'!$U:$U,MATCH(A225,'Bid-NoBid'!$A:$A,0))),"Screen: "&amp;AC225))</f>
        <v/>
      </c>
      <c r="V225" s="60" t="n"/>
      <c r="W225" s="70" t="inlineStr">
        <is>
          <t>Watching</t>
        </is>
      </c>
      <c r="X225" s="70" t="inlineStr">
        <is>
          <t>Frank</t>
        </is>
      </c>
      <c r="Y225" s="60" t="n"/>
      <c r="Z225" s="60" t="n"/>
      <c r="AA225" s="73" t="n"/>
      <c r="AB225" s="74" t="inlineStr">
        <is>
          <t>BidDetail – Tanzania tenders (web page)</t>
        </is>
      </c>
      <c r="AC225" s="74" t="inlineStr">
        <is>
          <t>Check</t>
        </is>
      </c>
      <c r="AD225" s="74" t="inlineStr">
        <is>
          <t>Auto (BidDetail – Tanzania tenders): Deadline not shown on the source page – open the link and read the notice</t>
        </is>
      </c>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74" t="inlineStr">
        <is>
          <t>Read the notice and decide with the QS Director whether to pursue</t>
        </is>
      </c>
      <c r="AJ225" s="74" t="inlineStr">
        <is>
          <t>Auto-scan</t>
        </is>
      </c>
      <c r="AK225" s="74" t="inlineStr">
        <is>
          <t>WEB:biddetail_tanzania_tenders:085562c37d97ae0f</t>
        </is>
      </c>
      <c r="AL225" s="59">
        <f>IF(AND(OR(W225="Watching",W225="Preparing"),ISNUMBER(Q225)),IF(AND(Q225&gt;='Friday Summary'!$C$4,Q225&lt;='Friday Summary'!$C$4+14),Q225+ROW()/1000000,""),"")</f>
        <v/>
      </c>
    </row>
    <row r="226" ht="15" customHeight="1" s="51">
      <c r="A226" s="59">
        <f>IF(B226="","","OP-"&amp;TEXT(ROW()-4,"000"))</f>
        <v/>
      </c>
      <c r="B226" s="70" t="inlineStr">
        <is>
          <t>(not shown)</t>
        </is>
      </c>
      <c r="C226" s="71" t="n">
        <v>46319</v>
      </c>
      <c r="D226" s="70" t="inlineStr">
        <is>
          <t>aggregator</t>
        </is>
      </c>
      <c r="E226" s="70" t="inlineStr">
        <is>
          <t>https://www.biddetail.com/latest-tenders/119785512$e70aff49-b921-494c-925b-6b0a82fab66c</t>
        </is>
      </c>
      <c r="F226" s="70" t="inlineStr">
        <is>
          <t>See notice</t>
        </is>
      </c>
      <c r="G226" s="70" t="inlineStr">
        <is>
          <t>government</t>
        </is>
      </c>
      <c r="H226" s="70" t="inlineStr">
        <is>
          <t>Ministry Of Water And Irrigation; Africa Request For Expression Of Interest For Sustainable Rural Water Su ......</t>
        </is>
      </c>
      <c r="I226" s="70" t="inlineStr">
        <is>
          <t>From aggregator notice (1 lot) – read the tender document</t>
        </is>
      </c>
      <c r="J226" s="70" t="inlineStr">
        <is>
          <t>Not stated – read the notice</t>
        </is>
      </c>
      <c r="K226" s="70" t="inlineStr">
        <is>
          <t>civil</t>
        </is>
      </c>
      <c r="L226" s="70" t="inlineStr">
        <is>
          <t>See tender document</t>
        </is>
      </c>
      <c r="M226" s="62" t="n"/>
      <c r="N226" s="70" t="inlineStr">
        <is>
          <t>unknown</t>
        </is>
      </c>
      <c r="O226" s="71" t="inlineStr">
        <is>
          <t>See tender document</t>
        </is>
      </c>
      <c r="P226" s="71" t="inlineStr">
        <is>
          <t>See tender document</t>
        </is>
      </c>
      <c r="Q226" s="72" t="n"/>
      <c r="R226" s="70" t="inlineStr">
        <is>
          <t>See tender document</t>
        </is>
      </c>
      <c r="S226" s="70" t="inlineStr">
        <is>
          <t>N</t>
        </is>
      </c>
      <c r="T226" s="64">
        <f>IF(A226="","",IFERROR(INDEX('Bid-NoBid'!$T:$T,MATCH(A226,'Bid-NoBid'!$A:$A,0)),""))</f>
        <v/>
      </c>
      <c r="U226" s="59">
        <f>IF(A226="","",IFERROR(IF(OR(INDEX('Bid-NoBid'!$U:$U,MATCH(A226,'Bid-NoBid'!$A:$A,0))="",LEFT(INDEX('Bid-NoBid'!$U:$U,MATCH(A226,'Bid-NoBid'!$A:$A,0)),10)="Incomplete"),"Screen: "&amp;AC226,INDEX('Bid-NoBid'!$U:$U,MATCH(A226,'Bid-NoBid'!$A:$A,0))),"Screen: "&amp;AC226))</f>
        <v/>
      </c>
      <c r="V226" s="60" t="n"/>
      <c r="W226" s="70" t="inlineStr">
        <is>
          <t>Watching</t>
        </is>
      </c>
      <c r="X226" s="70" t="inlineStr">
        <is>
          <t>Frank</t>
        </is>
      </c>
      <c r="Y226" s="60" t="n"/>
      <c r="Z226" s="60" t="n"/>
      <c r="AA226" s="73" t="n"/>
      <c r="AB226" s="74" t="inlineStr">
        <is>
          <t>BidDetail – Tanzania tenders (web page)</t>
        </is>
      </c>
      <c r="AC226" s="74" t="inlineStr">
        <is>
          <t>Check</t>
        </is>
      </c>
      <c r="AD226" s="74" t="inlineStr">
        <is>
          <t>Auto (BidDetail – Tanzania tenders): Deadline not shown on the source page – open the link and read the notice</t>
        </is>
      </c>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74" t="inlineStr">
        <is>
          <t>Read the notice and decide with the QS Director whether to pursue</t>
        </is>
      </c>
      <c r="AJ226" s="74" t="inlineStr">
        <is>
          <t>Auto-scan</t>
        </is>
      </c>
      <c r="AK226" s="74" t="inlineStr">
        <is>
          <t>WEB:biddetail_tanzania_tenders:214565dec145f7a6</t>
        </is>
      </c>
      <c r="AL226" s="59">
        <f>IF(AND(OR(W226="Watching",W226="Preparing"),ISNUMBER(Q226)),IF(AND(Q226&gt;='Friday Summary'!$C$4,Q226&lt;='Friday Summary'!$C$4+14),Q226+ROW()/1000000,""),"")</f>
        <v/>
      </c>
    </row>
    <row r="227" ht="15" customHeight="1" s="51">
      <c r="A227" s="59">
        <f>IF(B227="","","OP-"&amp;TEXT(ROW()-4,"000"))</f>
        <v/>
      </c>
      <c r="B227" s="70" t="inlineStr">
        <is>
          <t>S10/009/2026/2027/W/113</t>
        </is>
      </c>
      <c r="C227" s="71" t="n">
        <v>46321</v>
      </c>
      <c r="D227" s="70" t="inlineStr">
        <is>
          <t>NeST</t>
        </is>
      </c>
      <c r="E227" s="70" t="inlineStr">
        <is>
          <t>https://nest.go.tz/tenders/published-tenders</t>
        </is>
      </c>
      <c r="F227" s="70" t="inlineStr">
        <is>
          <t>TARURA - Kilimanjaro Regional Office</t>
        </is>
      </c>
      <c r="G227" s="70" t="inlineStr">
        <is>
          <t>government</t>
        </is>
      </c>
      <c r="H227" s="70" t="inlineStr">
        <is>
          <t>Upgrading of Shabani - Otaruni, Mto Umbwe Nyamaa B and Mwasi Kusini - Kishumundu Centre Roads to Gravel Standard, Roads Rehabilitation of Kibosho sokoni - Kibosho Hospital - Singa Juu and Nkonyaku P/S - Mkomilo and Opening of Kifura road in Moshi District</t>
        </is>
      </c>
      <c r="I227" s="70" t="inlineStr">
        <is>
          <t>From NeST notice (1 lot) – read the tender document</t>
        </is>
      </c>
      <c r="J227" s="70" t="inlineStr">
        <is>
          <t>Kilimanjaro (Moshi)</t>
        </is>
      </c>
      <c r="K227" s="70" t="inlineStr">
        <is>
          <t>renovation</t>
        </is>
      </c>
      <c r="L227" s="70" t="inlineStr">
        <is>
          <t>NeST login needed</t>
        </is>
      </c>
      <c r="M227" s="62" t="n"/>
      <c r="N227" s="70" t="inlineStr">
        <is>
          <t>unknown</t>
        </is>
      </c>
      <c r="O227" s="71" t="inlineStr">
        <is>
          <t>NeST login needed</t>
        </is>
      </c>
      <c r="P227" s="71" t="inlineStr">
        <is>
          <t>NeST login needed</t>
        </is>
      </c>
      <c r="Q227" s="72" t="n">
        <v>46328.45833333334</v>
      </c>
      <c r="R227" s="70" t="inlineStr">
        <is>
          <t>NeST login needed</t>
        </is>
      </c>
      <c r="S227" s="70" t="inlineStr">
        <is>
          <t>N</t>
        </is>
      </c>
      <c r="T227" s="64">
        <f>IF(A227="","",IFERROR(INDEX('Bid-NoBid'!$T:$T,MATCH(A227,'Bid-NoBid'!$A:$A,0)),""))</f>
        <v/>
      </c>
      <c r="U227" s="59">
        <f>IF(A227="","",IFERROR(IF(OR(INDEX('Bid-NoBid'!$U:$U,MATCH(A227,'Bid-NoBid'!$A:$A,0))="",LEFT(INDEX('Bid-NoBid'!$U:$U,MATCH(A227,'Bid-NoBid'!$A:$A,0)),10)="Incomplete"),"Screen: "&amp;AC227,INDEX('Bid-NoBid'!$U:$U,MATCH(A227,'Bid-NoBid'!$A:$A,0))),"Screen: "&amp;AC227))</f>
        <v/>
      </c>
      <c r="V227" s="60" t="n"/>
      <c r="W227" s="70" t="inlineStr">
        <is>
          <t>Watching</t>
        </is>
      </c>
      <c r="X227" s="70" t="inlineStr">
        <is>
          <t>Frank</t>
        </is>
      </c>
      <c r="Y227" s="60" t="n"/>
      <c r="Z227" s="60" t="n"/>
      <c r="AA227" s="73" t="n">
        <v>46321</v>
      </c>
      <c r="AB227" s="74" t="inlineStr">
        <is>
          <t>Small Works / Tender</t>
        </is>
      </c>
      <c r="AC227" s="74" t="inlineStr">
        <is>
          <t>Check</t>
        </is>
      </c>
      <c r="AD227" s="74" t="inlineStr">
        <is>
          <t>Auto (Small Works / Tender): Building works but remote from Dar</t>
        </is>
      </c>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74" t="inlineStr">
        <is>
          <t>Read the notice and decide with the QS Director whether to pursue</t>
        </is>
      </c>
      <c r="AJ227" s="74" t="inlineStr">
        <is>
          <t>Auto-scan</t>
        </is>
      </c>
      <c r="AK227" s="74" t="inlineStr">
        <is>
          <t>f3ddb3f1-00f5-4482-8c0f-4b732abc1cb9</t>
        </is>
      </c>
      <c r="AL227" s="59">
        <f>IF(AND(OR(W227="Watching",W227="Preparing"),ISNUMBER(Q227)),IF(AND(Q227&gt;='Friday Summary'!$C$4,Q227&lt;='Friday Summary'!$C$4+14),Q227+ROW()/1000000,""),"")</f>
        <v/>
      </c>
    </row>
    <row r="228" ht="15" customHeight="1" s="51">
      <c r="A228" s="59">
        <f>IF(B228="","","OP-"&amp;TEXT(ROW()-4,"000"))</f>
        <v/>
      </c>
      <c r="B228" s="70" t="inlineStr">
        <is>
          <t>S10/009/2026/2027/W/33</t>
        </is>
      </c>
      <c r="C228" s="71" t="n">
        <v>46321</v>
      </c>
      <c r="D228" s="70" t="inlineStr">
        <is>
          <t>NeST</t>
        </is>
      </c>
      <c r="E228" s="70" t="inlineStr">
        <is>
          <t>https://nest.go.tz/tenders/published-tenders</t>
        </is>
      </c>
      <c r="F228" s="70" t="inlineStr">
        <is>
          <t>TARURA - Kilimanjaro Regional Office</t>
        </is>
      </c>
      <c r="G228" s="70" t="inlineStr">
        <is>
          <t>government</t>
        </is>
      </c>
      <c r="H228" s="70" t="inlineStr">
        <is>
          <t>BRIDGE CONSTRUCTION AND REPAIR AT HAI DISTRICT</t>
        </is>
      </c>
      <c r="I228" s="70" t="inlineStr">
        <is>
          <t>From NeST notice (1 lot) – read the tender document</t>
        </is>
      </c>
      <c r="J228" s="70" t="inlineStr">
        <is>
          <t>Kilimanjaro (Moshi) (from client's office – confirm site)</t>
        </is>
      </c>
      <c r="K228" s="70" t="inlineStr">
        <is>
          <t>civil</t>
        </is>
      </c>
      <c r="L228" s="70" t="inlineStr">
        <is>
          <t>NeST login needed</t>
        </is>
      </c>
      <c r="M228" s="62" t="n"/>
      <c r="N228" s="70" t="inlineStr">
        <is>
          <t>unknown</t>
        </is>
      </c>
      <c r="O228" s="71" t="inlineStr">
        <is>
          <t>NeST login needed</t>
        </is>
      </c>
      <c r="P228" s="71" t="inlineStr">
        <is>
          <t>NeST login needed</t>
        </is>
      </c>
      <c r="Q228" s="72" t="n">
        <v>46328.58333333334</v>
      </c>
      <c r="R228" s="70" t="inlineStr">
        <is>
          <t>NeST login needed</t>
        </is>
      </c>
      <c r="S228" s="70" t="inlineStr">
        <is>
          <t>N</t>
        </is>
      </c>
      <c r="T228" s="64">
        <f>IF(A228="","",IFERROR(INDEX('Bid-NoBid'!$T:$T,MATCH(A228,'Bid-NoBid'!$A:$A,0)),""))</f>
        <v/>
      </c>
      <c r="U228" s="59">
        <f>IF(A228="","",IFERROR(IF(OR(INDEX('Bid-NoBid'!$U:$U,MATCH(A228,'Bid-NoBid'!$A:$A,0))="",LEFT(INDEX('Bid-NoBid'!$U:$U,MATCH(A228,'Bid-NoBid'!$A:$A,0)),10)="Incomplete"),"Screen: "&amp;AC228,INDEX('Bid-NoBid'!$U:$U,MATCH(A228,'Bid-NoBid'!$A:$A,0))),"Screen: "&amp;AC228))</f>
        <v/>
      </c>
      <c r="V228" s="60" t="n"/>
      <c r="W228" s="70" t="inlineStr">
        <is>
          <t>Watching</t>
        </is>
      </c>
      <c r="X228" s="70" t="inlineStr">
        <is>
          <t>Frank</t>
        </is>
      </c>
      <c r="Y228" s="60" t="n"/>
      <c r="Z228" s="60" t="n"/>
      <c r="AA228" s="73" t="n">
        <v>46321</v>
      </c>
      <c r="AB228" s="74" t="inlineStr">
        <is>
          <t>Small Works / Tender</t>
        </is>
      </c>
      <c r="AC228" s="74" t="inlineStr">
        <is>
          <t>Check</t>
        </is>
      </c>
      <c r="AD228" s="74" t="inlineStr">
        <is>
          <t>Auto (Small Works / Tender): Construction tender kept for review (would have been dropped: Remote civil works)</t>
        </is>
      </c>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74" t="inlineStr">
        <is>
          <t>Read the notice and decide with the QS Director whether to pursue</t>
        </is>
      </c>
      <c r="AJ228" s="74" t="inlineStr">
        <is>
          <t>Auto-scan</t>
        </is>
      </c>
      <c r="AK228" s="74" t="inlineStr">
        <is>
          <t>a61c3f15-48bf-4dba-90ac-aa3a55f0e977</t>
        </is>
      </c>
      <c r="AL228" s="59">
        <f>IF(AND(OR(W228="Watching",W228="Preparing"),ISNUMBER(Q228)),IF(AND(Q228&gt;='Friday Summary'!$C$4,Q228&lt;='Friday Summary'!$C$4+14),Q228+ROW()/1000000,""),"")</f>
        <v/>
      </c>
    </row>
    <row r="229" ht="15" customHeight="1" s="51">
      <c r="A229" s="59">
        <f>IF(B229="","","OP-"&amp;TEXT(ROW()-4,"000"))</f>
        <v/>
      </c>
      <c r="B229" s="70" t="inlineStr">
        <is>
          <t>82N7/2026/2027/W/27</t>
        </is>
      </c>
      <c r="C229" s="71" t="n">
        <v>46321</v>
      </c>
      <c r="D229" s="70" t="inlineStr">
        <is>
          <t>NeST</t>
        </is>
      </c>
      <c r="E229" s="70" t="inlineStr">
        <is>
          <t>https://nest.go.tz/tenders/published-tenders</t>
        </is>
      </c>
      <c r="F229" s="70" t="inlineStr">
        <is>
          <t>Mbinga Town Council</t>
        </is>
      </c>
      <c r="G229" s="70" t="inlineStr">
        <is>
          <t>government</t>
        </is>
      </c>
      <c r="H229" s="70" t="inlineStr">
        <is>
          <t>CONSTRUCTION OF WAREHOUSE AND SHOPS AT MAKITA AREA IN MBINGA TOWN COUNCIL</t>
        </is>
      </c>
      <c r="I229" s="70" t="inlineStr">
        <is>
          <t>From NeST notice (1 lot) – read the tender document</t>
        </is>
      </c>
      <c r="J229" s="70" t="inlineStr">
        <is>
          <t>Ruvuma (Mbinga)</t>
        </is>
      </c>
      <c r="K229" s="70" t="inlineStr">
        <is>
          <t>building</t>
        </is>
      </c>
      <c r="L229" s="70" t="inlineStr">
        <is>
          <t>NeST login needed</t>
        </is>
      </c>
      <c r="M229" s="62" t="n"/>
      <c r="N229" s="70" t="inlineStr">
        <is>
          <t>unknown</t>
        </is>
      </c>
      <c r="O229" s="71" t="inlineStr">
        <is>
          <t>NeST login needed</t>
        </is>
      </c>
      <c r="P229" s="71" t="inlineStr">
        <is>
          <t>NeST login needed</t>
        </is>
      </c>
      <c r="Q229" s="72" t="n">
        <v>46328.58333333334</v>
      </c>
      <c r="R229" s="70" t="inlineStr">
        <is>
          <t>NeST login needed</t>
        </is>
      </c>
      <c r="S229" s="70" t="inlineStr">
        <is>
          <t>N</t>
        </is>
      </c>
      <c r="T229" s="64">
        <f>IF(A229="","",IFERROR(INDEX('Bid-NoBid'!$T:$T,MATCH(A229,'Bid-NoBid'!$A:$A,0)),""))</f>
        <v/>
      </c>
      <c r="U229" s="59">
        <f>IF(A229="","",IFERROR(IF(OR(INDEX('Bid-NoBid'!$U:$U,MATCH(A229,'Bid-NoBid'!$A:$A,0))="",LEFT(INDEX('Bid-NoBid'!$U:$U,MATCH(A229,'Bid-NoBid'!$A:$A,0)),10)="Incomplete"),"Screen: "&amp;AC229,INDEX('Bid-NoBid'!$U:$U,MATCH(A229,'Bid-NoBid'!$A:$A,0))),"Screen: "&amp;AC229))</f>
        <v/>
      </c>
      <c r="V229" s="60" t="n"/>
      <c r="W229" s="70" t="inlineStr">
        <is>
          <t>Watching</t>
        </is>
      </c>
      <c r="X229" s="70" t="inlineStr">
        <is>
          <t>Frank</t>
        </is>
      </c>
      <c r="Y229" s="60" t="n"/>
      <c r="Z229" s="60" t="n"/>
      <c r="AA229" s="73" t="n">
        <v>46321</v>
      </c>
      <c r="AB229" s="74" t="inlineStr">
        <is>
          <t>Small Works / Tender</t>
        </is>
      </c>
      <c r="AC229" s="74" t="inlineStr">
        <is>
          <t>Check</t>
        </is>
      </c>
      <c r="AD229" s="74" t="inlineStr">
        <is>
          <t>Auto (Small Works / Tender): Building works but remote from Dar</t>
        </is>
      </c>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74" t="inlineStr">
        <is>
          <t>Read the notice and decide with the QS Director whether to pursue</t>
        </is>
      </c>
      <c r="AJ229" s="74" t="inlineStr">
        <is>
          <t>Auto-scan</t>
        </is>
      </c>
      <c r="AK229" s="74" t="inlineStr">
        <is>
          <t>9c8a2dc3-da2b-4fe0-923d-664177a88d66</t>
        </is>
      </c>
      <c r="AL229" s="59">
        <f>IF(AND(OR(W229="Watching",W229="Preparing"),ISNUMBER(Q229)),IF(AND(Q229&gt;='Friday Summary'!$C$4,Q229&lt;='Friday Summary'!$C$4+14),Q229+ROW()/1000000,""),"")</f>
        <v/>
      </c>
    </row>
    <row r="230" ht="15" customHeight="1" s="51">
      <c r="A230" s="59">
        <f>IF(B230="","","OP-"&amp;TEXT(ROW()-4,"000"))</f>
        <v/>
      </c>
      <c r="B230" s="70" t="inlineStr">
        <is>
          <t>STC/AF/BDC/W/01/2026-2027</t>
        </is>
      </c>
      <c r="C230" s="71" t="n">
        <v>46321</v>
      </c>
      <c r="D230" s="70" t="inlineStr">
        <is>
          <t>press</t>
        </is>
      </c>
      <c r="E230" s="70" t="inlineStr">
        <is>
          <t>https://www.ddotenders.co.tz/tender.php?page=home</t>
        </is>
      </c>
      <c r="F230" s="70" t="inlineStr">
        <is>
          <t>So They Can (STC)</t>
        </is>
      </c>
      <c r="G230" s="70" t="inlineStr">
        <is>
          <t>government</t>
        </is>
      </c>
      <c r="H230" s="70" t="inlineStr">
        <is>
          <t>Extension of Orng’Adida School</t>
        </is>
      </c>
      <c r="I230" s="70" t="inlineStr">
        <is>
          <t>From press notice (1 lot) – read the tender document</t>
        </is>
      </c>
      <c r="J230" s="70" t="inlineStr">
        <is>
          <t>Dar es Salaam</t>
        </is>
      </c>
      <c r="K230" s="70" t="inlineStr">
        <is>
          <t>building</t>
        </is>
      </c>
      <c r="L230" s="70" t="inlineStr">
        <is>
          <t>See tender document</t>
        </is>
      </c>
      <c r="M230" s="62" t="n"/>
      <c r="N230" s="70" t="inlineStr">
        <is>
          <t>unknown</t>
        </is>
      </c>
      <c r="O230" s="71" t="inlineStr">
        <is>
          <t>See tender document</t>
        </is>
      </c>
      <c r="P230" s="71" t="inlineStr">
        <is>
          <t>See tender document</t>
        </is>
      </c>
      <c r="Q230" s="72" t="n">
        <v>46332.41666666666</v>
      </c>
      <c r="R230" s="70" t="inlineStr">
        <is>
          <t>See tender document</t>
        </is>
      </c>
      <c r="S230" s="70" t="inlineStr">
        <is>
          <t>N</t>
        </is>
      </c>
      <c r="T230" s="64">
        <f>IF(A230="","",IFERROR(INDEX('Bid-NoBid'!$T:$T,MATCH(A230,'Bid-NoBid'!$A:$A,0)),""))</f>
        <v/>
      </c>
      <c r="U230" s="59">
        <f>IF(A230="","",IFERROR(IF(OR(INDEX('Bid-NoBid'!$U:$U,MATCH(A230,'Bid-NoBid'!$A:$A,0))="",LEFT(INDEX('Bid-NoBid'!$U:$U,MATCH(A230,'Bid-NoBid'!$A:$A,0)),10)="Incomplete"),"Screen: "&amp;AC230,INDEX('Bid-NoBid'!$U:$U,MATCH(A230,'Bid-NoBid'!$A:$A,0))),"Screen: "&amp;AC230))</f>
        <v/>
      </c>
      <c r="V230" s="60" t="n"/>
      <c r="W230" s="70" t="inlineStr">
        <is>
          <t>Watching</t>
        </is>
      </c>
      <c r="X230" s="70" t="inlineStr">
        <is>
          <t>Frank</t>
        </is>
      </c>
      <c r="Y230" s="60" t="n"/>
      <c r="Z230" s="60" t="n"/>
      <c r="AA230" s="73" t="n">
        <v>46321</v>
      </c>
      <c r="AB230" s="74" t="inlineStr">
        <is>
          <t>DDO Tenders (newspaper / private / donor)</t>
        </is>
      </c>
      <c r="AC230" s="74" t="inlineStr">
        <is>
          <t>Pursue</t>
        </is>
      </c>
      <c r="AD230" s="74" t="inlineStr">
        <is>
          <t>Auto (DDO Tenders): Building works within reach of Dar · deadline read from the web page – confirm</t>
        </is>
      </c>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74" t="inlineStr">
        <is>
          <t>Get the tender document, confirm value, CRB class, site visit and bid security; brief the MD</t>
        </is>
      </c>
      <c r="AJ230" s="74" t="inlineStr">
        <is>
          <t>Auto-scan</t>
        </is>
      </c>
      <c r="AK230" s="74" t="inlineStr">
        <is>
          <t>DDO:3104</t>
        </is>
      </c>
      <c r="AL230" s="59">
        <f>IF(AND(OR(W230="Watching",W230="Preparing"),ISNUMBER(Q230)),IF(AND(Q230&gt;='Friday Summary'!$C$4,Q230&lt;='Friday Summary'!$C$4+14),Q230+ROW()/1000000,""),"")</f>
        <v/>
      </c>
    </row>
    <row r="231" ht="15" customHeight="1" s="51">
      <c r="A231" s="59">
        <f>IF(B231="","","OP-"&amp;TEXT(ROW()-4,"000"))</f>
        <v/>
      </c>
      <c r="B231" s="70" t="inlineStr">
        <is>
          <t>(not shown)</t>
        </is>
      </c>
      <c r="C231" s="71" t="n">
        <v>46321</v>
      </c>
      <c r="D231" s="70" t="inlineStr">
        <is>
          <t>press</t>
        </is>
      </c>
      <c r="E231" s="70" t="inlineStr">
        <is>
          <t>https://www.tanzaniatenders.com/tender/upgrading-ndameni-usongo-kwalakamu-road-4-8km-and-kisale-dispensary-mahorosha-road-1-75km-9072c0a.php</t>
        </is>
      </c>
      <c r="F231" s="70" t="inlineStr">
        <is>
          <t>See advert</t>
        </is>
      </c>
      <c r="G231" s="70" t="inlineStr">
        <is>
          <t>government</t>
        </is>
      </c>
      <c r="H231" s="70" t="inlineStr">
        <is>
          <t>Upgrading of Ndameni - Usongo - Kwalakamu Road (4.8Km) and Kisale Dispensary - Mahorosha Road (1.75Km) to Gravel Standard in Rombo District.</t>
        </is>
      </c>
      <c r="I231" s="70" t="inlineStr">
        <is>
          <t>From press notice (1 lot) – read the tender document</t>
        </is>
      </c>
      <c r="J231" s="70" t="inlineStr">
        <is>
          <t>Not stated – read the notice</t>
        </is>
      </c>
      <c r="K231" s="70" t="inlineStr">
        <is>
          <t>civil</t>
        </is>
      </c>
      <c r="L231" s="70" t="inlineStr">
        <is>
          <t>See tender document</t>
        </is>
      </c>
      <c r="M231" s="62" t="n"/>
      <c r="N231" s="70" t="inlineStr">
        <is>
          <t>unknown</t>
        </is>
      </c>
      <c r="O231" s="71" t="inlineStr">
        <is>
          <t>See tender document</t>
        </is>
      </c>
      <c r="P231" s="71" t="inlineStr">
        <is>
          <t>See tender document</t>
        </is>
      </c>
      <c r="Q231" s="72" t="n">
        <v>46328.41666666666</v>
      </c>
      <c r="R231" s="70" t="inlineStr">
        <is>
          <t>See tender document</t>
        </is>
      </c>
      <c r="S231" s="70" t="inlineStr">
        <is>
          <t>N</t>
        </is>
      </c>
      <c r="T231" s="64">
        <f>IF(A231="","",IFERROR(INDEX('Bid-NoBid'!$T:$T,MATCH(A231,'Bid-NoBid'!$A:$A,0)),""))</f>
        <v/>
      </c>
      <c r="U231" s="59">
        <f>IF(A231="","",IFERROR(IF(OR(INDEX('Bid-NoBid'!$U:$U,MATCH(A231,'Bid-NoBid'!$A:$A,0))="",LEFT(INDEX('Bid-NoBid'!$U:$U,MATCH(A231,'Bid-NoBid'!$A:$A,0)),10)="Incomplete"),"Screen: "&amp;AC231,INDEX('Bid-NoBid'!$U:$U,MATCH(A231,'Bid-NoBid'!$A:$A,0))),"Screen: "&amp;AC231))</f>
        <v/>
      </c>
      <c r="V231" s="60" t="n"/>
      <c r="W231" s="70" t="inlineStr">
        <is>
          <t>Watching</t>
        </is>
      </c>
      <c r="X231" s="70" t="inlineStr">
        <is>
          <t>Frank</t>
        </is>
      </c>
      <c r="Y231" s="60" t="n"/>
      <c r="Z231" s="60" t="n"/>
      <c r="AA231" s="73" t="n"/>
      <c r="AB231" s="74" t="inlineStr">
        <is>
          <t>TanzaniaTenders.com (newspapers / portals / private)</t>
        </is>
      </c>
      <c r="AC231" s="74" t="inlineStr">
        <is>
          <t>Check</t>
        </is>
      </c>
      <c r="AD231" s="74" t="inlineStr">
        <is>
          <t>Auto (TanzaniaTenders.com): Civil works – confirm site, CRB class and margin · deadline read from the web page – confirm</t>
        </is>
      </c>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74" t="inlineStr">
        <is>
          <t>Read the notice and decide with the QS Director whether to pursue</t>
        </is>
      </c>
      <c r="AJ231" s="74" t="inlineStr">
        <is>
          <t>Auto-scan</t>
        </is>
      </c>
      <c r="AK231" s="74" t="inlineStr">
        <is>
          <t>TZT:151464970</t>
        </is>
      </c>
      <c r="AL231" s="59">
        <f>IF(AND(OR(W231="Watching",W231="Preparing"),ISNUMBER(Q231)),IF(AND(Q231&gt;='Friday Summary'!$C$4,Q231&lt;='Friday Summary'!$C$4+14),Q231+ROW()/1000000,""),"")</f>
        <v/>
      </c>
    </row>
    <row r="232" ht="15" customHeight="1" s="51">
      <c r="A232" s="59">
        <f>IF(B232="","","OP-"&amp;TEXT(ROW()-4,"000"))</f>
        <v/>
      </c>
      <c r="B232" s="70" t="inlineStr">
        <is>
          <t>(not shown)</t>
        </is>
      </c>
      <c r="C232" s="71" t="n">
        <v>46321</v>
      </c>
      <c r="D232" s="70" t="inlineStr">
        <is>
          <t>press</t>
        </is>
      </c>
      <c r="E232" s="70" t="inlineStr">
        <is>
          <t>https://www.tanzaniatenders.com/tender/proposed-construction-es-office-buildings-and-associated-structures-zonal-office-9064430.php</t>
        </is>
      </c>
      <c r="F232" s="70" t="inlineStr">
        <is>
          <t>See advert</t>
        </is>
      </c>
      <c r="G232" s="70" t="inlineStr">
        <is>
          <t>government</t>
        </is>
      </c>
      <c r="H232" s="70" t="inlineStr">
        <is>
          <t>Proposed Construction of Es Office Buildings and Associated Structures at Zonal Office.</t>
        </is>
      </c>
      <c r="I232" s="70" t="inlineStr">
        <is>
          <t>From press notice (1 lot) – read the tender document</t>
        </is>
      </c>
      <c r="J232" s="70" t="inlineStr">
        <is>
          <t>Not stated – read the notice</t>
        </is>
      </c>
      <c r="K232" s="70" t="inlineStr">
        <is>
          <t>building</t>
        </is>
      </c>
      <c r="L232" s="70" t="inlineStr">
        <is>
          <t>See tender document</t>
        </is>
      </c>
      <c r="M232" s="62" t="n"/>
      <c r="N232" s="70" t="inlineStr">
        <is>
          <t>unknown</t>
        </is>
      </c>
      <c r="O232" s="71" t="inlineStr">
        <is>
          <t>See tender document</t>
        </is>
      </c>
      <c r="P232" s="71" t="inlineStr">
        <is>
          <t>See tender document</t>
        </is>
      </c>
      <c r="Q232" s="72" t="n">
        <v>46331.41666666666</v>
      </c>
      <c r="R232" s="70" t="inlineStr">
        <is>
          <t>See tender document</t>
        </is>
      </c>
      <c r="S232" s="70" t="inlineStr">
        <is>
          <t>N</t>
        </is>
      </c>
      <c r="T232" s="64">
        <f>IF(A232="","",IFERROR(INDEX('Bid-NoBid'!$T:$T,MATCH(A232,'Bid-NoBid'!$A:$A,0)),""))</f>
        <v/>
      </c>
      <c r="U232" s="59">
        <f>IF(A232="","",IFERROR(IF(OR(INDEX('Bid-NoBid'!$U:$U,MATCH(A232,'Bid-NoBid'!$A:$A,0))="",LEFT(INDEX('Bid-NoBid'!$U:$U,MATCH(A232,'Bid-NoBid'!$A:$A,0)),10)="Incomplete"),"Screen: "&amp;AC232,INDEX('Bid-NoBid'!$U:$U,MATCH(A232,'Bid-NoBid'!$A:$A,0))),"Screen: "&amp;AC232))</f>
        <v/>
      </c>
      <c r="V232" s="60" t="n"/>
      <c r="W232" s="70" t="inlineStr">
        <is>
          <t>Watching</t>
        </is>
      </c>
      <c r="X232" s="70" t="inlineStr">
        <is>
          <t>Frank</t>
        </is>
      </c>
      <c r="Y232" s="60" t="n"/>
      <c r="Z232" s="60" t="n"/>
      <c r="AA232" s="73" t="n"/>
      <c r="AB232" s="74" t="inlineStr">
        <is>
          <t>TanzaniaTenders.com (newspapers / portals / private)</t>
        </is>
      </c>
      <c r="AC232" s="74" t="inlineStr">
        <is>
          <t>Check</t>
        </is>
      </c>
      <c r="AD232" s="74" t="inlineStr">
        <is>
          <t>Auto (TanzaniaTenders.com): Site not stated in the listing – read the notice · deadline read from the web page – confirm</t>
        </is>
      </c>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74" t="inlineStr">
        <is>
          <t>Read the notice and decide with the QS Director whether to pursue</t>
        </is>
      </c>
      <c r="AJ232" s="74" t="inlineStr">
        <is>
          <t>Auto-scan</t>
        </is>
      </c>
      <c r="AK232" s="74" t="inlineStr">
        <is>
          <t>TZT:151405616</t>
        </is>
      </c>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v>1</v>
      </c>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v>1</v>
      </c>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v>1</v>
      </c>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v>5</v>
      </c>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8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row r="77">
      <c r="A77" s="113" t="n">
        <v>46319</v>
      </c>
      <c r="B77" s="103" t="inlineStr">
        <is>
          <t>Automatic scan (all sources)</t>
        </is>
      </c>
      <c r="C77" s="103" t="inlineStr"/>
      <c r="D7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2 new added to Pipeline (TanzaniaTenders.com: 2); 1 screened out; 0 deadline change(s)</t>
        </is>
      </c>
      <c r="E77" s="103" t="n">
        <v>2</v>
      </c>
      <c r="F77" s="103" t="inlineStr">
        <is>
          <t>Auto-scanner</t>
        </is>
      </c>
    </row>
    <row r="78">
      <c r="A78" s="113" t="n">
        <v>46319</v>
      </c>
      <c r="B78" s="103" t="inlineStr">
        <is>
          <t>Automatic scan (all sources)</t>
        </is>
      </c>
      <c r="C78" s="103" t="inlineStr"/>
      <c r="D7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1 new added to Pipeline (TanzaniaTenders.com: 1); 0 screened out; 0 deadline change(s)</t>
        </is>
      </c>
      <c r="E78" s="103" t="n">
        <v>1</v>
      </c>
      <c r="F78" s="103" t="inlineStr">
        <is>
          <t>Auto-scanner</t>
        </is>
      </c>
    </row>
    <row r="79">
      <c r="A79" s="113" t="n">
        <v>46319</v>
      </c>
      <c r="B79" s="103" t="inlineStr">
        <is>
          <t>Automatic scan (all sources)</t>
        </is>
      </c>
      <c r="C79" s="103" t="inlineStr"/>
      <c r="D7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(BidDetail: 2); 0 screened out; 0 deadline change(s)</t>
        </is>
      </c>
      <c r="E79" s="103" t="n">
        <v>2</v>
      </c>
      <c r="F79" s="103" t="inlineStr">
        <is>
          <t>Auto-scanner</t>
        </is>
      </c>
    </row>
    <row r="80">
      <c r="A80" s="113" t="n">
        <v>46321</v>
      </c>
      <c r="B80" s="103" t="inlineStr">
        <is>
          <t>Automatic scan (all sources)</t>
        </is>
      </c>
      <c r="C80" s="103" t="inlineStr"/>
      <c r="D8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IUCEA procurement, ESAMI (Arusha) procurement, Shelter Afrique procurement, OPEC Fund procurement, IRC (International Rescue Committee) procurement, Norwegian Refugee Council procurement, Welthungerhilfe tenders, Concern Worldwide tenders: 3 new added to Pipeline (Small Works: 3); 2 screened out; 0 deadline change(s)</t>
        </is>
      </c>
      <c r="E80" s="103" t="n">
        <v>3</v>
      </c>
      <c r="F80" s="103" t="inlineStr">
        <is>
          <t>Auto-scanner</t>
        </is>
      </c>
    </row>
    <row r="81">
      <c r="A81" s="113" t="n">
        <v>46321</v>
      </c>
      <c r="B81" s="103" t="inlineStr">
        <is>
          <t>Automatic scan (all sources)</t>
        </is>
      </c>
      <c r="C81" s="103" t="inlineStr"/>
      <c r="D81"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1 new added to Pipeline (DDO Tenders: 1); 0 screened out; 0 deadline change(s)</t>
        </is>
      </c>
      <c r="E81" s="103" t="n">
        <v>1</v>
      </c>
      <c r="F81" s="103" t="inlineStr">
        <is>
          <t>Auto-scanner</t>
        </is>
      </c>
    </row>
    <row r="82">
      <c r="A82" s="113" t="n">
        <v>46321</v>
      </c>
      <c r="B82" s="103" t="inlineStr">
        <is>
          <t>Automatic scan (all sources)</t>
        </is>
      </c>
      <c r="C82" s="103" t="inlineStr"/>
      <c r="D82" s="103" t="inlineStr">
        <is>
          <t>Automatic scan of World Bank (Tanzania, civil works),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3 screened out; 0 deadline change(s)</t>
        </is>
      </c>
      <c r="E82" s="103" t="n">
        <v>2</v>
      </c>
      <c r="F82" s="103" t="inlineStr">
        <is>
          <t>Auto-scanner</t>
        </is>
      </c>
    </row>
    <row r="83">
      <c r="A83" s="113" t="n">
        <v>46322</v>
      </c>
      <c r="B83" s="103" t="inlineStr">
        <is>
          <t>Automatic scan (all sources)</t>
        </is>
      </c>
      <c r="C83" s="103" t="inlineStr"/>
      <c r="D8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 screened out; 0 deadline change(s)</t>
        </is>
      </c>
      <c r="E83" s="103" t="n">
        <v>0</v>
      </c>
      <c r="F83"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3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row r="127">
      <c r="A127" s="114" t="n">
        <v>46319</v>
      </c>
      <c r="B127" s="111" t="inlineStr"/>
      <c r="C127" s="111" t="inlineStr">
        <is>
          <t>See advert</t>
        </is>
      </c>
      <c r="D127" s="111" t="inlineStr">
        <is>
          <t>Bridge preventive works along KIA - JCT - Namanga, TCA JCT - Minjingu, Makuyuni - Ngorongoro, and Matala - Njia Panda trunk roads. **</t>
        </is>
      </c>
      <c r="E127" s="111" t="inlineStr">
        <is>
          <t>Arusha (Ngorongoro)</t>
        </is>
      </c>
      <c r="F127" s="111" t="inlineStr">
        <is>
          <t>civil</t>
        </is>
      </c>
      <c r="G127" s="115" t="n">
        <v>46325.41666666666</v>
      </c>
      <c r="H127" s="111" t="inlineStr">
        <is>
          <t>Auto (TanzaniaTenders.com): Remote civil works · deadline read from the web page – confirm</t>
        </is>
      </c>
      <c r="I127" s="111" t="inlineStr">
        <is>
          <t>TZT:151405527</t>
        </is>
      </c>
      <c r="J127" s="111" t="inlineStr">
        <is>
          <t>press</t>
        </is>
      </c>
      <c r="K127" s="111" t="inlineStr">
        <is>
          <t>https://www.tanzaniatenders.com/tender/bridge-preventive-works-along-kia-jct-namanga-tca-jct-minjingu-makuyuni-ngorongoro-and-ma-90643d7.php</t>
        </is>
      </c>
    </row>
    <row r="128">
      <c r="A128" s="114" t="n">
        <v>46321</v>
      </c>
      <c r="B128" s="111" t="inlineStr">
        <is>
          <t>S10/009/2026/2027/W/137</t>
        </is>
      </c>
      <c r="C128" s="111" t="inlineStr">
        <is>
          <t>TARURA - Kilimanjaro Regional Office</t>
        </is>
      </c>
      <c r="D128" s="111" t="inlineStr">
        <is>
          <t>Upgrading of KKKT Church Mwanga road to Double Surface Dressing in Mwanga District.</t>
        </is>
      </c>
      <c r="E128" s="111" t="inlineStr">
        <is>
          <t>Kilimanjaro (Mwanga)</t>
        </is>
      </c>
      <c r="F128" s="111" t="inlineStr">
        <is>
          <t>civil</t>
        </is>
      </c>
      <c r="G128" s="115" t="n">
        <v>46328.41666666666</v>
      </c>
      <c r="H128" s="111" t="inlineStr">
        <is>
          <t>Auto (Small Works / Tender): Large road works, likely above Civil Class IV – JV only (escalate to MD if of interest)</t>
        </is>
      </c>
      <c r="I128" s="111" t="inlineStr">
        <is>
          <t>501ee9ee-c2d0-4a81-8d40-54520212bd84</t>
        </is>
      </c>
      <c r="J128" s="111" t="inlineStr">
        <is>
          <t>NeST</t>
        </is>
      </c>
      <c r="K128" s="111" t="inlineStr">
        <is>
          <t>https://nest.go.tz/tenders/published-tenders</t>
        </is>
      </c>
    </row>
    <row r="129">
      <c r="A129" s="114" t="n">
        <v>46321</v>
      </c>
      <c r="B129" s="111" t="inlineStr">
        <is>
          <t>S10/009/2026/2027/W/183</t>
        </is>
      </c>
      <c r="C129" s="111" t="inlineStr">
        <is>
          <t>TARURA - Kilimanjaro Regional Office</t>
        </is>
      </c>
      <c r="D129" s="111" t="inlineStr">
        <is>
          <t>UPGRADING OF NDAMENI - USONGO - KWALAKAMU ROAD (4.8km) and KISALE DISPENSARY - MAHOROSHA ROAD (1.75km) TO GRAVEL STANDARD IN ROMBO DISTRICT.</t>
        </is>
      </c>
      <c r="E129" s="111" t="inlineStr">
        <is>
          <t>Kilimanjaro (Moshi) (from client's office – confirm site)</t>
        </is>
      </c>
      <c r="F129" s="111" t="inlineStr">
        <is>
          <t>civil</t>
        </is>
      </c>
      <c r="G129" s="115" t="n">
        <v>46328.41666666666</v>
      </c>
      <c r="H129" s="111" t="inlineStr">
        <is>
          <t>Auto (Small Works / Tender): Remote civil works</t>
        </is>
      </c>
      <c r="I129" s="111" t="inlineStr">
        <is>
          <t>3fddbbf1-9557-45a3-ab9d-0f8d23a368f1</t>
        </is>
      </c>
      <c r="J129" s="111" t="inlineStr">
        <is>
          <t>NeST</t>
        </is>
      </c>
      <c r="K129" s="111" t="inlineStr">
        <is>
          <t>https://nest.go.tz/tenders/published-tenders</t>
        </is>
      </c>
    </row>
    <row r="130">
      <c r="A130" s="114" t="n">
        <v>46321</v>
      </c>
      <c r="B130" s="111" t="inlineStr"/>
      <c r="C130" s="111" t="inlineStr">
        <is>
          <t>See advert</t>
        </is>
      </c>
      <c r="D130" s="111" t="inlineStr">
        <is>
          <t>Upgrading of Kkkt Church Mwanga Road to Double Surface Dressing in Mwanga District.</t>
        </is>
      </c>
      <c r="E130" s="111" t="inlineStr">
        <is>
          <t>Kilimanjaro (Mwanga)</t>
        </is>
      </c>
      <c r="F130" s="111" t="inlineStr">
        <is>
          <t>civil</t>
        </is>
      </c>
      <c r="G130" s="115" t="n">
        <v>46328.41666666666</v>
      </c>
      <c r="H130" s="111" t="inlineStr">
        <is>
          <t>Auto (TanzaniaTenders.com): Large road works, likely above Civil Class IV – JV only (escalate to MD if of interest) · deadline read from the web page – confirm</t>
        </is>
      </c>
      <c r="I130" s="111" t="inlineStr">
        <is>
          <t>TZT:151464972</t>
        </is>
      </c>
      <c r="J130" s="111" t="inlineStr">
        <is>
          <t>press</t>
        </is>
      </c>
      <c r="K130" s="111" t="inlineStr">
        <is>
          <t>https://www.tanzaniatenders.com/tender/upgrading-kkkt-church-mwanga-road-double-surface-dressing-mwanga-district-9072c0c.php</t>
        </is>
      </c>
    </row>
    <row r="131">
      <c r="A131" s="114" t="n">
        <v>46321</v>
      </c>
      <c r="B131" s="111" t="inlineStr"/>
      <c r="C131" s="111" t="inlineStr">
        <is>
          <t>See advert</t>
        </is>
      </c>
      <c r="D131" s="111" t="inlineStr">
        <is>
          <t>Spot Improvement Works 0.44Km Along Bus Stand-Dc Office Road, Spot Improvement Works 0.31Km Along Ccm-Rc Church Road, Spot Improvement Works 0.15Km Along Sweet Corner Road, Spot Improvement Works 0.25...</t>
        </is>
      </c>
      <c r="E131" s="111" t="inlineStr">
        <is>
          <t>Not stated – read the notice</t>
        </is>
      </c>
      <c r="F131" s="111" t="inlineStr">
        <is>
          <t>civil</t>
        </is>
      </c>
      <c r="G131" s="115" t="n">
        <v>46325.41666666666</v>
      </c>
      <c r="H131" s="111" t="inlineStr">
        <is>
          <t>Auto (TanzaniaTenders.com): Remote civil works · deadline read from the web page – confirm</t>
        </is>
      </c>
      <c r="I131" s="111" t="inlineStr">
        <is>
          <t>TZT:151405538</t>
        </is>
      </c>
      <c r="J131" s="111" t="inlineStr">
        <is>
          <t>press</t>
        </is>
      </c>
      <c r="K131" s="111" t="inlineStr">
        <is>
          <t>https://www.tanzaniatenders.com/tender/spot-improvement-works-0-44km-along-bus-stand-dc-office-road-spot-improvement-works-0-31km-along-cc-90643e2.php</t>
        </is>
      </c>
    </row>
    <row r="132">
      <c r="A132" s="114" t="n">
        <v>46321</v>
      </c>
      <c r="B132" s="111" t="inlineStr"/>
      <c r="C132" s="111" t="inlineStr">
        <is>
          <t>See advert</t>
        </is>
      </c>
      <c r="D132" s="111" t="inlineStr">
        <is>
          <t>Periodic Maintenance Works 0.1Km Along Bukoko-Mtunguru-Mwajinjama Road, Periodic Maintenance Works 0.1Km Along Matinje-Mwasung'ho Road, Periodic Maintenance Works 0.1Km Along Ibologero-Choma Road And....</t>
        </is>
      </c>
      <c r="E132" s="111" t="inlineStr">
        <is>
          <t>Not stated – read the notice</t>
        </is>
      </c>
      <c r="F132" s="111" t="inlineStr">
        <is>
          <t>civil</t>
        </is>
      </c>
      <c r="G132" s="115" t="n">
        <v>46325.41666666666</v>
      </c>
      <c r="H132" s="111" t="inlineStr">
        <is>
          <t>Auto (TanzaniaTenders.com): Remote civil works · deadline read from the web page – confirm</t>
        </is>
      </c>
      <c r="I132" s="111" t="inlineStr">
        <is>
          <t>TZT:151405534</t>
        </is>
      </c>
      <c r="J132" s="111" t="inlineStr">
        <is>
          <t>press</t>
        </is>
      </c>
      <c r="K132" s="111" t="inlineStr">
        <is>
          <t>https://www.tanzaniatenders.com/tender/periodic-maintenance-works-0-1km-along-bukoko-mtunguru-mwajinjama-road-periodic-maintenance-works-0-90643de.php</t>
        </is>
      </c>
    </row>
    <row r="133">
      <c r="A133" s="114" t="n">
        <v>46322</v>
      </c>
      <c r="B133" s="111" t="inlineStr">
        <is>
          <t>90DD1/2026/2027/W/05</t>
        </is>
      </c>
      <c r="C133" s="111" t="inlineStr">
        <is>
          <t>Songwe District Council</t>
        </is>
      </c>
      <c r="D133" s="111" t="inlineStr">
        <is>
          <t>UMALIZIAJI WA JENGO LA HALMASHAURI YA WILAYA YA SONGWE.</t>
        </is>
      </c>
      <c r="E133" s="111" t="inlineStr">
        <is>
          <t>Songwe</t>
        </is>
      </c>
      <c r="F133" s="111" t="inlineStr">
        <is>
          <t>building</t>
        </is>
      </c>
      <c r="G133" s="115" t="n">
        <v>46328.45833333334</v>
      </c>
      <c r="H133" s="111" t="inlineStr">
        <is>
          <t>Auto (Small Works / Tender): Remote and closing soon</t>
        </is>
      </c>
      <c r="I133" s="111" t="inlineStr">
        <is>
          <t>8ecf3ba7-16db-4c2a-9f0a-814dff405748</t>
        </is>
      </c>
      <c r="J133" s="111" t="inlineStr">
        <is>
          <t>NeST</t>
        </is>
      </c>
      <c r="K13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2026-10-27T05:49:30Z</dcterms:modified>
  <cp:revision>0</cp:revision>
</cp:coreProperties>
</file>