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46325.58333333334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Deadline changed at source 23-Oct (was 26-Oct 14:00). Deadline changed at source 19-Oct (was 19-Oct 14:00). 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46328.58333333334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Deadline changed at source 20-Oct (was 21-Oct 14:00). 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70" t="inlineStr">
        <is>
          <t>(not shown)</t>
        </is>
      </c>
      <c r="C171" s="71" t="n">
        <v>46312</v>
      </c>
      <c r="D171" s="70" t="inlineStr">
        <is>
          <t>press</t>
        </is>
      </c>
      <c r="E171" s="70" t="inlineStr">
        <is>
          <t>https://www.tanzaniatenders.com/tender/proposed-construction-national-prosecutions-service-nps-regional-office-building-mara-plot-no-611-9015d0f.php</t>
        </is>
      </c>
      <c r="F171" s="70" t="inlineStr">
        <is>
          <t>See advert</t>
        </is>
      </c>
      <c r="G171" s="70" t="inlineStr">
        <is>
          <t>government</t>
        </is>
      </c>
      <c r="H171" s="70" t="inlineStr">
        <is>
          <t>Proposed Construction of National Prosecutions Service (Nps) Regional Office Building at Mara on Plot No.611 Block C at Bweri in Musoma Municipality</t>
        </is>
      </c>
      <c r="I171" s="70" t="inlineStr">
        <is>
          <t>From press notice (1 lot) – read the tender document</t>
        </is>
      </c>
      <c r="J171" s="70" t="inlineStr">
        <is>
          <t>Mara (Musoma)</t>
        </is>
      </c>
      <c r="K171" s="70" t="inlineStr">
        <is>
          <t>building</t>
        </is>
      </c>
      <c r="L171" s="70" t="inlineStr">
        <is>
          <t>See tender document</t>
        </is>
      </c>
      <c r="M171" s="62" t="n"/>
      <c r="N171" s="70" t="inlineStr">
        <is>
          <t>unknown</t>
        </is>
      </c>
      <c r="O171" s="71" t="inlineStr">
        <is>
          <t>See tender document</t>
        </is>
      </c>
      <c r="P171" s="71" t="inlineStr">
        <is>
          <t>See tender document</t>
        </is>
      </c>
      <c r="Q171" s="72" t="n">
        <v>46317.41666666666</v>
      </c>
      <c r="R171" s="70" t="inlineStr">
        <is>
          <t>See tender document</t>
        </is>
      </c>
      <c r="S171" s="70" t="inlineStr">
        <is>
          <t>N</t>
        </is>
      </c>
      <c r="T171" s="64">
        <f>IF(A171="","",IFERROR(INDEX('Bid-NoBid'!$T:$T,MATCH(A171,'Bid-NoBid'!$A:$A,0)),""))</f>
        <v/>
      </c>
      <c r="U171" s="59">
        <f>IF(A171="","",IFERROR(IF(OR(INDEX('Bid-NoBid'!$U:$U,MATCH(A171,'Bid-NoBid'!$A:$A,0))="",LEFT(INDEX('Bid-NoBid'!$U:$U,MATCH(A171,'Bid-NoBid'!$A:$A,0)),10)="Incomplete"),"Screen: "&amp;AC171,INDEX('Bid-NoBid'!$U:$U,MATCH(A171,'Bid-NoBid'!$A:$A,0))),"Screen: "&amp;AC171))</f>
        <v/>
      </c>
      <c r="V171" s="60" t="n"/>
      <c r="W171" s="70" t="inlineStr">
        <is>
          <t>Watching</t>
        </is>
      </c>
      <c r="X171" s="70" t="inlineStr">
        <is>
          <t>Frank</t>
        </is>
      </c>
      <c r="Y171" s="60" t="n"/>
      <c r="Z171" s="60" t="n"/>
      <c r="AA171" s="73" t="n"/>
      <c r="AB171" s="74" t="inlineStr">
        <is>
          <t>TanzaniaTenders.com (newspapers / portals / private)</t>
        </is>
      </c>
      <c r="AC171" s="74" t="inlineStr">
        <is>
          <t>Check</t>
        </is>
      </c>
      <c r="AD171" s="74" t="inlineStr">
        <is>
          <t>Auto (TanzaniaTenders.com): Construction tender kept for review (would have been dropped: Remote and closing soon) · deadline read from the web page – confirm</t>
        </is>
      </c>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74" t="inlineStr">
        <is>
          <t>Read the notice and decide with the QS Director whether to pursue</t>
        </is>
      </c>
      <c r="AJ171" s="74" t="inlineStr">
        <is>
          <t>Auto-scan</t>
        </is>
      </c>
      <c r="AK171" s="74" t="inlineStr">
        <is>
          <t>TZT:151084303</t>
        </is>
      </c>
      <c r="AL171" s="59">
        <f>IF(AND(OR(W171="Watching",W171="Preparing"),ISNUMBER(Q171)),IF(AND(Q171&gt;='Friday Summary'!$C$4,Q171&lt;='Friday Summary'!$C$4+14),Q171+ROW()/1000000,""),"")</f>
        <v/>
      </c>
    </row>
    <row r="172" ht="15" customHeight="1" s="51">
      <c r="A172" s="59">
        <f>IF(B172="","","OP-"&amp;TEXT(ROW()-4,"000"))</f>
        <v/>
      </c>
      <c r="B172" s="70" t="inlineStr">
        <is>
          <t>(not shown)</t>
        </is>
      </c>
      <c r="C172" s="71" t="n">
        <v>46312</v>
      </c>
      <c r="D172" s="70" t="inlineStr">
        <is>
          <t>press</t>
        </is>
      </c>
      <c r="E172" s="70" t="inlineStr">
        <is>
          <t>https://www.tanzaniatenders.com/tender/rehabilitation-works-between-km-46-900-km-51-400-along-mkalama-mwangeza-kidarafa-unpaved-r-9015cdf.php</t>
        </is>
      </c>
      <c r="F172" s="70" t="inlineStr">
        <is>
          <t>See advert</t>
        </is>
      </c>
      <c r="G172" s="70" t="inlineStr">
        <is>
          <t>government</t>
        </is>
      </c>
      <c r="H172" s="70" t="inlineStr">
        <is>
          <t>Rehabilitation Works between Km 46 + 900 - Km 51 + 400 Along Mkalama - Mwangeza - Kidarafa Unpaved Regional Road (R437) to be Financed through Development Consolidated Funds and Rehabilitation Works B...</t>
        </is>
      </c>
      <c r="I172" s="70" t="inlineStr">
        <is>
          <t>From press notice (1 lot) – read the tender document</t>
        </is>
      </c>
      <c r="J172" s="70" t="inlineStr">
        <is>
          <t>Not stated – read the notice</t>
        </is>
      </c>
      <c r="K172" s="70" t="inlineStr">
        <is>
          <t>civil</t>
        </is>
      </c>
      <c r="L172" s="70" t="inlineStr">
        <is>
          <t>See tender document</t>
        </is>
      </c>
      <c r="M172" s="62" t="n"/>
      <c r="N172" s="70" t="inlineStr">
        <is>
          <t>unknown</t>
        </is>
      </c>
      <c r="O172" s="71" t="inlineStr">
        <is>
          <t>See tender document</t>
        </is>
      </c>
      <c r="P172" s="71" t="inlineStr">
        <is>
          <t>See tender document</t>
        </is>
      </c>
      <c r="Q172" s="72" t="n">
        <v>46318.41666666666</v>
      </c>
      <c r="R172" s="70" t="inlineStr">
        <is>
          <t>See tender document</t>
        </is>
      </c>
      <c r="S172" s="70" t="inlineStr">
        <is>
          <t>N</t>
        </is>
      </c>
      <c r="T172" s="64">
        <f>IF(A172="","",IFERROR(INDEX('Bid-NoBid'!$T:$T,MATCH(A172,'Bid-NoBid'!$A:$A,0)),""))</f>
        <v/>
      </c>
      <c r="U172" s="59">
        <f>IF(A172="","",IFERROR(IF(OR(INDEX('Bid-NoBid'!$U:$U,MATCH(A172,'Bid-NoBid'!$A:$A,0))="",LEFT(INDEX('Bid-NoBid'!$U:$U,MATCH(A172,'Bid-NoBid'!$A:$A,0)),10)="Incomplete"),"Screen: "&amp;AC172,INDEX('Bid-NoBid'!$U:$U,MATCH(A172,'Bid-NoBid'!$A:$A,0))),"Screen: "&amp;AC172))</f>
        <v/>
      </c>
      <c r="V172" s="60" t="n"/>
      <c r="W172" s="70" t="inlineStr">
        <is>
          <t>Watching</t>
        </is>
      </c>
      <c r="X172" s="70" t="inlineStr">
        <is>
          <t>Frank</t>
        </is>
      </c>
      <c r="Y172" s="60" t="n"/>
      <c r="Z172" s="60" t="n"/>
      <c r="AA172" s="73" t="n"/>
      <c r="AB172" s="74" t="inlineStr">
        <is>
          <t>TanzaniaTenders.com (newspapers / portals / private)</t>
        </is>
      </c>
      <c r="AC172" s="74" t="inlineStr">
        <is>
          <t>Check</t>
        </is>
      </c>
      <c r="AD172" s="74" t="inlineStr">
        <is>
          <t>Auto (TanzaniaTenders.com): Civil works – confirm site, CRB class and margin · deadline read from the web page – confirm</t>
        </is>
      </c>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74" t="inlineStr">
        <is>
          <t>Read the notice and decide with the QS Director whether to pursue</t>
        </is>
      </c>
      <c r="AJ172" s="74" t="inlineStr">
        <is>
          <t>Auto-scan</t>
        </is>
      </c>
      <c r="AK172" s="74" t="inlineStr">
        <is>
          <t>TZT:151084255</t>
        </is>
      </c>
      <c r="AL172" s="59">
        <f>IF(AND(OR(W172="Watching",W172="Preparing"),ISNUMBER(Q172)),IF(AND(Q172&gt;='Friday Summary'!$C$4,Q172&lt;='Friday Summary'!$C$4+14),Q172+ROW()/1000000,""),"")</f>
        <v/>
      </c>
    </row>
    <row r="173" ht="15" customHeight="1" s="51">
      <c r="A173" s="59">
        <f>IF(B173="","","OP-"&amp;TEXT(ROW()-4,"000"))</f>
        <v/>
      </c>
      <c r="B173" s="70" t="inlineStr">
        <is>
          <t>(not shown)</t>
        </is>
      </c>
      <c r="C173" s="71" t="n">
        <v>46312</v>
      </c>
      <c r="D173" s="70" t="inlineStr">
        <is>
          <t>press</t>
        </is>
      </c>
      <c r="E173" s="70" t="inlineStr">
        <is>
          <t>https://www.tanzaniatenders.com/tender/rehabilitation-works-between-sanza-chaliigongo-road-section-along-manyoni-east-heka-sanza-ch-9015cde.php</t>
        </is>
      </c>
      <c r="F173" s="70" t="inlineStr">
        <is>
          <t>See advert</t>
        </is>
      </c>
      <c r="G173" s="70" t="inlineStr">
        <is>
          <t>government</t>
        </is>
      </c>
      <c r="H173" s="70" t="inlineStr">
        <is>
          <t>Rehabilitation Works between Sanza - Chaliigongo Road Section Along Manyoni East - Heka - Sanza - Chali Igongo Unpaved Regional Road (R433) to be Financed through Development Consolidated Funds, Rehab...</t>
        </is>
      </c>
      <c r="I173" s="70" t="inlineStr">
        <is>
          <t>From press notice (1 lot) – read the tender document</t>
        </is>
      </c>
      <c r="J173" s="70" t="inlineStr">
        <is>
          <t>Not stated – read the notice</t>
        </is>
      </c>
      <c r="K173" s="70" t="inlineStr">
        <is>
          <t>civil</t>
        </is>
      </c>
      <c r="L173" s="70" t="inlineStr">
        <is>
          <t>See tender document</t>
        </is>
      </c>
      <c r="M173" s="62" t="n"/>
      <c r="N173" s="70" t="inlineStr">
        <is>
          <t>unknown</t>
        </is>
      </c>
      <c r="O173" s="71" t="inlineStr">
        <is>
          <t>See tender document</t>
        </is>
      </c>
      <c r="P173" s="71" t="inlineStr">
        <is>
          <t>See tender document</t>
        </is>
      </c>
      <c r="Q173" s="72" t="n">
        <v>46318.41666666666</v>
      </c>
      <c r="R173" s="70" t="inlineStr">
        <is>
          <t>See tender document</t>
        </is>
      </c>
      <c r="S173" s="70" t="inlineStr">
        <is>
          <t>N</t>
        </is>
      </c>
      <c r="T173" s="64">
        <f>IF(A173="","",IFERROR(INDEX('Bid-NoBid'!$T:$T,MATCH(A173,'Bid-NoBid'!$A:$A,0)),""))</f>
        <v/>
      </c>
      <c r="U173" s="59">
        <f>IF(A173="","",IFERROR(IF(OR(INDEX('Bid-NoBid'!$U:$U,MATCH(A173,'Bid-NoBid'!$A:$A,0))="",LEFT(INDEX('Bid-NoBid'!$U:$U,MATCH(A173,'Bid-NoBid'!$A:$A,0)),10)="Incomplete"),"Screen: "&amp;AC173,INDEX('Bid-NoBid'!$U:$U,MATCH(A173,'Bid-NoBid'!$A:$A,0))),"Screen: "&amp;AC173))</f>
        <v/>
      </c>
      <c r="V173" s="60" t="n"/>
      <c r="W173" s="70" t="inlineStr">
        <is>
          <t>Watching</t>
        </is>
      </c>
      <c r="X173" s="70" t="inlineStr">
        <is>
          <t>Frank</t>
        </is>
      </c>
      <c r="Y173" s="60" t="n"/>
      <c r="Z173" s="60" t="n"/>
      <c r="AA173" s="73" t="n"/>
      <c r="AB173" s="74" t="inlineStr">
        <is>
          <t>TanzaniaTenders.com (newspapers / portals / private)</t>
        </is>
      </c>
      <c r="AC173" s="74" t="inlineStr">
        <is>
          <t>Check</t>
        </is>
      </c>
      <c r="AD173" s="74" t="inlineStr">
        <is>
          <t>Auto (TanzaniaTenders.com): Civil works – confirm site, CRB class and margin · deadline read from the web page – confirm</t>
        </is>
      </c>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74" t="inlineStr">
        <is>
          <t>Read the notice and decide with the QS Director whether to pursue</t>
        </is>
      </c>
      <c r="AJ173" s="74" t="inlineStr">
        <is>
          <t>Auto-scan</t>
        </is>
      </c>
      <c r="AK173" s="74" t="inlineStr">
        <is>
          <t>TZT:151084254</t>
        </is>
      </c>
      <c r="AL173" s="59">
        <f>IF(AND(OR(W173="Watching",W173="Preparing"),ISNUMBER(Q173)),IF(AND(Q173&gt;='Friday Summary'!$C$4,Q173&lt;='Friday Summary'!$C$4+14),Q173+ROW()/1000000,""),"")</f>
        <v/>
      </c>
    </row>
    <row r="174" ht="15" customHeight="1" s="51">
      <c r="A174" s="59">
        <f>IF(B174="","","OP-"&amp;TEXT(ROW()-4,"000"))</f>
        <v/>
      </c>
      <c r="B174" s="70" t="inlineStr">
        <is>
          <t>(not shown)</t>
        </is>
      </c>
      <c r="C174" s="71" t="n">
        <v>46312</v>
      </c>
      <c r="D174" s="70" t="inlineStr">
        <is>
          <t>press</t>
        </is>
      </c>
      <c r="E174" s="70" t="inlineStr">
        <is>
          <t>https://www.tanzaniatenders.com/tender/proposed-upgrading-0-8-km-dampo-road-rigid-pavement-standard-9015cd1.php</t>
        </is>
      </c>
      <c r="F174" s="70" t="inlineStr">
        <is>
          <t>See advert</t>
        </is>
      </c>
      <c r="G174" s="70" t="inlineStr">
        <is>
          <t>government</t>
        </is>
      </c>
      <c r="H174" s="70" t="inlineStr">
        <is>
          <t>Proposed Upgrading of the 0.8 Km Dampo Road to Rigid Pavement Standard</t>
        </is>
      </c>
      <c r="I174" s="70" t="inlineStr">
        <is>
          <t>From press notice (1 lot) – read the tender document</t>
        </is>
      </c>
      <c r="J174" s="70" t="inlineStr">
        <is>
          <t>Not stated – read the notice</t>
        </is>
      </c>
      <c r="K174" s="70" t="inlineStr">
        <is>
          <t>civil</t>
        </is>
      </c>
      <c r="L174" s="70" t="inlineStr">
        <is>
          <t>See tender document</t>
        </is>
      </c>
      <c r="M174" s="62" t="n"/>
      <c r="N174" s="70" t="inlineStr">
        <is>
          <t>unknown</t>
        </is>
      </c>
      <c r="O174" s="71" t="inlineStr">
        <is>
          <t>See tender document</t>
        </is>
      </c>
      <c r="P174" s="71" t="inlineStr">
        <is>
          <t>See tender document</t>
        </is>
      </c>
      <c r="Q174" s="72" t="n">
        <v>46318.41666666666</v>
      </c>
      <c r="R174" s="70" t="inlineStr">
        <is>
          <t>See tender document</t>
        </is>
      </c>
      <c r="S174" s="70" t="inlineStr">
        <is>
          <t>N</t>
        </is>
      </c>
      <c r="T174" s="64">
        <f>IF(A174="","",IFERROR(INDEX('Bid-NoBid'!$T:$T,MATCH(A174,'Bid-NoBid'!$A:$A,0)),""))</f>
        <v/>
      </c>
      <c r="U174" s="59">
        <f>IF(A174="","",IFERROR(IF(OR(INDEX('Bid-NoBid'!$U:$U,MATCH(A174,'Bid-NoBid'!$A:$A,0))="",LEFT(INDEX('Bid-NoBid'!$U:$U,MATCH(A174,'Bid-NoBid'!$A:$A,0)),10)="Incomplete"),"Screen: "&amp;AC174,INDEX('Bid-NoBid'!$U:$U,MATCH(A174,'Bid-NoBid'!$A:$A,0))),"Screen: "&amp;AC174))</f>
        <v/>
      </c>
      <c r="V174" s="60" t="n"/>
      <c r="W174" s="70" t="inlineStr">
        <is>
          <t>Watching</t>
        </is>
      </c>
      <c r="X174" s="70" t="inlineStr">
        <is>
          <t>Frank</t>
        </is>
      </c>
      <c r="Y174" s="60" t="n"/>
      <c r="Z174" s="60" t="n"/>
      <c r="AA174" s="73" t="n"/>
      <c r="AB174" s="74" t="inlineStr">
        <is>
          <t>TanzaniaTenders.com (newspapers / portals / private)</t>
        </is>
      </c>
      <c r="AC174" s="74" t="inlineStr">
        <is>
          <t>Check</t>
        </is>
      </c>
      <c r="AD174" s="74" t="inlineStr">
        <is>
          <t>Auto (TanzaniaTenders.com): Civil works – confirm site, CRB class and margin · deadline read from the web page – confirm</t>
        </is>
      </c>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74" t="inlineStr">
        <is>
          <t>Read the notice and decide with the QS Director whether to pursue</t>
        </is>
      </c>
      <c r="AJ174" s="74" t="inlineStr">
        <is>
          <t>Auto-scan</t>
        </is>
      </c>
      <c r="AK174" s="74" t="inlineStr">
        <is>
          <t>TZT:151084241</t>
        </is>
      </c>
      <c r="AL174" s="59">
        <f>IF(AND(OR(W174="Watching",W174="Preparing"),ISNUMBER(Q174)),IF(AND(Q174&gt;='Friday Summary'!$C$4,Q174&lt;='Friday Summary'!$C$4+14),Q174+ROW()/1000000,""),"")</f>
        <v/>
      </c>
    </row>
    <row r="175" ht="15" customHeight="1" s="51">
      <c r="A175" s="59">
        <f>IF(B175="","","OP-"&amp;TEXT(ROW()-4,"000"))</f>
        <v/>
      </c>
      <c r="B175" s="70" t="inlineStr">
        <is>
          <t>(not shown)</t>
        </is>
      </c>
      <c r="C175" s="71" t="n">
        <v>46312</v>
      </c>
      <c r="D175" s="70" t="inlineStr">
        <is>
          <t>press</t>
        </is>
      </c>
      <c r="E175" s="70" t="inlineStr">
        <is>
          <t>https://www.tanzaniatenders.com/tender/tender-repair-residential-house-9015cc6.php</t>
        </is>
      </c>
      <c r="F175" s="70" t="inlineStr">
        <is>
          <t>See advert</t>
        </is>
      </c>
      <c r="G175" s="70" t="inlineStr">
        <is>
          <t>government</t>
        </is>
      </c>
      <c r="H175" s="70" t="inlineStr">
        <is>
          <t>Tender for Repair of Residential House</t>
        </is>
      </c>
      <c r="I175" s="70" t="inlineStr">
        <is>
          <t>From press notice (1 lot) – read the tender document</t>
        </is>
      </c>
      <c r="J175" s="70" t="inlineStr">
        <is>
          <t>Not stated – read the notice</t>
        </is>
      </c>
      <c r="K175" s="70" t="inlineStr">
        <is>
          <t>building</t>
        </is>
      </c>
      <c r="L175" s="70" t="inlineStr">
        <is>
          <t>See tender document</t>
        </is>
      </c>
      <c r="M175" s="62" t="n"/>
      <c r="N175" s="70" t="inlineStr">
        <is>
          <t>unknown</t>
        </is>
      </c>
      <c r="O175" s="71" t="inlineStr">
        <is>
          <t>See tender document</t>
        </is>
      </c>
      <c r="P175" s="71" t="inlineStr">
        <is>
          <t>See tender document</t>
        </is>
      </c>
      <c r="Q175" s="72" t="n">
        <v>46318.41666666666</v>
      </c>
      <c r="R175" s="70" t="inlineStr">
        <is>
          <t>See tender document</t>
        </is>
      </c>
      <c r="S175" s="70" t="inlineStr">
        <is>
          <t>N</t>
        </is>
      </c>
      <c r="T175" s="64">
        <f>IF(A175="","",IFERROR(INDEX('Bid-NoBid'!$T:$T,MATCH(A175,'Bid-NoBid'!$A:$A,0)),""))</f>
        <v/>
      </c>
      <c r="U175" s="59">
        <f>IF(A175="","",IFERROR(IF(OR(INDEX('Bid-NoBid'!$U:$U,MATCH(A175,'Bid-NoBid'!$A:$A,0))="",LEFT(INDEX('Bid-NoBid'!$U:$U,MATCH(A175,'Bid-NoBid'!$A:$A,0)),10)="Incomplete"),"Screen: "&amp;AC175,INDEX('Bid-NoBid'!$U:$U,MATCH(A175,'Bid-NoBid'!$A:$A,0))),"Screen: "&amp;AC175))</f>
        <v/>
      </c>
      <c r="V175" s="60" t="n"/>
      <c r="W175" s="70" t="inlineStr">
        <is>
          <t>Watching</t>
        </is>
      </c>
      <c r="X175" s="70" t="inlineStr">
        <is>
          <t>Frank</t>
        </is>
      </c>
      <c r="Y175" s="60" t="n"/>
      <c r="Z175" s="60" t="n"/>
      <c r="AA175" s="73" t="n"/>
      <c r="AB175" s="74" t="inlineStr">
        <is>
          <t>TanzaniaTenders.com (newspapers / portals / private)</t>
        </is>
      </c>
      <c r="AC175" s="74" t="inlineStr">
        <is>
          <t>Check</t>
        </is>
      </c>
      <c r="AD175" s="74" t="inlineStr">
        <is>
          <t>Auto (TanzaniaTenders.com): Site not stated in the listing – read the notice · deadline read from the web page – confirm</t>
        </is>
      </c>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74" t="inlineStr">
        <is>
          <t>Read the notice and decide with the QS Director whether to pursue</t>
        </is>
      </c>
      <c r="AJ175" s="74" t="inlineStr">
        <is>
          <t>Auto-scan</t>
        </is>
      </c>
      <c r="AK175" s="74" t="inlineStr">
        <is>
          <t>TZT:151084230</t>
        </is>
      </c>
      <c r="AL175" s="59">
        <f>IF(AND(OR(W175="Watching",W175="Preparing"),ISNUMBER(Q175)),IF(AND(Q175&gt;='Friday Summary'!$C$4,Q175&lt;='Friday Summary'!$C$4+14),Q175+ROW()/1000000,""),"")</f>
        <v/>
      </c>
    </row>
    <row r="176" ht="15" customHeight="1" s="51">
      <c r="A176" s="59">
        <f>IF(B176="","","OP-"&amp;TEXT(ROW()-4,"000"))</f>
        <v/>
      </c>
      <c r="B176" s="70" t="inlineStr">
        <is>
          <t>(not shown)</t>
        </is>
      </c>
      <c r="C176" s="71" t="n">
        <v>46312</v>
      </c>
      <c r="D176" s="70" t="inlineStr">
        <is>
          <t>press</t>
        </is>
      </c>
      <c r="E176" s="70" t="inlineStr">
        <is>
          <t>https://www.tanzaniatenders.com/tender/rehabilitation-works-between-km-27-500-km-34-500-along-iguguno-shamba-nduguti-gumanga-unpa-9015cc2.php</t>
        </is>
      </c>
      <c r="F176" s="70" t="inlineStr">
        <is>
          <t>See advert</t>
        </is>
      </c>
      <c r="G176" s="70" t="inlineStr">
        <is>
          <t>government</t>
        </is>
      </c>
      <c r="H176" s="70" t="inlineStr">
        <is>
          <t>Rehabilitation Works between Km 27 + 500 - Km 34 + 500 Along Iguguno Shamba - Nduguti - Gumanga Unpaved Regional Road (R425) to be Financed through Development Consolidated Funds and Rehabilitation Wo...</t>
        </is>
      </c>
      <c r="I176" s="70" t="inlineStr">
        <is>
          <t>From press notice (1 lot) – read the tender document</t>
        </is>
      </c>
      <c r="J176" s="70" t="inlineStr">
        <is>
          <t>Not stated – read the notice</t>
        </is>
      </c>
      <c r="K176" s="70" t="inlineStr">
        <is>
          <t>civil</t>
        </is>
      </c>
      <c r="L176" s="70" t="inlineStr">
        <is>
          <t>See tender document</t>
        </is>
      </c>
      <c r="M176" s="62" t="n"/>
      <c r="N176" s="70" t="inlineStr">
        <is>
          <t>unknown</t>
        </is>
      </c>
      <c r="O176" s="71" t="inlineStr">
        <is>
          <t>See tender document</t>
        </is>
      </c>
      <c r="P176" s="71" t="inlineStr">
        <is>
          <t>See tender document</t>
        </is>
      </c>
      <c r="Q176" s="72" t="n">
        <v>46318.41666666666</v>
      </c>
      <c r="R176" s="70" t="inlineStr">
        <is>
          <t>See tender document</t>
        </is>
      </c>
      <c r="S176" s="70" t="inlineStr">
        <is>
          <t>N</t>
        </is>
      </c>
      <c r="T176" s="64">
        <f>IF(A176="","",IFERROR(INDEX('Bid-NoBid'!$T:$T,MATCH(A176,'Bid-NoBid'!$A:$A,0)),""))</f>
        <v/>
      </c>
      <c r="U176" s="59">
        <f>IF(A176="","",IFERROR(IF(OR(INDEX('Bid-NoBid'!$U:$U,MATCH(A176,'Bid-NoBid'!$A:$A,0))="",LEFT(INDEX('Bid-NoBid'!$U:$U,MATCH(A176,'Bid-NoBid'!$A:$A,0)),10)="Incomplete"),"Screen: "&amp;AC176,INDEX('Bid-NoBid'!$U:$U,MATCH(A176,'Bid-NoBid'!$A:$A,0))),"Screen: "&amp;AC176))</f>
        <v/>
      </c>
      <c r="V176" s="60" t="n"/>
      <c r="W176" s="70" t="inlineStr">
        <is>
          <t>Watching</t>
        </is>
      </c>
      <c r="X176" s="70" t="inlineStr">
        <is>
          <t>Frank</t>
        </is>
      </c>
      <c r="Y176" s="60" t="n"/>
      <c r="Z176" s="60" t="n"/>
      <c r="AA176" s="73" t="n"/>
      <c r="AB176" s="74" t="inlineStr">
        <is>
          <t>TanzaniaTenders.com (newspapers / portals / private)</t>
        </is>
      </c>
      <c r="AC176" s="74" t="inlineStr">
        <is>
          <t>Check</t>
        </is>
      </c>
      <c r="AD176" s="74" t="inlineStr">
        <is>
          <t>Auto (TanzaniaTenders.com): Civil works – confirm site, CRB class and margin · deadline read from the web page – confirm</t>
        </is>
      </c>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74" t="inlineStr">
        <is>
          <t>Read the notice and decide with the QS Director whether to pursue</t>
        </is>
      </c>
      <c r="AJ176" s="74" t="inlineStr">
        <is>
          <t>Auto-scan</t>
        </is>
      </c>
      <c r="AK176" s="74" t="inlineStr">
        <is>
          <t>TZT:151084226</t>
        </is>
      </c>
      <c r="AL176" s="59">
        <f>IF(AND(OR(W176="Watching",W176="Preparing"),ISNUMBER(Q176)),IF(AND(Q176&gt;='Friday Summary'!$C$4,Q176&lt;='Friday Summary'!$C$4+14),Q176+ROW()/1000000,""),"")</f>
        <v/>
      </c>
    </row>
    <row r="177" ht="15" customHeight="1" s="51">
      <c r="A177" s="59">
        <f>IF(B177="","","OP-"&amp;TEXT(ROW()-4,"000"))</f>
        <v/>
      </c>
      <c r="B177" s="70" t="inlineStr">
        <is>
          <t>S10/011/2026/2027/W/95</t>
        </is>
      </c>
      <c r="C177" s="71" t="n">
        <v>46314</v>
      </c>
      <c r="D177" s="70" t="inlineStr">
        <is>
          <t>NeST</t>
        </is>
      </c>
      <c r="E177" s="70" t="inlineStr">
        <is>
          <t>https://nest.go.tz/tenders/published-tenders</t>
        </is>
      </c>
      <c r="F177" s="70" t="inlineStr">
        <is>
          <t>TARURA - Manyara Regional Office</t>
        </is>
      </c>
      <c r="G177" s="70" t="inlineStr">
        <is>
          <t>government</t>
        </is>
      </c>
      <c r="H177" s="70" t="inlineStr">
        <is>
          <t>Rehabilitation of Ndedo-Makame road and construction storm drains along Kibaya Township in Kiteto District</t>
        </is>
      </c>
      <c r="I177" s="70" t="inlineStr">
        <is>
          <t>From NeST notice (1 lot) – read the tender document</t>
        </is>
      </c>
      <c r="J177" s="70" t="inlineStr">
        <is>
          <t>Manyara (Kiteto)</t>
        </is>
      </c>
      <c r="K177" s="70" t="inlineStr">
        <is>
          <t>renovation</t>
        </is>
      </c>
      <c r="L177" s="70" t="inlineStr">
        <is>
          <t>NeST login needed</t>
        </is>
      </c>
      <c r="M177" s="62" t="n"/>
      <c r="N177" s="70" t="inlineStr">
        <is>
          <t>unknown</t>
        </is>
      </c>
      <c r="O177" s="71" t="inlineStr">
        <is>
          <t>NeST login needed</t>
        </is>
      </c>
      <c r="P177" s="71" t="inlineStr">
        <is>
          <t>NeST login needed</t>
        </is>
      </c>
      <c r="Q177" s="72" t="n">
        <v>46321.58333333334</v>
      </c>
      <c r="R177" s="70" t="inlineStr">
        <is>
          <t>NeST login needed</t>
        </is>
      </c>
      <c r="S177" s="70" t="inlineStr">
        <is>
          <t>N</t>
        </is>
      </c>
      <c r="T177" s="64">
        <f>IF(A177="","",IFERROR(INDEX('Bid-NoBid'!$T:$T,MATCH(A177,'Bid-NoBid'!$A:$A,0)),""))</f>
        <v/>
      </c>
      <c r="U177" s="59">
        <f>IF(A177="","",IFERROR(IF(OR(INDEX('Bid-NoBid'!$U:$U,MATCH(A177,'Bid-NoBid'!$A:$A,0))="",LEFT(INDEX('Bid-NoBid'!$U:$U,MATCH(A177,'Bid-NoBid'!$A:$A,0)),10)="Incomplete"),"Screen: "&amp;AC177,INDEX('Bid-NoBid'!$U:$U,MATCH(A177,'Bid-NoBid'!$A:$A,0))),"Screen: "&amp;AC177))</f>
        <v/>
      </c>
      <c r="V177" s="60" t="n"/>
      <c r="W177" s="70" t="inlineStr">
        <is>
          <t>Watching</t>
        </is>
      </c>
      <c r="X177" s="70" t="inlineStr">
        <is>
          <t>Frank</t>
        </is>
      </c>
      <c r="Y177" s="60" t="n"/>
      <c r="Z177" s="60" t="n"/>
      <c r="AA177" s="73" t="n">
        <v>46314</v>
      </c>
      <c r="AB177" s="74" t="inlineStr">
        <is>
          <t>Small Works / Tender</t>
        </is>
      </c>
      <c r="AC177" s="74" t="inlineStr">
        <is>
          <t>Check</t>
        </is>
      </c>
      <c r="AD177" s="74" t="inlineStr">
        <is>
          <t>Auto (Small Works / Tender): Building works but remote from Dar</t>
        </is>
      </c>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74" t="inlineStr">
        <is>
          <t>Read the notice and decide with the QS Director whether to pursue</t>
        </is>
      </c>
      <c r="AJ177" s="74" t="inlineStr">
        <is>
          <t>Auto-scan</t>
        </is>
      </c>
      <c r="AK177" s="74" t="inlineStr">
        <is>
          <t>b07eab10-a483-4752-bd14-82cd291abab5</t>
        </is>
      </c>
      <c r="AL177" s="59">
        <f>IF(AND(OR(W177="Watching",W177="Preparing"),ISNUMBER(Q177)),IF(AND(Q177&gt;='Friday Summary'!$C$4,Q177&lt;='Friday Summary'!$C$4+14),Q177+ROW()/1000000,""),"")</f>
        <v/>
      </c>
    </row>
    <row r="178" ht="15" customHeight="1" s="51">
      <c r="A178" s="59">
        <f>IF(B178="","","OP-"&amp;TEXT(ROW()-4,"000"))</f>
        <v/>
      </c>
      <c r="B178" s="70" t="inlineStr">
        <is>
          <t>S10/011/2026/2027/W/94</t>
        </is>
      </c>
      <c r="C178" s="71" t="n">
        <v>46314</v>
      </c>
      <c r="D178" s="70" t="inlineStr">
        <is>
          <t>NeST</t>
        </is>
      </c>
      <c r="E178" s="70" t="inlineStr">
        <is>
          <t>https://nest.go.tz/tenders/published-tenders</t>
        </is>
      </c>
      <c r="F178" s="70" t="inlineStr">
        <is>
          <t>TARURA - Manyara Regional Office</t>
        </is>
      </c>
      <c r="G178" s="70" t="inlineStr">
        <is>
          <t>government</t>
        </is>
      </c>
      <c r="H178" s="70" t="inlineStr">
        <is>
          <t>Construction of Arch bridge along Namelock-Sunya Roads in Kiteto District</t>
        </is>
      </c>
      <c r="I178" s="70" t="inlineStr">
        <is>
          <t>From NeST notice (1 lot) – read the tender document</t>
        </is>
      </c>
      <c r="J178" s="70" t="inlineStr">
        <is>
          <t>Manyara (Kiteto)</t>
        </is>
      </c>
      <c r="K178" s="70" t="inlineStr">
        <is>
          <t>civil</t>
        </is>
      </c>
      <c r="L178" s="70" t="inlineStr">
        <is>
          <t>NeST login needed</t>
        </is>
      </c>
      <c r="M178" s="62" t="n"/>
      <c r="N178" s="70" t="inlineStr">
        <is>
          <t>unknown</t>
        </is>
      </c>
      <c r="O178" s="71" t="inlineStr">
        <is>
          <t>NeST login needed</t>
        </is>
      </c>
      <c r="P178" s="71" t="inlineStr">
        <is>
          <t>NeST login needed</t>
        </is>
      </c>
      <c r="Q178" s="72" t="n">
        <v>46321.58333333334</v>
      </c>
      <c r="R178" s="70" t="inlineStr">
        <is>
          <t>NeST login needed</t>
        </is>
      </c>
      <c r="S178" s="70" t="inlineStr">
        <is>
          <t>N</t>
        </is>
      </c>
      <c r="T178" s="64">
        <f>IF(A178="","",IFERROR(INDEX('Bid-NoBid'!$T:$T,MATCH(A178,'Bid-NoBid'!$A:$A,0)),""))</f>
        <v/>
      </c>
      <c r="U178" s="59">
        <f>IF(A178="","",IFERROR(IF(OR(INDEX('Bid-NoBid'!$U:$U,MATCH(A178,'Bid-NoBid'!$A:$A,0))="",LEFT(INDEX('Bid-NoBid'!$U:$U,MATCH(A178,'Bid-NoBid'!$A:$A,0)),10)="Incomplete"),"Screen: "&amp;AC178,INDEX('Bid-NoBid'!$U:$U,MATCH(A178,'Bid-NoBid'!$A:$A,0))),"Screen: "&amp;AC178))</f>
        <v/>
      </c>
      <c r="V178" s="60" t="n"/>
      <c r="W178" s="70" t="inlineStr">
        <is>
          <t>Watching</t>
        </is>
      </c>
      <c r="X178" s="70" t="inlineStr">
        <is>
          <t>Frank</t>
        </is>
      </c>
      <c r="Y178" s="60" t="n"/>
      <c r="Z178" s="60" t="n"/>
      <c r="AA178" s="73" t="n">
        <v>46314</v>
      </c>
      <c r="AB178" s="74" t="inlineStr">
        <is>
          <t>Small Works / Tender</t>
        </is>
      </c>
      <c r="AC178" s="74" t="inlineStr">
        <is>
          <t>Check</t>
        </is>
      </c>
      <c r="AD178" s="74" t="inlineStr">
        <is>
          <t>Auto (Small Works / Tender): Construction tender kept for review (would have been dropped: Remote civil works)</t>
        </is>
      </c>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74" t="inlineStr">
        <is>
          <t>Read the notice and decide with the QS Director whether to pursue</t>
        </is>
      </c>
      <c r="AJ178" s="74" t="inlineStr">
        <is>
          <t>Auto-scan</t>
        </is>
      </c>
      <c r="AK178" s="74" t="inlineStr">
        <is>
          <t>5b792d55-9981-4abb-9c67-35d820b1a9ed</t>
        </is>
      </c>
      <c r="AL178" s="59">
        <f>IF(AND(OR(W178="Watching",W178="Preparing"),ISNUMBER(Q178)),IF(AND(Q178&gt;='Friday Summary'!$C$4,Q178&lt;='Friday Summary'!$C$4+14),Q178+ROW()/1000000,""),"")</f>
        <v/>
      </c>
    </row>
    <row r="179" ht="15" customHeight="1" s="51">
      <c r="A179" s="59">
        <f>IF(B179="","","OP-"&amp;TEXT(ROW()-4,"000"))</f>
        <v/>
      </c>
      <c r="B179" s="70" t="inlineStr">
        <is>
          <t>S10/006/2026/2027/W/107</t>
        </is>
      </c>
      <c r="C179" s="71" t="n">
        <v>46314</v>
      </c>
      <c r="D179" s="70" t="inlineStr">
        <is>
          <t>NeST</t>
        </is>
      </c>
      <c r="E179" s="70" t="inlineStr">
        <is>
          <t>https://nest.go.tz/tenders/published-tenders</t>
        </is>
      </c>
      <c r="F179" s="70" t="inlineStr">
        <is>
          <t>TARURA - Kagera Regional Office</t>
        </is>
      </c>
      <c r="G179" s="70" t="inlineStr">
        <is>
          <t>government</t>
        </is>
      </c>
      <c r="H179" s="70" t="inlineStr">
        <is>
          <t>Upgrading of 25km to gravel standard and construction of 10 composite Box Culvert s and 11 concrete pipe Culverts along Kanyabureza- Runyanga, Ainurama- Igombe-Rwenkorongo and Nyakabanga Omukarilo in Karagwe District.</t>
        </is>
      </c>
      <c r="I179" s="70" t="inlineStr">
        <is>
          <t>From NeST notice (1 lot) – read the tender document</t>
        </is>
      </c>
      <c r="J179" s="70" t="inlineStr">
        <is>
          <t>Kagera (Bukoba) (from client's office – confirm site)</t>
        </is>
      </c>
      <c r="K179" s="70" t="inlineStr">
        <is>
          <t>civil</t>
        </is>
      </c>
      <c r="L179" s="70" t="inlineStr">
        <is>
          <t>NeST login needed</t>
        </is>
      </c>
      <c r="M179" s="62" t="n"/>
      <c r="N179" s="70" t="inlineStr">
        <is>
          <t>unknown</t>
        </is>
      </c>
      <c r="O179" s="71" t="inlineStr">
        <is>
          <t>NeST login needed</t>
        </is>
      </c>
      <c r="P179" s="71" t="inlineStr">
        <is>
          <t>NeST login needed</t>
        </is>
      </c>
      <c r="Q179" s="72" t="n">
        <v>46321.58333333334</v>
      </c>
      <c r="R179" s="70" t="inlineStr">
        <is>
          <t>NeST login needed</t>
        </is>
      </c>
      <c r="S179" s="70" t="inlineStr">
        <is>
          <t>N</t>
        </is>
      </c>
      <c r="T179" s="64">
        <f>IF(A179="","",IFERROR(INDEX('Bid-NoBid'!$T:$T,MATCH(A179,'Bid-NoBid'!$A:$A,0)),""))</f>
        <v/>
      </c>
      <c r="U179" s="59">
        <f>IF(A179="","",IFERROR(IF(OR(INDEX('Bid-NoBid'!$U:$U,MATCH(A179,'Bid-NoBid'!$A:$A,0))="",LEFT(INDEX('Bid-NoBid'!$U:$U,MATCH(A179,'Bid-NoBid'!$A:$A,0)),10)="Incomplete"),"Screen: "&amp;AC179,INDEX('Bid-NoBid'!$U:$U,MATCH(A179,'Bid-NoBid'!$A:$A,0))),"Screen: "&amp;AC179))</f>
        <v/>
      </c>
      <c r="V179" s="60" t="n"/>
      <c r="W179" s="70" t="inlineStr">
        <is>
          <t>Watching</t>
        </is>
      </c>
      <c r="X179" s="70" t="inlineStr">
        <is>
          <t>Frank</t>
        </is>
      </c>
      <c r="Y179" s="60" t="n"/>
      <c r="Z179" s="60" t="n"/>
      <c r="AA179" s="73" t="n">
        <v>46314</v>
      </c>
      <c r="AB179" s="74" t="inlineStr">
        <is>
          <t>Small Works / Tender</t>
        </is>
      </c>
      <c r="AC179" s="74" t="inlineStr">
        <is>
          <t>Check</t>
        </is>
      </c>
      <c r="AD179" s="74" t="inlineStr">
        <is>
          <t>Auto (Small Works / Tender): Construction tender kept for review (would have been dropped: Remote civil works)</t>
        </is>
      </c>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74" t="inlineStr">
        <is>
          <t>Read the notice and decide with the QS Director whether to pursue</t>
        </is>
      </c>
      <c r="AJ179" s="74" t="inlineStr">
        <is>
          <t>Auto-scan</t>
        </is>
      </c>
      <c r="AK179" s="74" t="inlineStr">
        <is>
          <t>524a92ca-940f-46c2-8784-6a4bd3bcb3b2</t>
        </is>
      </c>
      <c r="AL179" s="59">
        <f>IF(AND(OR(W179="Watching",W179="Preparing"),ISNUMBER(Q179)),IF(AND(Q179&gt;='Friday Summary'!$C$4,Q179&lt;='Friday Summary'!$C$4+14),Q179+ROW()/1000000,""),"")</f>
        <v/>
      </c>
    </row>
    <row r="180" ht="15" customHeight="1" s="51">
      <c r="A180" s="59">
        <f>IF(B180="","","OP-"&amp;TEXT(ROW()-4,"000"))</f>
        <v/>
      </c>
      <c r="B180" s="70" t="inlineStr">
        <is>
          <t>TR152/003/2026/2027/W/01</t>
        </is>
      </c>
      <c r="C180" s="71" t="n">
        <v>46314</v>
      </c>
      <c r="D180" s="70" t="inlineStr">
        <is>
          <t>NeST</t>
        </is>
      </c>
      <c r="E180" s="70" t="inlineStr">
        <is>
          <t>https://nest.go.tz/tenders/published-tenders</t>
        </is>
      </c>
      <c r="F180" s="70" t="inlineStr">
        <is>
          <t>Bank of Tanzania - Dodoma Head Office</t>
        </is>
      </c>
      <c r="G180" s="70" t="inlineStr">
        <is>
          <t>government</t>
        </is>
      </c>
      <c r="H180" s="70" t="inlineStr">
        <is>
          <t>Construction of Partitioning Wall at the Bank of Tanzania, Dodoma Residential Premises.</t>
        </is>
      </c>
      <c r="I180" s="70" t="inlineStr">
        <is>
          <t>From NeST notice (1 lot) – read the tender document</t>
        </is>
      </c>
      <c r="J180" s="70" t="inlineStr">
        <is>
          <t>Dodoma</t>
        </is>
      </c>
      <c r="K180" s="70" t="inlineStr">
        <is>
          <t>fit-out</t>
        </is>
      </c>
      <c r="L180" s="70" t="inlineStr">
        <is>
          <t>NeST login needed</t>
        </is>
      </c>
      <c r="M180" s="62" t="n"/>
      <c r="N180" s="70" t="inlineStr">
        <is>
          <t>unknown</t>
        </is>
      </c>
      <c r="O180" s="71" t="inlineStr">
        <is>
          <t>NeST login needed</t>
        </is>
      </c>
      <c r="P180" s="71" t="inlineStr">
        <is>
          <t>NeST login needed</t>
        </is>
      </c>
      <c r="Q180" s="72" t="n">
        <v>46325.45833333334</v>
      </c>
      <c r="R180" s="70" t="inlineStr">
        <is>
          <t>NeST login needed</t>
        </is>
      </c>
      <c r="S180" s="70" t="inlineStr">
        <is>
          <t>N</t>
        </is>
      </c>
      <c r="T180" s="64">
        <f>IF(A180="","",IFERROR(INDEX('Bid-NoBid'!$T:$T,MATCH(A180,'Bid-NoBid'!$A:$A,0)),""))</f>
        <v/>
      </c>
      <c r="U180" s="59">
        <f>IF(A180="","",IFERROR(IF(OR(INDEX('Bid-NoBid'!$U:$U,MATCH(A180,'Bid-NoBid'!$A:$A,0))="",LEFT(INDEX('Bid-NoBid'!$U:$U,MATCH(A180,'Bid-NoBid'!$A:$A,0)),10)="Incomplete"),"Screen: "&amp;AC180,INDEX('Bid-NoBid'!$U:$U,MATCH(A180,'Bid-NoBid'!$A:$A,0))),"Screen: "&amp;AC180))</f>
        <v/>
      </c>
      <c r="V180" s="60" t="n"/>
      <c r="W180" s="70" t="inlineStr">
        <is>
          <t>Watching</t>
        </is>
      </c>
      <c r="X180" s="70" t="inlineStr">
        <is>
          <t>Frank</t>
        </is>
      </c>
      <c r="Y180" s="60" t="n"/>
      <c r="Z180" s="60" t="n"/>
      <c r="AA180" s="73" t="n">
        <v>46314</v>
      </c>
      <c r="AB180" s="74" t="inlineStr">
        <is>
          <t>Small Works / Tender</t>
        </is>
      </c>
      <c r="AC180" s="74" t="inlineStr">
        <is>
          <t>Pursue</t>
        </is>
      </c>
      <c r="AD180" s="74" t="inlineStr">
        <is>
          <t>Auto (Small Works / Tender): Building works within reach of Dar</t>
        </is>
      </c>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74" t="inlineStr">
        <is>
          <t>Get the tender document, confirm value, CRB class, site visit and bid security; brief the MD</t>
        </is>
      </c>
      <c r="AJ180" s="74" t="inlineStr">
        <is>
          <t>Auto-scan</t>
        </is>
      </c>
      <c r="AK180" s="74" t="inlineStr">
        <is>
          <t>3e80dce1-510c-4d41-9f04-251418bf36f0</t>
        </is>
      </c>
      <c r="AL180" s="59">
        <f>IF(AND(OR(W180="Watching",W180="Preparing"),ISNUMBER(Q180)),IF(AND(Q180&gt;='Friday Summary'!$C$4,Q180&lt;='Friday Summary'!$C$4+14),Q180+ROW()/1000000,""),"")</f>
        <v/>
      </c>
    </row>
    <row r="181" ht="15" customHeight="1" s="51">
      <c r="A181" s="59">
        <f>IF(B181="","","OP-"&amp;TEXT(ROW()-4,"000"))</f>
        <v/>
      </c>
      <c r="B181" s="70" t="inlineStr">
        <is>
          <t>(not shown)</t>
        </is>
      </c>
      <c r="C181" s="71" t="n">
        <v>46314</v>
      </c>
      <c r="D181" s="70" t="inlineStr">
        <is>
          <t>aggregator</t>
        </is>
      </c>
      <c r="E181" s="70" t="inlineStr">
        <is>
          <t>https://www.biddetail.com/latest-tenders/119546998$0d5d3e50-b63a-45a0-9172-15928b8c8805</t>
        </is>
      </c>
      <c r="F181" s="70" t="inlineStr">
        <is>
          <t>See notice</t>
        </is>
      </c>
      <c r="G181" s="70" t="inlineStr">
        <is>
          <t>government</t>
        </is>
      </c>
      <c r="H181" s="70" t="inlineStr">
        <is>
          <t>Quotation Are Invited For Provision Of Construction Of Market She ......</t>
        </is>
      </c>
      <c r="I181" s="70" t="inlineStr">
        <is>
          <t>From aggregator notice (1 lot) – read the tender document</t>
        </is>
      </c>
      <c r="J181" s="70" t="inlineStr">
        <is>
          <t>Not stated – read the notice</t>
        </is>
      </c>
      <c r="K181" s="70" t="inlineStr">
        <is>
          <t>building</t>
        </is>
      </c>
      <c r="L181" s="70" t="inlineStr">
        <is>
          <t>See tender document</t>
        </is>
      </c>
      <c r="M181" s="62" t="n"/>
      <c r="N181" s="70" t="inlineStr">
        <is>
          <t>unknown</t>
        </is>
      </c>
      <c r="O181" s="71" t="inlineStr">
        <is>
          <t>See tender document</t>
        </is>
      </c>
      <c r="P181" s="71" t="inlineStr">
        <is>
          <t>See tender document</t>
        </is>
      </c>
      <c r="Q181" s="72" t="n"/>
      <c r="R181" s="70" t="inlineStr">
        <is>
          <t>See tender document</t>
        </is>
      </c>
      <c r="S181" s="70" t="inlineStr">
        <is>
          <t>N</t>
        </is>
      </c>
      <c r="T181" s="64">
        <f>IF(A181="","",IFERROR(INDEX('Bid-NoBid'!$T:$T,MATCH(A181,'Bid-NoBid'!$A:$A,0)),""))</f>
        <v/>
      </c>
      <c r="U181" s="59">
        <f>IF(A181="","",IFERROR(IF(OR(INDEX('Bid-NoBid'!$U:$U,MATCH(A181,'Bid-NoBid'!$A:$A,0))="",LEFT(INDEX('Bid-NoBid'!$U:$U,MATCH(A181,'Bid-NoBid'!$A:$A,0)),10)="Incomplete"),"Screen: "&amp;AC181,INDEX('Bid-NoBid'!$U:$U,MATCH(A181,'Bid-NoBid'!$A:$A,0))),"Screen: "&amp;AC181))</f>
        <v/>
      </c>
      <c r="V181" s="60" t="n"/>
      <c r="W181" s="70" t="inlineStr">
        <is>
          <t>Watching</t>
        </is>
      </c>
      <c r="X181" s="70" t="inlineStr">
        <is>
          <t>Frank</t>
        </is>
      </c>
      <c r="Y181" s="60" t="n"/>
      <c r="Z181" s="60" t="n"/>
      <c r="AA181" s="73" t="n"/>
      <c r="AB181" s="74" t="inlineStr">
        <is>
          <t>BidDetail – Tanzania tenders (web page)</t>
        </is>
      </c>
      <c r="AC181" s="74" t="inlineStr">
        <is>
          <t>Check</t>
        </is>
      </c>
      <c r="AD181" s="74" t="inlineStr">
        <is>
          <t>Auto (BidDetail – Tanzania tenders): Deadline not shown on the source page – open the link and read the notice</t>
        </is>
      </c>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74" t="inlineStr">
        <is>
          <t>Read the notice and decide with the QS Director whether to pursue</t>
        </is>
      </c>
      <c r="AJ181" s="74" t="inlineStr">
        <is>
          <t>Auto-scan</t>
        </is>
      </c>
      <c r="AK181" s="74" t="inlineStr">
        <is>
          <t>WEB:biddetail_tanzania_tenders:80f93a46a31b4c34</t>
        </is>
      </c>
      <c r="AL181" s="59">
        <f>IF(AND(OR(W181="Watching",W181="Preparing"),ISNUMBER(Q181)),IF(AND(Q181&gt;='Friday Summary'!$C$4,Q181&lt;='Friday Summary'!$C$4+14),Q181+ROW()/1000000,""),"")</f>
        <v/>
      </c>
    </row>
    <row r="182" ht="15" customHeight="1" s="51">
      <c r="A182" s="59">
        <f>IF(B182="","","OP-"&amp;TEXT(ROW()-4,"000"))</f>
        <v/>
      </c>
      <c r="B182" s="70" t="inlineStr">
        <is>
          <t>47BB5/2026/2027/W/06</t>
        </is>
      </c>
      <c r="C182" s="71" t="n">
        <v>46315</v>
      </c>
      <c r="D182" s="70" t="inlineStr">
        <is>
          <t>NeST</t>
        </is>
      </c>
      <c r="E182" s="70" t="inlineStr">
        <is>
          <t>https://nest.go.tz/tenders/published-tenders</t>
        </is>
      </c>
      <c r="F182" s="70" t="inlineStr">
        <is>
          <t>Busega District Council</t>
        </is>
      </c>
      <c r="G182" s="70" t="inlineStr">
        <is>
          <t>government</t>
        </is>
      </c>
      <c r="H182" s="70" t="inlineStr">
        <is>
          <t>CONSTRUCTION OF FENCE AND EXTERNAL WORKS AND LANDSCAPING AT BUSEGA DC</t>
        </is>
      </c>
      <c r="I182" s="70" t="inlineStr">
        <is>
          <t>From NeST notice (1 lot) – read the tender document</t>
        </is>
      </c>
      <c r="J182" s="70" t="inlineStr">
        <is>
          <t>Simiyu (from client's office – confirm site)</t>
        </is>
      </c>
      <c r="K182" s="70" t="inlineStr">
        <is>
          <t>civil</t>
        </is>
      </c>
      <c r="L182" s="70" t="inlineStr">
        <is>
          <t>NeST login needed</t>
        </is>
      </c>
      <c r="M182" s="62" t="n"/>
      <c r="N182" s="70" t="inlineStr">
        <is>
          <t>unknown</t>
        </is>
      </c>
      <c r="O182" s="71" t="inlineStr">
        <is>
          <t>NeST login needed</t>
        </is>
      </c>
      <c r="P182" s="71" t="inlineStr">
        <is>
          <t>NeST login needed</t>
        </is>
      </c>
      <c r="Q182" s="72" t="n">
        <v>46321.41666666666</v>
      </c>
      <c r="R182" s="70" t="inlineStr">
        <is>
          <t>NeST login needed</t>
        </is>
      </c>
      <c r="S182" s="70" t="inlineStr">
        <is>
          <t>N</t>
        </is>
      </c>
      <c r="T182" s="64">
        <f>IF(A182="","",IFERROR(INDEX('Bid-NoBid'!$T:$T,MATCH(A182,'Bid-NoBid'!$A:$A,0)),""))</f>
        <v/>
      </c>
      <c r="U182" s="59">
        <f>IF(A182="","",IFERROR(IF(OR(INDEX('Bid-NoBid'!$U:$U,MATCH(A182,'Bid-NoBid'!$A:$A,0))="",LEFT(INDEX('Bid-NoBid'!$U:$U,MATCH(A182,'Bid-NoBid'!$A:$A,0)),10)="Incomplete"),"Screen: "&amp;AC182,INDEX('Bid-NoBid'!$U:$U,MATCH(A182,'Bid-NoBid'!$A:$A,0))),"Screen: "&amp;AC182))</f>
        <v/>
      </c>
      <c r="V182" s="60" t="n"/>
      <c r="W182" s="70" t="inlineStr">
        <is>
          <t>Watching</t>
        </is>
      </c>
      <c r="X182" s="70" t="inlineStr">
        <is>
          <t>Frank</t>
        </is>
      </c>
      <c r="Y182" s="60" t="n"/>
      <c r="Z182" s="60" t="n"/>
      <c r="AA182" s="73" t="n">
        <v>46314</v>
      </c>
      <c r="AB182" s="74" t="inlineStr">
        <is>
          <t>Small Works / Planned Tender</t>
        </is>
      </c>
      <c r="AC182" s="74" t="inlineStr">
        <is>
          <t>Check</t>
        </is>
      </c>
      <c r="AD182" s="74" t="inlineStr">
        <is>
          <t>Auto (Small Works / Planned Tender): Construction tender kept for review (would have been dropped: Remote civil works)</t>
        </is>
      </c>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74" t="inlineStr">
        <is>
          <t>Read the notice and decide with the QS Director whether to pursue</t>
        </is>
      </c>
      <c r="AJ182" s="74" t="inlineStr">
        <is>
          <t>Auto-scan</t>
        </is>
      </c>
      <c r="AK182" s="74" t="inlineStr">
        <is>
          <t>44a5d48e-6f8e-4ac0-81d1-d395fe3e4f34</t>
        </is>
      </c>
      <c r="AL182" s="59">
        <f>IF(AND(OR(W182="Watching",W182="Preparing"),ISNUMBER(Q182)),IF(AND(Q182&gt;='Friday Summary'!$C$4,Q182&lt;='Friday Summary'!$C$4+14),Q182+ROW()/1000000,""),"")</f>
        <v/>
      </c>
    </row>
    <row r="183" ht="15" customHeight="1" s="51">
      <c r="A183" s="59">
        <f>IF(B183="","","OP-"&amp;TEXT(ROW()-4,"000"))</f>
        <v/>
      </c>
      <c r="B183" s="70" t="inlineStr">
        <is>
          <t>S10/005/2026/2027/W/105</t>
        </is>
      </c>
      <c r="C183" s="71" t="n">
        <v>46315</v>
      </c>
      <c r="D183" s="70" t="inlineStr">
        <is>
          <t>NeST</t>
        </is>
      </c>
      <c r="E183" s="70" t="inlineStr">
        <is>
          <t>https://nest.go.tz/tenders/published-tenders</t>
        </is>
      </c>
      <c r="F183" s="70" t="inlineStr">
        <is>
          <t>TARURA - Iringa Regional Office</t>
        </is>
      </c>
      <c r="G183" s="70" t="inlineStr">
        <is>
          <t>government</t>
        </is>
      </c>
      <c r="H183" s="70" t="inlineStr">
        <is>
          <t>CONSTRUCTION OF STORM WATER DRAINAGE ALONG MGOVANO, KITASENGWA MKOGA ROAD AND CLEMENT ROAD, CONSTRUCTION OF BOX CULVERT ALONG CLEMENT ROAD AND BRIDGE REPAIR ALONG MGONGO MSISINA ROAD</t>
        </is>
      </c>
      <c r="I183" s="70" t="inlineStr">
        <is>
          <t>From NeST notice (1 lot) – read the tender document</t>
        </is>
      </c>
      <c r="J183" s="70" t="inlineStr">
        <is>
          <t>Iringa (from client's office – confirm site)</t>
        </is>
      </c>
      <c r="K183" s="70" t="inlineStr">
        <is>
          <t>civil</t>
        </is>
      </c>
      <c r="L183" s="70" t="inlineStr">
        <is>
          <t>NeST login needed</t>
        </is>
      </c>
      <c r="M183" s="62" t="n"/>
      <c r="N183" s="70" t="inlineStr">
        <is>
          <t>unknown</t>
        </is>
      </c>
      <c r="O183" s="71" t="inlineStr">
        <is>
          <t>NeST login needed</t>
        </is>
      </c>
      <c r="P183" s="71" t="inlineStr">
        <is>
          <t>NeST login needed</t>
        </is>
      </c>
      <c r="Q183" s="72" t="n">
        <v>46321.41666666666</v>
      </c>
      <c r="R183" s="70" t="inlineStr">
        <is>
          <t>NeST login needed</t>
        </is>
      </c>
      <c r="S183" s="70" t="inlineStr">
        <is>
          <t>N</t>
        </is>
      </c>
      <c r="T183" s="64">
        <f>IF(A183="","",IFERROR(INDEX('Bid-NoBid'!$T:$T,MATCH(A183,'Bid-NoBid'!$A:$A,0)),""))</f>
        <v/>
      </c>
      <c r="U183" s="59">
        <f>IF(A183="","",IFERROR(IF(OR(INDEX('Bid-NoBid'!$U:$U,MATCH(A183,'Bid-NoBid'!$A:$A,0))="",LEFT(INDEX('Bid-NoBid'!$U:$U,MATCH(A183,'Bid-NoBid'!$A:$A,0)),10)="Incomplete"),"Screen: "&amp;AC183,INDEX('Bid-NoBid'!$U:$U,MATCH(A183,'Bid-NoBid'!$A:$A,0))),"Screen: "&amp;AC183))</f>
        <v/>
      </c>
      <c r="V183" s="60" t="n"/>
      <c r="W183" s="70" t="inlineStr">
        <is>
          <t>Watching</t>
        </is>
      </c>
      <c r="X183" s="70" t="inlineStr">
        <is>
          <t>Frank</t>
        </is>
      </c>
      <c r="Y183" s="60" t="n"/>
      <c r="Z183" s="60" t="n"/>
      <c r="AA183" s="73" t="n">
        <v>46314</v>
      </c>
      <c r="AB183" s="74" t="inlineStr">
        <is>
          <t>Small Works / Tender</t>
        </is>
      </c>
      <c r="AC183" s="74" t="inlineStr">
        <is>
          <t>Check</t>
        </is>
      </c>
      <c r="AD183" s="74" t="inlineStr">
        <is>
          <t>Auto (Small Works / Tender): Construction tender kept for review (would have been dropped: Remote civil works)</t>
        </is>
      </c>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74" t="inlineStr">
        <is>
          <t>Read the notice and decide with the QS Director whether to pursue</t>
        </is>
      </c>
      <c r="AJ183" s="74" t="inlineStr">
        <is>
          <t>Auto-scan</t>
        </is>
      </c>
      <c r="AK183" s="74" t="inlineStr">
        <is>
          <t>22748ceb-a710-4343-b187-dd173a3e99d3</t>
        </is>
      </c>
      <c r="AL183" s="59">
        <f>IF(AND(OR(W183="Watching",W183="Preparing"),ISNUMBER(Q183)),IF(AND(Q183&gt;='Friday Summary'!$C$4,Q183&lt;='Friday Summary'!$C$4+14),Q183+ROW()/1000000,""),"")</f>
        <v/>
      </c>
    </row>
    <row r="184" ht="15" customHeight="1" s="51">
      <c r="A184" s="59">
        <f>IF(B184="","","OP-"&amp;TEXT(ROW()-4,"000"))</f>
        <v/>
      </c>
      <c r="B184" s="70" t="inlineStr">
        <is>
          <t>47BB5/2026/2027/W/03</t>
        </is>
      </c>
      <c r="C184" s="71" t="n">
        <v>46315</v>
      </c>
      <c r="D184" s="70" t="inlineStr">
        <is>
          <t>NeST</t>
        </is>
      </c>
      <c r="E184" s="70" t="inlineStr">
        <is>
          <t>https://nest.go.tz/tenders/published-tenders</t>
        </is>
      </c>
      <c r="F184" s="70" t="inlineStr">
        <is>
          <t>Busega District Council</t>
        </is>
      </c>
      <c r="G184" s="70" t="inlineStr">
        <is>
          <t>government</t>
        </is>
      </c>
      <c r="H184" s="70" t="inlineStr">
        <is>
          <t>Construction of HOD residential house</t>
        </is>
      </c>
      <c r="I184" s="70" t="inlineStr">
        <is>
          <t>From NeST notice (1 lot) – read the tender document</t>
        </is>
      </c>
      <c r="J184" s="70" t="inlineStr">
        <is>
          <t>Simiyu (from client's office – confirm site)</t>
        </is>
      </c>
      <c r="K184" s="70" t="inlineStr">
        <is>
          <t>building</t>
        </is>
      </c>
      <c r="L184" s="70" t="inlineStr">
        <is>
          <t>NeST login needed</t>
        </is>
      </c>
      <c r="M184" s="62" t="n"/>
      <c r="N184" s="70" t="inlineStr">
        <is>
          <t>unknown</t>
        </is>
      </c>
      <c r="O184" s="71" t="inlineStr">
        <is>
          <t>NeST login needed</t>
        </is>
      </c>
      <c r="P184" s="71" t="inlineStr">
        <is>
          <t>NeST login needed</t>
        </is>
      </c>
      <c r="Q184" s="72" t="n">
        <v>46321.45833333334</v>
      </c>
      <c r="R184" s="70" t="inlineStr">
        <is>
          <t>NeST login needed</t>
        </is>
      </c>
      <c r="S184" s="70" t="inlineStr">
        <is>
          <t>N</t>
        </is>
      </c>
      <c r="T184" s="64">
        <f>IF(A184="","",IFERROR(INDEX('Bid-NoBid'!$T:$T,MATCH(A184,'Bid-NoBid'!$A:$A,0)),""))</f>
        <v/>
      </c>
      <c r="U184" s="59">
        <f>IF(A184="","",IFERROR(IF(OR(INDEX('Bid-NoBid'!$U:$U,MATCH(A184,'Bid-NoBid'!$A:$A,0))="",LEFT(INDEX('Bid-NoBid'!$U:$U,MATCH(A184,'Bid-NoBid'!$A:$A,0)),10)="Incomplete"),"Screen: "&amp;AC184,INDEX('Bid-NoBid'!$U:$U,MATCH(A184,'Bid-NoBid'!$A:$A,0))),"Screen: "&amp;AC184))</f>
        <v/>
      </c>
      <c r="V184" s="60" t="n"/>
      <c r="W184" s="70" t="inlineStr">
        <is>
          <t>Watching</t>
        </is>
      </c>
      <c r="X184" s="70" t="inlineStr">
        <is>
          <t>Frank</t>
        </is>
      </c>
      <c r="Y184" s="60" t="n"/>
      <c r="Z184" s="60" t="n"/>
      <c r="AA184" s="73" t="n">
        <v>46314</v>
      </c>
      <c r="AB184" s="74" t="inlineStr">
        <is>
          <t>Small Works / Tender</t>
        </is>
      </c>
      <c r="AC184" s="74" t="inlineStr">
        <is>
          <t>Check</t>
        </is>
      </c>
      <c r="AD184" s="74" t="inlineStr">
        <is>
          <t>Auto (Small Works / Tender): Construction tender kept for review (would have been dropped: Remote and closing soon)</t>
        </is>
      </c>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74" t="inlineStr">
        <is>
          <t>Read the notice and decide with the QS Director whether to pursue</t>
        </is>
      </c>
      <c r="AJ184" s="74" t="inlineStr">
        <is>
          <t>Auto-scan</t>
        </is>
      </c>
      <c r="AK184" s="74" t="inlineStr">
        <is>
          <t>659972b0-3fc5-44f7-bb64-003011f41c30</t>
        </is>
      </c>
      <c r="AL184" s="59">
        <f>IF(AND(OR(W184="Watching",W184="Preparing"),ISNUMBER(Q184)),IF(AND(Q184&gt;='Friday Summary'!$C$4,Q184&lt;='Friday Summary'!$C$4+14),Q184+ROW()/1000000,""),"")</f>
        <v/>
      </c>
    </row>
    <row r="185" ht="15" customHeight="1" s="51">
      <c r="A185" s="59">
        <f>IF(B185="","","OP-"&amp;TEXT(ROW()-4,"000"))</f>
        <v/>
      </c>
      <c r="B185" s="70" t="inlineStr">
        <is>
          <t>85/2026/2027/W/12</t>
        </is>
      </c>
      <c r="C185" s="71" t="n">
        <v>46315</v>
      </c>
      <c r="D185" s="70" t="inlineStr">
        <is>
          <t>NeST</t>
        </is>
      </c>
      <c r="E185" s="70" t="inlineStr">
        <is>
          <t>https://nest.go.tz/tenders/published-tenders</t>
        </is>
      </c>
      <c r="F185" s="70" t="inlineStr">
        <is>
          <t>Tabora Regional Secretariat</t>
        </is>
      </c>
      <c r="G185" s="70" t="inlineStr">
        <is>
          <t>government</t>
        </is>
      </c>
      <c r="H185" s="70" t="inlineStr">
        <is>
          <t>COMPLETE REHABILITATION OF SIKONGE DISTRICT ADMINISTRATIVE SECRETARY'S HOUSE (FENCING AND EXTERNAL WORKS)</t>
        </is>
      </c>
      <c r="I185" s="70" t="inlineStr">
        <is>
          <t>From NeST notice (1 lot) – read the tender document</t>
        </is>
      </c>
      <c r="J185" s="70" t="inlineStr">
        <is>
          <t>Tabora (Sikonge)</t>
        </is>
      </c>
      <c r="K185" s="70" t="inlineStr">
        <is>
          <t>renovation</t>
        </is>
      </c>
      <c r="L185" s="70" t="inlineStr">
        <is>
          <t>NeST login needed</t>
        </is>
      </c>
      <c r="M185" s="62" t="n"/>
      <c r="N185" s="70" t="inlineStr">
        <is>
          <t>unknown</t>
        </is>
      </c>
      <c r="O185" s="71" t="inlineStr">
        <is>
          <t>NeST login needed</t>
        </is>
      </c>
      <c r="P185" s="71" t="inlineStr">
        <is>
          <t>NeST login needed</t>
        </is>
      </c>
      <c r="Q185" s="72" t="n">
        <v>46322.58333333334</v>
      </c>
      <c r="R185" s="70" t="inlineStr">
        <is>
          <t>NeST login needed</t>
        </is>
      </c>
      <c r="S185" s="70" t="inlineStr">
        <is>
          <t>N</t>
        </is>
      </c>
      <c r="T185" s="64">
        <f>IF(A185="","",IFERROR(INDEX('Bid-NoBid'!$T:$T,MATCH(A185,'Bid-NoBid'!$A:$A,0)),""))</f>
        <v/>
      </c>
      <c r="U185" s="59">
        <f>IF(A185="","",IFERROR(IF(OR(INDEX('Bid-NoBid'!$U:$U,MATCH(A185,'Bid-NoBid'!$A:$A,0))="",LEFT(INDEX('Bid-NoBid'!$U:$U,MATCH(A185,'Bid-NoBid'!$A:$A,0)),10)="Incomplete"),"Screen: "&amp;AC185,INDEX('Bid-NoBid'!$U:$U,MATCH(A185,'Bid-NoBid'!$A:$A,0))),"Screen: "&amp;AC185))</f>
        <v/>
      </c>
      <c r="V185" s="60" t="n"/>
      <c r="W185" s="70" t="inlineStr">
        <is>
          <t>Watching</t>
        </is>
      </c>
      <c r="X185" s="70" t="inlineStr">
        <is>
          <t>Frank</t>
        </is>
      </c>
      <c r="Y185" s="60" t="n"/>
      <c r="Z185" s="60" t="n"/>
      <c r="AA185" s="73" t="n">
        <v>46315</v>
      </c>
      <c r="AB185" s="74" t="inlineStr">
        <is>
          <t>Standard Invitation for Quotations -Works / Planned Tender</t>
        </is>
      </c>
      <c r="AC185" s="74" t="inlineStr">
        <is>
          <t>Check</t>
        </is>
      </c>
      <c r="AD185" s="74" t="inlineStr">
        <is>
          <t>Auto (Standard Invitation for Quotations -Works / Planned Tender): Building works but remote from Dar</t>
        </is>
      </c>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74" t="inlineStr">
        <is>
          <t>Read the notice and decide with the QS Director whether to pursue</t>
        </is>
      </c>
      <c r="AJ185" s="74" t="inlineStr">
        <is>
          <t>Auto-scan</t>
        </is>
      </c>
      <c r="AK185" s="74" t="inlineStr">
        <is>
          <t>f62bba8b-4c09-412f-b77b-fdd3d0d6a9ce</t>
        </is>
      </c>
      <c r="AL185" s="59">
        <f>IF(AND(OR(W185="Watching",W185="Preparing"),ISNUMBER(Q185)),IF(AND(Q185&gt;='Friday Summary'!$C$4,Q185&lt;='Friday Summary'!$C$4+14),Q185+ROW()/1000000,""),"")</f>
        <v/>
      </c>
    </row>
    <row r="186" ht="15" customHeight="1" s="51">
      <c r="A186" s="59">
        <f>IF(B186="","","OP-"&amp;TEXT(ROW()-4,"000"))</f>
        <v/>
      </c>
      <c r="B186" s="70" t="inlineStr">
        <is>
          <t>85/2026/2027/W/03</t>
        </is>
      </c>
      <c r="C186" s="71" t="n">
        <v>46315</v>
      </c>
      <c r="D186" s="70" t="inlineStr">
        <is>
          <t>NeST</t>
        </is>
      </c>
      <c r="E186" s="70" t="inlineStr">
        <is>
          <t>https://nest.go.tz/tenders/published-tenders</t>
        </is>
      </c>
      <c r="F186" s="70" t="inlineStr">
        <is>
          <t>Tabora Regional Secretariat</t>
        </is>
      </c>
      <c r="G186" s="70" t="inlineStr">
        <is>
          <t>government</t>
        </is>
      </c>
      <c r="H186" s="70" t="inlineStr">
        <is>
          <t>COMPLETE CONSTRUCTION OF KALIUA DISTRICT COMMISSIONER'S OFFICE (FENCING AND EXTERNAL WORKS)</t>
        </is>
      </c>
      <c r="I186" s="70" t="inlineStr">
        <is>
          <t>From NeST notice (1 lot) – read the tender document</t>
        </is>
      </c>
      <c r="J186" s="70" t="inlineStr">
        <is>
          <t>Tabora (from client's office – confirm site)</t>
        </is>
      </c>
      <c r="K186" s="70" t="inlineStr">
        <is>
          <t>building</t>
        </is>
      </c>
      <c r="L186" s="70" t="inlineStr">
        <is>
          <t>NeST login needed</t>
        </is>
      </c>
      <c r="M186" s="62" t="n"/>
      <c r="N186" s="70" t="inlineStr">
        <is>
          <t>unknown</t>
        </is>
      </c>
      <c r="O186" s="71" t="inlineStr">
        <is>
          <t>NeST login needed</t>
        </is>
      </c>
      <c r="P186" s="71" t="inlineStr">
        <is>
          <t>NeST login needed</t>
        </is>
      </c>
      <c r="Q186" s="72" t="n">
        <v>46322.58333333334</v>
      </c>
      <c r="R186" s="70" t="inlineStr">
        <is>
          <t>NeST login needed</t>
        </is>
      </c>
      <c r="S186" s="70" t="inlineStr">
        <is>
          <t>N</t>
        </is>
      </c>
      <c r="T186" s="64">
        <f>IF(A186="","",IFERROR(INDEX('Bid-NoBid'!$T:$T,MATCH(A186,'Bid-NoBid'!$A:$A,0)),""))</f>
        <v/>
      </c>
      <c r="U186" s="59">
        <f>IF(A186="","",IFERROR(IF(OR(INDEX('Bid-NoBid'!$U:$U,MATCH(A186,'Bid-NoBid'!$A:$A,0))="",LEFT(INDEX('Bid-NoBid'!$U:$U,MATCH(A186,'Bid-NoBid'!$A:$A,0)),10)="Incomplete"),"Screen: "&amp;AC186,INDEX('Bid-NoBid'!$U:$U,MATCH(A186,'Bid-NoBid'!$A:$A,0))),"Screen: "&amp;AC186))</f>
        <v/>
      </c>
      <c r="V186" s="60" t="n"/>
      <c r="W186" s="70" t="inlineStr">
        <is>
          <t>Watching</t>
        </is>
      </c>
      <c r="X186" s="70" t="inlineStr">
        <is>
          <t>Frank</t>
        </is>
      </c>
      <c r="Y186" s="60" t="n"/>
      <c r="Z186" s="60" t="n"/>
      <c r="AA186" s="73" t="n">
        <v>46315</v>
      </c>
      <c r="AB186" s="74" t="inlineStr">
        <is>
          <t>Standard Invitation for Quotations -Works / Planned Tender</t>
        </is>
      </c>
      <c r="AC186" s="74" t="inlineStr">
        <is>
          <t>Check</t>
        </is>
      </c>
      <c r="AD186" s="74" t="inlineStr">
        <is>
          <t>Auto (Standard Invitation for Quotations -Works / Planned Tender): Building works but remote from Dar</t>
        </is>
      </c>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74" t="inlineStr">
        <is>
          <t>Read the notice and decide with the QS Director whether to pursue</t>
        </is>
      </c>
      <c r="AJ186" s="74" t="inlineStr">
        <is>
          <t>Auto-scan</t>
        </is>
      </c>
      <c r="AK186" s="74" t="inlineStr">
        <is>
          <t>124bceca-0c2a-406c-90b7-5f6c7620ddf0</t>
        </is>
      </c>
      <c r="AL186" s="59">
        <f>IF(AND(OR(W186="Watching",W186="Preparing"),ISNUMBER(Q186)),IF(AND(Q186&gt;='Friday Summary'!$C$4,Q186&lt;='Friday Summary'!$C$4+14),Q186+ROW()/1000000,""),"")</f>
        <v/>
      </c>
    </row>
    <row r="187" ht="15" customHeight="1" s="51">
      <c r="A187" s="59">
        <f>IF(B187="","","OP-"&amp;TEXT(ROW()-4,"000"))</f>
        <v/>
      </c>
      <c r="B187" s="70" t="inlineStr">
        <is>
          <t>85/2026/2027/W/11</t>
        </is>
      </c>
      <c r="C187" s="71" t="n">
        <v>46315</v>
      </c>
      <c r="D187" s="70" t="inlineStr">
        <is>
          <t>NeST</t>
        </is>
      </c>
      <c r="E187" s="70" t="inlineStr">
        <is>
          <t>https://nest.go.tz/tenders/published-tenders</t>
        </is>
      </c>
      <c r="F187" s="70" t="inlineStr">
        <is>
          <t>Tabora Regional Secretariat</t>
        </is>
      </c>
      <c r="G187" s="70" t="inlineStr">
        <is>
          <t>government</t>
        </is>
      </c>
      <c r="H187" s="70" t="inlineStr">
        <is>
          <t>CONSTRUCTION OF BUKENE DIVISION OFFICER'S OFFICE</t>
        </is>
      </c>
      <c r="I187" s="70" t="inlineStr">
        <is>
          <t>From NeST notice (1 lot) – read the tender document</t>
        </is>
      </c>
      <c r="J187" s="70" t="inlineStr">
        <is>
          <t>Tabora (from client's office – confirm site)</t>
        </is>
      </c>
      <c r="K187" s="70" t="inlineStr">
        <is>
          <t>building</t>
        </is>
      </c>
      <c r="L187" s="70" t="inlineStr">
        <is>
          <t>NeST login needed</t>
        </is>
      </c>
      <c r="M187" s="62" t="n"/>
      <c r="N187" s="70" t="inlineStr">
        <is>
          <t>unknown</t>
        </is>
      </c>
      <c r="O187" s="71" t="inlineStr">
        <is>
          <t>NeST login needed</t>
        </is>
      </c>
      <c r="P187" s="71" t="inlineStr">
        <is>
          <t>NeST login needed</t>
        </is>
      </c>
      <c r="Q187" s="72" t="n">
        <v>46322.58333333334</v>
      </c>
      <c r="R187" s="70" t="inlineStr">
        <is>
          <t>NeST login needed</t>
        </is>
      </c>
      <c r="S187" s="70" t="inlineStr">
        <is>
          <t>N</t>
        </is>
      </c>
      <c r="T187" s="64">
        <f>IF(A187="","",IFERROR(INDEX('Bid-NoBid'!$T:$T,MATCH(A187,'Bid-NoBid'!$A:$A,0)),""))</f>
        <v/>
      </c>
      <c r="U187" s="59">
        <f>IF(A187="","",IFERROR(IF(OR(INDEX('Bid-NoBid'!$U:$U,MATCH(A187,'Bid-NoBid'!$A:$A,0))="",LEFT(INDEX('Bid-NoBid'!$U:$U,MATCH(A187,'Bid-NoBid'!$A:$A,0)),10)="Incomplete"),"Screen: "&amp;AC187,INDEX('Bid-NoBid'!$U:$U,MATCH(A187,'Bid-NoBid'!$A:$A,0))),"Screen: "&amp;AC187))</f>
        <v/>
      </c>
      <c r="V187" s="60" t="n"/>
      <c r="W187" s="70" t="inlineStr">
        <is>
          <t>Watching</t>
        </is>
      </c>
      <c r="X187" s="70" t="inlineStr">
        <is>
          <t>Frank</t>
        </is>
      </c>
      <c r="Y187" s="60" t="n"/>
      <c r="Z187" s="60" t="n"/>
      <c r="AA187" s="73" t="n">
        <v>46315</v>
      </c>
      <c r="AB187" s="74" t="inlineStr">
        <is>
          <t>Standard Invitation for Quotations -Works / Planned Tender</t>
        </is>
      </c>
      <c r="AC187" s="74" t="inlineStr">
        <is>
          <t>Check</t>
        </is>
      </c>
      <c r="AD187" s="74" t="inlineStr">
        <is>
          <t>Auto (Standard Invitation for Quotations -Works / Planned Tender): Building works but remote from Dar</t>
        </is>
      </c>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74" t="inlineStr">
        <is>
          <t>Read the notice and decide with the QS Director whether to pursue</t>
        </is>
      </c>
      <c r="AJ187" s="74" t="inlineStr">
        <is>
          <t>Auto-scan</t>
        </is>
      </c>
      <c r="AK187" s="74" t="inlineStr">
        <is>
          <t>d9a5e17c-5902-412d-a44e-65770256d5e5</t>
        </is>
      </c>
      <c r="AL187" s="59">
        <f>IF(AND(OR(W187="Watching",W187="Preparing"),ISNUMBER(Q187)),IF(AND(Q187&gt;='Friday Summary'!$C$4,Q187&lt;='Friday Summary'!$C$4+14),Q187+ROW()/1000000,""),"")</f>
        <v/>
      </c>
    </row>
    <row r="188" ht="15" customHeight="1" s="51">
      <c r="A188" s="59">
        <f>IF(B188="","","OP-"&amp;TEXT(ROW()-4,"000"))</f>
        <v/>
      </c>
      <c r="B188" s="70" t="inlineStr">
        <is>
          <t>85/2026/2027/W/06</t>
        </is>
      </c>
      <c r="C188" s="71" t="n">
        <v>46315</v>
      </c>
      <c r="D188" s="70" t="inlineStr">
        <is>
          <t>NeST</t>
        </is>
      </c>
      <c r="E188" s="70" t="inlineStr">
        <is>
          <t>https://nest.go.tz/tenders/published-tenders</t>
        </is>
      </c>
      <c r="F188" s="70" t="inlineStr">
        <is>
          <t>Tabora Regional Secretariat</t>
        </is>
      </c>
      <c r="G188" s="70" t="inlineStr">
        <is>
          <t>government</t>
        </is>
      </c>
      <c r="H188" s="70" t="inlineStr">
        <is>
          <t>COMPLETE CONSTRUCTION OF KALIUA DISTRICT ADMINISTRATIVE SECRETARY'S HOUSE (FENCING AND EXTERNAL WORKS)</t>
        </is>
      </c>
      <c r="I188" s="70" t="inlineStr">
        <is>
          <t>From NeST notice (1 lot) – read the tender document</t>
        </is>
      </c>
      <c r="J188" s="70" t="inlineStr">
        <is>
          <t>Tabora (from client's office – confirm site)</t>
        </is>
      </c>
      <c r="K188" s="70" t="inlineStr">
        <is>
          <t>building</t>
        </is>
      </c>
      <c r="L188" s="70" t="inlineStr">
        <is>
          <t>NeST login needed</t>
        </is>
      </c>
      <c r="M188" s="62" t="n"/>
      <c r="N188" s="70" t="inlineStr">
        <is>
          <t>unknown</t>
        </is>
      </c>
      <c r="O188" s="71" t="inlineStr">
        <is>
          <t>NeST login needed</t>
        </is>
      </c>
      <c r="P188" s="71" t="inlineStr">
        <is>
          <t>NeST login needed</t>
        </is>
      </c>
      <c r="Q188" s="72" t="n">
        <v>46322.58333333334</v>
      </c>
      <c r="R188" s="70" t="inlineStr">
        <is>
          <t>NeST login needed</t>
        </is>
      </c>
      <c r="S188" s="70" t="inlineStr">
        <is>
          <t>N</t>
        </is>
      </c>
      <c r="T188" s="64">
        <f>IF(A188="","",IFERROR(INDEX('Bid-NoBid'!$T:$T,MATCH(A188,'Bid-NoBid'!$A:$A,0)),""))</f>
        <v/>
      </c>
      <c r="U188" s="59">
        <f>IF(A188="","",IFERROR(IF(OR(INDEX('Bid-NoBid'!$U:$U,MATCH(A188,'Bid-NoBid'!$A:$A,0))="",LEFT(INDEX('Bid-NoBid'!$U:$U,MATCH(A188,'Bid-NoBid'!$A:$A,0)),10)="Incomplete"),"Screen: "&amp;AC188,INDEX('Bid-NoBid'!$U:$U,MATCH(A188,'Bid-NoBid'!$A:$A,0))),"Screen: "&amp;AC188))</f>
        <v/>
      </c>
      <c r="V188" s="60" t="n"/>
      <c r="W188" s="70" t="inlineStr">
        <is>
          <t>Watching</t>
        </is>
      </c>
      <c r="X188" s="70" t="inlineStr">
        <is>
          <t>Frank</t>
        </is>
      </c>
      <c r="Y188" s="60" t="n"/>
      <c r="Z188" s="60" t="n"/>
      <c r="AA188" s="73" t="n">
        <v>46315</v>
      </c>
      <c r="AB188" s="74" t="inlineStr">
        <is>
          <t>Standard Invitation for Quotations -Works / Planned Tender</t>
        </is>
      </c>
      <c r="AC188" s="74" t="inlineStr">
        <is>
          <t>Check</t>
        </is>
      </c>
      <c r="AD188" s="74" t="inlineStr">
        <is>
          <t>Auto (Standard Invitation for Quotations -Works / Planned Tender): Building works but remote from Dar</t>
        </is>
      </c>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74" t="inlineStr">
        <is>
          <t>Read the notice and decide with the QS Director whether to pursue</t>
        </is>
      </c>
      <c r="AJ188" s="74" t="inlineStr">
        <is>
          <t>Auto-scan</t>
        </is>
      </c>
      <c r="AK188" s="74" t="inlineStr">
        <is>
          <t>de006103-62b6-4bcb-8f3c-411f78166313</t>
        </is>
      </c>
      <c r="AL188" s="59">
        <f>IF(AND(OR(W188="Watching",W188="Preparing"),ISNUMBER(Q188)),IF(AND(Q188&gt;='Friday Summary'!$C$4,Q188&lt;='Friday Summary'!$C$4+14),Q188+ROW()/1000000,""),"")</f>
        <v/>
      </c>
    </row>
    <row r="189" ht="15" customHeight="1" s="51">
      <c r="A189" s="59">
        <f>IF(B189="","","OP-"&amp;TEXT(ROW()-4,"000"))</f>
        <v/>
      </c>
      <c r="B189" s="70" t="inlineStr">
        <is>
          <t>85/2026/2027/W/01</t>
        </is>
      </c>
      <c r="C189" s="71" t="n">
        <v>46315</v>
      </c>
      <c r="D189" s="70" t="inlineStr">
        <is>
          <t>NeST</t>
        </is>
      </c>
      <c r="E189" s="70" t="inlineStr">
        <is>
          <t>https://nest.go.tz/tenders/published-tenders</t>
        </is>
      </c>
      <c r="F189" s="70" t="inlineStr">
        <is>
          <t>Tabora Regional Secretariat</t>
        </is>
      </c>
      <c r="G189" s="70" t="inlineStr">
        <is>
          <t>government</t>
        </is>
      </c>
      <c r="H189" s="70" t="inlineStr">
        <is>
          <t>CONSTRUCTION OF IGUNGA DISTRICT ADMINISTRATIVE SECRETARY'S HOUSE.</t>
        </is>
      </c>
      <c r="I189" s="70" t="inlineStr">
        <is>
          <t>From NeST notice (1 lot) – read the tender document</t>
        </is>
      </c>
      <c r="J189" s="70" t="inlineStr">
        <is>
          <t>Tabora (Igunga)</t>
        </is>
      </c>
      <c r="K189" s="70" t="inlineStr">
        <is>
          <t>building</t>
        </is>
      </c>
      <c r="L189" s="70" t="inlineStr">
        <is>
          <t>NeST login needed</t>
        </is>
      </c>
      <c r="M189" s="62" t="n"/>
      <c r="N189" s="70" t="inlineStr">
        <is>
          <t>unknown</t>
        </is>
      </c>
      <c r="O189" s="71" t="inlineStr">
        <is>
          <t>NeST login needed</t>
        </is>
      </c>
      <c r="P189" s="71" t="inlineStr">
        <is>
          <t>NeST login needed</t>
        </is>
      </c>
      <c r="Q189" s="72" t="n">
        <v>46322.58333333334</v>
      </c>
      <c r="R189" s="70" t="inlineStr">
        <is>
          <t>NeST login needed</t>
        </is>
      </c>
      <c r="S189" s="70" t="inlineStr">
        <is>
          <t>N</t>
        </is>
      </c>
      <c r="T189" s="64">
        <f>IF(A189="","",IFERROR(INDEX('Bid-NoBid'!$T:$T,MATCH(A189,'Bid-NoBid'!$A:$A,0)),""))</f>
        <v/>
      </c>
      <c r="U189" s="59">
        <f>IF(A189="","",IFERROR(IF(OR(INDEX('Bid-NoBid'!$U:$U,MATCH(A189,'Bid-NoBid'!$A:$A,0))="",LEFT(INDEX('Bid-NoBid'!$U:$U,MATCH(A189,'Bid-NoBid'!$A:$A,0)),10)="Incomplete"),"Screen: "&amp;AC189,INDEX('Bid-NoBid'!$U:$U,MATCH(A189,'Bid-NoBid'!$A:$A,0))),"Screen: "&amp;AC189))</f>
        <v/>
      </c>
      <c r="V189" s="60" t="n"/>
      <c r="W189" s="70" t="inlineStr">
        <is>
          <t>Watching</t>
        </is>
      </c>
      <c r="X189" s="70" t="inlineStr">
        <is>
          <t>Frank</t>
        </is>
      </c>
      <c r="Y189" s="60" t="n"/>
      <c r="Z189" s="60" t="n"/>
      <c r="AA189" s="73" t="n">
        <v>46315</v>
      </c>
      <c r="AB189" s="74" t="inlineStr">
        <is>
          <t>Standard Invitation for Quotations -Works / Planned Tender</t>
        </is>
      </c>
      <c r="AC189" s="74" t="inlineStr">
        <is>
          <t>Check</t>
        </is>
      </c>
      <c r="AD189" s="74" t="inlineStr">
        <is>
          <t>Auto (Standard Invitation for Quotations -Works / Planned Tender): Building works but remote from Dar</t>
        </is>
      </c>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74" t="inlineStr">
        <is>
          <t>Read the notice and decide with the QS Director whether to pursue</t>
        </is>
      </c>
      <c r="AJ189" s="74" t="inlineStr">
        <is>
          <t>Auto-scan</t>
        </is>
      </c>
      <c r="AK189" s="74" t="inlineStr">
        <is>
          <t>2707beb4-3d4c-402d-a13f-5066289a875f</t>
        </is>
      </c>
      <c r="AL189" s="59">
        <f>IF(AND(OR(W189="Watching",W189="Preparing"),ISNUMBER(Q189)),IF(AND(Q189&gt;='Friday Summary'!$C$4,Q189&lt;='Friday Summary'!$C$4+14),Q189+ROW()/1000000,""),"")</f>
        <v/>
      </c>
    </row>
    <row r="190" ht="15" customHeight="1" s="51">
      <c r="A190" s="59">
        <f>IF(B190="","","OP-"&amp;TEXT(ROW()-4,"000"))</f>
        <v/>
      </c>
      <c r="B190" s="70" t="inlineStr">
        <is>
          <t>85/2026/2027/W/02</t>
        </is>
      </c>
      <c r="C190" s="71" t="n">
        <v>46315</v>
      </c>
      <c r="D190" s="70" t="inlineStr">
        <is>
          <t>NeST</t>
        </is>
      </c>
      <c r="E190" s="70" t="inlineStr">
        <is>
          <t>https://nest.go.tz/tenders/published-tenders</t>
        </is>
      </c>
      <c r="F190" s="70" t="inlineStr">
        <is>
          <t>Tabora Regional Secretariat</t>
        </is>
      </c>
      <c r="G190" s="70" t="inlineStr">
        <is>
          <t>government</t>
        </is>
      </c>
      <c r="H190" s="70" t="inlineStr">
        <is>
          <t>CONSTRUCTION OF UYUI DISTRICT ADMINISTRATIVE SECRETARY'S HOUSE.</t>
        </is>
      </c>
      <c r="I190" s="70" t="inlineStr">
        <is>
          <t>From NeST notice (1 lot) – read the tender document</t>
        </is>
      </c>
      <c r="J190" s="70" t="inlineStr">
        <is>
          <t>Tabora (from client's office – confirm site)</t>
        </is>
      </c>
      <c r="K190" s="70" t="inlineStr">
        <is>
          <t>building</t>
        </is>
      </c>
      <c r="L190" s="70" t="inlineStr">
        <is>
          <t>NeST login needed</t>
        </is>
      </c>
      <c r="M190" s="62" t="n"/>
      <c r="N190" s="70" t="inlineStr">
        <is>
          <t>unknown</t>
        </is>
      </c>
      <c r="O190" s="71" t="inlineStr">
        <is>
          <t>NeST login needed</t>
        </is>
      </c>
      <c r="P190" s="71" t="inlineStr">
        <is>
          <t>NeST login needed</t>
        </is>
      </c>
      <c r="Q190" s="72" t="n">
        <v>46322.58333333334</v>
      </c>
      <c r="R190" s="70" t="inlineStr">
        <is>
          <t>NeST login needed</t>
        </is>
      </c>
      <c r="S190" s="70" t="inlineStr">
        <is>
          <t>N</t>
        </is>
      </c>
      <c r="T190" s="64">
        <f>IF(A190="","",IFERROR(INDEX('Bid-NoBid'!$T:$T,MATCH(A190,'Bid-NoBid'!$A:$A,0)),""))</f>
        <v/>
      </c>
      <c r="U190" s="59">
        <f>IF(A190="","",IFERROR(IF(OR(INDEX('Bid-NoBid'!$U:$U,MATCH(A190,'Bid-NoBid'!$A:$A,0))="",LEFT(INDEX('Bid-NoBid'!$U:$U,MATCH(A190,'Bid-NoBid'!$A:$A,0)),10)="Incomplete"),"Screen: "&amp;AC190,INDEX('Bid-NoBid'!$U:$U,MATCH(A190,'Bid-NoBid'!$A:$A,0))),"Screen: "&amp;AC190))</f>
        <v/>
      </c>
      <c r="V190" s="60" t="n"/>
      <c r="W190" s="70" t="inlineStr">
        <is>
          <t>Watching</t>
        </is>
      </c>
      <c r="X190" s="70" t="inlineStr">
        <is>
          <t>Frank</t>
        </is>
      </c>
      <c r="Y190" s="60" t="n"/>
      <c r="Z190" s="60" t="n"/>
      <c r="AA190" s="73" t="n">
        <v>46315</v>
      </c>
      <c r="AB190" s="74" t="inlineStr">
        <is>
          <t>Standard Invitation for Quotations -Works / Planned Tender</t>
        </is>
      </c>
      <c r="AC190" s="74" t="inlineStr">
        <is>
          <t>Check</t>
        </is>
      </c>
      <c r="AD190" s="74" t="inlineStr">
        <is>
          <t>Auto (Standard Invitation for Quotations -Works / Planned Tender): Building works but remote from Dar</t>
        </is>
      </c>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74" t="inlineStr">
        <is>
          <t>Read the notice and decide with the QS Director whether to pursue</t>
        </is>
      </c>
      <c r="AJ190" s="74" t="inlineStr">
        <is>
          <t>Auto-scan</t>
        </is>
      </c>
      <c r="AK190" s="74" t="inlineStr">
        <is>
          <t>dfa9997b-658a-40da-8ecf-3e8a39da3be6</t>
        </is>
      </c>
      <c r="AL190" s="59">
        <f>IF(AND(OR(W190="Watching",W190="Preparing"),ISNUMBER(Q190)),IF(AND(Q190&gt;='Friday Summary'!$C$4,Q190&lt;='Friday Summary'!$C$4+14),Q190+ROW()/1000000,""),"")</f>
        <v/>
      </c>
    </row>
    <row r="191" ht="15" customHeight="1" s="51">
      <c r="A191" s="59">
        <f>IF(B191="","","OP-"&amp;TEXT(ROW()-4,"000"))</f>
        <v/>
      </c>
      <c r="B191" s="70" t="inlineStr">
        <is>
          <t>85/2026/2027/W/05</t>
        </is>
      </c>
      <c r="C191" s="71" t="n">
        <v>46315</v>
      </c>
      <c r="D191" s="70" t="inlineStr">
        <is>
          <t>NeST</t>
        </is>
      </c>
      <c r="E191" s="70" t="inlineStr">
        <is>
          <t>https://nest.go.tz/tenders/published-tenders</t>
        </is>
      </c>
      <c r="F191" s="70" t="inlineStr">
        <is>
          <t>Tabora Regional Secretariat</t>
        </is>
      </c>
      <c r="G191" s="70" t="inlineStr">
        <is>
          <t>government</t>
        </is>
      </c>
      <c r="H191" s="70" t="inlineStr">
        <is>
          <t>COMPLETE REHABILITATION OF SIKONGE DISTRICT COMMISSIONER'S HOUSE(FENCING AND EXTERNAL WORKS</t>
        </is>
      </c>
      <c r="I191" s="70" t="inlineStr">
        <is>
          <t>From NeST notice (1 lot) – read the tender document</t>
        </is>
      </c>
      <c r="J191" s="70" t="inlineStr">
        <is>
          <t>Tabora (Sikonge)</t>
        </is>
      </c>
      <c r="K191" s="70" t="inlineStr">
        <is>
          <t>renovation</t>
        </is>
      </c>
      <c r="L191" s="70" t="inlineStr">
        <is>
          <t>NeST login needed</t>
        </is>
      </c>
      <c r="M191" s="62" t="n"/>
      <c r="N191" s="70" t="inlineStr">
        <is>
          <t>unknown</t>
        </is>
      </c>
      <c r="O191" s="71" t="inlineStr">
        <is>
          <t>NeST login needed</t>
        </is>
      </c>
      <c r="P191" s="71" t="inlineStr">
        <is>
          <t>NeST login needed</t>
        </is>
      </c>
      <c r="Q191" s="72" t="n">
        <v>46322.58333333334</v>
      </c>
      <c r="R191" s="70" t="inlineStr">
        <is>
          <t>NeST login needed</t>
        </is>
      </c>
      <c r="S191" s="70" t="inlineStr">
        <is>
          <t>N</t>
        </is>
      </c>
      <c r="T191" s="64">
        <f>IF(A191="","",IFERROR(INDEX('Bid-NoBid'!$T:$T,MATCH(A191,'Bid-NoBid'!$A:$A,0)),""))</f>
        <v/>
      </c>
      <c r="U191" s="59">
        <f>IF(A191="","",IFERROR(IF(OR(INDEX('Bid-NoBid'!$U:$U,MATCH(A191,'Bid-NoBid'!$A:$A,0))="",LEFT(INDEX('Bid-NoBid'!$U:$U,MATCH(A191,'Bid-NoBid'!$A:$A,0)),10)="Incomplete"),"Screen: "&amp;AC191,INDEX('Bid-NoBid'!$U:$U,MATCH(A191,'Bid-NoBid'!$A:$A,0))),"Screen: "&amp;AC191))</f>
        <v/>
      </c>
      <c r="V191" s="60" t="n"/>
      <c r="W191" s="70" t="inlineStr">
        <is>
          <t>Watching</t>
        </is>
      </c>
      <c r="X191" s="70" t="inlineStr">
        <is>
          <t>Frank</t>
        </is>
      </c>
      <c r="Y191" s="60" t="n"/>
      <c r="Z191" s="60" t="n"/>
      <c r="AA191" s="73" t="n">
        <v>46315</v>
      </c>
      <c r="AB191" s="74" t="inlineStr">
        <is>
          <t>Standard Invitation for Quotations -Works / Planned Tender</t>
        </is>
      </c>
      <c r="AC191" s="74" t="inlineStr">
        <is>
          <t>Check</t>
        </is>
      </c>
      <c r="AD191" s="74" t="inlineStr">
        <is>
          <t>Auto (Standard Invitation for Quotations -Works / Planned Tender): Building works but remote from Dar</t>
        </is>
      </c>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74" t="inlineStr">
        <is>
          <t>Read the notice and decide with the QS Director whether to pursue</t>
        </is>
      </c>
      <c r="AJ191" s="74" t="inlineStr">
        <is>
          <t>Auto-scan</t>
        </is>
      </c>
      <c r="AK191" s="74" t="inlineStr">
        <is>
          <t>43eefae6-c091-4773-adff-108f2acd7350</t>
        </is>
      </c>
      <c r="AL191" s="59">
        <f>IF(AND(OR(W191="Watching",W191="Preparing"),ISNUMBER(Q191)),IF(AND(Q191&gt;='Friday Summary'!$C$4,Q191&lt;='Friday Summary'!$C$4+14),Q191+ROW()/1000000,""),"")</f>
        <v/>
      </c>
    </row>
    <row r="192" ht="15" customHeight="1" s="51">
      <c r="A192" s="59">
        <f>IF(B192="","","OP-"&amp;TEXT(ROW()-4,"000"))</f>
        <v/>
      </c>
      <c r="B192" s="70" t="inlineStr">
        <is>
          <t>85/2026/2027/W/07</t>
        </is>
      </c>
      <c r="C192" s="71" t="n">
        <v>46315</v>
      </c>
      <c r="D192" s="70" t="inlineStr">
        <is>
          <t>NeST</t>
        </is>
      </c>
      <c r="E192" s="70" t="inlineStr">
        <is>
          <t>https://nest.go.tz/tenders/published-tenders</t>
        </is>
      </c>
      <c r="F192" s="70" t="inlineStr">
        <is>
          <t>Tabora Regional Secretariat</t>
        </is>
      </c>
      <c r="G192" s="70" t="inlineStr">
        <is>
          <t>government</t>
        </is>
      </c>
      <c r="H192" s="70" t="inlineStr">
        <is>
          <t>CONSTRUCTION OF URAMBO DISTRICT ADMINISTRATIVE SECRETARY'S HOUSE.</t>
        </is>
      </c>
      <c r="I192" s="70" t="inlineStr">
        <is>
          <t>From NeST notice (1 lot) – read the tender document</t>
        </is>
      </c>
      <c r="J192" s="70" t="inlineStr">
        <is>
          <t>Tabora (from client's office – confirm site)</t>
        </is>
      </c>
      <c r="K192" s="70" t="inlineStr">
        <is>
          <t>building</t>
        </is>
      </c>
      <c r="L192" s="70" t="inlineStr">
        <is>
          <t>NeST login needed</t>
        </is>
      </c>
      <c r="M192" s="62" t="n"/>
      <c r="N192" s="70" t="inlineStr">
        <is>
          <t>unknown</t>
        </is>
      </c>
      <c r="O192" s="71" t="inlineStr">
        <is>
          <t>NeST login needed</t>
        </is>
      </c>
      <c r="P192" s="71" t="inlineStr">
        <is>
          <t>NeST login needed</t>
        </is>
      </c>
      <c r="Q192" s="72" t="n">
        <v>46322.58333333334</v>
      </c>
      <c r="R192" s="70" t="inlineStr">
        <is>
          <t>NeST login needed</t>
        </is>
      </c>
      <c r="S192" s="70" t="inlineStr">
        <is>
          <t>N</t>
        </is>
      </c>
      <c r="T192" s="64">
        <f>IF(A192="","",IFERROR(INDEX('Bid-NoBid'!$T:$T,MATCH(A192,'Bid-NoBid'!$A:$A,0)),""))</f>
        <v/>
      </c>
      <c r="U192" s="59">
        <f>IF(A192="","",IFERROR(IF(OR(INDEX('Bid-NoBid'!$U:$U,MATCH(A192,'Bid-NoBid'!$A:$A,0))="",LEFT(INDEX('Bid-NoBid'!$U:$U,MATCH(A192,'Bid-NoBid'!$A:$A,0)),10)="Incomplete"),"Screen: "&amp;AC192,INDEX('Bid-NoBid'!$U:$U,MATCH(A192,'Bid-NoBid'!$A:$A,0))),"Screen: "&amp;AC192))</f>
        <v/>
      </c>
      <c r="V192" s="60" t="n"/>
      <c r="W192" s="70" t="inlineStr">
        <is>
          <t>Watching</t>
        </is>
      </c>
      <c r="X192" s="70" t="inlineStr">
        <is>
          <t>Frank</t>
        </is>
      </c>
      <c r="Y192" s="60" t="n"/>
      <c r="Z192" s="60" t="n"/>
      <c r="AA192" s="73" t="n">
        <v>46315</v>
      </c>
      <c r="AB192" s="74" t="inlineStr">
        <is>
          <t>Standard Invitation for Quotations -Works / Planned Tender</t>
        </is>
      </c>
      <c r="AC192" s="74" t="inlineStr">
        <is>
          <t>Check</t>
        </is>
      </c>
      <c r="AD192" s="74" t="inlineStr">
        <is>
          <t>Auto (Standard Invitation for Quotations -Works / Planned Tender): Building works but remote from Dar</t>
        </is>
      </c>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74" t="inlineStr">
        <is>
          <t>Read the notice and decide with the QS Director whether to pursue</t>
        </is>
      </c>
      <c r="AJ192" s="74" t="inlineStr">
        <is>
          <t>Auto-scan</t>
        </is>
      </c>
      <c r="AK192" s="74" t="inlineStr">
        <is>
          <t>a72570b7-f137-4388-a67b-cc672acafceb</t>
        </is>
      </c>
      <c r="AL192" s="59">
        <f>IF(AND(OR(W192="Watching",W192="Preparing"),ISNUMBER(Q192)),IF(AND(Q192&gt;='Friday Summary'!$C$4,Q192&lt;='Friday Summary'!$C$4+14),Q192+ROW()/1000000,""),"")</f>
        <v/>
      </c>
    </row>
    <row r="193" ht="15" customHeight="1" s="51">
      <c r="A193" s="59">
        <f>IF(B193="","","OP-"&amp;TEXT(ROW()-4,"000"))</f>
        <v/>
      </c>
      <c r="B193" s="70" t="inlineStr">
        <is>
          <t>85/2026/2027/W/04</t>
        </is>
      </c>
      <c r="C193" s="71" t="n">
        <v>46315</v>
      </c>
      <c r="D193" s="70" t="inlineStr">
        <is>
          <t>NeST</t>
        </is>
      </c>
      <c r="E193" s="70" t="inlineStr">
        <is>
          <t>https://nest.go.tz/tenders/published-tenders</t>
        </is>
      </c>
      <c r="F193" s="70" t="inlineStr">
        <is>
          <t>Tabora Regional Secretariat</t>
        </is>
      </c>
      <c r="G193" s="70" t="inlineStr">
        <is>
          <t>government</t>
        </is>
      </c>
      <c r="H193" s="70" t="inlineStr">
        <is>
          <t>CONSTRUCTION OF NZEGA DISTRICT ADMINISTRATIVE SECRETARY'S HOUSE.</t>
        </is>
      </c>
      <c r="I193" s="70" t="inlineStr">
        <is>
          <t>From NeST notice (1 lot) – read the tender document</t>
        </is>
      </c>
      <c r="J193" s="70" t="inlineStr">
        <is>
          <t>Tabora (from client's office – confirm site)</t>
        </is>
      </c>
      <c r="K193" s="70" t="inlineStr">
        <is>
          <t>building</t>
        </is>
      </c>
      <c r="L193" s="70" t="inlineStr">
        <is>
          <t>NeST login needed</t>
        </is>
      </c>
      <c r="M193" s="62" t="n"/>
      <c r="N193" s="70" t="inlineStr">
        <is>
          <t>unknown</t>
        </is>
      </c>
      <c r="O193" s="71" t="inlineStr">
        <is>
          <t>NeST login needed</t>
        </is>
      </c>
      <c r="P193" s="71" t="inlineStr">
        <is>
          <t>NeST login needed</t>
        </is>
      </c>
      <c r="Q193" s="72" t="n">
        <v>46322.58333333334</v>
      </c>
      <c r="R193" s="70" t="inlineStr">
        <is>
          <t>NeST login needed</t>
        </is>
      </c>
      <c r="S193" s="70" t="inlineStr">
        <is>
          <t>N</t>
        </is>
      </c>
      <c r="T193" s="64">
        <f>IF(A193="","",IFERROR(INDEX('Bid-NoBid'!$T:$T,MATCH(A193,'Bid-NoBid'!$A:$A,0)),""))</f>
        <v/>
      </c>
      <c r="U193" s="59">
        <f>IF(A193="","",IFERROR(IF(OR(INDEX('Bid-NoBid'!$U:$U,MATCH(A193,'Bid-NoBid'!$A:$A,0))="",LEFT(INDEX('Bid-NoBid'!$U:$U,MATCH(A193,'Bid-NoBid'!$A:$A,0)),10)="Incomplete"),"Screen: "&amp;AC193,INDEX('Bid-NoBid'!$U:$U,MATCH(A193,'Bid-NoBid'!$A:$A,0))),"Screen: "&amp;AC193))</f>
        <v/>
      </c>
      <c r="V193" s="60" t="n"/>
      <c r="W193" s="70" t="inlineStr">
        <is>
          <t>Watching</t>
        </is>
      </c>
      <c r="X193" s="70" t="inlineStr">
        <is>
          <t>Frank</t>
        </is>
      </c>
      <c r="Y193" s="60" t="n"/>
      <c r="Z193" s="60" t="n"/>
      <c r="AA193" s="73" t="n">
        <v>46315</v>
      </c>
      <c r="AB193" s="74" t="inlineStr">
        <is>
          <t>Standard Invitation for Quotations -Works / Planned Tender</t>
        </is>
      </c>
      <c r="AC193" s="74" t="inlineStr">
        <is>
          <t>Check</t>
        </is>
      </c>
      <c r="AD193" s="74" t="inlineStr">
        <is>
          <t>Auto (Standard Invitation for Quotations -Works / Planned Tender): Building works but remote from Dar</t>
        </is>
      </c>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74" t="inlineStr">
        <is>
          <t>Read the notice and decide with the QS Director whether to pursue</t>
        </is>
      </c>
      <c r="AJ193" s="74" t="inlineStr">
        <is>
          <t>Auto-scan</t>
        </is>
      </c>
      <c r="AK193" s="74" t="inlineStr">
        <is>
          <t>de3b9518-bfcc-441c-bf2f-4c91c1b60c5d</t>
        </is>
      </c>
      <c r="AL193" s="59">
        <f>IF(AND(OR(W193="Watching",W193="Preparing"),ISNUMBER(Q193)),IF(AND(Q193&gt;='Friday Summary'!$C$4,Q193&lt;='Friday Summary'!$C$4+14),Q193+ROW()/1000000,""),"")</f>
        <v/>
      </c>
    </row>
    <row r="194" ht="15" customHeight="1" s="51">
      <c r="A194" s="59">
        <f>IF(B194="","","OP-"&amp;TEXT(ROW()-4,"000"))</f>
        <v/>
      </c>
      <c r="B194" s="70" t="inlineStr">
        <is>
          <t>85/2026/2027/W/10</t>
        </is>
      </c>
      <c r="C194" s="71" t="n">
        <v>46315</v>
      </c>
      <c r="D194" s="70" t="inlineStr">
        <is>
          <t>NeST</t>
        </is>
      </c>
      <c r="E194" s="70" t="inlineStr">
        <is>
          <t>https://nest.go.tz/tenders/published-tenders</t>
        </is>
      </c>
      <c r="F194" s="70" t="inlineStr">
        <is>
          <t>Tabora Regional Secretariat</t>
        </is>
      </c>
      <c r="G194" s="70" t="inlineStr">
        <is>
          <t>government</t>
        </is>
      </c>
      <c r="H194" s="70" t="inlineStr">
        <is>
          <t>CONSTRUCTION OF TABORA DISTRICT COMMISSIONER'S HOUSE.</t>
        </is>
      </c>
      <c r="I194" s="70" t="inlineStr">
        <is>
          <t>From NeST notice (1 lot) – read the tender document</t>
        </is>
      </c>
      <c r="J194" s="70" t="inlineStr">
        <is>
          <t>Tabora</t>
        </is>
      </c>
      <c r="K194" s="70" t="inlineStr">
        <is>
          <t>building</t>
        </is>
      </c>
      <c r="L194" s="70" t="inlineStr">
        <is>
          <t>NeST login needed</t>
        </is>
      </c>
      <c r="M194" s="62" t="n"/>
      <c r="N194" s="70" t="inlineStr">
        <is>
          <t>unknown</t>
        </is>
      </c>
      <c r="O194" s="71" t="inlineStr">
        <is>
          <t>NeST login needed</t>
        </is>
      </c>
      <c r="P194" s="71" t="inlineStr">
        <is>
          <t>NeST login needed</t>
        </is>
      </c>
      <c r="Q194" s="72" t="n">
        <v>46322.58333333334</v>
      </c>
      <c r="R194" s="70" t="inlineStr">
        <is>
          <t>NeST login needed</t>
        </is>
      </c>
      <c r="S194" s="70" t="inlineStr">
        <is>
          <t>N</t>
        </is>
      </c>
      <c r="T194" s="64">
        <f>IF(A194="","",IFERROR(INDEX('Bid-NoBid'!$T:$T,MATCH(A194,'Bid-NoBid'!$A:$A,0)),""))</f>
        <v/>
      </c>
      <c r="U194" s="59">
        <f>IF(A194="","",IFERROR(IF(OR(INDEX('Bid-NoBid'!$U:$U,MATCH(A194,'Bid-NoBid'!$A:$A,0))="",LEFT(INDEX('Bid-NoBid'!$U:$U,MATCH(A194,'Bid-NoBid'!$A:$A,0)),10)="Incomplete"),"Screen: "&amp;AC194,INDEX('Bid-NoBid'!$U:$U,MATCH(A194,'Bid-NoBid'!$A:$A,0))),"Screen: "&amp;AC194))</f>
        <v/>
      </c>
      <c r="V194" s="60" t="n"/>
      <c r="W194" s="70" t="inlineStr">
        <is>
          <t>Watching</t>
        </is>
      </c>
      <c r="X194" s="70" t="inlineStr">
        <is>
          <t>Frank</t>
        </is>
      </c>
      <c r="Y194" s="60" t="n"/>
      <c r="Z194" s="60" t="n"/>
      <c r="AA194" s="73" t="n">
        <v>46315</v>
      </c>
      <c r="AB194" s="74" t="inlineStr">
        <is>
          <t>Standard Invitation for Quotations -Works / Planned Tender</t>
        </is>
      </c>
      <c r="AC194" s="74" t="inlineStr">
        <is>
          <t>Check</t>
        </is>
      </c>
      <c r="AD194" s="74" t="inlineStr">
        <is>
          <t>Auto (Standard Invitation for Quotations -Works / Planned Tender): Building works but remote from Dar</t>
        </is>
      </c>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74" t="inlineStr">
        <is>
          <t>Read the notice and decide with the QS Director whether to pursue</t>
        </is>
      </c>
      <c r="AJ194" s="74" t="inlineStr">
        <is>
          <t>Auto-scan</t>
        </is>
      </c>
      <c r="AK194" s="74" t="inlineStr">
        <is>
          <t>f493d12f-2554-4627-93f5-cdd9407924df</t>
        </is>
      </c>
      <c r="AL194" s="59">
        <f>IF(AND(OR(W194="Watching",W194="Preparing"),ISNUMBER(Q194)),IF(AND(Q194&gt;='Friday Summary'!$C$4,Q194&lt;='Friday Summary'!$C$4+14),Q194+ROW()/1000000,""),"")</f>
        <v/>
      </c>
    </row>
    <row r="195" ht="15" customHeight="1" s="51">
      <c r="A195" s="59">
        <f>IF(B195="","","OP-"&amp;TEXT(ROW()-4,"000"))</f>
        <v/>
      </c>
      <c r="B195" s="70" t="inlineStr">
        <is>
          <t>TR219/2026/2027/W/13</t>
        </is>
      </c>
      <c r="C195" s="71" t="n">
        <v>46315</v>
      </c>
      <c r="D195" s="70" t="inlineStr">
        <is>
          <t>NeST</t>
        </is>
      </c>
      <c r="E195" s="70" t="inlineStr">
        <is>
          <t>https://nest.go.tz/tenders/published-tenders</t>
        </is>
      </c>
      <c r="F195" s="70" t="inlineStr">
        <is>
          <t>Tanzania National Parks</t>
        </is>
      </c>
      <c r="G195" s="70" t="inlineStr">
        <is>
          <t>government</t>
        </is>
      </c>
      <c r="H195" s="70" t="inlineStr">
        <is>
          <t>CONSTRUCTION OF BRIDGES AT BONA, MOKASI AND WARANGI YA CHINI IN SERENGETI NATIONAL PARK</t>
        </is>
      </c>
      <c r="I195" s="70" t="inlineStr">
        <is>
          <t>From NeST notice (1 lot) – read the tender document</t>
        </is>
      </c>
      <c r="J195" s="70" t="inlineStr">
        <is>
          <t>Arusha (from client's office – confirm site)</t>
        </is>
      </c>
      <c r="K195" s="70" t="inlineStr">
        <is>
          <t>civil</t>
        </is>
      </c>
      <c r="L195" s="70" t="inlineStr">
        <is>
          <t>NeST login needed</t>
        </is>
      </c>
      <c r="M195" s="62" t="n"/>
      <c r="N195" s="70" t="inlineStr">
        <is>
          <t>unknown</t>
        </is>
      </c>
      <c r="O195" s="71" t="inlineStr">
        <is>
          <t>NeST login needed</t>
        </is>
      </c>
      <c r="P195" s="71" t="inlineStr">
        <is>
          <t>NeST login needed</t>
        </is>
      </c>
      <c r="Q195" s="72" t="n">
        <v>46325.66666666666</v>
      </c>
      <c r="R195" s="70" t="inlineStr">
        <is>
          <t>NeST login needed</t>
        </is>
      </c>
      <c r="S195" s="70" t="inlineStr">
        <is>
          <t>N</t>
        </is>
      </c>
      <c r="T195" s="64">
        <f>IF(A195="","",IFERROR(INDEX('Bid-NoBid'!$T:$T,MATCH(A195,'Bid-NoBid'!$A:$A,0)),""))</f>
        <v/>
      </c>
      <c r="U195" s="59">
        <f>IF(A195="","",IFERROR(IF(OR(INDEX('Bid-NoBid'!$U:$U,MATCH(A195,'Bid-NoBid'!$A:$A,0))="",LEFT(INDEX('Bid-NoBid'!$U:$U,MATCH(A195,'Bid-NoBid'!$A:$A,0)),10)="Incomplete"),"Screen: "&amp;AC195,INDEX('Bid-NoBid'!$U:$U,MATCH(A195,'Bid-NoBid'!$A:$A,0))),"Screen: "&amp;AC195))</f>
        <v/>
      </c>
      <c r="V195" s="60" t="n"/>
      <c r="W195" s="70" t="inlineStr">
        <is>
          <t>Watching</t>
        </is>
      </c>
      <c r="X195" s="70" t="inlineStr">
        <is>
          <t>Frank</t>
        </is>
      </c>
      <c r="Y195" s="60" t="n"/>
      <c r="Z195" s="60" t="n"/>
      <c r="AA195" s="73" t="n">
        <v>46314</v>
      </c>
      <c r="AB195" s="74" t="inlineStr">
        <is>
          <t>Small Works / Tender</t>
        </is>
      </c>
      <c r="AC195" s="74" t="inlineStr">
        <is>
          <t>Check</t>
        </is>
      </c>
      <c r="AD195" s="74" t="inlineStr">
        <is>
          <t>Auto (Small Works / Tender): Construction tender kept for review (would have been dropped: Remote civil works)</t>
        </is>
      </c>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74" t="inlineStr">
        <is>
          <t>Deadline changed at source 29-Oct (was 29-Oct 14:00). Read the notice and decide with the QS Director whether to pursue</t>
        </is>
      </c>
      <c r="AJ195" s="74" t="inlineStr">
        <is>
          <t>Auto-scan</t>
        </is>
      </c>
      <c r="AK195" s="74" t="inlineStr">
        <is>
          <t>466b1415-72b3-4bed-8c06-aed1fefecd10</t>
        </is>
      </c>
      <c r="AL195" s="59">
        <f>IF(AND(OR(W195="Watching",W195="Preparing"),ISNUMBER(Q195)),IF(AND(Q195&gt;='Friday Summary'!$C$4,Q195&lt;='Friday Summary'!$C$4+14),Q195+ROW()/1000000,""),"")</f>
        <v/>
      </c>
    </row>
    <row r="196" ht="15" customHeight="1" s="51">
      <c r="A196" s="59">
        <f>IF(B196="","","OP-"&amp;TEXT(ROW()-4,"000"))</f>
        <v/>
      </c>
      <c r="B196" s="70" t="inlineStr">
        <is>
          <t>(not shown)</t>
        </is>
      </c>
      <c r="C196" s="71" t="n">
        <v>46315</v>
      </c>
      <c r="D196" s="70" t="inlineStr">
        <is>
          <t>press</t>
        </is>
      </c>
      <c r="E196" s="70" t="inlineStr">
        <is>
          <t>https://www.tanzaniatenders.com/tender/iucn-26-10-renovation-storage-chamber-vz-1117-90328ab.php</t>
        </is>
      </c>
      <c r="F196" s="70" t="inlineStr">
        <is>
          <t>See advert</t>
        </is>
      </c>
      <c r="G196" s="70" t="inlineStr">
        <is>
          <t>government</t>
        </is>
      </c>
      <c r="H196" s="70" t="inlineStr">
        <is>
          <t>Iucn-26-10-Renovation Storage Chamber Vz-1117</t>
        </is>
      </c>
      <c r="I196" s="70" t="inlineStr">
        <is>
          <t>From press notice (1 lot) – read the tender document</t>
        </is>
      </c>
      <c r="J196" s="70" t="inlineStr">
        <is>
          <t>Not stated – read the notice</t>
        </is>
      </c>
      <c r="K196" s="70" t="inlineStr">
        <is>
          <t>renovation</t>
        </is>
      </c>
      <c r="L196" s="70" t="inlineStr">
        <is>
          <t>See tender document</t>
        </is>
      </c>
      <c r="M196" s="62" t="n"/>
      <c r="N196" s="70" t="inlineStr">
        <is>
          <t>unknown</t>
        </is>
      </c>
      <c r="O196" s="71" t="inlineStr">
        <is>
          <t>See tender document</t>
        </is>
      </c>
      <c r="P196" s="71" t="inlineStr">
        <is>
          <t>See tender document</t>
        </is>
      </c>
      <c r="Q196" s="72" t="n">
        <v>46334.41666666666</v>
      </c>
      <c r="R196" s="70" t="inlineStr">
        <is>
          <t>See tender document</t>
        </is>
      </c>
      <c r="S196" s="70" t="inlineStr">
        <is>
          <t>N</t>
        </is>
      </c>
      <c r="T196" s="64">
        <f>IF(A196="","",IFERROR(INDEX('Bid-NoBid'!$T:$T,MATCH(A196,'Bid-NoBid'!$A:$A,0)),""))</f>
        <v/>
      </c>
      <c r="U196" s="59">
        <f>IF(A196="","",IFERROR(IF(OR(INDEX('Bid-NoBid'!$U:$U,MATCH(A196,'Bid-NoBid'!$A:$A,0))="",LEFT(INDEX('Bid-NoBid'!$U:$U,MATCH(A196,'Bid-NoBid'!$A:$A,0)),10)="Incomplete"),"Screen: "&amp;AC196,INDEX('Bid-NoBid'!$U:$U,MATCH(A196,'Bid-NoBid'!$A:$A,0))),"Screen: "&amp;AC196))</f>
        <v/>
      </c>
      <c r="V196" s="60" t="n"/>
      <c r="W196" s="70" t="inlineStr">
        <is>
          <t>Watching</t>
        </is>
      </c>
      <c r="X196" s="70" t="inlineStr">
        <is>
          <t>Frank</t>
        </is>
      </c>
      <c r="Y196" s="60" t="n"/>
      <c r="Z196" s="60" t="n"/>
      <c r="AA196" s="73" t="n"/>
      <c r="AB196" s="74" t="inlineStr">
        <is>
          <t>TanzaniaTenders.com (newspapers / portals / private)</t>
        </is>
      </c>
      <c r="AC196" s="74" t="inlineStr">
        <is>
          <t>Check</t>
        </is>
      </c>
      <c r="AD196" s="74" t="inlineStr">
        <is>
          <t>Auto (TanzaniaTenders.com): Site not stated in the listing – read the notice · deadline read from the web page – confirm</t>
        </is>
      </c>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74" t="inlineStr">
        <is>
          <t>Read the notice and decide with the QS Director whether to pursue</t>
        </is>
      </c>
      <c r="AJ196" s="74" t="inlineStr">
        <is>
          <t>Auto-scan</t>
        </is>
      </c>
      <c r="AK196" s="74" t="inlineStr">
        <is>
          <t>TZT:151201963</t>
        </is>
      </c>
      <c r="AL196" s="59">
        <f>IF(AND(OR(W196="Watching",W196="Preparing"),ISNUMBER(Q196)),IF(AND(Q196&gt;='Friday Summary'!$C$4,Q196&lt;='Friday Summary'!$C$4+14),Q196+ROW()/1000000,""),"")</f>
        <v/>
      </c>
    </row>
    <row r="197" ht="15" customHeight="1" s="51">
      <c r="A197" s="59">
        <f>IF(B197="","","OP-"&amp;TEXT(ROW()-4,"000"))</f>
        <v/>
      </c>
      <c r="B197" s="70" t="inlineStr">
        <is>
          <t>70A8/2026/2027/W/03</t>
        </is>
      </c>
      <c r="C197" s="71" t="n">
        <v>46316</v>
      </c>
      <c r="D197" s="70" t="inlineStr">
        <is>
          <t>NeST</t>
        </is>
      </c>
      <c r="E197" s="70" t="inlineStr">
        <is>
          <t>https://nest.go.tz/tenders/published-tenders</t>
        </is>
      </c>
      <c r="F197" s="70" t="inlineStr">
        <is>
          <t>Simanjiro District Council</t>
        </is>
      </c>
      <c r="G197" s="70" t="inlineStr">
        <is>
          <t>government</t>
        </is>
      </c>
      <c r="H197" s="70" t="inlineStr">
        <is>
          <t>Construction 2 staff houses (Head of Division/Unit) at Simanjiro District Council</t>
        </is>
      </c>
      <c r="I197" s="70" t="inlineStr">
        <is>
          <t>From NeST notice (1 lot) – read the tender document</t>
        </is>
      </c>
      <c r="J197" s="70" t="inlineStr">
        <is>
          <t>Manyara (from client's office – confirm site)</t>
        </is>
      </c>
      <c r="K197" s="70" t="inlineStr">
        <is>
          <t>building</t>
        </is>
      </c>
      <c r="L197" s="70" t="inlineStr">
        <is>
          <t>NeST login needed</t>
        </is>
      </c>
      <c r="M197" s="62" t="n"/>
      <c r="N197" s="70" t="inlineStr">
        <is>
          <t>unknown</t>
        </is>
      </c>
      <c r="O197" s="71" t="inlineStr">
        <is>
          <t>NeST login needed</t>
        </is>
      </c>
      <c r="P197" s="71" t="inlineStr">
        <is>
          <t>NeST login needed</t>
        </is>
      </c>
      <c r="Q197" s="72" t="n">
        <v>46321.58333333334</v>
      </c>
      <c r="R197" s="70" t="inlineStr">
        <is>
          <t>NeST login needed</t>
        </is>
      </c>
      <c r="S197" s="70" t="inlineStr">
        <is>
          <t>N</t>
        </is>
      </c>
      <c r="T197" s="64">
        <f>IF(A197="","",IFERROR(INDEX('Bid-NoBid'!$T:$T,MATCH(A197,'Bid-NoBid'!$A:$A,0)),""))</f>
        <v/>
      </c>
      <c r="U197" s="59">
        <f>IF(A197="","",IFERROR(IF(OR(INDEX('Bid-NoBid'!$U:$U,MATCH(A197,'Bid-NoBid'!$A:$A,0))="",LEFT(INDEX('Bid-NoBid'!$U:$U,MATCH(A197,'Bid-NoBid'!$A:$A,0)),10)="Incomplete"),"Screen: "&amp;AC197,INDEX('Bid-NoBid'!$U:$U,MATCH(A197,'Bid-NoBid'!$A:$A,0))),"Screen: "&amp;AC197))</f>
        <v/>
      </c>
      <c r="V197" s="60" t="n"/>
      <c r="W197" s="70" t="inlineStr">
        <is>
          <t>Watching</t>
        </is>
      </c>
      <c r="X197" s="70" t="inlineStr">
        <is>
          <t>Frank</t>
        </is>
      </c>
      <c r="Y197" s="60" t="n"/>
      <c r="Z197" s="60" t="n"/>
      <c r="AA197" s="73" t="n">
        <v>46315</v>
      </c>
      <c r="AB197" s="74" t="inlineStr">
        <is>
          <t>Small Works / Tender</t>
        </is>
      </c>
      <c r="AC197" s="74" t="inlineStr">
        <is>
          <t>Check</t>
        </is>
      </c>
      <c r="AD197" s="74" t="inlineStr">
        <is>
          <t>Auto (Small Works / Tender): Construction tender kept for review (would have been dropped: Remote and closing soon)</t>
        </is>
      </c>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74" t="inlineStr">
        <is>
          <t>Read the notice and decide with the QS Director whether to pursue</t>
        </is>
      </c>
      <c r="AJ197" s="74" t="inlineStr">
        <is>
          <t>Auto-scan</t>
        </is>
      </c>
      <c r="AK197" s="74" t="inlineStr">
        <is>
          <t>997fd8a5-514e-4276-95bb-75656e422f29</t>
        </is>
      </c>
      <c r="AL197" s="59">
        <f>IF(AND(OR(W197="Watching",W197="Preparing"),ISNUMBER(Q197)),IF(AND(Q197&gt;='Friday Summary'!$C$4,Q197&lt;='Friday Summary'!$C$4+14),Q197+ROW()/1000000,""),"")</f>
        <v/>
      </c>
    </row>
    <row r="198" ht="15" customHeight="1" s="51">
      <c r="A198" s="59">
        <f>IF(B198="","","OP-"&amp;TEXT(ROW()-4,"000"))</f>
        <v/>
      </c>
      <c r="B198" s="70" t="inlineStr">
        <is>
          <t>TR168/2026/2027/W/11</t>
        </is>
      </c>
      <c r="C198" s="71" t="n">
        <v>46316</v>
      </c>
      <c r="D198" s="70" t="inlineStr">
        <is>
          <t>NeST</t>
        </is>
      </c>
      <c r="E198" s="70" t="inlineStr">
        <is>
          <t>https://nest.go.tz/tenders/published-tenders</t>
        </is>
      </c>
      <c r="F198" s="70" t="inlineStr">
        <is>
          <t>Kigoma Urban Water Supply and Sanitation Authority</t>
        </is>
      </c>
      <c r="G198" s="70" t="inlineStr">
        <is>
          <t>government</t>
        </is>
      </c>
      <c r="H198" s="70" t="inlineStr">
        <is>
          <t>CONSTRUCTION OF A WATER STORAGE TANK WITH A CAPACITY OF 1,000 CUBIC METERS AND WATER NETWORK IMPROVEMENT PROJECT AT MWANDIGA</t>
        </is>
      </c>
      <c r="I198" s="70" t="inlineStr">
        <is>
          <t>From NeST notice (1 lot) – read the tender document</t>
        </is>
      </c>
      <c r="J198" s="70" t="inlineStr">
        <is>
          <t>Kigoma (from client's office – confirm site)</t>
        </is>
      </c>
      <c r="K198" s="70" t="inlineStr">
        <is>
          <t>building</t>
        </is>
      </c>
      <c r="L198" s="70" t="inlineStr">
        <is>
          <t>NeST login needed</t>
        </is>
      </c>
      <c r="M198" s="62" t="n"/>
      <c r="N198" s="70" t="inlineStr">
        <is>
          <t>unknown</t>
        </is>
      </c>
      <c r="O198" s="71" t="inlineStr">
        <is>
          <t>NeST login needed</t>
        </is>
      </c>
      <c r="P198" s="71" t="inlineStr">
        <is>
          <t>NeST login needed</t>
        </is>
      </c>
      <c r="Q198" s="72" t="n">
        <v>46322.41666666666</v>
      </c>
      <c r="R198" s="70" t="inlineStr">
        <is>
          <t>NeST login needed</t>
        </is>
      </c>
      <c r="S198" s="70" t="inlineStr">
        <is>
          <t>N</t>
        </is>
      </c>
      <c r="T198" s="64">
        <f>IF(A198="","",IFERROR(INDEX('Bid-NoBid'!$T:$T,MATCH(A198,'Bid-NoBid'!$A:$A,0)),""))</f>
        <v/>
      </c>
      <c r="U198" s="59">
        <f>IF(A198="","",IFERROR(IF(OR(INDEX('Bid-NoBid'!$U:$U,MATCH(A198,'Bid-NoBid'!$A:$A,0))="",LEFT(INDEX('Bid-NoBid'!$U:$U,MATCH(A198,'Bid-NoBid'!$A:$A,0)),10)="Incomplete"),"Screen: "&amp;AC198,INDEX('Bid-NoBid'!$U:$U,MATCH(A198,'Bid-NoBid'!$A:$A,0))),"Screen: "&amp;AC198))</f>
        <v/>
      </c>
      <c r="V198" s="60" t="n"/>
      <c r="W198" s="70" t="inlineStr">
        <is>
          <t>Watching</t>
        </is>
      </c>
      <c r="X198" s="70" t="inlineStr">
        <is>
          <t>Frank</t>
        </is>
      </c>
      <c r="Y198" s="60" t="n"/>
      <c r="Z198" s="60" t="n"/>
      <c r="AA198" s="73" t="n">
        <v>46315</v>
      </c>
      <c r="AB198" s="74" t="inlineStr">
        <is>
          <t>Small Works / Tender</t>
        </is>
      </c>
      <c r="AC198" s="74" t="inlineStr">
        <is>
          <t>Check</t>
        </is>
      </c>
      <c r="AD198" s="74" t="inlineStr">
        <is>
          <t>Auto (Small Works / Tender): Construction tender kept for review (would have been dropped: Remote and closing soon)</t>
        </is>
      </c>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74" t="inlineStr">
        <is>
          <t>Read the notice and decide with the QS Director whether to pursue</t>
        </is>
      </c>
      <c r="AJ198" s="74" t="inlineStr">
        <is>
          <t>Auto-scan</t>
        </is>
      </c>
      <c r="AK198" s="74" t="inlineStr">
        <is>
          <t>81e48106-cebd-413d-b4b7-80904a5299f3</t>
        </is>
      </c>
      <c r="AL198" s="59">
        <f>IF(AND(OR(W198="Watching",W198="Preparing"),ISNUMBER(Q198)),IF(AND(Q198&gt;='Friday Summary'!$C$4,Q198&lt;='Friday Summary'!$C$4+14),Q198+ROW()/1000000,""),"")</f>
        <v/>
      </c>
    </row>
    <row r="199" ht="15" customHeight="1" s="51">
      <c r="A199" s="59">
        <f>IF(B199="","","OP-"&amp;TEXT(ROW()-4,"000"))</f>
        <v/>
      </c>
      <c r="B199" s="70" t="inlineStr">
        <is>
          <t>TR36/014/2026/2027/W/56</t>
        </is>
      </c>
      <c r="C199" s="71" t="n">
        <v>46316</v>
      </c>
      <c r="D199" s="70" t="inlineStr">
        <is>
          <t>NeST</t>
        </is>
      </c>
      <c r="E199" s="70" t="inlineStr">
        <is>
          <t>https://nest.go.tz/tenders/published-tenders</t>
        </is>
      </c>
      <c r="F199" s="70" t="inlineStr">
        <is>
          <t>TANROADS - Morogoro Regional Office</t>
        </is>
      </c>
      <c r="G199" s="70" t="inlineStr">
        <is>
          <t>government</t>
        </is>
      </c>
      <c r="H199" s="70" t="inlineStr">
        <is>
          <t>Bridge capacity improvement in Morogoro Region</t>
        </is>
      </c>
      <c r="I199" s="70" t="inlineStr">
        <is>
          <t>From NeST notice (1 lot) – read the tender document</t>
        </is>
      </c>
      <c r="J199" s="70" t="inlineStr">
        <is>
          <t>Morogoro</t>
        </is>
      </c>
      <c r="K199" s="70" t="inlineStr">
        <is>
          <t>civil</t>
        </is>
      </c>
      <c r="L199" s="70" t="inlineStr">
        <is>
          <t>NeST login needed</t>
        </is>
      </c>
      <c r="M199" s="62" t="n"/>
      <c r="N199" s="70" t="inlineStr">
        <is>
          <t>unknown</t>
        </is>
      </c>
      <c r="O199" s="71" t="inlineStr">
        <is>
          <t>NeST login needed</t>
        </is>
      </c>
      <c r="P199" s="71" t="inlineStr">
        <is>
          <t>NeST login needed</t>
        </is>
      </c>
      <c r="Q199" s="72" t="n">
        <v>46323.625</v>
      </c>
      <c r="R199" s="70" t="inlineStr">
        <is>
          <t>NeST login needed</t>
        </is>
      </c>
      <c r="S199" s="70" t="inlineStr">
        <is>
          <t>N</t>
        </is>
      </c>
      <c r="T199" s="64">
        <f>IF(A199="","",IFERROR(INDEX('Bid-NoBid'!$T:$T,MATCH(A199,'Bid-NoBid'!$A:$A,0)),""))</f>
        <v/>
      </c>
      <c r="U199" s="59">
        <f>IF(A199="","",IFERROR(IF(OR(INDEX('Bid-NoBid'!$U:$U,MATCH(A199,'Bid-NoBid'!$A:$A,0))="",LEFT(INDEX('Bid-NoBid'!$U:$U,MATCH(A199,'Bid-NoBid'!$A:$A,0)),10)="Incomplete"),"Screen: "&amp;AC199,INDEX('Bid-NoBid'!$U:$U,MATCH(A199,'Bid-NoBid'!$A:$A,0))),"Screen: "&amp;AC199))</f>
        <v/>
      </c>
      <c r="V199" s="60" t="n"/>
      <c r="W199" s="70" t="inlineStr">
        <is>
          <t>Watching</t>
        </is>
      </c>
      <c r="X199" s="70" t="inlineStr">
        <is>
          <t>Frank</t>
        </is>
      </c>
      <c r="Y199" s="60" t="n"/>
      <c r="Z199" s="60" t="n"/>
      <c r="AA199" s="73" t="n">
        <v>46316</v>
      </c>
      <c r="AB199" s="74" t="inlineStr">
        <is>
          <t>Small Works / Tender</t>
        </is>
      </c>
      <c r="AC199" s="74" t="inlineStr">
        <is>
          <t>Check</t>
        </is>
      </c>
      <c r="AD199" s="74" t="inlineStr">
        <is>
          <t>Auto (Small Works / Tender): Civil works – confirm site, CRB class and margin</t>
        </is>
      </c>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74" t="inlineStr">
        <is>
          <t>Read the notice and decide with the QS Director whether to pursue</t>
        </is>
      </c>
      <c r="AJ199" s="74" t="inlineStr">
        <is>
          <t>Auto-scan</t>
        </is>
      </c>
      <c r="AK199" s="74" t="inlineStr">
        <is>
          <t>d0ceb39c-0f55-4a0a-82a7-009152479e47</t>
        </is>
      </c>
      <c r="AL199" s="59">
        <f>IF(AND(OR(W199="Watching",W199="Preparing"),ISNUMBER(Q199)),IF(AND(Q199&gt;='Friday Summary'!$C$4,Q199&lt;='Friday Summary'!$C$4+14),Q199+ROW()/1000000,""),"")</f>
        <v/>
      </c>
    </row>
    <row r="200" ht="15" customHeight="1" s="51">
      <c r="A200" s="59">
        <f>IF(B200="","","OP-"&amp;TEXT(ROW()-4,"000"))</f>
        <v/>
      </c>
      <c r="B200" s="70" t="inlineStr">
        <is>
          <t>(not shown)</t>
        </is>
      </c>
      <c r="C200" s="71" t="n">
        <v>46316</v>
      </c>
      <c r="D200" s="70" t="inlineStr">
        <is>
          <t>press</t>
        </is>
      </c>
      <c r="E200" s="70" t="inlineStr">
        <is>
          <t>https://www.tanzaniatenders.com/tender/construction-two-residential-house-head-departments-chamwino-district-council-9036fb8.php</t>
        </is>
      </c>
      <c r="F200" s="70" t="inlineStr">
        <is>
          <t>See advert</t>
        </is>
      </c>
      <c r="G200" s="70" t="inlineStr">
        <is>
          <t>government</t>
        </is>
      </c>
      <c r="H200" s="70" t="inlineStr">
        <is>
          <t>Construction of Two Residential House for Head of Departments at Chamwino District Council</t>
        </is>
      </c>
      <c r="I200" s="70" t="inlineStr">
        <is>
          <t>From press notice (1 lot) – read the tender document</t>
        </is>
      </c>
      <c r="J200" s="70" t="inlineStr">
        <is>
          <t>Dodoma (Chamwino)</t>
        </is>
      </c>
      <c r="K200" s="70" t="inlineStr">
        <is>
          <t>building</t>
        </is>
      </c>
      <c r="L200" s="70" t="inlineStr">
        <is>
          <t>See tender document</t>
        </is>
      </c>
      <c r="M200" s="62" t="n"/>
      <c r="N200" s="70" t="inlineStr">
        <is>
          <t>unknown</t>
        </is>
      </c>
      <c r="O200" s="71" t="inlineStr">
        <is>
          <t>See tender document</t>
        </is>
      </c>
      <c r="P200" s="71" t="inlineStr">
        <is>
          <t>See tender document</t>
        </is>
      </c>
      <c r="Q200" s="72" t="n">
        <v>46321.41666666666</v>
      </c>
      <c r="R200" s="70" t="inlineStr">
        <is>
          <t>See tender document</t>
        </is>
      </c>
      <c r="S200" s="70" t="inlineStr">
        <is>
          <t>N</t>
        </is>
      </c>
      <c r="T200" s="64">
        <f>IF(A200="","",IFERROR(INDEX('Bid-NoBid'!$T:$T,MATCH(A200,'Bid-NoBid'!$A:$A,0)),""))</f>
        <v/>
      </c>
      <c r="U200" s="59">
        <f>IF(A200="","",IFERROR(IF(OR(INDEX('Bid-NoBid'!$U:$U,MATCH(A200,'Bid-NoBid'!$A:$A,0))="",LEFT(INDEX('Bid-NoBid'!$U:$U,MATCH(A200,'Bid-NoBid'!$A:$A,0)),10)="Incomplete"),"Screen: "&amp;AC200,INDEX('Bid-NoBid'!$U:$U,MATCH(A200,'Bid-NoBid'!$A:$A,0))),"Screen: "&amp;AC200))</f>
        <v/>
      </c>
      <c r="V200" s="60" t="n"/>
      <c r="W200" s="70" t="inlineStr">
        <is>
          <t>Watching</t>
        </is>
      </c>
      <c r="X200" s="70" t="inlineStr">
        <is>
          <t>Frank</t>
        </is>
      </c>
      <c r="Y200" s="60" t="n"/>
      <c r="Z200" s="60" t="n"/>
      <c r="AA200" s="73" t="n"/>
      <c r="AB200" s="74" t="inlineStr">
        <is>
          <t>TanzaniaTenders.com (newspapers / portals / private)</t>
        </is>
      </c>
      <c r="AC200" s="74" t="inlineStr">
        <is>
          <t>Pursue</t>
        </is>
      </c>
      <c r="AD200" s="74" t="inlineStr">
        <is>
          <t>Auto (TanzaniaTenders.com): Building works within reach of Dar · deadline read from the web page – confirm</t>
        </is>
      </c>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74" t="inlineStr">
        <is>
          <t>Get the tender document, confirm value, CRB class, site visit and bid security; brief the MD</t>
        </is>
      </c>
      <c r="AJ200" s="74" t="inlineStr">
        <is>
          <t>Auto-scan</t>
        </is>
      </c>
      <c r="AK200" s="74" t="inlineStr">
        <is>
          <t>TZT:151220152</t>
        </is>
      </c>
      <c r="AL200" s="59">
        <f>IF(AND(OR(W200="Watching",W200="Preparing"),ISNUMBER(Q200)),IF(AND(Q200&gt;='Friday Summary'!$C$4,Q200&lt;='Friday Summary'!$C$4+14),Q200+ROW()/1000000,""),"")</f>
        <v/>
      </c>
    </row>
    <row r="201" ht="15" customHeight="1" s="51">
      <c r="A201" s="59">
        <f>IF(B201="","","OP-"&amp;TEXT(ROW()-4,"000"))</f>
        <v/>
      </c>
      <c r="B201" s="70" t="inlineStr">
        <is>
          <t>(not shown)</t>
        </is>
      </c>
      <c r="C201" s="71" t="n">
        <v>46316</v>
      </c>
      <c r="D201" s="70" t="inlineStr">
        <is>
          <t>press</t>
        </is>
      </c>
      <c r="E201" s="70" t="inlineStr">
        <is>
          <t>https://www.tanzaniatenders.com/tender/banners-hospital-9036f88.php</t>
        </is>
      </c>
      <c r="F201" s="70" t="inlineStr">
        <is>
          <t>See advert</t>
        </is>
      </c>
      <c r="G201" s="70" t="inlineStr">
        <is>
          <t>government</t>
        </is>
      </c>
      <c r="H201" s="70" t="inlineStr">
        <is>
          <t>Banners for Hospital</t>
        </is>
      </c>
      <c r="I201" s="70" t="inlineStr">
        <is>
          <t>From press notice (1 lot) – read the tender document</t>
        </is>
      </c>
      <c r="J201" s="70" t="inlineStr">
        <is>
          <t>Not stated – read the notice</t>
        </is>
      </c>
      <c r="K201" s="70" t="inlineStr">
        <is>
          <t>building</t>
        </is>
      </c>
      <c r="L201" s="70" t="inlineStr">
        <is>
          <t>See tender document</t>
        </is>
      </c>
      <c r="M201" s="62" t="n"/>
      <c r="N201" s="70" t="inlineStr">
        <is>
          <t>unknown</t>
        </is>
      </c>
      <c r="O201" s="71" t="inlineStr">
        <is>
          <t>See tender document</t>
        </is>
      </c>
      <c r="P201" s="71" t="inlineStr">
        <is>
          <t>See tender document</t>
        </is>
      </c>
      <c r="Q201" s="72" t="n">
        <v>46322.41666666666</v>
      </c>
      <c r="R201" s="70" t="inlineStr">
        <is>
          <t>See tender document</t>
        </is>
      </c>
      <c r="S201" s="70" t="inlineStr">
        <is>
          <t>N</t>
        </is>
      </c>
      <c r="T201" s="64">
        <f>IF(A201="","",IFERROR(INDEX('Bid-NoBid'!$T:$T,MATCH(A201,'Bid-NoBid'!$A:$A,0)),""))</f>
        <v/>
      </c>
      <c r="U201" s="59">
        <f>IF(A201="","",IFERROR(IF(OR(INDEX('Bid-NoBid'!$U:$U,MATCH(A201,'Bid-NoBid'!$A:$A,0))="",LEFT(INDEX('Bid-NoBid'!$U:$U,MATCH(A201,'Bid-NoBid'!$A:$A,0)),10)="Incomplete"),"Screen: "&amp;AC201,INDEX('Bid-NoBid'!$U:$U,MATCH(A201,'Bid-NoBid'!$A:$A,0))),"Screen: "&amp;AC201))</f>
        <v/>
      </c>
      <c r="V201" s="60" t="n"/>
      <c r="W201" s="70" t="inlineStr">
        <is>
          <t>Watching</t>
        </is>
      </c>
      <c r="X201" s="70" t="inlineStr">
        <is>
          <t>Frank</t>
        </is>
      </c>
      <c r="Y201" s="60" t="n"/>
      <c r="Z201" s="60" t="n"/>
      <c r="AA201" s="73" t="n"/>
      <c r="AB201" s="74" t="inlineStr">
        <is>
          <t>TanzaniaTenders.com (newspapers / portals / private)</t>
        </is>
      </c>
      <c r="AC201" s="74" t="inlineStr">
        <is>
          <t>Check</t>
        </is>
      </c>
      <c r="AD201" s="74" t="inlineStr">
        <is>
          <t>Auto (TanzaniaTenders.com): Site not stated in the listing – read the notice · deadline read from the web page – confirm</t>
        </is>
      </c>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74" t="inlineStr">
        <is>
          <t>Read the notice and decide with the QS Director whether to pursue</t>
        </is>
      </c>
      <c r="AJ201" s="74" t="inlineStr">
        <is>
          <t>Auto-scan</t>
        </is>
      </c>
      <c r="AK201" s="74" t="inlineStr">
        <is>
          <t>TZT:151220104</t>
        </is>
      </c>
      <c r="AL201" s="59">
        <f>IF(AND(OR(W201="Watching",W201="Preparing"),ISNUMBER(Q201)),IF(AND(Q201&gt;='Friday Summary'!$C$4,Q201&lt;='Friday Summary'!$C$4+14),Q201+ROW()/1000000,""),"")</f>
        <v/>
      </c>
    </row>
    <row r="202" ht="15" customHeight="1" s="51">
      <c r="A202" s="59">
        <f>IF(B202="","","OP-"&amp;TEXT(ROW()-4,"000"))</f>
        <v/>
      </c>
      <c r="B202" s="70" t="inlineStr">
        <is>
          <t>(not shown)</t>
        </is>
      </c>
      <c r="C202" s="71" t="n">
        <v>46316</v>
      </c>
      <c r="D202" s="70" t="inlineStr">
        <is>
          <t>press</t>
        </is>
      </c>
      <c r="E202" s="70" t="inlineStr">
        <is>
          <t>https://www.tanzaniatenders.com/tender/bridge-preventive-works-along-regional-roads-9036f5c.php</t>
        </is>
      </c>
      <c r="F202" s="70" t="inlineStr">
        <is>
          <t>See advert</t>
        </is>
      </c>
      <c r="G202" s="70" t="inlineStr">
        <is>
          <t>government</t>
        </is>
      </c>
      <c r="H202" s="70" t="inlineStr">
        <is>
          <t>Bridge Preventive Works along Regional Roads **</t>
        </is>
      </c>
      <c r="I202" s="70" t="inlineStr">
        <is>
          <t>From press notice (1 lot) – read the tender document</t>
        </is>
      </c>
      <c r="J202" s="70" t="inlineStr">
        <is>
          <t>Not stated – read the notice</t>
        </is>
      </c>
      <c r="K202" s="70" t="inlineStr">
        <is>
          <t>civil</t>
        </is>
      </c>
      <c r="L202" s="70" t="inlineStr">
        <is>
          <t>See tender document</t>
        </is>
      </c>
      <c r="M202" s="62" t="n"/>
      <c r="N202" s="70" t="inlineStr">
        <is>
          <t>unknown</t>
        </is>
      </c>
      <c r="O202" s="71" t="inlineStr">
        <is>
          <t>See tender document</t>
        </is>
      </c>
      <c r="P202" s="71" t="inlineStr">
        <is>
          <t>See tender document</t>
        </is>
      </c>
      <c r="Q202" s="72" t="n">
        <v>46323.41666666666</v>
      </c>
      <c r="R202" s="70" t="inlineStr">
        <is>
          <t>See tender document</t>
        </is>
      </c>
      <c r="S202" s="70" t="inlineStr">
        <is>
          <t>N</t>
        </is>
      </c>
      <c r="T202" s="64">
        <f>IF(A202="","",IFERROR(INDEX('Bid-NoBid'!$T:$T,MATCH(A202,'Bid-NoBid'!$A:$A,0)),""))</f>
        <v/>
      </c>
      <c r="U202" s="59">
        <f>IF(A202="","",IFERROR(IF(OR(INDEX('Bid-NoBid'!$U:$U,MATCH(A202,'Bid-NoBid'!$A:$A,0))="",LEFT(INDEX('Bid-NoBid'!$U:$U,MATCH(A202,'Bid-NoBid'!$A:$A,0)),10)="Incomplete"),"Screen: "&amp;AC202,INDEX('Bid-NoBid'!$U:$U,MATCH(A202,'Bid-NoBid'!$A:$A,0))),"Screen: "&amp;AC202))</f>
        <v/>
      </c>
      <c r="V202" s="60" t="n"/>
      <c r="W202" s="70" t="inlineStr">
        <is>
          <t>Watching</t>
        </is>
      </c>
      <c r="X202" s="70" t="inlineStr">
        <is>
          <t>Frank</t>
        </is>
      </c>
      <c r="Y202" s="60" t="n"/>
      <c r="Z202" s="60" t="n"/>
      <c r="AA202" s="73" t="n"/>
      <c r="AB202" s="74" t="inlineStr">
        <is>
          <t>TanzaniaTenders.com (newspapers / portals / private)</t>
        </is>
      </c>
      <c r="AC202" s="74" t="inlineStr">
        <is>
          <t>Check</t>
        </is>
      </c>
      <c r="AD202" s="74" t="inlineStr">
        <is>
          <t>Auto (TanzaniaTenders.com): Civil works – confirm site, CRB class and margin · deadline read from the web page – confirm</t>
        </is>
      </c>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74" t="inlineStr">
        <is>
          <t>Read the notice and decide with the QS Director whether to pursue</t>
        </is>
      </c>
      <c r="AJ202" s="74" t="inlineStr">
        <is>
          <t>Auto-scan</t>
        </is>
      </c>
      <c r="AK202" s="74" t="inlineStr">
        <is>
          <t>TZT:151220060</t>
        </is>
      </c>
      <c r="AL202" s="59">
        <f>IF(AND(OR(W202="Watching",W202="Preparing"),ISNUMBER(Q202)),IF(AND(Q202&gt;='Friday Summary'!$C$4,Q202&lt;='Friday Summary'!$C$4+14),Q202+ROW()/1000000,""),"")</f>
        <v/>
      </c>
    </row>
    <row r="203" ht="15" customHeight="1" s="51">
      <c r="A203" s="59">
        <f>IF(B203="","","OP-"&amp;TEXT(ROW()-4,"000"))</f>
        <v/>
      </c>
      <c r="B203" s="70" t="inlineStr">
        <is>
          <t>(not shown)</t>
        </is>
      </c>
      <c r="C203" s="71" t="n">
        <v>46316</v>
      </c>
      <c r="D203" s="70" t="inlineStr">
        <is>
          <t>aggregator</t>
        </is>
      </c>
      <c r="E203" s="70" t="inlineStr">
        <is>
          <t>https://www.biddetail.com/latest-tenders/119618840$6557123a-0a99-4a66-8cc2-eedfba61fce8</t>
        </is>
      </c>
      <c r="F203" s="70" t="inlineStr">
        <is>
          <t>See notice</t>
        </is>
      </c>
      <c r="G203" s="70" t="inlineStr">
        <is>
          <t>government</t>
        </is>
      </c>
      <c r="H203" s="70" t="inlineStr">
        <is>
          <t>Request For Proposal For Chuini Fishing Port Project Preparation ......</t>
        </is>
      </c>
      <c r="I203" s="70" t="inlineStr">
        <is>
          <t>From aggregator notice (1 lot) – read the tender document</t>
        </is>
      </c>
      <c r="J203" s="70" t="inlineStr">
        <is>
          <t>Not stated – read the notice</t>
        </is>
      </c>
      <c r="K203" s="70" t="inlineStr">
        <is>
          <t>civil</t>
        </is>
      </c>
      <c r="L203" s="70" t="inlineStr">
        <is>
          <t>See tender document</t>
        </is>
      </c>
      <c r="M203" s="62" t="n"/>
      <c r="N203" s="70" t="inlineStr">
        <is>
          <t>unknown</t>
        </is>
      </c>
      <c r="O203" s="71" t="inlineStr">
        <is>
          <t>See tender document</t>
        </is>
      </c>
      <c r="P203" s="71" t="inlineStr">
        <is>
          <t>See tender document</t>
        </is>
      </c>
      <c r="Q203" s="72" t="n"/>
      <c r="R203" s="70" t="inlineStr">
        <is>
          <t>See tender document</t>
        </is>
      </c>
      <c r="S203" s="70" t="inlineStr">
        <is>
          <t>N</t>
        </is>
      </c>
      <c r="T203" s="64">
        <f>IF(A203="","",IFERROR(INDEX('Bid-NoBid'!$T:$T,MATCH(A203,'Bid-NoBid'!$A:$A,0)),""))</f>
        <v/>
      </c>
      <c r="U203" s="59">
        <f>IF(A203="","",IFERROR(IF(OR(INDEX('Bid-NoBid'!$U:$U,MATCH(A203,'Bid-NoBid'!$A:$A,0))="",LEFT(INDEX('Bid-NoBid'!$U:$U,MATCH(A203,'Bid-NoBid'!$A:$A,0)),10)="Incomplete"),"Screen: "&amp;AC203,INDEX('Bid-NoBid'!$U:$U,MATCH(A203,'Bid-NoBid'!$A:$A,0))),"Screen: "&amp;AC203))</f>
        <v/>
      </c>
      <c r="V203" s="60" t="n"/>
      <c r="W203" s="70" t="inlineStr">
        <is>
          <t>Watching</t>
        </is>
      </c>
      <c r="X203" s="70" t="inlineStr">
        <is>
          <t>Frank</t>
        </is>
      </c>
      <c r="Y203" s="60" t="n"/>
      <c r="Z203" s="60" t="n"/>
      <c r="AA203" s="73" t="n"/>
      <c r="AB203" s="74" t="inlineStr">
        <is>
          <t>BidDetail – Tanzania tenders (web page)</t>
        </is>
      </c>
      <c r="AC203" s="74" t="inlineStr">
        <is>
          <t>Check</t>
        </is>
      </c>
      <c r="AD203" s="74" t="inlineStr">
        <is>
          <t>Auto (BidDetail – Tanzania tenders): Deadline not shown on the source page – open the link and read the notice</t>
        </is>
      </c>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74" t="inlineStr">
        <is>
          <t>Read the notice and decide with the QS Director whether to pursue</t>
        </is>
      </c>
      <c r="AJ203" s="74" t="inlineStr">
        <is>
          <t>Auto-scan</t>
        </is>
      </c>
      <c r="AK203" s="74" t="inlineStr">
        <is>
          <t>WEB:biddetail_tanzania_tenders:1eb000c98e3cff8d</t>
        </is>
      </c>
      <c r="AL203" s="59">
        <f>IF(AND(OR(W203="Watching",W203="Preparing"),ISNUMBER(Q203)),IF(AND(Q203&gt;='Friday Summary'!$C$4,Q203&lt;='Friday Summary'!$C$4+14),Q203+ROW()/1000000,""),"")</f>
        <v/>
      </c>
    </row>
    <row r="204" ht="15" customHeight="1" s="51">
      <c r="A204" s="59">
        <f>IF(B204="","","OP-"&amp;TEXT(ROW()-4,"000"))</f>
        <v/>
      </c>
      <c r="B204" s="70" t="inlineStr">
        <is>
          <t>75F1/2026/2027/W/04</t>
        </is>
      </c>
      <c r="C204" s="71" t="n">
        <v>46317</v>
      </c>
      <c r="D204" s="70" t="inlineStr">
        <is>
          <t>NeST</t>
        </is>
      </c>
      <c r="E204" s="70" t="inlineStr">
        <is>
          <t>https://nest.go.tz/tenders/published-tenders</t>
        </is>
      </c>
      <c r="F204" s="70" t="inlineStr">
        <is>
          <t>Moshi District Council</t>
        </is>
      </c>
      <c r="G204" s="70" t="inlineStr">
        <is>
          <t>government</t>
        </is>
      </c>
      <c r="H204" s="70" t="inlineStr">
        <is>
          <t>HEAVY CONSTRUCTION SERVICES</t>
        </is>
      </c>
      <c r="I204" s="70" t="inlineStr">
        <is>
          <t>From NeST notice (1 lot) – read the tender document</t>
        </is>
      </c>
      <c r="J204" s="70" t="inlineStr">
        <is>
          <t>Kilimanjaro (Moshi) (from client's office – confirm site)</t>
        </is>
      </c>
      <c r="K204" s="70" t="inlineStr">
        <is>
          <t>building</t>
        </is>
      </c>
      <c r="L204" s="70" t="inlineStr">
        <is>
          <t>NeST login needed</t>
        </is>
      </c>
      <c r="M204" s="62" t="n"/>
      <c r="N204" s="70" t="inlineStr">
        <is>
          <t>unknown</t>
        </is>
      </c>
      <c r="O204" s="71" t="inlineStr">
        <is>
          <t>NeST login needed</t>
        </is>
      </c>
      <c r="P204" s="71" t="inlineStr">
        <is>
          <t>NeST login needed</t>
        </is>
      </c>
      <c r="Q204" s="72" t="n">
        <v>46323.41666666666</v>
      </c>
      <c r="R204" s="70" t="inlineStr">
        <is>
          <t>NeST login needed</t>
        </is>
      </c>
      <c r="S204" s="70" t="inlineStr">
        <is>
          <t>N</t>
        </is>
      </c>
      <c r="T204" s="64">
        <f>IF(A204="","",IFERROR(INDEX('Bid-NoBid'!$T:$T,MATCH(A204,'Bid-NoBid'!$A:$A,0)),""))</f>
        <v/>
      </c>
      <c r="U204" s="59">
        <f>IF(A204="","",IFERROR(IF(OR(INDEX('Bid-NoBid'!$U:$U,MATCH(A204,'Bid-NoBid'!$A:$A,0))="",LEFT(INDEX('Bid-NoBid'!$U:$U,MATCH(A204,'Bid-NoBid'!$A:$A,0)),10)="Incomplete"),"Screen: "&amp;AC204,INDEX('Bid-NoBid'!$U:$U,MATCH(A204,'Bid-NoBid'!$A:$A,0))),"Screen: "&amp;AC204))</f>
        <v/>
      </c>
      <c r="V204" s="60" t="n"/>
      <c r="W204" s="70" t="inlineStr">
        <is>
          <t>Watching</t>
        </is>
      </c>
      <c r="X204" s="70" t="inlineStr">
        <is>
          <t>Frank</t>
        </is>
      </c>
      <c r="Y204" s="60" t="n"/>
      <c r="Z204" s="60" t="n"/>
      <c r="AA204" s="73" t="n">
        <v>46316</v>
      </c>
      <c r="AB204" s="74" t="inlineStr">
        <is>
          <t>Small Works / Tender</t>
        </is>
      </c>
      <c r="AC204" s="74" t="inlineStr">
        <is>
          <t>Check</t>
        </is>
      </c>
      <c r="AD204" s="74" t="inlineStr">
        <is>
          <t>Auto (Small Works / Tender): Construction tender kept for review (would have been dropped: Remote and closing soon)</t>
        </is>
      </c>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74" t="inlineStr">
        <is>
          <t>Read the notice and decide with the QS Director whether to pursue</t>
        </is>
      </c>
      <c r="AJ204" s="74" t="inlineStr">
        <is>
          <t>Auto-scan</t>
        </is>
      </c>
      <c r="AK204" s="74" t="inlineStr">
        <is>
          <t>aad8707f-e361-4997-9b93-cec4a51fa863</t>
        </is>
      </c>
      <c r="AL204" s="59">
        <f>IF(AND(OR(W204="Watching",W204="Preparing"),ISNUMBER(Q204)),IF(AND(Q204&gt;='Friday Summary'!$C$4,Q204&lt;='Friday Summary'!$C$4+14),Q204+ROW()/1000000,""),"")</f>
        <v/>
      </c>
    </row>
    <row r="205" ht="15" customHeight="1" s="51">
      <c r="A205" s="59">
        <f>IF(B205="","","OP-"&amp;TEXT(ROW()-4,"000"))</f>
        <v/>
      </c>
      <c r="B205" s="70" t="inlineStr">
        <is>
          <t>52/074/2026/2027/W/07</t>
        </is>
      </c>
      <c r="C205" s="71" t="n">
        <v>46317</v>
      </c>
      <c r="D205" s="70" t="inlineStr">
        <is>
          <t>NeST</t>
        </is>
      </c>
      <c r="E205" s="70" t="inlineStr">
        <is>
          <t>https://nest.go.tz/tenders/published-tenders</t>
        </is>
      </c>
      <c r="F205" s="70" t="inlineStr">
        <is>
          <t>Tumbi Regional Referral Hospital (kibaha)</t>
        </is>
      </c>
      <c r="G205" s="70" t="inlineStr">
        <is>
          <t>government</t>
        </is>
      </c>
      <c r="H205" s="70" t="inlineStr">
        <is>
          <t>CONSTRUCTION OF CUSTOMER CARE POINT AT TUMBI RRH</t>
        </is>
      </c>
      <c r="I205" s="70" t="inlineStr">
        <is>
          <t>From NeST notice (1 lot) – read the tender document</t>
        </is>
      </c>
      <c r="J205" s="70" t="inlineStr">
        <is>
          <t>Pwani (Kibaha) (from client's office – confirm site)</t>
        </is>
      </c>
      <c r="K205" s="70" t="inlineStr">
        <is>
          <t>building</t>
        </is>
      </c>
      <c r="L205" s="70" t="inlineStr">
        <is>
          <t>NeST login needed</t>
        </is>
      </c>
      <c r="M205" s="62" t="n"/>
      <c r="N205" s="70" t="inlineStr">
        <is>
          <t>unknown</t>
        </is>
      </c>
      <c r="O205" s="71" t="inlineStr">
        <is>
          <t>NeST login needed</t>
        </is>
      </c>
      <c r="P205" s="71" t="inlineStr">
        <is>
          <t>NeST login needed</t>
        </is>
      </c>
      <c r="Q205" s="72" t="n">
        <v>46323.58333333334</v>
      </c>
      <c r="R205" s="70" t="inlineStr">
        <is>
          <t>NeST login needed</t>
        </is>
      </c>
      <c r="S205" s="70" t="inlineStr">
        <is>
          <t>N</t>
        </is>
      </c>
      <c r="T205" s="64">
        <f>IF(A205="","",IFERROR(INDEX('Bid-NoBid'!$T:$T,MATCH(A205,'Bid-NoBid'!$A:$A,0)),""))</f>
        <v/>
      </c>
      <c r="U205" s="59">
        <f>IF(A205="","",IFERROR(IF(OR(INDEX('Bid-NoBid'!$U:$U,MATCH(A205,'Bid-NoBid'!$A:$A,0))="",LEFT(INDEX('Bid-NoBid'!$U:$U,MATCH(A205,'Bid-NoBid'!$A:$A,0)),10)="Incomplete"),"Screen: "&amp;AC205,INDEX('Bid-NoBid'!$U:$U,MATCH(A205,'Bid-NoBid'!$A:$A,0))),"Screen: "&amp;AC205))</f>
        <v/>
      </c>
      <c r="V205" s="60" t="n"/>
      <c r="W205" s="70" t="inlineStr">
        <is>
          <t>Watching</t>
        </is>
      </c>
      <c r="X205" s="70" t="inlineStr">
        <is>
          <t>Frank</t>
        </is>
      </c>
      <c r="Y205" s="60" t="n"/>
      <c r="Z205" s="60" t="n"/>
      <c r="AA205" s="73" t="n">
        <v>46316</v>
      </c>
      <c r="AB205" s="74" t="inlineStr">
        <is>
          <t>Small Works / Tender</t>
        </is>
      </c>
      <c r="AC205" s="74" t="inlineStr">
        <is>
          <t>Pursue</t>
        </is>
      </c>
      <c r="AD205" s="74" t="inlineStr">
        <is>
          <t>Auto (Small Works / Tender): Building works within reach of Dar</t>
        </is>
      </c>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74" t="inlineStr">
        <is>
          <t>Get the tender document, confirm value, CRB class, site visit and bid security; brief the MD</t>
        </is>
      </c>
      <c r="AJ205" s="74" t="inlineStr">
        <is>
          <t>Auto-scan</t>
        </is>
      </c>
      <c r="AK205" s="74" t="inlineStr">
        <is>
          <t>197fe68a-bb6d-4ee1-ba81-452dc272e2d6</t>
        </is>
      </c>
      <c r="AL205" s="59">
        <f>IF(AND(OR(W205="Watching",W205="Preparing"),ISNUMBER(Q205)),IF(AND(Q205&gt;='Friday Summary'!$C$4,Q205&lt;='Friday Summary'!$C$4+14),Q205+ROW()/1000000,""),"")</f>
        <v/>
      </c>
    </row>
    <row r="206" ht="15" customHeight="1" s="51">
      <c r="A206" s="59">
        <f>IF(B206="","","OP-"&amp;TEXT(ROW()-4,"000"))</f>
        <v/>
      </c>
      <c r="B206" s="70" t="inlineStr">
        <is>
          <t>TR185/2026/2027/W/14</t>
        </is>
      </c>
      <c r="C206" s="71" t="n">
        <v>46317</v>
      </c>
      <c r="D206" s="70" t="inlineStr">
        <is>
          <t>NeST</t>
        </is>
      </c>
      <c r="E206" s="70" t="inlineStr">
        <is>
          <t>https://nest.go.tz/tenders/published-tenders</t>
        </is>
      </c>
      <c r="F206" s="70" t="inlineStr">
        <is>
          <t>National Development Corporation</t>
        </is>
      </c>
      <c r="G206" s="70" t="inlineStr">
        <is>
          <t>parastatal (verify)</t>
        </is>
      </c>
      <c r="H206" s="70" t="inlineStr">
        <is>
          <t>Rehabilitation of Registry (Open and Confidential) and Library</t>
        </is>
      </c>
      <c r="I206" s="70" t="inlineStr">
        <is>
          <t>From NeST notice (1 lot) – read the tender document</t>
        </is>
      </c>
      <c r="J206" s="70" t="inlineStr">
        <is>
          <t>Dar es Salaam (Ilala) (from client's office – confirm site)</t>
        </is>
      </c>
      <c r="K206" s="70" t="inlineStr">
        <is>
          <t>renovation</t>
        </is>
      </c>
      <c r="L206" s="70" t="inlineStr">
        <is>
          <t>NeST login needed</t>
        </is>
      </c>
      <c r="M206" s="62" t="n"/>
      <c r="N206" s="70" t="inlineStr">
        <is>
          <t>unknown</t>
        </is>
      </c>
      <c r="O206" s="71" t="inlineStr">
        <is>
          <t>NeST login needed</t>
        </is>
      </c>
      <c r="P206" s="71" t="inlineStr">
        <is>
          <t>NeST login needed</t>
        </is>
      </c>
      <c r="Q206" s="72" t="n">
        <v>46324.58333333334</v>
      </c>
      <c r="R206" s="70" t="inlineStr">
        <is>
          <t>NeST login needed</t>
        </is>
      </c>
      <c r="S206" s="70" t="inlineStr">
        <is>
          <t>N</t>
        </is>
      </c>
      <c r="T206" s="64">
        <f>IF(A206="","",IFERROR(INDEX('Bid-NoBid'!$T:$T,MATCH(A206,'Bid-NoBid'!$A:$A,0)),""))</f>
        <v/>
      </c>
      <c r="U206" s="59">
        <f>IF(A206="","",IFERROR(IF(OR(INDEX('Bid-NoBid'!$U:$U,MATCH(A206,'Bid-NoBid'!$A:$A,0))="",LEFT(INDEX('Bid-NoBid'!$U:$U,MATCH(A206,'Bid-NoBid'!$A:$A,0)),10)="Incomplete"),"Screen: "&amp;AC206,INDEX('Bid-NoBid'!$U:$U,MATCH(A206,'Bid-NoBid'!$A:$A,0))),"Screen: "&amp;AC206))</f>
        <v/>
      </c>
      <c r="V206" s="60" t="n"/>
      <c r="W206" s="70" t="inlineStr">
        <is>
          <t>Watching</t>
        </is>
      </c>
      <c r="X206" s="70" t="inlineStr">
        <is>
          <t>Frank</t>
        </is>
      </c>
      <c r="Y206" s="60" t="n"/>
      <c r="Z206" s="60" t="n"/>
      <c r="AA206" s="73" t="n">
        <v>46317</v>
      </c>
      <c r="AB206" s="74" t="inlineStr">
        <is>
          <t>Small Works / Tender</t>
        </is>
      </c>
      <c r="AC206" s="74" t="inlineStr">
        <is>
          <t>Pursue</t>
        </is>
      </c>
      <c r="AD206" s="74" t="inlineStr">
        <is>
          <t>Auto (Small Works / Tender): Building works within reach of Dar</t>
        </is>
      </c>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74" t="inlineStr">
        <is>
          <t>Get the tender document, confirm value, CRB class, site visit and bid security; brief the MD</t>
        </is>
      </c>
      <c r="AJ206" s="74" t="inlineStr">
        <is>
          <t>Auto-scan</t>
        </is>
      </c>
      <c r="AK206" s="74" t="inlineStr">
        <is>
          <t>5145f8f8-84da-49c5-b8a9-022be262e943</t>
        </is>
      </c>
      <c r="AL206" s="59">
        <f>IF(AND(OR(W206="Watching",W206="Preparing"),ISNUMBER(Q206)),IF(AND(Q206&gt;='Friday Summary'!$C$4,Q206&lt;='Friday Summary'!$C$4+14),Q206+ROW()/1000000,""),"")</f>
        <v/>
      </c>
    </row>
    <row r="207" ht="15" customHeight="1" s="51">
      <c r="A207" s="59">
        <f>IF(B207="","","OP-"&amp;TEXT(ROW()-4,"000"))</f>
        <v/>
      </c>
      <c r="B207" s="70" t="inlineStr">
        <is>
          <t>TR36/014/2026/2027/W/57</t>
        </is>
      </c>
      <c r="C207" s="71" t="n">
        <v>46317</v>
      </c>
      <c r="D207" s="70" t="inlineStr">
        <is>
          <t>NeST</t>
        </is>
      </c>
      <c r="E207" s="70" t="inlineStr">
        <is>
          <t>https://nest.go.tz/tenders/published-tenders</t>
        </is>
      </c>
      <c r="F207" s="70" t="inlineStr">
        <is>
          <t>TANROADS - Morogoro Regional Office</t>
        </is>
      </c>
      <c r="G207" s="70" t="inlineStr">
        <is>
          <t>government</t>
        </is>
      </c>
      <c r="H207" s="70" t="inlineStr">
        <is>
          <t>IMPROVEMENT OF ECONOMICAL CORRIDOR ALONG MOROGORO - DODOMA TRUNK ROAD T.003</t>
        </is>
      </c>
      <c r="I207" s="70" t="inlineStr">
        <is>
          <t>From NeST notice (1 lot) – read the tender document</t>
        </is>
      </c>
      <c r="J207" s="70" t="inlineStr">
        <is>
          <t>Morogoro</t>
        </is>
      </c>
      <c r="K207" s="70" t="inlineStr">
        <is>
          <t>civil</t>
        </is>
      </c>
      <c r="L207" s="70" t="inlineStr">
        <is>
          <t>NeST login needed</t>
        </is>
      </c>
      <c r="M207" s="62" t="n"/>
      <c r="N207" s="70" t="inlineStr">
        <is>
          <t>unknown</t>
        </is>
      </c>
      <c r="O207" s="71" t="inlineStr">
        <is>
          <t>NeST login needed</t>
        </is>
      </c>
      <c r="P207" s="71" t="inlineStr">
        <is>
          <t>NeST login needed</t>
        </is>
      </c>
      <c r="Q207" s="72" t="n">
        <v>46324.625</v>
      </c>
      <c r="R207" s="70" t="inlineStr">
        <is>
          <t>NeST login needed</t>
        </is>
      </c>
      <c r="S207" s="70" t="inlineStr">
        <is>
          <t>N</t>
        </is>
      </c>
      <c r="T207" s="64">
        <f>IF(A207="","",IFERROR(INDEX('Bid-NoBid'!$T:$T,MATCH(A207,'Bid-NoBid'!$A:$A,0)),""))</f>
        <v/>
      </c>
      <c r="U207" s="59">
        <f>IF(A207="","",IFERROR(IF(OR(INDEX('Bid-NoBid'!$U:$U,MATCH(A207,'Bid-NoBid'!$A:$A,0))="",LEFT(INDEX('Bid-NoBid'!$U:$U,MATCH(A207,'Bid-NoBid'!$A:$A,0)),10)="Incomplete"),"Screen: "&amp;AC207,INDEX('Bid-NoBid'!$U:$U,MATCH(A207,'Bid-NoBid'!$A:$A,0))),"Screen: "&amp;AC207))</f>
        <v/>
      </c>
      <c r="V207" s="60" t="n"/>
      <c r="W207" s="70" t="inlineStr">
        <is>
          <t>Watching</t>
        </is>
      </c>
      <c r="X207" s="70" t="inlineStr">
        <is>
          <t>Frank</t>
        </is>
      </c>
      <c r="Y207" s="60" t="n"/>
      <c r="Z207" s="60" t="n"/>
      <c r="AA207" s="73" t="n">
        <v>46317</v>
      </c>
      <c r="AB207" s="74" t="inlineStr">
        <is>
          <t>Small Works / Tender</t>
        </is>
      </c>
      <c r="AC207" s="74" t="inlineStr">
        <is>
          <t>Check</t>
        </is>
      </c>
      <c r="AD207" s="74" t="inlineStr">
        <is>
          <t>Auto (Small Works / Tender): Civil works – confirm site, CRB class and margin</t>
        </is>
      </c>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74" t="inlineStr">
        <is>
          <t>Read the notice and decide with the QS Director whether to pursue</t>
        </is>
      </c>
      <c r="AJ207" s="74" t="inlineStr">
        <is>
          <t>Auto-scan</t>
        </is>
      </c>
      <c r="AK207" s="74" t="inlineStr">
        <is>
          <t>d417c12c-a9c1-4710-b491-1f6a3fd2bd22</t>
        </is>
      </c>
      <c r="AL207" s="59">
        <f>IF(AND(OR(W207="Watching",W207="Preparing"),ISNUMBER(Q207)),IF(AND(Q207&gt;='Friday Summary'!$C$4,Q207&lt;='Friday Summary'!$C$4+14),Q207+ROW()/1000000,""),"")</f>
        <v/>
      </c>
    </row>
    <row r="208" ht="15" customHeight="1" s="51">
      <c r="A208" s="59">
        <f>IF(B208="","","OP-"&amp;TEXT(ROW()-4,"000"))</f>
        <v/>
      </c>
      <c r="B208" s="70" t="inlineStr">
        <is>
          <t>TR36/014/2026/2027/W/60</t>
        </is>
      </c>
      <c r="C208" s="71" t="n">
        <v>46317</v>
      </c>
      <c r="D208" s="70" t="inlineStr">
        <is>
          <t>NeST</t>
        </is>
      </c>
      <c r="E208" s="70" t="inlineStr">
        <is>
          <t>https://nest.go.tz/tenders/published-tenders</t>
        </is>
      </c>
      <c r="F208" s="70" t="inlineStr">
        <is>
          <t>TANROADS - Morogoro Regional Office</t>
        </is>
      </c>
      <c r="G208" s="70" t="inlineStr">
        <is>
          <t>government</t>
        </is>
      </c>
      <c r="H208" s="70" t="inlineStr">
        <is>
          <t>SPOT IMPROVEMENT WORKS ALONG DUMILA - KILOSA - MIKUMI(142.6KM).</t>
        </is>
      </c>
      <c r="I208" s="70" t="inlineStr">
        <is>
          <t>From NeST notice (1 lot) – read the tender document</t>
        </is>
      </c>
      <c r="J208" s="70" t="inlineStr">
        <is>
          <t>Morogoro (Kilosa)</t>
        </is>
      </c>
      <c r="K208" s="70" t="inlineStr">
        <is>
          <t>civil</t>
        </is>
      </c>
      <c r="L208" s="70" t="inlineStr">
        <is>
          <t>NeST login needed</t>
        </is>
      </c>
      <c r="M208" s="62" t="n"/>
      <c r="N208" s="70" t="inlineStr">
        <is>
          <t>unknown</t>
        </is>
      </c>
      <c r="O208" s="71" t="inlineStr">
        <is>
          <t>NeST login needed</t>
        </is>
      </c>
      <c r="P208" s="71" t="inlineStr">
        <is>
          <t>NeST login needed</t>
        </is>
      </c>
      <c r="Q208" s="72" t="n">
        <v>46324.625</v>
      </c>
      <c r="R208" s="70" t="inlineStr">
        <is>
          <t>NeST login needed</t>
        </is>
      </c>
      <c r="S208" s="70" t="inlineStr">
        <is>
          <t>N</t>
        </is>
      </c>
      <c r="T208" s="64">
        <f>IF(A208="","",IFERROR(INDEX('Bid-NoBid'!$T:$T,MATCH(A208,'Bid-NoBid'!$A:$A,0)),""))</f>
        <v/>
      </c>
      <c r="U208" s="59">
        <f>IF(A208="","",IFERROR(IF(OR(INDEX('Bid-NoBid'!$U:$U,MATCH(A208,'Bid-NoBid'!$A:$A,0))="",LEFT(INDEX('Bid-NoBid'!$U:$U,MATCH(A208,'Bid-NoBid'!$A:$A,0)),10)="Incomplete"),"Screen: "&amp;AC208,INDEX('Bid-NoBid'!$U:$U,MATCH(A208,'Bid-NoBid'!$A:$A,0))),"Screen: "&amp;AC208))</f>
        <v/>
      </c>
      <c r="V208" s="60" t="n"/>
      <c r="W208" s="70" t="inlineStr">
        <is>
          <t>Watching</t>
        </is>
      </c>
      <c r="X208" s="70" t="inlineStr">
        <is>
          <t>Frank</t>
        </is>
      </c>
      <c r="Y208" s="60" t="n"/>
      <c r="Z208" s="60" t="n"/>
      <c r="AA208" s="73" t="n">
        <v>46317</v>
      </c>
      <c r="AB208" s="74" t="inlineStr">
        <is>
          <t>Small Works / Tender</t>
        </is>
      </c>
      <c r="AC208" s="74" t="inlineStr">
        <is>
          <t>Check</t>
        </is>
      </c>
      <c r="AD208" s="74" t="inlineStr">
        <is>
          <t>Auto (Small Works / Tender): Civil works – confirm site, CRB class and margin</t>
        </is>
      </c>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74" t="inlineStr">
        <is>
          <t>Read the notice and decide with the QS Director whether to pursue</t>
        </is>
      </c>
      <c r="AJ208" s="74" t="inlineStr">
        <is>
          <t>Auto-scan</t>
        </is>
      </c>
      <c r="AK208" s="74" t="inlineStr">
        <is>
          <t>d90d1ec8-e22e-4be2-b6ca-b0e12dc22a00</t>
        </is>
      </c>
      <c r="AL208" s="59">
        <f>IF(AND(OR(W208="Watching",W208="Preparing"),ISNUMBER(Q208)),IF(AND(Q208&gt;='Friday Summary'!$C$4,Q208&lt;='Friday Summary'!$C$4+14),Q208+ROW()/1000000,""),"")</f>
        <v/>
      </c>
    </row>
    <row r="209" ht="15" customHeight="1" s="51">
      <c r="A209" s="59">
        <f>IF(B209="","","OP-"&amp;TEXT(ROW()-4,"000"))</f>
        <v/>
      </c>
      <c r="B209" s="70" t="inlineStr">
        <is>
          <t>(not shown)</t>
        </is>
      </c>
      <c r="C209" s="71" t="n">
        <v>46317</v>
      </c>
      <c r="D209" s="70" t="inlineStr">
        <is>
          <t>press</t>
        </is>
      </c>
      <c r="E209" s="70" t="inlineStr">
        <is>
          <t>https://www.tanzaniatenders.com/tender/construction-election-polling-stations-chamwino-9045b71.php</t>
        </is>
      </c>
      <c r="F209" s="70" t="inlineStr">
        <is>
          <t>See advert</t>
        </is>
      </c>
      <c r="G209" s="70" t="inlineStr">
        <is>
          <t>government</t>
        </is>
      </c>
      <c r="H209" s="70" t="inlineStr">
        <is>
          <t>Construction of Election (Polling) Stations in Chamwino</t>
        </is>
      </c>
      <c r="I209" s="70" t="inlineStr">
        <is>
          <t>From press notice (1 lot) – read the tender document</t>
        </is>
      </c>
      <c r="J209" s="70" t="inlineStr">
        <is>
          <t>Dodoma (Chamwino)</t>
        </is>
      </c>
      <c r="K209" s="70" t="inlineStr">
        <is>
          <t>building</t>
        </is>
      </c>
      <c r="L209" s="70" t="inlineStr">
        <is>
          <t>See tender document</t>
        </is>
      </c>
      <c r="M209" s="62" t="n"/>
      <c r="N209" s="70" t="inlineStr">
        <is>
          <t>unknown</t>
        </is>
      </c>
      <c r="O209" s="71" t="inlineStr">
        <is>
          <t>See tender document</t>
        </is>
      </c>
      <c r="P209" s="71" t="inlineStr">
        <is>
          <t>See tender document</t>
        </is>
      </c>
      <c r="Q209" s="72" t="n">
        <v>46322.41666666666</v>
      </c>
      <c r="R209" s="70" t="inlineStr">
        <is>
          <t>See tender document</t>
        </is>
      </c>
      <c r="S209" s="70" t="inlineStr">
        <is>
          <t>N</t>
        </is>
      </c>
      <c r="T209" s="64">
        <f>IF(A209="","",IFERROR(INDEX('Bid-NoBid'!$T:$T,MATCH(A209,'Bid-NoBid'!$A:$A,0)),""))</f>
        <v/>
      </c>
      <c r="U209" s="59">
        <f>IF(A209="","",IFERROR(IF(OR(INDEX('Bid-NoBid'!$U:$U,MATCH(A209,'Bid-NoBid'!$A:$A,0))="",LEFT(INDEX('Bid-NoBid'!$U:$U,MATCH(A209,'Bid-NoBid'!$A:$A,0)),10)="Incomplete"),"Screen: "&amp;AC209,INDEX('Bid-NoBid'!$U:$U,MATCH(A209,'Bid-NoBid'!$A:$A,0))),"Screen: "&amp;AC209))</f>
        <v/>
      </c>
      <c r="V209" s="60" t="n"/>
      <c r="W209" s="70" t="inlineStr">
        <is>
          <t>Watching</t>
        </is>
      </c>
      <c r="X209" s="70" t="inlineStr">
        <is>
          <t>Frank</t>
        </is>
      </c>
      <c r="Y209" s="60" t="n"/>
      <c r="Z209" s="60" t="n"/>
      <c r="AA209" s="73" t="n"/>
      <c r="AB209" s="74" t="inlineStr">
        <is>
          <t>TanzaniaTenders.com (newspapers / portals / private)</t>
        </is>
      </c>
      <c r="AC209" s="74" t="inlineStr">
        <is>
          <t>Pursue</t>
        </is>
      </c>
      <c r="AD209" s="74" t="inlineStr">
        <is>
          <t>Auto (TanzaniaTenders.com): Building works within reach of Dar · deadline read from the web page – confirm</t>
        </is>
      </c>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74" t="inlineStr">
        <is>
          <t>Get the tender document, confirm value, CRB class, site visit and bid security; brief the MD</t>
        </is>
      </c>
      <c r="AJ209" s="74" t="inlineStr">
        <is>
          <t>Auto-scan</t>
        </is>
      </c>
      <c r="AK209" s="74" t="inlineStr">
        <is>
          <t>TZT:151280497</t>
        </is>
      </c>
      <c r="AL209" s="59">
        <f>IF(AND(OR(W209="Watching",W209="Preparing"),ISNUMBER(Q209)),IF(AND(Q209&gt;='Friday Summary'!$C$4,Q209&lt;='Friday Summary'!$C$4+14),Q209+ROW()/1000000,""),"")</f>
        <v/>
      </c>
    </row>
    <row r="210" ht="15" customHeight="1" s="51">
      <c r="A210" s="59">
        <f>IF(B210="","","OP-"&amp;TEXT(ROW()-4,"000"))</f>
        <v/>
      </c>
      <c r="B210" s="70" t="inlineStr">
        <is>
          <t>(not shown)</t>
        </is>
      </c>
      <c r="C210" s="71" t="n">
        <v>46317</v>
      </c>
      <c r="D210" s="70" t="inlineStr">
        <is>
          <t>press</t>
        </is>
      </c>
      <c r="E210" s="70" t="inlineStr">
        <is>
          <t>https://www.tanzaniatenders.com/tender/provisions-labor-constructions-23-district-prosecutions-office-nps-9045b03.php</t>
        </is>
      </c>
      <c r="F210" s="70" t="inlineStr">
        <is>
          <t>See advert</t>
        </is>
      </c>
      <c r="G210" s="70" t="inlineStr">
        <is>
          <t>government</t>
        </is>
      </c>
      <c r="H210" s="70" t="inlineStr">
        <is>
          <t>Provisions of Labor for Constructions of 23 District Prosecutions Office for Nps</t>
        </is>
      </c>
      <c r="I210" s="70" t="inlineStr">
        <is>
          <t>From press notice (1 lot) – read the tender document</t>
        </is>
      </c>
      <c r="J210" s="70" t="inlineStr">
        <is>
          <t>Not stated – read the notice</t>
        </is>
      </c>
      <c r="K210" s="70" t="inlineStr">
        <is>
          <t>building</t>
        </is>
      </c>
      <c r="L210" s="70" t="inlineStr">
        <is>
          <t>See tender document</t>
        </is>
      </c>
      <c r="M210" s="62" t="n"/>
      <c r="N210" s="70" t="inlineStr">
        <is>
          <t>unknown</t>
        </is>
      </c>
      <c r="O210" s="71" t="inlineStr">
        <is>
          <t>See tender document</t>
        </is>
      </c>
      <c r="P210" s="71" t="inlineStr">
        <is>
          <t>See tender document</t>
        </is>
      </c>
      <c r="Q210" s="72" t="n">
        <v>46324.41666666666</v>
      </c>
      <c r="R210" s="70" t="inlineStr">
        <is>
          <t>See tender document</t>
        </is>
      </c>
      <c r="S210" s="70" t="inlineStr">
        <is>
          <t>N</t>
        </is>
      </c>
      <c r="T210" s="64">
        <f>IF(A210="","",IFERROR(INDEX('Bid-NoBid'!$T:$T,MATCH(A210,'Bid-NoBid'!$A:$A,0)),""))</f>
        <v/>
      </c>
      <c r="U210" s="59">
        <f>IF(A210="","",IFERROR(IF(OR(INDEX('Bid-NoBid'!$U:$U,MATCH(A210,'Bid-NoBid'!$A:$A,0))="",LEFT(INDEX('Bid-NoBid'!$U:$U,MATCH(A210,'Bid-NoBid'!$A:$A,0)),10)="Incomplete"),"Screen: "&amp;AC210,INDEX('Bid-NoBid'!$U:$U,MATCH(A210,'Bid-NoBid'!$A:$A,0))),"Screen: "&amp;AC210))</f>
        <v/>
      </c>
      <c r="V210" s="60" t="n"/>
      <c r="W210" s="70" t="inlineStr">
        <is>
          <t>Watching</t>
        </is>
      </c>
      <c r="X210" s="70" t="inlineStr">
        <is>
          <t>Frank</t>
        </is>
      </c>
      <c r="Y210" s="60" t="n"/>
      <c r="Z210" s="60" t="n"/>
      <c r="AA210" s="73" t="n"/>
      <c r="AB210" s="74" t="inlineStr">
        <is>
          <t>TanzaniaTenders.com (newspapers / portals / private)</t>
        </is>
      </c>
      <c r="AC210" s="74" t="inlineStr">
        <is>
          <t>Check</t>
        </is>
      </c>
      <c r="AD210" s="74" t="inlineStr">
        <is>
          <t>Auto (TanzaniaTenders.com): Site not stated in the listing – read the notice · deadline read from the web page – confirm</t>
        </is>
      </c>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74" t="inlineStr">
        <is>
          <t>Read the notice and decide with the QS Director whether to pursue</t>
        </is>
      </c>
      <c r="AJ210" s="74" t="inlineStr">
        <is>
          <t>Auto-scan</t>
        </is>
      </c>
      <c r="AK210" s="74" t="inlineStr">
        <is>
          <t>TZT:151280387</t>
        </is>
      </c>
      <c r="AL210" s="59">
        <f>IF(AND(OR(W210="Watching",W210="Preparing"),ISNUMBER(Q210)),IF(AND(Q210&gt;='Friday Summary'!$C$4,Q210&lt;='Friday Summary'!$C$4+14),Q210+ROW()/1000000,""),"")</f>
        <v/>
      </c>
    </row>
    <row r="211" ht="15" customHeight="1" s="51">
      <c r="A211" s="59">
        <f>IF(B211="","","OP-"&amp;TEXT(ROW()-4,"000"))</f>
        <v/>
      </c>
      <c r="B211" s="70" t="inlineStr">
        <is>
          <t>87V3/2026/2027/W/04</t>
        </is>
      </c>
      <c r="C211" s="71" t="n">
        <v>46318</v>
      </c>
      <c r="D211" s="70" t="inlineStr">
        <is>
          <t>NeST</t>
        </is>
      </c>
      <c r="E211" s="70" t="inlineStr">
        <is>
          <t>https://nest.go.tz/tenders/published-tenders</t>
        </is>
      </c>
      <c r="F211" s="70" t="inlineStr">
        <is>
          <t>Karagwe District Council</t>
        </is>
      </c>
      <c r="G211" s="70" t="inlineStr">
        <is>
          <t>government</t>
        </is>
      </c>
      <c r="H211" s="70" t="inlineStr">
        <is>
          <t>Construction of modern Kayanga Market</t>
        </is>
      </c>
      <c r="I211" s="70" t="inlineStr">
        <is>
          <t>From NeST notice (1 lot) – read the tender document</t>
        </is>
      </c>
      <c r="J211" s="70" t="inlineStr">
        <is>
          <t>Kagera (from client's office – confirm site)</t>
        </is>
      </c>
      <c r="K211" s="70" t="inlineStr">
        <is>
          <t>building</t>
        </is>
      </c>
      <c r="L211" s="70" t="inlineStr">
        <is>
          <t>NeST login needed</t>
        </is>
      </c>
      <c r="M211" s="62" t="n"/>
      <c r="N211" s="70" t="inlineStr">
        <is>
          <t>unknown</t>
        </is>
      </c>
      <c r="O211" s="71" t="inlineStr">
        <is>
          <t>NeST login needed</t>
        </is>
      </c>
      <c r="P211" s="71" t="inlineStr">
        <is>
          <t>NeST login needed</t>
        </is>
      </c>
      <c r="Q211" s="72" t="n">
        <v>46324.58333333334</v>
      </c>
      <c r="R211" s="70" t="inlineStr">
        <is>
          <t>NeST login needed</t>
        </is>
      </c>
      <c r="S211" s="70" t="inlineStr">
        <is>
          <t>N</t>
        </is>
      </c>
      <c r="T211" s="64">
        <f>IF(A211="","",IFERROR(INDEX('Bid-NoBid'!$T:$T,MATCH(A211,'Bid-NoBid'!$A:$A,0)),""))</f>
        <v/>
      </c>
      <c r="U211" s="59">
        <f>IF(A211="","",IFERROR(IF(OR(INDEX('Bid-NoBid'!$U:$U,MATCH(A211,'Bid-NoBid'!$A:$A,0))="",LEFT(INDEX('Bid-NoBid'!$U:$U,MATCH(A211,'Bid-NoBid'!$A:$A,0)),10)="Incomplete"),"Screen: "&amp;AC211,INDEX('Bid-NoBid'!$U:$U,MATCH(A211,'Bid-NoBid'!$A:$A,0))),"Screen: "&amp;AC211))</f>
        <v/>
      </c>
      <c r="V211" s="60" t="n"/>
      <c r="W211" s="70" t="inlineStr">
        <is>
          <t>Watching</t>
        </is>
      </c>
      <c r="X211" s="70" t="inlineStr">
        <is>
          <t>Frank</t>
        </is>
      </c>
      <c r="Y211" s="60" t="n"/>
      <c r="Z211" s="60" t="n"/>
      <c r="AA211" s="73" t="n">
        <v>46318</v>
      </c>
      <c r="AB211" s="74" t="inlineStr">
        <is>
          <t>Design and Build / Tender</t>
        </is>
      </c>
      <c r="AC211" s="74" t="inlineStr">
        <is>
          <t>Check</t>
        </is>
      </c>
      <c r="AD211" s="74" t="inlineStr">
        <is>
          <t>Auto (Design and Build / Tender): Construction tender kept for review (would have been dropped: Remote and closing soon)</t>
        </is>
      </c>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74" t="inlineStr">
        <is>
          <t>Read the notice and decide with the QS Director whether to pursue</t>
        </is>
      </c>
      <c r="AJ211" s="74" t="inlineStr">
        <is>
          <t>Auto-scan</t>
        </is>
      </c>
      <c r="AK211" s="74" t="inlineStr">
        <is>
          <t>6317e47d-6248-4194-b831-7c2cf1902350</t>
        </is>
      </c>
      <c r="AL211" s="59">
        <f>IF(AND(OR(W211="Watching",W211="Preparing"),ISNUMBER(Q211)),IF(AND(Q211&gt;='Friday Summary'!$C$4,Q211&lt;='Friday Summary'!$C$4+14),Q211+ROW()/1000000,""),"")</f>
        <v/>
      </c>
    </row>
    <row r="212" ht="15" customHeight="1" s="51">
      <c r="A212" s="59">
        <f>IF(B212="","","OP-"&amp;TEXT(ROW()-4,"000"))</f>
        <v/>
      </c>
      <c r="B212" s="70" t="inlineStr">
        <is>
          <t>71B4/2026/2027/W/16</t>
        </is>
      </c>
      <c r="C212" s="71" t="n">
        <v>46318</v>
      </c>
      <c r="D212" s="70" t="inlineStr">
        <is>
          <t>NeST</t>
        </is>
      </c>
      <c r="E212" s="70" t="inlineStr">
        <is>
          <t>https://nest.go.tz/tenders/published-tenders</t>
        </is>
      </c>
      <c r="F212" s="70" t="inlineStr">
        <is>
          <t>Kibaha District Council</t>
        </is>
      </c>
      <c r="G212" s="70" t="inlineStr">
        <is>
          <t>government</t>
        </is>
      </c>
      <c r="H212" s="70" t="inlineStr">
        <is>
          <t>CONSTRUCTION OF HOTEL AT MTONGANI AREA</t>
        </is>
      </c>
      <c r="I212" s="70" t="inlineStr">
        <is>
          <t>From NeST notice (1 lot) – read the tender document</t>
        </is>
      </c>
      <c r="J212" s="70" t="inlineStr">
        <is>
          <t>Pwani (Kibaha) (from client's office – confirm site)</t>
        </is>
      </c>
      <c r="K212" s="70" t="inlineStr">
        <is>
          <t>building</t>
        </is>
      </c>
      <c r="L212" s="70" t="inlineStr">
        <is>
          <t>NeST login needed</t>
        </is>
      </c>
      <c r="M212" s="62" t="n"/>
      <c r="N212" s="70" t="inlineStr">
        <is>
          <t>unknown</t>
        </is>
      </c>
      <c r="O212" s="71" t="inlineStr">
        <is>
          <t>NeST login needed</t>
        </is>
      </c>
      <c r="P212" s="71" t="inlineStr">
        <is>
          <t>NeST login needed</t>
        </is>
      </c>
      <c r="Q212" s="72" t="n">
        <v>46324.58333333334</v>
      </c>
      <c r="R212" s="70" t="inlineStr">
        <is>
          <t>NeST login needed</t>
        </is>
      </c>
      <c r="S212" s="70" t="inlineStr">
        <is>
          <t>N</t>
        </is>
      </c>
      <c r="T212" s="64">
        <f>IF(A212="","",IFERROR(INDEX('Bid-NoBid'!$T:$T,MATCH(A212,'Bid-NoBid'!$A:$A,0)),""))</f>
        <v/>
      </c>
      <c r="U212" s="59">
        <f>IF(A212="","",IFERROR(IF(OR(INDEX('Bid-NoBid'!$U:$U,MATCH(A212,'Bid-NoBid'!$A:$A,0))="",LEFT(INDEX('Bid-NoBid'!$U:$U,MATCH(A212,'Bid-NoBid'!$A:$A,0)),10)="Incomplete"),"Screen: "&amp;AC212,INDEX('Bid-NoBid'!$U:$U,MATCH(A212,'Bid-NoBid'!$A:$A,0))),"Screen: "&amp;AC212))</f>
        <v/>
      </c>
      <c r="V212" s="60" t="n"/>
      <c r="W212" s="70" t="inlineStr">
        <is>
          <t>Watching</t>
        </is>
      </c>
      <c r="X212" s="70" t="inlineStr">
        <is>
          <t>Frank</t>
        </is>
      </c>
      <c r="Y212" s="60" t="n"/>
      <c r="Z212" s="60" t="n"/>
      <c r="AA212" s="73" t="n">
        <v>46317</v>
      </c>
      <c r="AB212" s="74" t="inlineStr">
        <is>
          <t>Small Works / Tender</t>
        </is>
      </c>
      <c r="AC212" s="74" t="inlineStr">
        <is>
          <t>Pursue</t>
        </is>
      </c>
      <c r="AD212" s="74" t="inlineStr">
        <is>
          <t>Auto (Small Works / Tender): Building works within reach of Dar</t>
        </is>
      </c>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74" t="inlineStr">
        <is>
          <t>Get the tender document, confirm value, CRB class, site visit and bid security; brief the MD</t>
        </is>
      </c>
      <c r="AJ212" s="74" t="inlineStr">
        <is>
          <t>Auto-scan</t>
        </is>
      </c>
      <c r="AK212" s="74" t="inlineStr">
        <is>
          <t>a61bd327-f705-4397-a7fe-fd1d2989faf1</t>
        </is>
      </c>
      <c r="AL212" s="59">
        <f>IF(AND(OR(W212="Watching",W212="Preparing"),ISNUMBER(Q212)),IF(AND(Q212&gt;='Friday Summary'!$C$4,Q212&lt;='Friday Summary'!$C$4+14),Q212+ROW()/1000000,""),"")</f>
        <v/>
      </c>
    </row>
    <row r="213" ht="15" customHeight="1" s="51">
      <c r="A213" s="59">
        <f>IF(B213="","","OP-"&amp;TEXT(ROW()-4,"000"))</f>
        <v/>
      </c>
      <c r="B213" s="70" t="inlineStr">
        <is>
          <t>53/004/2026/2027/W/01</t>
        </is>
      </c>
      <c r="C213" s="71" t="n">
        <v>46318</v>
      </c>
      <c r="D213" s="70" t="inlineStr">
        <is>
          <t>NeST</t>
        </is>
      </c>
      <c r="E213" s="70" t="inlineStr">
        <is>
          <t>https://nest.go.tz/tenders/published-tenders</t>
        </is>
      </c>
      <c r="F213" s="70" t="inlineStr">
        <is>
          <t>Mcdgwsg - Rungemba Community Development Training Institute</t>
        </is>
      </c>
      <c r="G213" s="70" t="inlineStr">
        <is>
          <t>government</t>
        </is>
      </c>
      <c r="H213" s="70" t="inlineStr">
        <is>
          <t>Provision of continue of construction of computer lab</t>
        </is>
      </c>
      <c r="I213" s="70" t="inlineStr">
        <is>
          <t>From NeST notice (1 lot) – read the tender document</t>
        </is>
      </c>
      <c r="J213" s="70" t="inlineStr">
        <is>
          <t>Iringa (Mufindi) (from client's office – confirm site)</t>
        </is>
      </c>
      <c r="K213" s="70" t="inlineStr">
        <is>
          <t>building</t>
        </is>
      </c>
      <c r="L213" s="70" t="inlineStr">
        <is>
          <t>NeST login needed</t>
        </is>
      </c>
      <c r="M213" s="62" t="n"/>
      <c r="N213" s="70" t="inlineStr">
        <is>
          <t>unknown</t>
        </is>
      </c>
      <c r="O213" s="71" t="inlineStr">
        <is>
          <t>NeST login needed</t>
        </is>
      </c>
      <c r="P213" s="71" t="inlineStr">
        <is>
          <t>NeST login needed</t>
        </is>
      </c>
      <c r="Q213" s="72" t="n">
        <v>46324.58333333334</v>
      </c>
      <c r="R213" s="70" t="inlineStr">
        <is>
          <t>NeST login needed</t>
        </is>
      </c>
      <c r="S213" s="70" t="inlineStr">
        <is>
          <t>N</t>
        </is>
      </c>
      <c r="T213" s="64">
        <f>IF(A213="","",IFERROR(INDEX('Bid-NoBid'!$T:$T,MATCH(A213,'Bid-NoBid'!$A:$A,0)),""))</f>
        <v/>
      </c>
      <c r="U213" s="59">
        <f>IF(A213="","",IFERROR(IF(OR(INDEX('Bid-NoBid'!$U:$U,MATCH(A213,'Bid-NoBid'!$A:$A,0))="",LEFT(INDEX('Bid-NoBid'!$U:$U,MATCH(A213,'Bid-NoBid'!$A:$A,0)),10)="Incomplete"),"Screen: "&amp;AC213,INDEX('Bid-NoBid'!$U:$U,MATCH(A213,'Bid-NoBid'!$A:$A,0))),"Screen: "&amp;AC213))</f>
        <v/>
      </c>
      <c r="V213" s="60" t="n"/>
      <c r="W213" s="70" t="inlineStr">
        <is>
          <t>Watching</t>
        </is>
      </c>
      <c r="X213" s="70" t="inlineStr">
        <is>
          <t>Frank</t>
        </is>
      </c>
      <c r="Y213" s="60" t="n"/>
      <c r="Z213" s="60" t="n"/>
      <c r="AA213" s="73" t="n">
        <v>46317</v>
      </c>
      <c r="AB213" s="74" t="inlineStr">
        <is>
          <t>Small Works / Tender</t>
        </is>
      </c>
      <c r="AC213" s="74" t="inlineStr">
        <is>
          <t>Check</t>
        </is>
      </c>
      <c r="AD213" s="74" t="inlineStr">
        <is>
          <t>Auto (Small Works / Tender): Construction tender kept for review (would have been dropped: Remote and closing soon)</t>
        </is>
      </c>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74" t="inlineStr">
        <is>
          <t>Read the notice and decide with the QS Director whether to pursue</t>
        </is>
      </c>
      <c r="AJ213" s="74" t="inlineStr">
        <is>
          <t>Auto-scan</t>
        </is>
      </c>
      <c r="AK213" s="74" t="inlineStr">
        <is>
          <t>64e85431-9e2a-42f7-b09d-5ae5cd5fc38d</t>
        </is>
      </c>
      <c r="AL213" s="59">
        <f>IF(AND(OR(W213="Watching",W213="Preparing"),ISNUMBER(Q213)),IF(AND(Q213&gt;='Friday Summary'!$C$4,Q213&lt;='Friday Summary'!$C$4+14),Q213+ROW()/1000000,""),"")</f>
        <v/>
      </c>
    </row>
    <row r="214" ht="15" customHeight="1" s="51">
      <c r="A214" s="59">
        <f>IF(B214="","","OP-"&amp;TEXT(ROW()-4,"000"))</f>
        <v/>
      </c>
      <c r="B214" s="70" t="inlineStr">
        <is>
          <t>83/2026/2027/W/06</t>
        </is>
      </c>
      <c r="C214" s="71" t="n">
        <v>46318</v>
      </c>
      <c r="D214" s="70" t="inlineStr">
        <is>
          <t>NeST</t>
        </is>
      </c>
      <c r="E214" s="70" t="inlineStr">
        <is>
          <t>https://nest.go.tz/tenders/published-tenders</t>
        </is>
      </c>
      <c r="F214" s="70" t="inlineStr">
        <is>
          <t>Shinyanga Regional Secretariat</t>
        </is>
      </c>
      <c r="G214" s="70" t="inlineStr">
        <is>
          <t>government</t>
        </is>
      </c>
      <c r="H214" s="70" t="inlineStr">
        <is>
          <t>Completion of Construction for Kishapu District Commissioner Office, Rehabilitation of Residence House for Kishapu District Commissioner and Rehabilitation of Residence House for Kishapu District Administrative Secretary</t>
        </is>
      </c>
      <c r="I214" s="70" t="inlineStr">
        <is>
          <t>From NeST notice (1 lot) – read the tender document</t>
        </is>
      </c>
      <c r="J214" s="70" t="inlineStr">
        <is>
          <t>Shinyanga (from client's office – confirm site)</t>
        </is>
      </c>
      <c r="K214" s="70" t="inlineStr">
        <is>
          <t>renovation</t>
        </is>
      </c>
      <c r="L214" s="70" t="inlineStr">
        <is>
          <t>NeST login needed</t>
        </is>
      </c>
      <c r="M214" s="62" t="n"/>
      <c r="N214" s="70" t="inlineStr">
        <is>
          <t>unknown</t>
        </is>
      </c>
      <c r="O214" s="71" t="inlineStr">
        <is>
          <t>NeST login needed</t>
        </is>
      </c>
      <c r="P214" s="71" t="inlineStr">
        <is>
          <t>NeST login needed</t>
        </is>
      </c>
      <c r="Q214" s="72" t="n">
        <v>46325.58333333334</v>
      </c>
      <c r="R214" s="70" t="inlineStr">
        <is>
          <t>NeST login needed</t>
        </is>
      </c>
      <c r="S214" s="70" t="inlineStr">
        <is>
          <t>N</t>
        </is>
      </c>
      <c r="T214" s="64">
        <f>IF(A214="","",IFERROR(INDEX('Bid-NoBid'!$T:$T,MATCH(A214,'Bid-NoBid'!$A:$A,0)),""))</f>
        <v/>
      </c>
      <c r="U214" s="59">
        <f>IF(A214="","",IFERROR(IF(OR(INDEX('Bid-NoBid'!$U:$U,MATCH(A214,'Bid-NoBid'!$A:$A,0))="",LEFT(INDEX('Bid-NoBid'!$U:$U,MATCH(A214,'Bid-NoBid'!$A:$A,0)),10)="Incomplete"),"Screen: "&amp;AC214,INDEX('Bid-NoBid'!$U:$U,MATCH(A214,'Bid-NoBid'!$A:$A,0))),"Screen: "&amp;AC214))</f>
        <v/>
      </c>
      <c r="V214" s="60" t="n"/>
      <c r="W214" s="70" t="inlineStr">
        <is>
          <t>Watching</t>
        </is>
      </c>
      <c r="X214" s="70" t="inlineStr">
        <is>
          <t>Frank</t>
        </is>
      </c>
      <c r="Y214" s="60" t="n"/>
      <c r="Z214" s="60" t="n"/>
      <c r="AA214" s="73" t="n">
        <v>46318</v>
      </c>
      <c r="AB214" s="74" t="inlineStr">
        <is>
          <t>Small Works / Tender</t>
        </is>
      </c>
      <c r="AC214" s="74" t="inlineStr">
        <is>
          <t>Check</t>
        </is>
      </c>
      <c r="AD214" s="74" t="inlineStr">
        <is>
          <t>Auto (Small Works / Tender): Building works but remote from Dar</t>
        </is>
      </c>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74" t="inlineStr">
        <is>
          <t>Read the notice and decide with the QS Director whether to pursue</t>
        </is>
      </c>
      <c r="AJ214" s="74" t="inlineStr">
        <is>
          <t>Auto-scan</t>
        </is>
      </c>
      <c r="AK214" s="74" t="inlineStr">
        <is>
          <t>46cfcb1f-31be-451a-8e8c-cde843573b84</t>
        </is>
      </c>
      <c r="AL214" s="59">
        <f>IF(AND(OR(W214="Watching",W214="Preparing"),ISNUMBER(Q214)),IF(AND(Q214&gt;='Friday Summary'!$C$4,Q214&lt;='Friday Summary'!$C$4+14),Q214+ROW()/1000000,""),"")</f>
        <v/>
      </c>
    </row>
    <row r="215" ht="15" customHeight="1" s="51">
      <c r="A215" s="59">
        <f>IF(B215="","","OP-"&amp;TEXT(ROW()-4,"000"))</f>
        <v/>
      </c>
      <c r="B215" s="70" t="inlineStr">
        <is>
          <t>TR170/2025/2026/W/01</t>
        </is>
      </c>
      <c r="C215" s="71" t="n">
        <v>46318</v>
      </c>
      <c r="D215" s="70" t="inlineStr">
        <is>
          <t>NeST</t>
        </is>
      </c>
      <c r="E215" s="70" t="inlineStr">
        <is>
          <t>https://nest.go.tz/tenders/published-tenders</t>
        </is>
      </c>
      <c r="F215" s="70" t="inlineStr">
        <is>
          <t>Land Transport Regulatory Authority</t>
        </is>
      </c>
      <c r="G215" s="70" t="inlineStr">
        <is>
          <t>government</t>
        </is>
      </c>
      <c r="H215" s="70" t="inlineStr">
        <is>
          <t>Construction of Fence at Mikocheni</t>
        </is>
      </c>
      <c r="I215" s="70" t="inlineStr">
        <is>
          <t>From NeST notice (1 lot) – read the tender document</t>
        </is>
      </c>
      <c r="J215" s="70" t="inlineStr">
        <is>
          <t>Dodoma (from client's office – confirm site)</t>
        </is>
      </c>
      <c r="K215" s="70" t="inlineStr">
        <is>
          <t>building</t>
        </is>
      </c>
      <c r="L215" s="70" t="inlineStr">
        <is>
          <t>NeST login needed</t>
        </is>
      </c>
      <c r="M215" s="62" t="n"/>
      <c r="N215" s="70" t="inlineStr">
        <is>
          <t>unknown</t>
        </is>
      </c>
      <c r="O215" s="71" t="inlineStr">
        <is>
          <t>NeST login needed</t>
        </is>
      </c>
      <c r="P215" s="71" t="inlineStr">
        <is>
          <t>NeST login needed</t>
        </is>
      </c>
      <c r="Q215" s="72" t="n">
        <v>46325.58333333334</v>
      </c>
      <c r="R215" s="70" t="inlineStr">
        <is>
          <t>NeST login needed</t>
        </is>
      </c>
      <c r="S215" s="70" t="inlineStr">
        <is>
          <t>N</t>
        </is>
      </c>
      <c r="T215" s="64">
        <f>IF(A215="","",IFERROR(INDEX('Bid-NoBid'!$T:$T,MATCH(A215,'Bid-NoBid'!$A:$A,0)),""))</f>
        <v/>
      </c>
      <c r="U215" s="59">
        <f>IF(A215="","",IFERROR(IF(OR(INDEX('Bid-NoBid'!$U:$U,MATCH(A215,'Bid-NoBid'!$A:$A,0))="",LEFT(INDEX('Bid-NoBid'!$U:$U,MATCH(A215,'Bid-NoBid'!$A:$A,0)),10)="Incomplete"),"Screen: "&amp;AC215,INDEX('Bid-NoBid'!$U:$U,MATCH(A215,'Bid-NoBid'!$A:$A,0))),"Screen: "&amp;AC215))</f>
        <v/>
      </c>
      <c r="V215" s="60" t="n"/>
      <c r="W215" s="70" t="inlineStr">
        <is>
          <t>Watching</t>
        </is>
      </c>
      <c r="X215" s="70" t="inlineStr">
        <is>
          <t>Frank</t>
        </is>
      </c>
      <c r="Y215" s="60" t="n"/>
      <c r="Z215" s="60" t="n"/>
      <c r="AA215" s="73" t="n">
        <v>46318</v>
      </c>
      <c r="AB215" s="74" t="inlineStr">
        <is>
          <t>Standard Invitation for Quotations -Works / Planned Tender</t>
        </is>
      </c>
      <c r="AC215" s="74" t="inlineStr">
        <is>
          <t>Check</t>
        </is>
      </c>
      <c r="AD215" s="74" t="inlineStr">
        <is>
          <t>Auto (Standard Invitation for Quotations -Works / Planned Tender): Quotation route – value may be below TZS 200m</t>
        </is>
      </c>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74" t="inlineStr">
        <is>
          <t>Read the notice and decide with the QS Director whether to pursue</t>
        </is>
      </c>
      <c r="AJ215" s="74" t="inlineStr">
        <is>
          <t>Auto-scan</t>
        </is>
      </c>
      <c r="AK215" s="74" t="inlineStr">
        <is>
          <t>d66f00ca-0fac-4115-bb3d-a985d4c85a25</t>
        </is>
      </c>
      <c r="AL215" s="59">
        <f>IF(AND(OR(W215="Watching",W215="Preparing"),ISNUMBER(Q215)),IF(AND(Q215&gt;='Friday Summary'!$C$4,Q215&lt;='Friday Summary'!$C$4+14),Q215+ROW()/1000000,""),"")</f>
        <v/>
      </c>
    </row>
    <row r="216" ht="15" customHeight="1" s="51">
      <c r="A216" s="59">
        <f>IF(B216="","","OP-"&amp;TEXT(ROW()-4,"000"))</f>
        <v/>
      </c>
      <c r="B216" s="70" t="inlineStr">
        <is>
          <t>TR72/2026/2027/W/02</t>
        </is>
      </c>
      <c r="C216" s="71" t="n">
        <v>46318</v>
      </c>
      <c r="D216" s="70" t="inlineStr">
        <is>
          <t>NeST</t>
        </is>
      </c>
      <c r="E216" s="70" t="inlineStr">
        <is>
          <t>https://nest.go.tz/tenders/published-tenders</t>
        </is>
      </c>
      <c r="F216" s="70" t="inlineStr">
        <is>
          <t>National Museum of Tanzania</t>
        </is>
      </c>
      <c r="G216" s="70" t="inlineStr">
        <is>
          <t>government</t>
        </is>
      </c>
      <c r="H216" s="70" t="inlineStr">
        <is>
          <t>Renovation of Tourism Infrastructures at MHOC</t>
        </is>
      </c>
      <c r="I216" s="70" t="inlineStr">
        <is>
          <t>From NeST notice (1 lot) – read the tender document</t>
        </is>
      </c>
      <c r="J216" s="70" t="inlineStr">
        <is>
          <t>Dar es Salaam (Ilala) (from client's office – confirm site)</t>
        </is>
      </c>
      <c r="K216" s="70" t="inlineStr">
        <is>
          <t>renovation</t>
        </is>
      </c>
      <c r="L216" s="70" t="inlineStr">
        <is>
          <t>NeST login needed</t>
        </is>
      </c>
      <c r="M216" s="62" t="n"/>
      <c r="N216" s="70" t="inlineStr">
        <is>
          <t>unknown</t>
        </is>
      </c>
      <c r="O216" s="71" t="inlineStr">
        <is>
          <t>NeST login needed</t>
        </is>
      </c>
      <c r="P216" s="71" t="inlineStr">
        <is>
          <t>NeST login needed</t>
        </is>
      </c>
      <c r="Q216" s="72" t="n">
        <v>46325.58333333334</v>
      </c>
      <c r="R216" s="70" t="inlineStr">
        <is>
          <t>NeST login needed</t>
        </is>
      </c>
      <c r="S216" s="70" t="inlineStr">
        <is>
          <t>N</t>
        </is>
      </c>
      <c r="T216" s="64">
        <f>IF(A216="","",IFERROR(INDEX('Bid-NoBid'!$T:$T,MATCH(A216,'Bid-NoBid'!$A:$A,0)),""))</f>
        <v/>
      </c>
      <c r="U216" s="59">
        <f>IF(A216="","",IFERROR(IF(OR(INDEX('Bid-NoBid'!$U:$U,MATCH(A216,'Bid-NoBid'!$A:$A,0))="",LEFT(INDEX('Bid-NoBid'!$U:$U,MATCH(A216,'Bid-NoBid'!$A:$A,0)),10)="Incomplete"),"Screen: "&amp;AC216,INDEX('Bid-NoBid'!$U:$U,MATCH(A216,'Bid-NoBid'!$A:$A,0))),"Screen: "&amp;AC216))</f>
        <v/>
      </c>
      <c r="V216" s="60" t="n"/>
      <c r="W216" s="70" t="inlineStr">
        <is>
          <t>Watching</t>
        </is>
      </c>
      <c r="X216" s="70" t="inlineStr">
        <is>
          <t>Frank</t>
        </is>
      </c>
      <c r="Y216" s="60" t="n"/>
      <c r="Z216" s="60" t="n"/>
      <c r="AA216" s="73" t="n">
        <v>46317</v>
      </c>
      <c r="AB216" s="74" t="inlineStr">
        <is>
          <t>Small Works / Tender</t>
        </is>
      </c>
      <c r="AC216" s="74" t="inlineStr">
        <is>
          <t>Pursue</t>
        </is>
      </c>
      <c r="AD216" s="74" t="inlineStr">
        <is>
          <t>Auto (Small Works / Tender): Building works within reach of Dar</t>
        </is>
      </c>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74" t="inlineStr">
        <is>
          <t>Get the tender document, confirm value, CRB class, site visit and bid security; brief the MD</t>
        </is>
      </c>
      <c r="AJ216" s="74" t="inlineStr">
        <is>
          <t>Auto-scan</t>
        </is>
      </c>
      <c r="AK216" s="74" t="inlineStr">
        <is>
          <t>589b934e-27c4-4111-8fff-28376949dca1</t>
        </is>
      </c>
      <c r="AL216" s="59">
        <f>IF(AND(OR(W216="Watching",W216="Preparing"),ISNUMBER(Q216)),IF(AND(Q216&gt;='Friday Summary'!$C$4,Q216&lt;='Friday Summary'!$C$4+14),Q216+ROW()/1000000,""),"")</f>
        <v/>
      </c>
    </row>
    <row r="217" ht="15" customHeight="1" s="51">
      <c r="A217" s="59">
        <f>IF(B217="","","OP-"&amp;TEXT(ROW()-4,"000"))</f>
        <v/>
      </c>
      <c r="B217" s="70" t="inlineStr">
        <is>
          <t>TR103/2026/2027/W/06</t>
        </is>
      </c>
      <c r="C217" s="71" t="n">
        <v>46318</v>
      </c>
      <c r="D217" s="70" t="inlineStr">
        <is>
          <t>NeST</t>
        </is>
      </c>
      <c r="E217" s="70" t="inlineStr">
        <is>
          <t>https://nest.go.tz/tenders/published-tenders</t>
        </is>
      </c>
      <c r="F217" s="70" t="inlineStr">
        <is>
          <t>Agricultural Seeds Agency</t>
        </is>
      </c>
      <c r="G217" s="70" t="inlineStr">
        <is>
          <t>government</t>
        </is>
      </c>
      <c r="H217" s="70" t="inlineStr">
        <is>
          <t>CONSTRUCTION OF STAFF HOUSE AT ASA SEED FARM</t>
        </is>
      </c>
      <c r="I217" s="70" t="inlineStr">
        <is>
          <t>From NeST notice (1 lot) – read the tender document</t>
        </is>
      </c>
      <c r="J217" s="70" t="inlineStr">
        <is>
          <t>Morogoro (from client's office – confirm site)</t>
        </is>
      </c>
      <c r="K217" s="70" t="inlineStr">
        <is>
          <t>building</t>
        </is>
      </c>
      <c r="L217" s="70" t="inlineStr">
        <is>
          <t>NeST login needed</t>
        </is>
      </c>
      <c r="M217" s="62" t="n"/>
      <c r="N217" s="70" t="inlineStr">
        <is>
          <t>unknown</t>
        </is>
      </c>
      <c r="O217" s="71" t="inlineStr">
        <is>
          <t>NeST login needed</t>
        </is>
      </c>
      <c r="P217" s="71" t="inlineStr">
        <is>
          <t>NeST login needed</t>
        </is>
      </c>
      <c r="Q217" s="72" t="n">
        <v>46336.41666666666</v>
      </c>
      <c r="R217" s="70" t="inlineStr">
        <is>
          <t>NeST login needed</t>
        </is>
      </c>
      <c r="S217" s="70" t="inlineStr">
        <is>
          <t>N</t>
        </is>
      </c>
      <c r="T217" s="64">
        <f>IF(A217="","",IFERROR(INDEX('Bid-NoBid'!$T:$T,MATCH(A217,'Bid-NoBid'!$A:$A,0)),""))</f>
        <v/>
      </c>
      <c r="U217" s="59">
        <f>IF(A217="","",IFERROR(IF(OR(INDEX('Bid-NoBid'!$U:$U,MATCH(A217,'Bid-NoBid'!$A:$A,0))="",LEFT(INDEX('Bid-NoBid'!$U:$U,MATCH(A217,'Bid-NoBid'!$A:$A,0)),10)="Incomplete"),"Screen: "&amp;AC217,INDEX('Bid-NoBid'!$U:$U,MATCH(A217,'Bid-NoBid'!$A:$A,0))),"Screen: "&amp;AC217))</f>
        <v/>
      </c>
      <c r="V217" s="60" t="n"/>
      <c r="W217" s="70" t="inlineStr">
        <is>
          <t>Watching</t>
        </is>
      </c>
      <c r="X217" s="70" t="inlineStr">
        <is>
          <t>Frank</t>
        </is>
      </c>
      <c r="Y217" s="60" t="n"/>
      <c r="Z217" s="60" t="n"/>
      <c r="AA217" s="73" t="n">
        <v>46318</v>
      </c>
      <c r="AB217" s="74" t="inlineStr">
        <is>
          <t>Small Works / Tender</t>
        </is>
      </c>
      <c r="AC217" s="74" t="inlineStr">
        <is>
          <t>Pursue</t>
        </is>
      </c>
      <c r="AD217" s="74" t="inlineStr">
        <is>
          <t>Auto (Small Works / Tender): Building works within reach of Dar</t>
        </is>
      </c>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74" t="inlineStr">
        <is>
          <t>Get the tender document, confirm value, CRB class, site visit and bid security; brief the MD</t>
        </is>
      </c>
      <c r="AJ217" s="74" t="inlineStr">
        <is>
          <t>Auto-scan</t>
        </is>
      </c>
      <c r="AK217" s="74" t="inlineStr">
        <is>
          <t>03e6467c-17f6-464d-aec5-651ed5ca770e</t>
        </is>
      </c>
      <c r="AL217" s="59">
        <f>IF(AND(OR(W217="Watching",W217="Preparing"),ISNUMBER(Q217)),IF(AND(Q217&gt;='Friday Summary'!$C$4,Q217&lt;='Friday Summary'!$C$4+14),Q217+ROW()/1000000,""),"")</f>
        <v/>
      </c>
    </row>
    <row r="218" ht="15" customHeight="1" s="51">
      <c r="A218" s="59">
        <f>IF(B218="","","OP-"&amp;TEXT(ROW()-4,"000"))</f>
        <v/>
      </c>
      <c r="B218" s="70" t="inlineStr">
        <is>
          <t>(not shown)</t>
        </is>
      </c>
      <c r="C218" s="71" t="n">
        <v>46318</v>
      </c>
      <c r="D218" s="70" t="inlineStr">
        <is>
          <t>press</t>
        </is>
      </c>
      <c r="E218" s="70" t="inlineStr">
        <is>
          <t>https://www.tanzaniatenders.com/tender/running-dit-canteen-service-mwanza-campus-9053570.php</t>
        </is>
      </c>
      <c r="F218" s="70" t="inlineStr">
        <is>
          <t>See advert</t>
        </is>
      </c>
      <c r="G218" s="70" t="inlineStr">
        <is>
          <t>government</t>
        </is>
      </c>
      <c r="H218" s="70" t="inlineStr">
        <is>
          <t>Running of Dit Canteen Service at Mwanza Campus</t>
        </is>
      </c>
      <c r="I218" s="70" t="inlineStr">
        <is>
          <t>From press notice (1 lot) – read the tender document</t>
        </is>
      </c>
      <c r="J218" s="70" t="inlineStr">
        <is>
          <t>Mwanza</t>
        </is>
      </c>
      <c r="K218" s="70" t="inlineStr">
        <is>
          <t>building</t>
        </is>
      </c>
      <c r="L218" s="70" t="inlineStr">
        <is>
          <t>See tender document</t>
        </is>
      </c>
      <c r="M218" s="62" t="n"/>
      <c r="N218" s="70" t="inlineStr">
        <is>
          <t>unknown</t>
        </is>
      </c>
      <c r="O218" s="71" t="inlineStr">
        <is>
          <t>See tender document</t>
        </is>
      </c>
      <c r="P218" s="71" t="inlineStr">
        <is>
          <t>See tender document</t>
        </is>
      </c>
      <c r="Q218" s="72" t="n">
        <v>46325.41666666666</v>
      </c>
      <c r="R218" s="70" t="inlineStr">
        <is>
          <t>See tender document</t>
        </is>
      </c>
      <c r="S218" s="70" t="inlineStr">
        <is>
          <t>N</t>
        </is>
      </c>
      <c r="T218" s="64">
        <f>IF(A218="","",IFERROR(INDEX('Bid-NoBid'!$T:$T,MATCH(A218,'Bid-NoBid'!$A:$A,0)),""))</f>
        <v/>
      </c>
      <c r="U218" s="59">
        <f>IF(A218="","",IFERROR(IF(OR(INDEX('Bid-NoBid'!$U:$U,MATCH(A218,'Bid-NoBid'!$A:$A,0))="",LEFT(INDEX('Bid-NoBid'!$U:$U,MATCH(A218,'Bid-NoBid'!$A:$A,0)),10)="Incomplete"),"Screen: "&amp;AC218,INDEX('Bid-NoBid'!$U:$U,MATCH(A218,'Bid-NoBid'!$A:$A,0))),"Screen: "&amp;AC218))</f>
        <v/>
      </c>
      <c r="V218" s="60" t="n"/>
      <c r="W218" s="70" t="inlineStr">
        <is>
          <t>Watching</t>
        </is>
      </c>
      <c r="X218" s="70" t="inlineStr">
        <is>
          <t>Frank</t>
        </is>
      </c>
      <c r="Y218" s="60" t="n"/>
      <c r="Z218" s="60" t="n"/>
      <c r="AA218" s="73" t="n"/>
      <c r="AB218" s="74" t="inlineStr">
        <is>
          <t>TanzaniaTenders.com (newspapers / portals / private)</t>
        </is>
      </c>
      <c r="AC218" s="74" t="inlineStr">
        <is>
          <t>Check</t>
        </is>
      </c>
      <c r="AD218" s="74" t="inlineStr">
        <is>
          <t>Auto (TanzaniaTenders.com): Building works but remote from Dar · deadline read from the web page – confirm</t>
        </is>
      </c>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74" t="inlineStr">
        <is>
          <t>Read the notice and decide with the QS Director whether to pursue</t>
        </is>
      </c>
      <c r="AJ218" s="74" t="inlineStr">
        <is>
          <t>Auto-scan</t>
        </is>
      </c>
      <c r="AK218" s="74" t="inlineStr">
        <is>
          <t>TZT:151336304</t>
        </is>
      </c>
      <c r="AL218" s="59">
        <f>IF(AND(OR(W218="Watching",W218="Preparing"),ISNUMBER(Q218)),IF(AND(Q218&gt;='Friday Summary'!$C$4,Q218&lt;='Friday Summary'!$C$4+14),Q218+ROW()/1000000,""),"")</f>
        <v/>
      </c>
    </row>
    <row r="219" ht="15" customHeight="1" s="51">
      <c r="A219" s="59">
        <f>IF(B219="","","OP-"&amp;TEXT(ROW()-4,"000"))</f>
        <v/>
      </c>
      <c r="B219" s="70" t="inlineStr">
        <is>
          <t>(not shown)</t>
        </is>
      </c>
      <c r="C219" s="71" t="n">
        <v>46318</v>
      </c>
      <c r="D219" s="70" t="inlineStr">
        <is>
          <t>press</t>
        </is>
      </c>
      <c r="E219" s="70" t="inlineStr">
        <is>
          <t>https://www.tanzaniatenders.com/tender/establishment-lta-building-maintenance-services-905958b.php</t>
        </is>
      </c>
      <c r="F219" s="70" t="inlineStr">
        <is>
          <t>See advert</t>
        </is>
      </c>
      <c r="G219" s="70" t="inlineStr">
        <is>
          <t>government</t>
        </is>
      </c>
      <c r="H219" s="70" t="inlineStr">
        <is>
          <t>Establishment of Lta for Building Maintenance Services</t>
        </is>
      </c>
      <c r="I219" s="70" t="inlineStr">
        <is>
          <t>From press notice (1 lot) – read the tender document</t>
        </is>
      </c>
      <c r="J219" s="70" t="inlineStr">
        <is>
          <t>Not stated – read the notice</t>
        </is>
      </c>
      <c r="K219" s="70" t="inlineStr">
        <is>
          <t>building</t>
        </is>
      </c>
      <c r="L219" s="70" t="inlineStr">
        <is>
          <t>See tender document</t>
        </is>
      </c>
      <c r="M219" s="62" t="n"/>
      <c r="N219" s="70" t="inlineStr">
        <is>
          <t>unknown</t>
        </is>
      </c>
      <c r="O219" s="71" t="inlineStr">
        <is>
          <t>See tender document</t>
        </is>
      </c>
      <c r="P219" s="71" t="inlineStr">
        <is>
          <t>See tender document</t>
        </is>
      </c>
      <c r="Q219" s="72" t="n">
        <v>46344.41666666666</v>
      </c>
      <c r="R219" s="70" t="inlineStr">
        <is>
          <t>See tender document</t>
        </is>
      </c>
      <c r="S219" s="70" t="inlineStr">
        <is>
          <t>N</t>
        </is>
      </c>
      <c r="T219" s="64">
        <f>IF(A219="","",IFERROR(INDEX('Bid-NoBid'!$T:$T,MATCH(A219,'Bid-NoBid'!$A:$A,0)),""))</f>
        <v/>
      </c>
      <c r="U219" s="59">
        <f>IF(A219="","",IFERROR(IF(OR(INDEX('Bid-NoBid'!$U:$U,MATCH(A219,'Bid-NoBid'!$A:$A,0))="",LEFT(INDEX('Bid-NoBid'!$U:$U,MATCH(A219,'Bid-NoBid'!$A:$A,0)),10)="Incomplete"),"Screen: "&amp;AC219,INDEX('Bid-NoBid'!$U:$U,MATCH(A219,'Bid-NoBid'!$A:$A,0))),"Screen: "&amp;AC219))</f>
        <v/>
      </c>
      <c r="V219" s="60" t="n"/>
      <c r="W219" s="70" t="inlineStr">
        <is>
          <t>Watching</t>
        </is>
      </c>
      <c r="X219" s="70" t="inlineStr">
        <is>
          <t>Frank</t>
        </is>
      </c>
      <c r="Y219" s="60" t="n"/>
      <c r="Z219" s="60" t="n"/>
      <c r="AA219" s="73" t="n"/>
      <c r="AB219" s="74" t="inlineStr">
        <is>
          <t>TanzaniaTenders.com (newspapers / portals / private)</t>
        </is>
      </c>
      <c r="AC219" s="74" t="inlineStr">
        <is>
          <t>Check</t>
        </is>
      </c>
      <c r="AD219" s="74" t="inlineStr">
        <is>
          <t>Auto (TanzaniaTenders.com): Site not stated in the listing – read the notice · deadline read from the web page – confirm</t>
        </is>
      </c>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74" t="inlineStr">
        <is>
          <t>Read the notice and decide with the QS Director whether to pursue</t>
        </is>
      </c>
      <c r="AJ219" s="74" t="inlineStr">
        <is>
          <t>Auto-scan</t>
        </is>
      </c>
      <c r="AK219" s="74" t="inlineStr">
        <is>
          <t>TZT:151360907</t>
        </is>
      </c>
      <c r="AL219" s="59">
        <f>IF(AND(OR(W219="Watching",W219="Preparing"),ISNUMBER(Q219)),IF(AND(Q219&gt;='Friday Summary'!$C$4,Q219&lt;='Friday Summary'!$C$4+14),Q219+ROW()/1000000,""),"")</f>
        <v/>
      </c>
    </row>
    <row r="220" ht="15" customHeight="1" s="51">
      <c r="A220" s="59">
        <f>IF(B220="","","OP-"&amp;TEXT(ROW()-4,"000"))</f>
        <v/>
      </c>
      <c r="B220" s="70" t="inlineStr">
        <is>
          <t>70Q2/2026/2027/W/07</t>
        </is>
      </c>
      <c r="C220" s="71" t="n">
        <v>46319</v>
      </c>
      <c r="D220" s="70" t="inlineStr">
        <is>
          <t>NeST</t>
        </is>
      </c>
      <c r="E220" s="70" t="inlineStr">
        <is>
          <t>https://nest.go.tz/tenders/published-tenders</t>
        </is>
      </c>
      <c r="F220" s="70" t="inlineStr">
        <is>
          <t>Longido District Council</t>
        </is>
      </c>
      <c r="G220" s="70" t="inlineStr">
        <is>
          <t>government</t>
        </is>
      </c>
      <c r="H220" s="70" t="inlineStr">
        <is>
          <t>Construction of Box culvert along Tingatinga - Elerai Road</t>
        </is>
      </c>
      <c r="I220" s="70" t="inlineStr">
        <is>
          <t>From NeST notice (1 lot) – read the tender document</t>
        </is>
      </c>
      <c r="J220" s="70" t="inlineStr">
        <is>
          <t>Arusha (from client's office – confirm site)</t>
        </is>
      </c>
      <c r="K220" s="70" t="inlineStr">
        <is>
          <t>civil</t>
        </is>
      </c>
      <c r="L220" s="70" t="inlineStr">
        <is>
          <t>NeST login needed</t>
        </is>
      </c>
      <c r="M220" s="62" t="n"/>
      <c r="N220" s="70" t="inlineStr">
        <is>
          <t>unknown</t>
        </is>
      </c>
      <c r="O220" s="71" t="inlineStr">
        <is>
          <t>NeST login needed</t>
        </is>
      </c>
      <c r="P220" s="71" t="inlineStr">
        <is>
          <t>NeST login needed</t>
        </is>
      </c>
      <c r="Q220" s="72" t="n">
        <v>46325.41666666666</v>
      </c>
      <c r="R220" s="70" t="inlineStr">
        <is>
          <t>NeST login needed</t>
        </is>
      </c>
      <c r="S220" s="70" t="inlineStr">
        <is>
          <t>N</t>
        </is>
      </c>
      <c r="T220" s="64">
        <f>IF(A220="","",IFERROR(INDEX('Bid-NoBid'!$T:$T,MATCH(A220,'Bid-NoBid'!$A:$A,0)),""))</f>
        <v/>
      </c>
      <c r="U220" s="59">
        <f>IF(A220="","",IFERROR(IF(OR(INDEX('Bid-NoBid'!$U:$U,MATCH(A220,'Bid-NoBid'!$A:$A,0))="",LEFT(INDEX('Bid-NoBid'!$U:$U,MATCH(A220,'Bid-NoBid'!$A:$A,0)),10)="Incomplete"),"Screen: "&amp;AC220,INDEX('Bid-NoBid'!$U:$U,MATCH(A220,'Bid-NoBid'!$A:$A,0))),"Screen: "&amp;AC220))</f>
        <v/>
      </c>
      <c r="V220" s="60" t="n"/>
      <c r="W220" s="70" t="inlineStr">
        <is>
          <t>Watching</t>
        </is>
      </c>
      <c r="X220" s="70" t="inlineStr">
        <is>
          <t>Frank</t>
        </is>
      </c>
      <c r="Y220" s="60" t="n"/>
      <c r="Z220" s="60" t="n"/>
      <c r="AA220" s="73" t="n">
        <v>46318</v>
      </c>
      <c r="AB220" s="74" t="inlineStr">
        <is>
          <t>Small Works / Tender</t>
        </is>
      </c>
      <c r="AC220" s="74" t="inlineStr">
        <is>
          <t>Check</t>
        </is>
      </c>
      <c r="AD220" s="74" t="inlineStr">
        <is>
          <t>Auto (Small Works / Tender): Construction tender kept for review (would have been dropped: Remote civil works)</t>
        </is>
      </c>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74" t="inlineStr">
        <is>
          <t>Read the notice and decide with the QS Director whether to pursue</t>
        </is>
      </c>
      <c r="AJ220" s="74" t="inlineStr">
        <is>
          <t>Auto-scan</t>
        </is>
      </c>
      <c r="AK220" s="74" t="inlineStr">
        <is>
          <t>b0733687-ba40-4fee-b5c9-04c694af739e</t>
        </is>
      </c>
      <c r="AL220" s="59">
        <f>IF(AND(OR(W220="Watching",W220="Preparing"),ISNUMBER(Q220)),IF(AND(Q220&gt;='Friday Summary'!$C$4,Q220&lt;='Friday Summary'!$C$4+14),Q220+ROW()/1000000,""),"")</f>
        <v/>
      </c>
    </row>
    <row r="221" ht="15" customHeight="1" s="51">
      <c r="A221" s="59">
        <f>IF(B221="","","OP-"&amp;TEXT(ROW()-4,"000"))</f>
        <v/>
      </c>
      <c r="B221" s="70" t="inlineStr">
        <is>
          <t>S10/025/2026/2027/W/87</t>
        </is>
      </c>
      <c r="C221" s="71" t="n">
        <v>46319</v>
      </c>
      <c r="D221" s="70" t="inlineStr">
        <is>
          <t>NeST</t>
        </is>
      </c>
      <c r="E221" s="70" t="inlineStr">
        <is>
          <t>https://nest.go.tz/tenders/published-tenders</t>
        </is>
      </c>
      <c r="F221" s="70" t="inlineStr">
        <is>
          <t>TARURA - Tabora Regional Office</t>
        </is>
      </c>
      <c r="G221" s="70" t="inlineStr">
        <is>
          <t>government</t>
        </is>
      </c>
      <c r="H221" s="70" t="inlineStr">
        <is>
          <t>Periodic Maintenance (1.4km), Construction of Concrete side drains 1200m, Nine (9) lines of stone masonry Box Culverts works along Sengu, Periodic Maintenance (0.55km), Repair of stone masonry side drains bothsides 550m, Four (4) lines of stone masonry Box Culverts works along Ukwala - Nzega Day, Periodic Maintenance (0.25km), Construction of Concrete side drains 300m along Kitongo FPCT CHURCH - Fundi Emma, Periodic Maintenance (1.0km), Repair of stone masonry side drains bothsides 600m, Two (2) lines of stone masonry Box Culverts works along Imelida, Periodic Maintenance (3.0km), Construction of Concrete side drains 900m, Seven (7) lines of stone masonry Box Culverts works along Uswiru-Marco kuzwa, Periodic Maintenance (3.0km), Construction of Concrete side drains 900m, Seven (7) lines of stone masonry Box Culverts works along Dr. Solonyo - Jack Maharage - Daraja la Ipilili, Periodic Maintenance (6.5km), Construction of Five (5) lines of stone masonry Box Culverts works along Ijanija Centre -Shila - Shigamba, Periodic Maintenance (8.0km) along Nzega - Igilali - Idudumo, Periodic Maintenance (7.11km), Construction of Three (3) lines of stone masonry Box Culverts works along Nzega - Idala - Undomo roads and Victoria road in Nzega Town Council</t>
        </is>
      </c>
      <c r="I221" s="70" t="inlineStr">
        <is>
          <t>From NeST notice (1 lot) – read the tender document</t>
        </is>
      </c>
      <c r="J221" s="70" t="inlineStr">
        <is>
          <t>Tabora (Sikonge) (from client's office – confirm site)</t>
        </is>
      </c>
      <c r="K221" s="70" t="inlineStr">
        <is>
          <t>civil</t>
        </is>
      </c>
      <c r="L221" s="70" t="inlineStr">
        <is>
          <t>NeST login needed</t>
        </is>
      </c>
      <c r="M221" s="62" t="n"/>
      <c r="N221" s="70" t="inlineStr">
        <is>
          <t>unknown</t>
        </is>
      </c>
      <c r="O221" s="71" t="inlineStr">
        <is>
          <t>NeST login needed</t>
        </is>
      </c>
      <c r="P221" s="71" t="inlineStr">
        <is>
          <t>NeST login needed</t>
        </is>
      </c>
      <c r="Q221" s="72" t="n">
        <v>46325.45833333334</v>
      </c>
      <c r="R221" s="70" t="inlineStr">
        <is>
          <t>NeST login needed</t>
        </is>
      </c>
      <c r="S221" s="70" t="inlineStr">
        <is>
          <t>N</t>
        </is>
      </c>
      <c r="T221" s="64">
        <f>IF(A221="","",IFERROR(INDEX('Bid-NoBid'!$T:$T,MATCH(A221,'Bid-NoBid'!$A:$A,0)),""))</f>
        <v/>
      </c>
      <c r="U221" s="59">
        <f>IF(A221="","",IFERROR(IF(OR(INDEX('Bid-NoBid'!$U:$U,MATCH(A221,'Bid-NoBid'!$A:$A,0))="",LEFT(INDEX('Bid-NoBid'!$U:$U,MATCH(A221,'Bid-NoBid'!$A:$A,0)),10)="Incomplete"),"Screen: "&amp;AC221,INDEX('Bid-NoBid'!$U:$U,MATCH(A221,'Bid-NoBid'!$A:$A,0))),"Screen: "&amp;AC221))</f>
        <v/>
      </c>
      <c r="V221" s="60" t="n"/>
      <c r="W221" s="70" t="inlineStr">
        <is>
          <t>Watching</t>
        </is>
      </c>
      <c r="X221" s="70" t="inlineStr">
        <is>
          <t>Frank</t>
        </is>
      </c>
      <c r="Y221" s="60" t="n"/>
      <c r="Z221" s="60" t="n"/>
      <c r="AA221" s="73" t="n">
        <v>46318</v>
      </c>
      <c r="AB221" s="74" t="inlineStr">
        <is>
          <t>Small Works / Tender</t>
        </is>
      </c>
      <c r="AC221" s="74" t="inlineStr">
        <is>
          <t>Check</t>
        </is>
      </c>
      <c r="AD221" s="74" t="inlineStr">
        <is>
          <t>Auto (Small Works / Tender): Construction tender kept for review (would have been dropped: Remote civil works)</t>
        </is>
      </c>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74" t="inlineStr">
        <is>
          <t>Read the notice and decide with the QS Director whether to pursue</t>
        </is>
      </c>
      <c r="AJ221" s="74" t="inlineStr">
        <is>
          <t>Auto-scan</t>
        </is>
      </c>
      <c r="AK221" s="74" t="inlineStr">
        <is>
          <t>4665abf7-d189-4fe0-96a7-ef0c04369154</t>
        </is>
      </c>
      <c r="AL221" s="59">
        <f>IF(AND(OR(W221="Watching",W221="Preparing"),ISNUMBER(Q221)),IF(AND(Q221&gt;='Friday Summary'!$C$4,Q221&lt;='Friday Summary'!$C$4+14),Q221+ROW()/1000000,""),"")</f>
        <v/>
      </c>
    </row>
    <row r="222" ht="15" customHeight="1" s="51">
      <c r="A222" s="59">
        <f>IF(B222="","","OP-"&amp;TEXT(ROW()-4,"000"))</f>
        <v/>
      </c>
      <c r="B222" s="70" t="inlineStr">
        <is>
          <t>(not shown)</t>
        </is>
      </c>
      <c r="C222" s="71" t="n">
        <v>46319</v>
      </c>
      <c r="D222" s="70" t="inlineStr">
        <is>
          <t>press</t>
        </is>
      </c>
      <c r="E222" s="70" t="inlineStr">
        <is>
          <t>https://www.tanzaniatenders.com/tender/survey-and-design-irrigation-weir-and-1km-lined-main-canal-initiating-proposed-irrigation-scheme-mih-90643df.php</t>
        </is>
      </c>
      <c r="F222" s="70" t="inlineStr">
        <is>
          <t>See advert</t>
        </is>
      </c>
      <c r="G222" s="70" t="inlineStr">
        <is>
          <t>government</t>
        </is>
      </c>
      <c r="H222" s="70" t="inlineStr">
        <is>
          <t>Survey and Design of Irrigation Weir and 1Km Lined Main Canal for Initiating Proposed Irrigation Scheme at Mihama Village in Kishapu District</t>
        </is>
      </c>
      <c r="I222" s="70" t="inlineStr">
        <is>
          <t>From press notice (1 lot) – read the tender document</t>
        </is>
      </c>
      <c r="J222" s="70" t="inlineStr">
        <is>
          <t>Not stated – read the notice</t>
        </is>
      </c>
      <c r="K222" s="70" t="inlineStr">
        <is>
          <t>civil</t>
        </is>
      </c>
      <c r="L222" s="70" t="inlineStr">
        <is>
          <t>See tender document</t>
        </is>
      </c>
      <c r="M222" s="62" t="n"/>
      <c r="N222" s="70" t="inlineStr">
        <is>
          <t>unknown</t>
        </is>
      </c>
      <c r="O222" s="71" t="inlineStr">
        <is>
          <t>See tender document</t>
        </is>
      </c>
      <c r="P222" s="71" t="inlineStr">
        <is>
          <t>See tender document</t>
        </is>
      </c>
      <c r="Q222" s="72" t="n">
        <v>46328.41666666666</v>
      </c>
      <c r="R222" s="70" t="inlineStr">
        <is>
          <t>See tender document</t>
        </is>
      </c>
      <c r="S222" s="70" t="inlineStr">
        <is>
          <t>N</t>
        </is>
      </c>
      <c r="T222" s="64">
        <f>IF(A222="","",IFERROR(INDEX('Bid-NoBid'!$T:$T,MATCH(A222,'Bid-NoBid'!$A:$A,0)),""))</f>
        <v/>
      </c>
      <c r="U222" s="59">
        <f>IF(A222="","",IFERROR(IF(OR(INDEX('Bid-NoBid'!$U:$U,MATCH(A222,'Bid-NoBid'!$A:$A,0))="",LEFT(INDEX('Bid-NoBid'!$U:$U,MATCH(A222,'Bid-NoBid'!$A:$A,0)),10)="Incomplete"),"Screen: "&amp;AC222,INDEX('Bid-NoBid'!$U:$U,MATCH(A222,'Bid-NoBid'!$A:$A,0))),"Screen: "&amp;AC222))</f>
        <v/>
      </c>
      <c r="V222" s="60" t="n"/>
      <c r="W222" s="70" t="inlineStr">
        <is>
          <t>Watching</t>
        </is>
      </c>
      <c r="X222" s="70" t="inlineStr">
        <is>
          <t>Frank</t>
        </is>
      </c>
      <c r="Y222" s="60" t="n"/>
      <c r="Z222" s="60" t="n"/>
      <c r="AA222" s="73" t="n"/>
      <c r="AB222" s="74" t="inlineStr">
        <is>
          <t>TanzaniaTenders.com (newspapers / portals / private)</t>
        </is>
      </c>
      <c r="AC222" s="74" t="inlineStr">
        <is>
          <t>Check</t>
        </is>
      </c>
      <c r="AD222" s="74" t="inlineStr">
        <is>
          <t>Auto (TanzaniaTenders.com): Civil works – confirm site, CRB class and margin · deadline read from the web page – confirm</t>
        </is>
      </c>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74" t="inlineStr">
        <is>
          <t>Read the notice and decide with the QS Director whether to pursue</t>
        </is>
      </c>
      <c r="AJ222" s="74" t="inlineStr">
        <is>
          <t>Auto-scan</t>
        </is>
      </c>
      <c r="AK222" s="74" t="inlineStr">
        <is>
          <t>TZT:151405535</t>
        </is>
      </c>
      <c r="AL222" s="59">
        <f>IF(AND(OR(W222="Watching",W222="Preparing"),ISNUMBER(Q222)),IF(AND(Q222&gt;='Friday Summary'!$C$4,Q222&lt;='Friday Summary'!$C$4+14),Q222+ROW()/1000000,""),"")</f>
        <v/>
      </c>
    </row>
    <row r="223" ht="15" customHeight="1" s="51">
      <c r="A223" s="59">
        <f>IF(B223="","","OP-"&amp;TEXT(ROW()-4,"000"))</f>
        <v/>
      </c>
      <c r="B223" s="70" t="inlineStr">
        <is>
          <t>(not shown)</t>
        </is>
      </c>
      <c r="C223" s="71" t="n">
        <v>46319</v>
      </c>
      <c r="D223" s="70" t="inlineStr">
        <is>
          <t>press</t>
        </is>
      </c>
      <c r="E223" s="70" t="inlineStr">
        <is>
          <t>https://www.tanzaniatenders.com/tender/survey-and-design-small-charco-dam-livestock-masanga-ward-90643d3.php</t>
        </is>
      </c>
      <c r="F223" s="70" t="inlineStr">
        <is>
          <t>See advert</t>
        </is>
      </c>
      <c r="G223" s="70" t="inlineStr">
        <is>
          <t>government</t>
        </is>
      </c>
      <c r="H223" s="70" t="inlineStr">
        <is>
          <t>Survey and Design of Small Charco-Dam for Livestock at Masanga Ward</t>
        </is>
      </c>
      <c r="I223" s="70" t="inlineStr">
        <is>
          <t>From press notice (1 lot) – read the tender document</t>
        </is>
      </c>
      <c r="J223" s="70" t="inlineStr">
        <is>
          <t>Not stated – read the notice</t>
        </is>
      </c>
      <c r="K223" s="70" t="inlineStr">
        <is>
          <t>civil</t>
        </is>
      </c>
      <c r="L223" s="70" t="inlineStr">
        <is>
          <t>See tender document</t>
        </is>
      </c>
      <c r="M223" s="62" t="n"/>
      <c r="N223" s="70" t="inlineStr">
        <is>
          <t>unknown</t>
        </is>
      </c>
      <c r="O223" s="71" t="inlineStr">
        <is>
          <t>See tender document</t>
        </is>
      </c>
      <c r="P223" s="71" t="inlineStr">
        <is>
          <t>See tender document</t>
        </is>
      </c>
      <c r="Q223" s="72" t="n">
        <v>46328.41666666666</v>
      </c>
      <c r="R223" s="70" t="inlineStr">
        <is>
          <t>See tender document</t>
        </is>
      </c>
      <c r="S223" s="70" t="inlineStr">
        <is>
          <t>N</t>
        </is>
      </c>
      <c r="T223" s="64">
        <f>IF(A223="","",IFERROR(INDEX('Bid-NoBid'!$T:$T,MATCH(A223,'Bid-NoBid'!$A:$A,0)),""))</f>
        <v/>
      </c>
      <c r="U223" s="59">
        <f>IF(A223="","",IFERROR(IF(OR(INDEX('Bid-NoBid'!$U:$U,MATCH(A223,'Bid-NoBid'!$A:$A,0))="",LEFT(INDEX('Bid-NoBid'!$U:$U,MATCH(A223,'Bid-NoBid'!$A:$A,0)),10)="Incomplete"),"Screen: "&amp;AC223,INDEX('Bid-NoBid'!$U:$U,MATCH(A223,'Bid-NoBid'!$A:$A,0))),"Screen: "&amp;AC223))</f>
        <v/>
      </c>
      <c r="V223" s="60" t="n"/>
      <c r="W223" s="70" t="inlineStr">
        <is>
          <t>Watching</t>
        </is>
      </c>
      <c r="X223" s="70" t="inlineStr">
        <is>
          <t>Frank</t>
        </is>
      </c>
      <c r="Y223" s="60" t="n"/>
      <c r="Z223" s="60" t="n"/>
      <c r="AA223" s="73" t="n"/>
      <c r="AB223" s="74" t="inlineStr">
        <is>
          <t>TanzaniaTenders.com (newspapers / portals / private)</t>
        </is>
      </c>
      <c r="AC223" s="74" t="inlineStr">
        <is>
          <t>Check</t>
        </is>
      </c>
      <c r="AD223" s="74" t="inlineStr">
        <is>
          <t>Auto (TanzaniaTenders.com): Civil works – confirm site, CRB class and margin · deadline read from the web page – confirm</t>
        </is>
      </c>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74" t="inlineStr">
        <is>
          <t>Read the notice and decide with the QS Director whether to pursue</t>
        </is>
      </c>
      <c r="AJ223" s="74" t="inlineStr">
        <is>
          <t>Auto-scan</t>
        </is>
      </c>
      <c r="AK223" s="74" t="inlineStr">
        <is>
          <t>TZT:151405523</t>
        </is>
      </c>
      <c r="AL223" s="59">
        <f>IF(AND(OR(W223="Watching",W223="Preparing"),ISNUMBER(Q223)),IF(AND(Q223&gt;='Friday Summary'!$C$4,Q223&lt;='Friday Summary'!$C$4+14),Q223+ROW()/1000000,""),"")</f>
        <v/>
      </c>
    </row>
    <row r="224" ht="15" customHeight="1" s="51">
      <c r="A224" s="59">
        <f>IF(B224="","","OP-"&amp;TEXT(ROW()-4,"000"))</f>
        <v/>
      </c>
      <c r="B224" s="70" t="inlineStr">
        <is>
          <t>(not shown)</t>
        </is>
      </c>
      <c r="C224" s="71" t="n">
        <v>46319</v>
      </c>
      <c r="D224" s="70" t="inlineStr">
        <is>
          <t>press</t>
        </is>
      </c>
      <c r="E224" s="70" t="inlineStr">
        <is>
          <t>https://www.tanzaniatenders.com/tender/establishment-long-term-agreement-lta-building-maintenance-services-906616a.php</t>
        </is>
      </c>
      <c r="F224" s="70" t="inlineStr">
        <is>
          <t>See advert</t>
        </is>
      </c>
      <c r="G224" s="70" t="inlineStr">
        <is>
          <t>government</t>
        </is>
      </c>
      <c r="H224" s="70" t="inlineStr">
        <is>
          <t>Establishment of Long-Term Agreement (LTA) for Building Maintenance Services.</t>
        </is>
      </c>
      <c r="I224" s="70" t="inlineStr">
        <is>
          <t>From press notice (1 lot) – read the tender document</t>
        </is>
      </c>
      <c r="J224" s="70" t="inlineStr">
        <is>
          <t>Not stated – read the notice</t>
        </is>
      </c>
      <c r="K224" s="70" t="inlineStr">
        <is>
          <t>building</t>
        </is>
      </c>
      <c r="L224" s="70" t="inlineStr">
        <is>
          <t>See tender document</t>
        </is>
      </c>
      <c r="M224" s="62" t="n"/>
      <c r="N224" s="70" t="inlineStr">
        <is>
          <t>unknown</t>
        </is>
      </c>
      <c r="O224" s="71" t="inlineStr">
        <is>
          <t>See tender document</t>
        </is>
      </c>
      <c r="P224" s="71" t="inlineStr">
        <is>
          <t>See tender document</t>
        </is>
      </c>
      <c r="Q224" s="72" t="n">
        <v>46344.41666666666</v>
      </c>
      <c r="R224" s="70" t="inlineStr">
        <is>
          <t>See tender document</t>
        </is>
      </c>
      <c r="S224" s="70" t="inlineStr">
        <is>
          <t>N</t>
        </is>
      </c>
      <c r="T224" s="64">
        <f>IF(A224="","",IFERROR(INDEX('Bid-NoBid'!$T:$T,MATCH(A224,'Bid-NoBid'!$A:$A,0)),""))</f>
        <v/>
      </c>
      <c r="U224" s="59">
        <f>IF(A224="","",IFERROR(IF(OR(INDEX('Bid-NoBid'!$U:$U,MATCH(A224,'Bid-NoBid'!$A:$A,0))="",LEFT(INDEX('Bid-NoBid'!$U:$U,MATCH(A224,'Bid-NoBid'!$A:$A,0)),10)="Incomplete"),"Screen: "&amp;AC224,INDEX('Bid-NoBid'!$U:$U,MATCH(A224,'Bid-NoBid'!$A:$A,0))),"Screen: "&amp;AC224))</f>
        <v/>
      </c>
      <c r="V224" s="60" t="n"/>
      <c r="W224" s="70" t="inlineStr">
        <is>
          <t>Watching</t>
        </is>
      </c>
      <c r="X224" s="70" t="inlineStr">
        <is>
          <t>Frank</t>
        </is>
      </c>
      <c r="Y224" s="60" t="n"/>
      <c r="Z224" s="60" t="n"/>
      <c r="AA224" s="73" t="n"/>
      <c r="AB224" s="74" t="inlineStr">
        <is>
          <t>TanzaniaTenders.com (newspapers / portals / private)</t>
        </is>
      </c>
      <c r="AC224" s="74" t="inlineStr">
        <is>
          <t>Check</t>
        </is>
      </c>
      <c r="AD224" s="74" t="inlineStr">
        <is>
          <t>Auto (TanzaniaTenders.com): Site not stated in the listing – read the notice · deadline read from the web page – confirm</t>
        </is>
      </c>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74" t="inlineStr">
        <is>
          <t>Read the notice and decide with the QS Director whether to pursue</t>
        </is>
      </c>
      <c r="AJ224" s="74" t="inlineStr">
        <is>
          <t>Auto-scan</t>
        </is>
      </c>
      <c r="AK224" s="74" t="inlineStr">
        <is>
          <t>TZT:151413098</t>
        </is>
      </c>
      <c r="AL224" s="59">
        <f>IF(AND(OR(W224="Watching",W224="Preparing"),ISNUMBER(Q224)),IF(AND(Q224&gt;='Friday Summary'!$C$4,Q224&lt;='Friday Summary'!$C$4+14),Q224+ROW()/1000000,""),"")</f>
        <v/>
      </c>
    </row>
    <row r="225" ht="15" customHeight="1" s="51">
      <c r="A225" s="59">
        <f>IF(B225="","","OP-"&amp;TEXT(ROW()-4,"000"))</f>
        <v/>
      </c>
      <c r="B225" s="70" t="inlineStr">
        <is>
          <t>(not shown)</t>
        </is>
      </c>
      <c r="C225" s="71" t="n">
        <v>46319</v>
      </c>
      <c r="D225" s="70" t="inlineStr">
        <is>
          <t>aggregator</t>
        </is>
      </c>
      <c r="E225" s="70" t="inlineStr">
        <is>
          <t>https://www.biddetail.com/latest-tenders/119785507$cb4b4987-225e-4b60-8951-f45db16f8ff9</t>
        </is>
      </c>
      <c r="F225" s="70" t="inlineStr">
        <is>
          <t>See notice</t>
        </is>
      </c>
      <c r="G225" s="70" t="inlineStr">
        <is>
          <t>government</t>
        </is>
      </c>
      <c r="H225" s="70" t="inlineStr">
        <is>
          <t>Request For Quotation For Establishment Of Lta For Building Maint ......</t>
        </is>
      </c>
      <c r="I225" s="70" t="inlineStr">
        <is>
          <t>From aggregator notice (1 lot) – read the tender document</t>
        </is>
      </c>
      <c r="J225" s="70" t="inlineStr">
        <is>
          <t>Not stated – read the notice</t>
        </is>
      </c>
      <c r="K225" s="70" t="inlineStr">
        <is>
          <t>building</t>
        </is>
      </c>
      <c r="L225" s="70" t="inlineStr">
        <is>
          <t>See tender document</t>
        </is>
      </c>
      <c r="M225" s="62" t="n"/>
      <c r="N225" s="70" t="inlineStr">
        <is>
          <t>unknown</t>
        </is>
      </c>
      <c r="O225" s="71" t="inlineStr">
        <is>
          <t>See tender document</t>
        </is>
      </c>
      <c r="P225" s="71" t="inlineStr">
        <is>
          <t>See tender document</t>
        </is>
      </c>
      <c r="Q225" s="72" t="n"/>
      <c r="R225" s="70" t="inlineStr">
        <is>
          <t>See tender document</t>
        </is>
      </c>
      <c r="S225" s="70" t="inlineStr">
        <is>
          <t>N</t>
        </is>
      </c>
      <c r="T225" s="64">
        <f>IF(A225="","",IFERROR(INDEX('Bid-NoBid'!$T:$T,MATCH(A225,'Bid-NoBid'!$A:$A,0)),""))</f>
        <v/>
      </c>
      <c r="U225" s="59">
        <f>IF(A225="","",IFERROR(IF(OR(INDEX('Bid-NoBid'!$U:$U,MATCH(A225,'Bid-NoBid'!$A:$A,0))="",LEFT(INDEX('Bid-NoBid'!$U:$U,MATCH(A225,'Bid-NoBid'!$A:$A,0)),10)="Incomplete"),"Screen: "&amp;AC225,INDEX('Bid-NoBid'!$U:$U,MATCH(A225,'Bid-NoBid'!$A:$A,0))),"Screen: "&amp;AC225))</f>
        <v/>
      </c>
      <c r="V225" s="60" t="n"/>
      <c r="W225" s="70" t="inlineStr">
        <is>
          <t>Watching</t>
        </is>
      </c>
      <c r="X225" s="70" t="inlineStr">
        <is>
          <t>Frank</t>
        </is>
      </c>
      <c r="Y225" s="60" t="n"/>
      <c r="Z225" s="60" t="n"/>
      <c r="AA225" s="73" t="n"/>
      <c r="AB225" s="74" t="inlineStr">
        <is>
          <t>BidDetail – Tanzania tenders (web page)</t>
        </is>
      </c>
      <c r="AC225" s="74" t="inlineStr">
        <is>
          <t>Check</t>
        </is>
      </c>
      <c r="AD225" s="74" t="inlineStr">
        <is>
          <t>Auto (BidDetail – Tanzania tenders): Deadline not shown on the source page – open the link and read the notice</t>
        </is>
      </c>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74" t="inlineStr">
        <is>
          <t>Read the notice and decide with the QS Director whether to pursue</t>
        </is>
      </c>
      <c r="AJ225" s="74" t="inlineStr">
        <is>
          <t>Auto-scan</t>
        </is>
      </c>
      <c r="AK225" s="74" t="inlineStr">
        <is>
          <t>WEB:biddetail_tanzania_tenders:085562c37d97ae0f</t>
        </is>
      </c>
      <c r="AL225" s="59">
        <f>IF(AND(OR(W225="Watching",W225="Preparing"),ISNUMBER(Q225)),IF(AND(Q225&gt;='Friday Summary'!$C$4,Q225&lt;='Friday Summary'!$C$4+14),Q225+ROW()/1000000,""),"")</f>
        <v/>
      </c>
    </row>
    <row r="226" ht="15" customHeight="1" s="51">
      <c r="A226" s="59">
        <f>IF(B226="","","OP-"&amp;TEXT(ROW()-4,"000"))</f>
        <v/>
      </c>
      <c r="B226" s="70" t="inlineStr">
        <is>
          <t>(not shown)</t>
        </is>
      </c>
      <c r="C226" s="71" t="n">
        <v>46319</v>
      </c>
      <c r="D226" s="70" t="inlineStr">
        <is>
          <t>aggregator</t>
        </is>
      </c>
      <c r="E226" s="70" t="inlineStr">
        <is>
          <t>https://www.biddetail.com/latest-tenders/119785512$e70aff49-b921-494c-925b-6b0a82fab66c</t>
        </is>
      </c>
      <c r="F226" s="70" t="inlineStr">
        <is>
          <t>See notice</t>
        </is>
      </c>
      <c r="G226" s="70" t="inlineStr">
        <is>
          <t>government</t>
        </is>
      </c>
      <c r="H226" s="70" t="inlineStr">
        <is>
          <t>Ministry Of Water And Irrigation; Africa Request For Expression Of Interest For Sustainable Rural Water Su ......</t>
        </is>
      </c>
      <c r="I226" s="70" t="inlineStr">
        <is>
          <t>From aggregator notice (1 lot) – read the tender document</t>
        </is>
      </c>
      <c r="J226" s="70" t="inlineStr">
        <is>
          <t>Not stated – read the notice</t>
        </is>
      </c>
      <c r="K226" s="70" t="inlineStr">
        <is>
          <t>civil</t>
        </is>
      </c>
      <c r="L226" s="70" t="inlineStr">
        <is>
          <t>See tender document</t>
        </is>
      </c>
      <c r="M226" s="62" t="n"/>
      <c r="N226" s="70" t="inlineStr">
        <is>
          <t>unknown</t>
        </is>
      </c>
      <c r="O226" s="71" t="inlineStr">
        <is>
          <t>See tender document</t>
        </is>
      </c>
      <c r="P226" s="71" t="inlineStr">
        <is>
          <t>See tender document</t>
        </is>
      </c>
      <c r="Q226" s="72" t="n"/>
      <c r="R226" s="70" t="inlineStr">
        <is>
          <t>See tender document</t>
        </is>
      </c>
      <c r="S226" s="70" t="inlineStr">
        <is>
          <t>N</t>
        </is>
      </c>
      <c r="T226" s="64">
        <f>IF(A226="","",IFERROR(INDEX('Bid-NoBid'!$T:$T,MATCH(A226,'Bid-NoBid'!$A:$A,0)),""))</f>
        <v/>
      </c>
      <c r="U226" s="59">
        <f>IF(A226="","",IFERROR(IF(OR(INDEX('Bid-NoBid'!$U:$U,MATCH(A226,'Bid-NoBid'!$A:$A,0))="",LEFT(INDEX('Bid-NoBid'!$U:$U,MATCH(A226,'Bid-NoBid'!$A:$A,0)),10)="Incomplete"),"Screen: "&amp;AC226,INDEX('Bid-NoBid'!$U:$U,MATCH(A226,'Bid-NoBid'!$A:$A,0))),"Screen: "&amp;AC226))</f>
        <v/>
      </c>
      <c r="V226" s="60" t="n"/>
      <c r="W226" s="70" t="inlineStr">
        <is>
          <t>Watching</t>
        </is>
      </c>
      <c r="X226" s="70" t="inlineStr">
        <is>
          <t>Frank</t>
        </is>
      </c>
      <c r="Y226" s="60" t="n"/>
      <c r="Z226" s="60" t="n"/>
      <c r="AA226" s="73" t="n"/>
      <c r="AB226" s="74" t="inlineStr">
        <is>
          <t>BidDetail – Tanzania tenders (web page)</t>
        </is>
      </c>
      <c r="AC226" s="74" t="inlineStr">
        <is>
          <t>Check</t>
        </is>
      </c>
      <c r="AD226" s="74" t="inlineStr">
        <is>
          <t>Auto (BidDetail – Tanzania tenders): Deadline not shown on the source page – open the link and read the notice</t>
        </is>
      </c>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74" t="inlineStr">
        <is>
          <t>Read the notice and decide with the QS Director whether to pursue</t>
        </is>
      </c>
      <c r="AJ226" s="74" t="inlineStr">
        <is>
          <t>Auto-scan</t>
        </is>
      </c>
      <c r="AK226" s="74" t="inlineStr">
        <is>
          <t>WEB:biddetail_tanzania_tenders:214565dec145f7a6</t>
        </is>
      </c>
      <c r="AL226" s="59">
        <f>IF(AND(OR(W226="Watching",W226="Preparing"),ISNUMBER(Q226)),IF(AND(Q226&gt;='Friday Summary'!$C$4,Q226&lt;='Friday Summary'!$C$4+14),Q226+ROW()/1000000,""),"")</f>
        <v/>
      </c>
    </row>
    <row r="227" ht="15" customHeight="1" s="51">
      <c r="A227" s="59">
        <f>IF(B227="","","OP-"&amp;TEXT(ROW()-4,"000"))</f>
        <v/>
      </c>
      <c r="B227" s="70" t="inlineStr">
        <is>
          <t>S10/009/2026/2027/W/113</t>
        </is>
      </c>
      <c r="C227" s="71" t="n">
        <v>46321</v>
      </c>
      <c r="D227" s="70" t="inlineStr">
        <is>
          <t>NeST</t>
        </is>
      </c>
      <c r="E227" s="70" t="inlineStr">
        <is>
          <t>https://nest.go.tz/tenders/published-tenders</t>
        </is>
      </c>
      <c r="F227" s="70" t="inlineStr">
        <is>
          <t>TARURA - Kilimanjaro Regional Office</t>
        </is>
      </c>
      <c r="G227" s="70" t="inlineStr">
        <is>
          <t>government</t>
        </is>
      </c>
      <c r="H227" s="70" t="inlineStr">
        <is>
          <t>Upgrading of Shabani - Otaruni, Mto Umbwe Nyamaa B and Mwasi Kusini - Kishumundu Centre Roads to Gravel Standard, Roads Rehabilitation of Kibosho sokoni - Kibosho Hospital - Singa Juu and Nkonyaku P/S - Mkomilo and Opening of Kifura road in Moshi District</t>
        </is>
      </c>
      <c r="I227" s="70" t="inlineStr">
        <is>
          <t>From NeST notice (1 lot) – read the tender document</t>
        </is>
      </c>
      <c r="J227" s="70" t="inlineStr">
        <is>
          <t>Kilimanjaro (Moshi)</t>
        </is>
      </c>
      <c r="K227" s="70" t="inlineStr">
        <is>
          <t>renovation</t>
        </is>
      </c>
      <c r="L227" s="70" t="inlineStr">
        <is>
          <t>NeST login needed</t>
        </is>
      </c>
      <c r="M227" s="62" t="n"/>
      <c r="N227" s="70" t="inlineStr">
        <is>
          <t>unknown</t>
        </is>
      </c>
      <c r="O227" s="71" t="inlineStr">
        <is>
          <t>NeST login needed</t>
        </is>
      </c>
      <c r="P227" s="71" t="inlineStr">
        <is>
          <t>NeST login needed</t>
        </is>
      </c>
      <c r="Q227" s="72" t="n">
        <v>46328.45833333334</v>
      </c>
      <c r="R227" s="70" t="inlineStr">
        <is>
          <t>NeST login needed</t>
        </is>
      </c>
      <c r="S227" s="70" t="inlineStr">
        <is>
          <t>N</t>
        </is>
      </c>
      <c r="T227" s="64">
        <f>IF(A227="","",IFERROR(INDEX('Bid-NoBid'!$T:$T,MATCH(A227,'Bid-NoBid'!$A:$A,0)),""))</f>
        <v/>
      </c>
      <c r="U227" s="59">
        <f>IF(A227="","",IFERROR(IF(OR(INDEX('Bid-NoBid'!$U:$U,MATCH(A227,'Bid-NoBid'!$A:$A,0))="",LEFT(INDEX('Bid-NoBid'!$U:$U,MATCH(A227,'Bid-NoBid'!$A:$A,0)),10)="Incomplete"),"Screen: "&amp;AC227,INDEX('Bid-NoBid'!$U:$U,MATCH(A227,'Bid-NoBid'!$A:$A,0))),"Screen: "&amp;AC227))</f>
        <v/>
      </c>
      <c r="V227" s="60" t="n"/>
      <c r="W227" s="70" t="inlineStr">
        <is>
          <t>Watching</t>
        </is>
      </c>
      <c r="X227" s="70" t="inlineStr">
        <is>
          <t>Frank</t>
        </is>
      </c>
      <c r="Y227" s="60" t="n"/>
      <c r="Z227" s="60" t="n"/>
      <c r="AA227" s="73" t="n">
        <v>46321</v>
      </c>
      <c r="AB227" s="74" t="inlineStr">
        <is>
          <t>Small Works / Tender</t>
        </is>
      </c>
      <c r="AC227" s="74" t="inlineStr">
        <is>
          <t>Check</t>
        </is>
      </c>
      <c r="AD227" s="74" t="inlineStr">
        <is>
          <t>Auto (Small Works / Tender): Building works but remote from Dar</t>
        </is>
      </c>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74" t="inlineStr">
        <is>
          <t>Read the notice and decide with the QS Director whether to pursue</t>
        </is>
      </c>
      <c r="AJ227" s="74" t="inlineStr">
        <is>
          <t>Auto-scan</t>
        </is>
      </c>
      <c r="AK227" s="74" t="inlineStr">
        <is>
          <t>f3ddb3f1-00f5-4482-8c0f-4b732abc1cb9</t>
        </is>
      </c>
      <c r="AL227" s="59">
        <f>IF(AND(OR(W227="Watching",W227="Preparing"),ISNUMBER(Q227)),IF(AND(Q227&gt;='Friday Summary'!$C$4,Q227&lt;='Friday Summary'!$C$4+14),Q227+ROW()/1000000,""),"")</f>
        <v/>
      </c>
    </row>
    <row r="228" ht="15" customHeight="1" s="51">
      <c r="A228" s="59">
        <f>IF(B228="","","OP-"&amp;TEXT(ROW()-4,"000"))</f>
        <v/>
      </c>
      <c r="B228" s="70" t="inlineStr">
        <is>
          <t>S10/009/2026/2027/W/33</t>
        </is>
      </c>
      <c r="C228" s="71" t="n">
        <v>46321</v>
      </c>
      <c r="D228" s="70" t="inlineStr">
        <is>
          <t>NeST</t>
        </is>
      </c>
      <c r="E228" s="70" t="inlineStr">
        <is>
          <t>https://nest.go.tz/tenders/published-tenders</t>
        </is>
      </c>
      <c r="F228" s="70" t="inlineStr">
        <is>
          <t>TARURA - Kilimanjaro Regional Office</t>
        </is>
      </c>
      <c r="G228" s="70" t="inlineStr">
        <is>
          <t>government</t>
        </is>
      </c>
      <c r="H228" s="70" t="inlineStr">
        <is>
          <t>BRIDGE CONSTRUCTION AND REPAIR AT HAI DISTRICT</t>
        </is>
      </c>
      <c r="I228" s="70" t="inlineStr">
        <is>
          <t>From NeST notice (1 lot) – read the tender document</t>
        </is>
      </c>
      <c r="J228" s="70" t="inlineStr">
        <is>
          <t>Kilimanjaro (Moshi) (from client's office – confirm site)</t>
        </is>
      </c>
      <c r="K228" s="70" t="inlineStr">
        <is>
          <t>civil</t>
        </is>
      </c>
      <c r="L228" s="70" t="inlineStr">
        <is>
          <t>NeST login needed</t>
        </is>
      </c>
      <c r="M228" s="62" t="n"/>
      <c r="N228" s="70" t="inlineStr">
        <is>
          <t>unknown</t>
        </is>
      </c>
      <c r="O228" s="71" t="inlineStr">
        <is>
          <t>NeST login needed</t>
        </is>
      </c>
      <c r="P228" s="71" t="inlineStr">
        <is>
          <t>NeST login needed</t>
        </is>
      </c>
      <c r="Q228" s="72" t="n">
        <v>46328.58333333334</v>
      </c>
      <c r="R228" s="70" t="inlineStr">
        <is>
          <t>NeST login needed</t>
        </is>
      </c>
      <c r="S228" s="70" t="inlineStr">
        <is>
          <t>N</t>
        </is>
      </c>
      <c r="T228" s="64">
        <f>IF(A228="","",IFERROR(INDEX('Bid-NoBid'!$T:$T,MATCH(A228,'Bid-NoBid'!$A:$A,0)),""))</f>
        <v/>
      </c>
      <c r="U228" s="59">
        <f>IF(A228="","",IFERROR(IF(OR(INDEX('Bid-NoBid'!$U:$U,MATCH(A228,'Bid-NoBid'!$A:$A,0))="",LEFT(INDEX('Bid-NoBid'!$U:$U,MATCH(A228,'Bid-NoBid'!$A:$A,0)),10)="Incomplete"),"Screen: "&amp;AC228,INDEX('Bid-NoBid'!$U:$U,MATCH(A228,'Bid-NoBid'!$A:$A,0))),"Screen: "&amp;AC228))</f>
        <v/>
      </c>
      <c r="V228" s="60" t="n"/>
      <c r="W228" s="70" t="inlineStr">
        <is>
          <t>Watching</t>
        </is>
      </c>
      <c r="X228" s="70" t="inlineStr">
        <is>
          <t>Frank</t>
        </is>
      </c>
      <c r="Y228" s="60" t="n"/>
      <c r="Z228" s="60" t="n"/>
      <c r="AA228" s="73" t="n">
        <v>46321</v>
      </c>
      <c r="AB228" s="74" t="inlineStr">
        <is>
          <t>Small Works / Tender</t>
        </is>
      </c>
      <c r="AC228" s="74" t="inlineStr">
        <is>
          <t>Check</t>
        </is>
      </c>
      <c r="AD228" s="74" t="inlineStr">
        <is>
          <t>Auto (Small Works / Tender): Construction tender kept for review (would have been dropped: Remote civil works)</t>
        </is>
      </c>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74" t="inlineStr">
        <is>
          <t>Read the notice and decide with the QS Director whether to pursue</t>
        </is>
      </c>
      <c r="AJ228" s="74" t="inlineStr">
        <is>
          <t>Auto-scan</t>
        </is>
      </c>
      <c r="AK228" s="74" t="inlineStr">
        <is>
          <t>a61c3f15-48bf-4dba-90ac-aa3a55f0e977</t>
        </is>
      </c>
      <c r="AL228" s="59">
        <f>IF(AND(OR(W228="Watching",W228="Preparing"),ISNUMBER(Q228)),IF(AND(Q228&gt;='Friday Summary'!$C$4,Q228&lt;='Friday Summary'!$C$4+14),Q228+ROW()/1000000,""),"")</f>
        <v/>
      </c>
    </row>
    <row r="229" ht="15" customHeight="1" s="51">
      <c r="A229" s="59">
        <f>IF(B229="","","OP-"&amp;TEXT(ROW()-4,"000"))</f>
        <v/>
      </c>
      <c r="B229" s="70" t="inlineStr">
        <is>
          <t>82N7/2026/2027/W/27</t>
        </is>
      </c>
      <c r="C229" s="71" t="n">
        <v>46321</v>
      </c>
      <c r="D229" s="70" t="inlineStr">
        <is>
          <t>NeST</t>
        </is>
      </c>
      <c r="E229" s="70" t="inlineStr">
        <is>
          <t>https://nest.go.tz/tenders/published-tenders</t>
        </is>
      </c>
      <c r="F229" s="70" t="inlineStr">
        <is>
          <t>Mbinga Town Council</t>
        </is>
      </c>
      <c r="G229" s="70" t="inlineStr">
        <is>
          <t>government</t>
        </is>
      </c>
      <c r="H229" s="70" t="inlineStr">
        <is>
          <t>CONSTRUCTION OF WAREHOUSE AND SHOPS AT MAKITA AREA IN MBINGA TOWN COUNCIL</t>
        </is>
      </c>
      <c r="I229" s="70" t="inlineStr">
        <is>
          <t>From NeST notice (1 lot) – read the tender document</t>
        </is>
      </c>
      <c r="J229" s="70" t="inlineStr">
        <is>
          <t>Ruvuma (Mbinga)</t>
        </is>
      </c>
      <c r="K229" s="70" t="inlineStr">
        <is>
          <t>building</t>
        </is>
      </c>
      <c r="L229" s="70" t="inlineStr">
        <is>
          <t>NeST login needed</t>
        </is>
      </c>
      <c r="M229" s="62" t="n"/>
      <c r="N229" s="70" t="inlineStr">
        <is>
          <t>unknown</t>
        </is>
      </c>
      <c r="O229" s="71" t="inlineStr">
        <is>
          <t>NeST login needed</t>
        </is>
      </c>
      <c r="P229" s="71" t="inlineStr">
        <is>
          <t>NeST login needed</t>
        </is>
      </c>
      <c r="Q229" s="72" t="n">
        <v>46328.58333333334</v>
      </c>
      <c r="R229" s="70" t="inlineStr">
        <is>
          <t>NeST login needed</t>
        </is>
      </c>
      <c r="S229" s="70" t="inlineStr">
        <is>
          <t>N</t>
        </is>
      </c>
      <c r="T229" s="64">
        <f>IF(A229="","",IFERROR(INDEX('Bid-NoBid'!$T:$T,MATCH(A229,'Bid-NoBid'!$A:$A,0)),""))</f>
        <v/>
      </c>
      <c r="U229" s="59">
        <f>IF(A229="","",IFERROR(IF(OR(INDEX('Bid-NoBid'!$U:$U,MATCH(A229,'Bid-NoBid'!$A:$A,0))="",LEFT(INDEX('Bid-NoBid'!$U:$U,MATCH(A229,'Bid-NoBid'!$A:$A,0)),10)="Incomplete"),"Screen: "&amp;AC229,INDEX('Bid-NoBid'!$U:$U,MATCH(A229,'Bid-NoBid'!$A:$A,0))),"Screen: "&amp;AC229))</f>
        <v/>
      </c>
      <c r="V229" s="60" t="n"/>
      <c r="W229" s="70" t="inlineStr">
        <is>
          <t>Watching</t>
        </is>
      </c>
      <c r="X229" s="70" t="inlineStr">
        <is>
          <t>Frank</t>
        </is>
      </c>
      <c r="Y229" s="60" t="n"/>
      <c r="Z229" s="60" t="n"/>
      <c r="AA229" s="73" t="n">
        <v>46321</v>
      </c>
      <c r="AB229" s="74" t="inlineStr">
        <is>
          <t>Small Works / Tender</t>
        </is>
      </c>
      <c r="AC229" s="74" t="inlineStr">
        <is>
          <t>Check</t>
        </is>
      </c>
      <c r="AD229" s="74" t="inlineStr">
        <is>
          <t>Auto (Small Works / Tender): Building works but remote from Dar</t>
        </is>
      </c>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74" t="inlineStr">
        <is>
          <t>Read the notice and decide with the QS Director whether to pursue</t>
        </is>
      </c>
      <c r="AJ229" s="74" t="inlineStr">
        <is>
          <t>Auto-scan</t>
        </is>
      </c>
      <c r="AK229" s="74" t="inlineStr">
        <is>
          <t>9c8a2dc3-da2b-4fe0-923d-664177a88d66</t>
        </is>
      </c>
      <c r="AL229" s="59">
        <f>IF(AND(OR(W229="Watching",W229="Preparing"),ISNUMBER(Q229)),IF(AND(Q229&gt;='Friday Summary'!$C$4,Q229&lt;='Friday Summary'!$C$4+14),Q229+ROW()/1000000,""),"")</f>
        <v/>
      </c>
    </row>
    <row r="230" ht="15" customHeight="1" s="51">
      <c r="A230" s="59">
        <f>IF(B230="","","OP-"&amp;TEXT(ROW()-4,"000"))</f>
        <v/>
      </c>
      <c r="B230" s="70" t="inlineStr">
        <is>
          <t>STC/AF/BDC/W/01/2026-2027</t>
        </is>
      </c>
      <c r="C230" s="71" t="n">
        <v>46321</v>
      </c>
      <c r="D230" s="70" t="inlineStr">
        <is>
          <t>press</t>
        </is>
      </c>
      <c r="E230" s="70" t="inlineStr">
        <is>
          <t>https://www.ddotenders.co.tz/tender.php?page=home</t>
        </is>
      </c>
      <c r="F230" s="70" t="inlineStr">
        <is>
          <t>So They Can (STC)</t>
        </is>
      </c>
      <c r="G230" s="70" t="inlineStr">
        <is>
          <t>government</t>
        </is>
      </c>
      <c r="H230" s="70" t="inlineStr">
        <is>
          <t>Extension of Orng’Adida School</t>
        </is>
      </c>
      <c r="I230" s="70" t="inlineStr">
        <is>
          <t>From press notice (1 lot) – read the tender document</t>
        </is>
      </c>
      <c r="J230" s="70" t="inlineStr">
        <is>
          <t>Dar es Salaam</t>
        </is>
      </c>
      <c r="K230" s="70" t="inlineStr">
        <is>
          <t>building</t>
        </is>
      </c>
      <c r="L230" s="70" t="inlineStr">
        <is>
          <t>See tender document</t>
        </is>
      </c>
      <c r="M230" s="62" t="n"/>
      <c r="N230" s="70" t="inlineStr">
        <is>
          <t>unknown</t>
        </is>
      </c>
      <c r="O230" s="71" t="inlineStr">
        <is>
          <t>See tender document</t>
        </is>
      </c>
      <c r="P230" s="71" t="inlineStr">
        <is>
          <t>See tender document</t>
        </is>
      </c>
      <c r="Q230" s="72" t="n">
        <v>46332.41666666666</v>
      </c>
      <c r="R230" s="70" t="inlineStr">
        <is>
          <t>See tender document</t>
        </is>
      </c>
      <c r="S230" s="70" t="inlineStr">
        <is>
          <t>N</t>
        </is>
      </c>
      <c r="T230" s="64">
        <f>IF(A230="","",IFERROR(INDEX('Bid-NoBid'!$T:$T,MATCH(A230,'Bid-NoBid'!$A:$A,0)),""))</f>
        <v/>
      </c>
      <c r="U230" s="59">
        <f>IF(A230="","",IFERROR(IF(OR(INDEX('Bid-NoBid'!$U:$U,MATCH(A230,'Bid-NoBid'!$A:$A,0))="",LEFT(INDEX('Bid-NoBid'!$U:$U,MATCH(A230,'Bid-NoBid'!$A:$A,0)),10)="Incomplete"),"Screen: "&amp;AC230,INDEX('Bid-NoBid'!$U:$U,MATCH(A230,'Bid-NoBid'!$A:$A,0))),"Screen: "&amp;AC230))</f>
        <v/>
      </c>
      <c r="V230" s="60" t="n"/>
      <c r="W230" s="70" t="inlineStr">
        <is>
          <t>Watching</t>
        </is>
      </c>
      <c r="X230" s="70" t="inlineStr">
        <is>
          <t>Frank</t>
        </is>
      </c>
      <c r="Y230" s="60" t="n"/>
      <c r="Z230" s="60" t="n"/>
      <c r="AA230" s="73" t="n">
        <v>46321</v>
      </c>
      <c r="AB230" s="74" t="inlineStr">
        <is>
          <t>DDO Tenders (newspaper / private / donor)</t>
        </is>
      </c>
      <c r="AC230" s="74" t="inlineStr">
        <is>
          <t>Pursue</t>
        </is>
      </c>
      <c r="AD230" s="74" t="inlineStr">
        <is>
          <t>Auto (DDO Tenders): Building works within reach of Dar · deadline read from the web page – confirm</t>
        </is>
      </c>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74" t="inlineStr">
        <is>
          <t>Get the tender document, confirm value, CRB class, site visit and bid security; brief the MD</t>
        </is>
      </c>
      <c r="AJ230" s="74" t="inlineStr">
        <is>
          <t>Auto-scan</t>
        </is>
      </c>
      <c r="AK230" s="74" t="inlineStr">
        <is>
          <t>DDO:3104</t>
        </is>
      </c>
      <c r="AL230" s="59">
        <f>IF(AND(OR(W230="Watching",W230="Preparing"),ISNUMBER(Q230)),IF(AND(Q230&gt;='Friday Summary'!$C$4,Q230&lt;='Friday Summary'!$C$4+14),Q230+ROW()/1000000,""),"")</f>
        <v/>
      </c>
    </row>
    <row r="231" ht="15" customHeight="1" s="51">
      <c r="A231" s="59">
        <f>IF(B231="","","OP-"&amp;TEXT(ROW()-4,"000"))</f>
        <v/>
      </c>
      <c r="B231" s="70" t="inlineStr">
        <is>
          <t>(not shown)</t>
        </is>
      </c>
      <c r="C231" s="71" t="n">
        <v>46321</v>
      </c>
      <c r="D231" s="70" t="inlineStr">
        <is>
          <t>press</t>
        </is>
      </c>
      <c r="E231" s="70" t="inlineStr">
        <is>
          <t>https://www.tanzaniatenders.com/tender/upgrading-ndameni-usongo-kwalakamu-road-4-8km-and-kisale-dispensary-mahorosha-road-1-75km-9072c0a.php</t>
        </is>
      </c>
      <c r="F231" s="70" t="inlineStr">
        <is>
          <t>See advert</t>
        </is>
      </c>
      <c r="G231" s="70" t="inlineStr">
        <is>
          <t>government</t>
        </is>
      </c>
      <c r="H231" s="70" t="inlineStr">
        <is>
          <t>Upgrading of Ndameni - Usongo - Kwalakamu Road (4.8Km) and Kisale Dispensary - Mahorosha Road (1.75Km) to Gravel Standard in Rombo District.</t>
        </is>
      </c>
      <c r="I231" s="70" t="inlineStr">
        <is>
          <t>From press notice (1 lot) – read the tender document</t>
        </is>
      </c>
      <c r="J231" s="70" t="inlineStr">
        <is>
          <t>Not stated – read the notice</t>
        </is>
      </c>
      <c r="K231" s="70" t="inlineStr">
        <is>
          <t>civil</t>
        </is>
      </c>
      <c r="L231" s="70" t="inlineStr">
        <is>
          <t>See tender document</t>
        </is>
      </c>
      <c r="M231" s="62" t="n"/>
      <c r="N231" s="70" t="inlineStr">
        <is>
          <t>unknown</t>
        </is>
      </c>
      <c r="O231" s="71" t="inlineStr">
        <is>
          <t>See tender document</t>
        </is>
      </c>
      <c r="P231" s="71" t="inlineStr">
        <is>
          <t>See tender document</t>
        </is>
      </c>
      <c r="Q231" s="72" t="n">
        <v>46328.41666666666</v>
      </c>
      <c r="R231" s="70" t="inlineStr">
        <is>
          <t>See tender document</t>
        </is>
      </c>
      <c r="S231" s="70" t="inlineStr">
        <is>
          <t>N</t>
        </is>
      </c>
      <c r="T231" s="64">
        <f>IF(A231="","",IFERROR(INDEX('Bid-NoBid'!$T:$T,MATCH(A231,'Bid-NoBid'!$A:$A,0)),""))</f>
        <v/>
      </c>
      <c r="U231" s="59">
        <f>IF(A231="","",IFERROR(IF(OR(INDEX('Bid-NoBid'!$U:$U,MATCH(A231,'Bid-NoBid'!$A:$A,0))="",LEFT(INDEX('Bid-NoBid'!$U:$U,MATCH(A231,'Bid-NoBid'!$A:$A,0)),10)="Incomplete"),"Screen: "&amp;AC231,INDEX('Bid-NoBid'!$U:$U,MATCH(A231,'Bid-NoBid'!$A:$A,0))),"Screen: "&amp;AC231))</f>
        <v/>
      </c>
      <c r="V231" s="60" t="n"/>
      <c r="W231" s="70" t="inlineStr">
        <is>
          <t>Watching</t>
        </is>
      </c>
      <c r="X231" s="70" t="inlineStr">
        <is>
          <t>Frank</t>
        </is>
      </c>
      <c r="Y231" s="60" t="n"/>
      <c r="Z231" s="60" t="n"/>
      <c r="AA231" s="73" t="n"/>
      <c r="AB231" s="74" t="inlineStr">
        <is>
          <t>TanzaniaTenders.com (newspapers / portals / private)</t>
        </is>
      </c>
      <c r="AC231" s="74" t="inlineStr">
        <is>
          <t>Check</t>
        </is>
      </c>
      <c r="AD231" s="74" t="inlineStr">
        <is>
          <t>Auto (TanzaniaTenders.com): Civil works – confirm site, CRB class and margin · deadline read from the web page – confirm</t>
        </is>
      </c>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74" t="inlineStr">
        <is>
          <t>Read the notice and decide with the QS Director whether to pursue</t>
        </is>
      </c>
      <c r="AJ231" s="74" t="inlineStr">
        <is>
          <t>Auto-scan</t>
        </is>
      </c>
      <c r="AK231" s="74" t="inlineStr">
        <is>
          <t>TZT:151464970</t>
        </is>
      </c>
      <c r="AL231" s="59">
        <f>IF(AND(OR(W231="Watching",W231="Preparing"),ISNUMBER(Q231)),IF(AND(Q231&gt;='Friday Summary'!$C$4,Q231&lt;='Friday Summary'!$C$4+14),Q231+ROW()/1000000,""),"")</f>
        <v/>
      </c>
    </row>
    <row r="232" ht="15" customHeight="1" s="51">
      <c r="A232" s="59">
        <f>IF(B232="","","OP-"&amp;TEXT(ROW()-4,"000"))</f>
        <v/>
      </c>
      <c r="B232" s="70" t="inlineStr">
        <is>
          <t>(not shown)</t>
        </is>
      </c>
      <c r="C232" s="71" t="n">
        <v>46321</v>
      </c>
      <c r="D232" s="70" t="inlineStr">
        <is>
          <t>press</t>
        </is>
      </c>
      <c r="E232" s="70" t="inlineStr">
        <is>
          <t>https://www.tanzaniatenders.com/tender/proposed-construction-es-office-buildings-and-associated-structures-zonal-office-9064430.php</t>
        </is>
      </c>
      <c r="F232" s="70" t="inlineStr">
        <is>
          <t>See advert</t>
        </is>
      </c>
      <c r="G232" s="70" t="inlineStr">
        <is>
          <t>government</t>
        </is>
      </c>
      <c r="H232" s="70" t="inlineStr">
        <is>
          <t>Proposed Construction of Es Office Buildings and Associated Structures at Zonal Office.</t>
        </is>
      </c>
      <c r="I232" s="70" t="inlineStr">
        <is>
          <t>From press notice (1 lot) – read the tender document</t>
        </is>
      </c>
      <c r="J232" s="70" t="inlineStr">
        <is>
          <t>Not stated – read the notice</t>
        </is>
      </c>
      <c r="K232" s="70" t="inlineStr">
        <is>
          <t>building</t>
        </is>
      </c>
      <c r="L232" s="70" t="inlineStr">
        <is>
          <t>See tender document</t>
        </is>
      </c>
      <c r="M232" s="62" t="n"/>
      <c r="N232" s="70" t="inlineStr">
        <is>
          <t>unknown</t>
        </is>
      </c>
      <c r="O232" s="71" t="inlineStr">
        <is>
          <t>See tender document</t>
        </is>
      </c>
      <c r="P232" s="71" t="inlineStr">
        <is>
          <t>See tender document</t>
        </is>
      </c>
      <c r="Q232" s="72" t="n">
        <v>46331.41666666666</v>
      </c>
      <c r="R232" s="70" t="inlineStr">
        <is>
          <t>See tender document</t>
        </is>
      </c>
      <c r="S232" s="70" t="inlineStr">
        <is>
          <t>N</t>
        </is>
      </c>
      <c r="T232" s="64">
        <f>IF(A232="","",IFERROR(INDEX('Bid-NoBid'!$T:$T,MATCH(A232,'Bid-NoBid'!$A:$A,0)),""))</f>
        <v/>
      </c>
      <c r="U232" s="59">
        <f>IF(A232="","",IFERROR(IF(OR(INDEX('Bid-NoBid'!$U:$U,MATCH(A232,'Bid-NoBid'!$A:$A,0))="",LEFT(INDEX('Bid-NoBid'!$U:$U,MATCH(A232,'Bid-NoBid'!$A:$A,0)),10)="Incomplete"),"Screen: "&amp;AC232,INDEX('Bid-NoBid'!$U:$U,MATCH(A232,'Bid-NoBid'!$A:$A,0))),"Screen: "&amp;AC232))</f>
        <v/>
      </c>
      <c r="V232" s="60" t="n"/>
      <c r="W232" s="70" t="inlineStr">
        <is>
          <t>Watching</t>
        </is>
      </c>
      <c r="X232" s="70" t="inlineStr">
        <is>
          <t>Frank</t>
        </is>
      </c>
      <c r="Y232" s="60" t="n"/>
      <c r="Z232" s="60" t="n"/>
      <c r="AA232" s="73" t="n"/>
      <c r="AB232" s="74" t="inlineStr">
        <is>
          <t>TanzaniaTenders.com (newspapers / portals / private)</t>
        </is>
      </c>
      <c r="AC232" s="74" t="inlineStr">
        <is>
          <t>Check</t>
        </is>
      </c>
      <c r="AD232" s="74" t="inlineStr">
        <is>
          <t>Auto (TanzaniaTenders.com): Site not stated in the listing – read the notice · deadline read from the web page – confirm</t>
        </is>
      </c>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74" t="inlineStr">
        <is>
          <t>Read the notice and decide with the QS Director whether to pursue</t>
        </is>
      </c>
      <c r="AJ232" s="74" t="inlineStr">
        <is>
          <t>Auto-scan</t>
        </is>
      </c>
      <c r="AK232" s="74" t="inlineStr">
        <is>
          <t>TZT:151405616</t>
        </is>
      </c>
      <c r="AL232" s="59">
        <f>IF(AND(OR(W232="Watching",W232="Preparing"),ISNUMBER(Q232)),IF(AND(Q232&gt;='Friday Summary'!$C$4,Q232&lt;='Friday Summary'!$C$4+14),Q232+ROW()/1000000,""),"")</f>
        <v/>
      </c>
    </row>
    <row r="233" ht="15" customHeight="1" s="51">
      <c r="A233" s="59">
        <f>IF(B233="","","OP-"&amp;TEXT(ROW()-4,"000"))</f>
        <v/>
      </c>
      <c r="B233" s="70" t="inlineStr">
        <is>
          <t>75F2/2026/2027/W/07</t>
        </is>
      </c>
      <c r="C233" s="71" t="n">
        <v>46323</v>
      </c>
      <c r="D233" s="70" t="inlineStr">
        <is>
          <t>NeST</t>
        </is>
      </c>
      <c r="E233" s="70" t="inlineStr">
        <is>
          <t>https://nest.go.tz/tenders/published-tenders</t>
        </is>
      </c>
      <c r="F233" s="70" t="inlineStr">
        <is>
          <t>Same District Council</t>
        </is>
      </c>
      <c r="G233" s="70" t="inlineStr">
        <is>
          <t>government</t>
        </is>
      </c>
      <c r="H233" s="70" t="inlineStr">
        <is>
          <t>Construction of Catch Drains, Compacted Embankment and Desilting Works at Terite Gully, Ruvu Ward, Same District Council</t>
        </is>
      </c>
      <c r="I233" s="70" t="inlineStr">
        <is>
          <t>From NeST notice (1 lot) – read the tender document</t>
        </is>
      </c>
      <c r="J233" s="70" t="inlineStr">
        <is>
          <t>Kilimanjaro (Same) (from client's office – confirm site)</t>
        </is>
      </c>
      <c r="K233" s="70" t="inlineStr">
        <is>
          <t>civil</t>
        </is>
      </c>
      <c r="L233" s="70" t="inlineStr">
        <is>
          <t>NeST login needed</t>
        </is>
      </c>
      <c r="M233" s="62" t="n"/>
      <c r="N233" s="70" t="inlineStr">
        <is>
          <t>unknown</t>
        </is>
      </c>
      <c r="O233" s="71" t="inlineStr">
        <is>
          <t>NeST login needed</t>
        </is>
      </c>
      <c r="P233" s="71" t="inlineStr">
        <is>
          <t>NeST login needed</t>
        </is>
      </c>
      <c r="Q233" s="72" t="n">
        <v>46329.41666666666</v>
      </c>
      <c r="R233" s="70" t="inlineStr">
        <is>
          <t>NeST login needed</t>
        </is>
      </c>
      <c r="S233" s="70" t="inlineStr">
        <is>
          <t>N</t>
        </is>
      </c>
      <c r="T233" s="64">
        <f>IF(A233="","",IFERROR(INDEX('Bid-NoBid'!$T:$T,MATCH(A233,'Bid-NoBid'!$A:$A,0)),""))</f>
        <v/>
      </c>
      <c r="U233" s="59">
        <f>IF(A233="","",IFERROR(IF(OR(INDEX('Bid-NoBid'!$U:$U,MATCH(A233,'Bid-NoBid'!$A:$A,0))="",LEFT(INDEX('Bid-NoBid'!$U:$U,MATCH(A233,'Bid-NoBid'!$A:$A,0)),10)="Incomplete"),"Screen: "&amp;AC233,INDEX('Bid-NoBid'!$U:$U,MATCH(A233,'Bid-NoBid'!$A:$A,0))),"Screen: "&amp;AC233))</f>
        <v/>
      </c>
      <c r="V233" s="60" t="n"/>
      <c r="W233" s="70" t="inlineStr">
        <is>
          <t>Watching</t>
        </is>
      </c>
      <c r="X233" s="70" t="inlineStr">
        <is>
          <t>Frank</t>
        </is>
      </c>
      <c r="Y233" s="60" t="n"/>
      <c r="Z233" s="60" t="n"/>
      <c r="AA233" s="73" t="n">
        <v>46322</v>
      </c>
      <c r="AB233" s="74" t="inlineStr">
        <is>
          <t>Standard Invitation for Quotations -Works / Planned Tender</t>
        </is>
      </c>
      <c r="AC233" s="74" t="inlineStr">
        <is>
          <t>Check</t>
        </is>
      </c>
      <c r="AD233" s="74" t="inlineStr">
        <is>
          <t>Auto (Standard Invitation for Quotations -Works / Planned Tender): Construction tender kept for review (would have been dropped: Remote civil works)</t>
        </is>
      </c>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74" t="inlineStr">
        <is>
          <t>Read the notice and decide with the QS Director whether to pursue</t>
        </is>
      </c>
      <c r="AJ233" s="74" t="inlineStr">
        <is>
          <t>Auto-scan</t>
        </is>
      </c>
      <c r="AK233" s="74" t="inlineStr">
        <is>
          <t>5aa31084-8950-4a9b-b36c-d381934e28a5</t>
        </is>
      </c>
      <c r="AL233" s="59">
        <f>IF(AND(OR(W233="Watching",W233="Preparing"),ISNUMBER(Q233)),IF(AND(Q233&gt;='Friday Summary'!$C$4,Q233&lt;='Friday Summary'!$C$4+14),Q233+ROW()/1000000,""),"")</f>
        <v/>
      </c>
    </row>
    <row r="234" ht="15" customHeight="1" s="51">
      <c r="A234" s="59">
        <f>IF(B234="","","OP-"&amp;TEXT(ROW()-4,"000"))</f>
        <v/>
      </c>
      <c r="B234" s="70" t="inlineStr">
        <is>
          <t>87V3/2026/2027/W/05</t>
        </is>
      </c>
      <c r="C234" s="71" t="n">
        <v>46323</v>
      </c>
      <c r="D234" s="70" t="inlineStr">
        <is>
          <t>NeST</t>
        </is>
      </c>
      <c r="E234" s="70" t="inlineStr">
        <is>
          <t>https://nest.go.tz/tenders/published-tenders</t>
        </is>
      </c>
      <c r="F234" s="70" t="inlineStr">
        <is>
          <t>Karagwe District Council</t>
        </is>
      </c>
      <c r="G234" s="70" t="inlineStr">
        <is>
          <t>government</t>
        </is>
      </c>
      <c r="H234" s="70" t="inlineStr">
        <is>
          <t>CONSTRUCTION OF A CONFERENCE HALL AT KARAGWE DISTRICT COUNCIL</t>
        </is>
      </c>
      <c r="I234" s="70" t="inlineStr">
        <is>
          <t>From NeST notice (1 lot) – read the tender document</t>
        </is>
      </c>
      <c r="J234" s="70" t="inlineStr">
        <is>
          <t>Kagera (from client's office – confirm site)</t>
        </is>
      </c>
      <c r="K234" s="70" t="inlineStr">
        <is>
          <t>building</t>
        </is>
      </c>
      <c r="L234" s="70" t="inlineStr">
        <is>
          <t>NeST login needed</t>
        </is>
      </c>
      <c r="M234" s="62" t="n"/>
      <c r="N234" s="70" t="inlineStr">
        <is>
          <t>unknown</t>
        </is>
      </c>
      <c r="O234" s="71" t="inlineStr">
        <is>
          <t>NeST login needed</t>
        </is>
      </c>
      <c r="P234" s="71" t="inlineStr">
        <is>
          <t>NeST login needed</t>
        </is>
      </c>
      <c r="Q234" s="72" t="n">
        <v>46329.58333333334</v>
      </c>
      <c r="R234" s="70" t="inlineStr">
        <is>
          <t>NeST login needed</t>
        </is>
      </c>
      <c r="S234" s="70" t="inlineStr">
        <is>
          <t>N</t>
        </is>
      </c>
      <c r="T234" s="64">
        <f>IF(A234="","",IFERROR(INDEX('Bid-NoBid'!$T:$T,MATCH(A234,'Bid-NoBid'!$A:$A,0)),""))</f>
        <v/>
      </c>
      <c r="U234" s="59">
        <f>IF(A234="","",IFERROR(IF(OR(INDEX('Bid-NoBid'!$U:$U,MATCH(A234,'Bid-NoBid'!$A:$A,0))="",LEFT(INDEX('Bid-NoBid'!$U:$U,MATCH(A234,'Bid-NoBid'!$A:$A,0)),10)="Incomplete"),"Screen: "&amp;AC234,INDEX('Bid-NoBid'!$U:$U,MATCH(A234,'Bid-NoBid'!$A:$A,0))),"Screen: "&amp;AC234))</f>
        <v/>
      </c>
      <c r="V234" s="60" t="n"/>
      <c r="W234" s="70" t="inlineStr">
        <is>
          <t>Watching</t>
        </is>
      </c>
      <c r="X234" s="70" t="inlineStr">
        <is>
          <t>Frank</t>
        </is>
      </c>
      <c r="Y234" s="60" t="n"/>
      <c r="Z234" s="60" t="n"/>
      <c r="AA234" s="73" t="n">
        <v>46322</v>
      </c>
      <c r="AB234" s="74" t="inlineStr">
        <is>
          <t>Design and Build / Tender</t>
        </is>
      </c>
      <c r="AC234" s="74" t="inlineStr">
        <is>
          <t>Check</t>
        </is>
      </c>
      <c r="AD234" s="74" t="inlineStr">
        <is>
          <t>Auto (Design and Build / Tender): Construction tender kept for review (would have been dropped: Remote and closing soon)</t>
        </is>
      </c>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74" t="inlineStr">
        <is>
          <t>Read the notice and decide with the QS Director whether to pursue</t>
        </is>
      </c>
      <c r="AJ234" s="74" t="inlineStr">
        <is>
          <t>Auto-scan</t>
        </is>
      </c>
      <c r="AK234" s="74" t="inlineStr">
        <is>
          <t>647a1f97-cca3-46c4-89b5-8fd473591032</t>
        </is>
      </c>
      <c r="AL234" s="59">
        <f>IF(AND(OR(W234="Watching",W234="Preparing"),ISNUMBER(Q234)),IF(AND(Q234&gt;='Friday Summary'!$C$4,Q234&lt;='Friday Summary'!$C$4+14),Q234+ROW()/1000000,""),"")</f>
        <v/>
      </c>
    </row>
    <row r="235" ht="15" customHeight="1" s="51">
      <c r="A235" s="59">
        <f>IF(B235="","","OP-"&amp;TEXT(ROW()-4,"000"))</f>
        <v/>
      </c>
      <c r="B235" s="70" t="inlineStr">
        <is>
          <t>00005/2026/2027/W/02</t>
        </is>
      </c>
      <c r="C235" s="71" t="n">
        <v>46323</v>
      </c>
      <c r="D235" s="70" t="inlineStr">
        <is>
          <t>NeST</t>
        </is>
      </c>
      <c r="E235" s="70" t="inlineStr">
        <is>
          <t>https://nest.go.tz/tenders/published-tenders</t>
        </is>
      </c>
      <c r="F235" s="70" t="inlineStr">
        <is>
          <t>National Irrigation Commission</t>
        </is>
      </c>
      <c r="G235" s="70" t="inlineStr">
        <is>
          <t>government</t>
        </is>
      </c>
      <c r="H235" s="70" t="inlineStr">
        <is>
          <t>Construction of Pump House, Supply and install pumps at Lukenge Irrigation Scheme Mvomero District Morogoro Region</t>
        </is>
      </c>
      <c r="I235" s="70" t="inlineStr">
        <is>
          <t>From NeST notice (1 lot) – read the tender document</t>
        </is>
      </c>
      <c r="J235" s="70" t="inlineStr">
        <is>
          <t>Morogoro</t>
        </is>
      </c>
      <c r="K235" s="70" t="inlineStr">
        <is>
          <t>civil</t>
        </is>
      </c>
      <c r="L235" s="70" t="inlineStr">
        <is>
          <t>NeST login needed</t>
        </is>
      </c>
      <c r="M235" s="62" t="n"/>
      <c r="N235" s="70" t="inlineStr">
        <is>
          <t>unknown</t>
        </is>
      </c>
      <c r="O235" s="71" t="inlineStr">
        <is>
          <t>NeST login needed</t>
        </is>
      </c>
      <c r="P235" s="71" t="inlineStr">
        <is>
          <t>NeST login needed</t>
        </is>
      </c>
      <c r="Q235" s="72" t="n">
        <v>46330.45833333334</v>
      </c>
      <c r="R235" s="70" t="inlineStr">
        <is>
          <t>NeST login needed</t>
        </is>
      </c>
      <c r="S235" s="70" t="inlineStr">
        <is>
          <t>N</t>
        </is>
      </c>
      <c r="T235" s="64">
        <f>IF(A235="","",IFERROR(INDEX('Bid-NoBid'!$T:$T,MATCH(A235,'Bid-NoBid'!$A:$A,0)),""))</f>
        <v/>
      </c>
      <c r="U235" s="59">
        <f>IF(A235="","",IFERROR(IF(OR(INDEX('Bid-NoBid'!$U:$U,MATCH(A235,'Bid-NoBid'!$A:$A,0))="",LEFT(INDEX('Bid-NoBid'!$U:$U,MATCH(A235,'Bid-NoBid'!$A:$A,0)),10)="Incomplete"),"Screen: "&amp;AC235,INDEX('Bid-NoBid'!$U:$U,MATCH(A235,'Bid-NoBid'!$A:$A,0))),"Screen: "&amp;AC235))</f>
        <v/>
      </c>
      <c r="V235" s="60" t="n"/>
      <c r="W235" s="70" t="inlineStr">
        <is>
          <t>Watching</t>
        </is>
      </c>
      <c r="X235" s="70" t="inlineStr">
        <is>
          <t>Frank</t>
        </is>
      </c>
      <c r="Y235" s="60" t="n"/>
      <c r="Z235" s="60" t="n"/>
      <c r="AA235" s="73" t="n">
        <v>46322</v>
      </c>
      <c r="AB235" s="74" t="inlineStr">
        <is>
          <t>Small Works / Tender</t>
        </is>
      </c>
      <c r="AC235" s="74" t="inlineStr">
        <is>
          <t>Check</t>
        </is>
      </c>
      <c r="AD235" s="74" t="inlineStr">
        <is>
          <t>Auto (Small Works / Tender): Civil works – confirm site, CRB class and margin</t>
        </is>
      </c>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74" t="inlineStr">
        <is>
          <t>Read the notice and decide with the QS Director whether to pursue</t>
        </is>
      </c>
      <c r="AJ235" s="74" t="inlineStr">
        <is>
          <t>Auto-scan</t>
        </is>
      </c>
      <c r="AK235" s="74" t="inlineStr">
        <is>
          <t>f9aae22b-a82a-432d-8c8e-250960c9da82</t>
        </is>
      </c>
      <c r="AL235" s="59">
        <f>IF(AND(OR(W235="Watching",W235="Preparing"),ISNUMBER(Q235)),IF(AND(Q235&gt;='Friday Summary'!$C$4,Q235&lt;='Friday Summary'!$C$4+14),Q235+ROW()/1000000,""),"")</f>
        <v/>
      </c>
    </row>
    <row r="236" ht="15" customHeight="1" s="51">
      <c r="A236" s="59">
        <f>IF(B236="","","OP-"&amp;TEXT(ROW()-4,"000"))</f>
        <v/>
      </c>
      <c r="B236" s="70" t="inlineStr">
        <is>
          <t>TR24/001/2026/2027/W/03</t>
        </is>
      </c>
      <c r="C236" s="71" t="n">
        <v>46323</v>
      </c>
      <c r="D236" s="70" t="inlineStr">
        <is>
          <t>NeST</t>
        </is>
      </c>
      <c r="E236" s="70" t="inlineStr">
        <is>
          <t>https://nest.go.tz/tenders/published-tenders</t>
        </is>
      </c>
      <c r="F236" s="70" t="inlineStr">
        <is>
          <t>Gas Company (tanzania) Limited</t>
        </is>
      </c>
      <c r="G236" s="70" t="inlineStr">
        <is>
          <t>parastatal (verify)</t>
        </is>
      </c>
      <c r="H236" s="70" t="inlineStr">
        <is>
          <t>Maintenance of Access Roads - Gas Pipeline</t>
        </is>
      </c>
      <c r="I236" s="70" t="inlineStr">
        <is>
          <t>From NeST notice (1 lot) – read the tender document</t>
        </is>
      </c>
      <c r="J236" s="70" t="inlineStr">
        <is>
          <t>Dar es Salaam (Ilala) (from client's office – confirm site)</t>
        </is>
      </c>
      <c r="K236" s="70" t="inlineStr">
        <is>
          <t>civil</t>
        </is>
      </c>
      <c r="L236" s="70" t="inlineStr">
        <is>
          <t>NeST login needed</t>
        </is>
      </c>
      <c r="M236" s="62" t="n"/>
      <c r="N236" s="70" t="inlineStr">
        <is>
          <t>unknown</t>
        </is>
      </c>
      <c r="O236" s="71" t="inlineStr">
        <is>
          <t>NeST login needed</t>
        </is>
      </c>
      <c r="P236" s="71" t="inlineStr">
        <is>
          <t>NeST login needed</t>
        </is>
      </c>
      <c r="Q236" s="72" t="n">
        <v>46332.58333333334</v>
      </c>
      <c r="R236" s="70" t="inlineStr">
        <is>
          <t>NeST login needed</t>
        </is>
      </c>
      <c r="S236" s="70" t="inlineStr">
        <is>
          <t>N</t>
        </is>
      </c>
      <c r="T236" s="64">
        <f>IF(A236="","",IFERROR(INDEX('Bid-NoBid'!$T:$T,MATCH(A236,'Bid-NoBid'!$A:$A,0)),""))</f>
        <v/>
      </c>
      <c r="U236" s="59">
        <f>IF(A236="","",IFERROR(IF(OR(INDEX('Bid-NoBid'!$U:$U,MATCH(A236,'Bid-NoBid'!$A:$A,0))="",LEFT(INDEX('Bid-NoBid'!$U:$U,MATCH(A236,'Bid-NoBid'!$A:$A,0)),10)="Incomplete"),"Screen: "&amp;AC236,INDEX('Bid-NoBid'!$U:$U,MATCH(A236,'Bid-NoBid'!$A:$A,0))),"Screen: "&amp;AC236))</f>
        <v/>
      </c>
      <c r="V236" s="60" t="n"/>
      <c r="W236" s="70" t="inlineStr">
        <is>
          <t>Watching</t>
        </is>
      </c>
      <c r="X236" s="70" t="inlineStr">
        <is>
          <t>Frank</t>
        </is>
      </c>
      <c r="Y236" s="60" t="n"/>
      <c r="Z236" s="60" t="n"/>
      <c r="AA236" s="73" t="n">
        <v>46322</v>
      </c>
      <c r="AB236" s="74" t="inlineStr">
        <is>
          <t>Small Works / Tender</t>
        </is>
      </c>
      <c r="AC236" s="74" t="inlineStr">
        <is>
          <t>Check</t>
        </is>
      </c>
      <c r="AD236" s="74" t="inlineStr">
        <is>
          <t>Auto (Small Works / Tender): Civil works in Dar/Coast – confirm CRB class and margin</t>
        </is>
      </c>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74" t="inlineStr">
        <is>
          <t>Read the notice and decide with the QS Director whether to pursue</t>
        </is>
      </c>
      <c r="AJ236" s="74" t="inlineStr">
        <is>
          <t>Auto-scan</t>
        </is>
      </c>
      <c r="AK236" s="74" t="inlineStr">
        <is>
          <t>d5b364cc-da56-430e-850c-835f22a063c7</t>
        </is>
      </c>
      <c r="AL236" s="59">
        <f>IF(AND(OR(W236="Watching",W236="Preparing"),ISNUMBER(Q236)),IF(AND(Q236&gt;='Friday Summary'!$C$4,Q236&lt;='Friday Summary'!$C$4+14),Q236+ROW()/1000000,""),"")</f>
        <v/>
      </c>
    </row>
    <row r="237" ht="15" customHeight="1" s="51">
      <c r="A237" s="59">
        <f>IF(B237="","","OP-"&amp;TEXT(ROW()-4,"000"))</f>
        <v/>
      </c>
      <c r="B237" s="70" t="inlineStr">
        <is>
          <t>72C6/2026/2027/W/05</t>
        </is>
      </c>
      <c r="C237" s="71" t="n">
        <v>46324</v>
      </c>
      <c r="D237" s="70" t="inlineStr">
        <is>
          <t>NeST</t>
        </is>
      </c>
      <c r="E237" s="70" t="inlineStr">
        <is>
          <t>https://nest.go.tz/tenders/published-tenders</t>
        </is>
      </c>
      <c r="F237" s="70" t="inlineStr">
        <is>
          <t>Chamwino District Council</t>
        </is>
      </c>
      <c r="G237" s="70" t="inlineStr">
        <is>
          <t>government</t>
        </is>
      </c>
      <c r="H237" s="70" t="inlineStr">
        <is>
          <t>Construction of a Livestock Dipping Tank</t>
        </is>
      </c>
      <c r="I237" s="70" t="inlineStr">
        <is>
          <t>From NeST notice (1 lot) – read the tender document</t>
        </is>
      </c>
      <c r="J237" s="70" t="inlineStr">
        <is>
          <t>Dodoma (Chamwino) (from client's office – confirm site)</t>
        </is>
      </c>
      <c r="K237" s="70" t="inlineStr">
        <is>
          <t>building</t>
        </is>
      </c>
      <c r="L237" s="70" t="inlineStr">
        <is>
          <t>NeST login needed</t>
        </is>
      </c>
      <c r="M237" s="62" t="n"/>
      <c r="N237" s="70" t="inlineStr">
        <is>
          <t>unknown</t>
        </is>
      </c>
      <c r="O237" s="71" t="inlineStr">
        <is>
          <t>NeST login needed</t>
        </is>
      </c>
      <c r="P237" s="71" t="inlineStr">
        <is>
          <t>NeST login needed</t>
        </is>
      </c>
      <c r="Q237" s="72" t="n">
        <v>46328.58333333334</v>
      </c>
      <c r="R237" s="70" t="inlineStr">
        <is>
          <t>NeST login needed</t>
        </is>
      </c>
      <c r="S237" s="70" t="inlineStr">
        <is>
          <t>N</t>
        </is>
      </c>
      <c r="T237" s="64">
        <f>IF(A237="","",IFERROR(INDEX('Bid-NoBid'!$T:$T,MATCH(A237,'Bid-NoBid'!$A:$A,0)),""))</f>
        <v/>
      </c>
      <c r="U237" s="59">
        <f>IF(A237="","",IFERROR(IF(OR(INDEX('Bid-NoBid'!$U:$U,MATCH(A237,'Bid-NoBid'!$A:$A,0))="",LEFT(INDEX('Bid-NoBid'!$U:$U,MATCH(A237,'Bid-NoBid'!$A:$A,0)),10)="Incomplete"),"Screen: "&amp;AC237,INDEX('Bid-NoBid'!$U:$U,MATCH(A237,'Bid-NoBid'!$A:$A,0))),"Screen: "&amp;AC237))</f>
        <v/>
      </c>
      <c r="V237" s="60" t="n"/>
      <c r="W237" s="70" t="inlineStr">
        <is>
          <t>Watching</t>
        </is>
      </c>
      <c r="X237" s="70" t="inlineStr">
        <is>
          <t>Frank</t>
        </is>
      </c>
      <c r="Y237" s="60" t="n"/>
      <c r="Z237" s="60" t="n"/>
      <c r="AA237" s="73" t="n">
        <v>46321</v>
      </c>
      <c r="AB237" s="74" t="inlineStr">
        <is>
          <t>Standard Invitation for Quotations -Works / Planned Tender</t>
        </is>
      </c>
      <c r="AC237" s="74" t="inlineStr">
        <is>
          <t>Check</t>
        </is>
      </c>
      <c r="AD237" s="74" t="inlineStr">
        <is>
          <t>Auto (Standard Invitation for Quotations -Works / Planned Tender): Quotation route – value may be below TZS 200m</t>
        </is>
      </c>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74" t="inlineStr">
        <is>
          <t>Read the notice and decide with the QS Director whether to pursue</t>
        </is>
      </c>
      <c r="AJ237" s="74" t="inlineStr">
        <is>
          <t>Auto-scan</t>
        </is>
      </c>
      <c r="AK237" s="74" t="inlineStr">
        <is>
          <t>e130eb08-1b14-473b-bf91-eb579d8a1f9f</t>
        </is>
      </c>
      <c r="AL237" s="59">
        <f>IF(AND(OR(W237="Watching",W237="Preparing"),ISNUMBER(Q237)),IF(AND(Q237&gt;='Friday Summary'!$C$4,Q237&lt;='Friday Summary'!$C$4+14),Q237+ROW()/1000000,""),"")</f>
        <v/>
      </c>
    </row>
    <row r="238" ht="15" customHeight="1" s="51">
      <c r="A238" s="59">
        <f>IF(B238="","","OP-"&amp;TEXT(ROW()-4,"000"))</f>
        <v/>
      </c>
      <c r="B238" s="70" t="inlineStr">
        <is>
          <t>TR43/2026/2027/W/01</t>
        </is>
      </c>
      <c r="C238" s="71" t="n">
        <v>46324</v>
      </c>
      <c r="D238" s="70" t="inlineStr">
        <is>
          <t>NeST</t>
        </is>
      </c>
      <c r="E238" s="70" t="inlineStr">
        <is>
          <t>https://nest.go.tz/tenders/published-tenders</t>
        </is>
      </c>
      <c r="F238" s="70" t="inlineStr">
        <is>
          <t>Tanzania Library Service Board</t>
        </is>
      </c>
      <c r="G238" s="70" t="inlineStr">
        <is>
          <t>government</t>
        </is>
      </c>
      <c r="H238" s="70" t="inlineStr">
        <is>
          <t>Construction and Rehabilitation of SLADS buildings in Bagamoyo and Dar es Salaam Campus.</t>
        </is>
      </c>
      <c r="I238" s="70" t="inlineStr">
        <is>
          <t>From NeST notice (1 lot) – read the tender document</t>
        </is>
      </c>
      <c r="J238" s="70" t="inlineStr">
        <is>
          <t>Pwani (Bagamoyo)</t>
        </is>
      </c>
      <c r="K238" s="70" t="inlineStr">
        <is>
          <t>renovation</t>
        </is>
      </c>
      <c r="L238" s="70" t="inlineStr">
        <is>
          <t>NeST login needed</t>
        </is>
      </c>
      <c r="M238" s="62" t="n"/>
      <c r="N238" s="70" t="inlineStr">
        <is>
          <t>unknown</t>
        </is>
      </c>
      <c r="O238" s="71" t="inlineStr">
        <is>
          <t>NeST login needed</t>
        </is>
      </c>
      <c r="P238" s="71" t="inlineStr">
        <is>
          <t>NeST login needed</t>
        </is>
      </c>
      <c r="Q238" s="72" t="n">
        <v>46329.4375</v>
      </c>
      <c r="R238" s="70" t="inlineStr">
        <is>
          <t>NeST login needed</t>
        </is>
      </c>
      <c r="S238" s="70" t="inlineStr">
        <is>
          <t>N</t>
        </is>
      </c>
      <c r="T238" s="64">
        <f>IF(A238="","",IFERROR(INDEX('Bid-NoBid'!$T:$T,MATCH(A238,'Bid-NoBid'!$A:$A,0)),""))</f>
        <v/>
      </c>
      <c r="U238" s="59">
        <f>IF(A238="","",IFERROR(IF(OR(INDEX('Bid-NoBid'!$U:$U,MATCH(A238,'Bid-NoBid'!$A:$A,0))="",LEFT(INDEX('Bid-NoBid'!$U:$U,MATCH(A238,'Bid-NoBid'!$A:$A,0)),10)="Incomplete"),"Screen: "&amp;AC238,INDEX('Bid-NoBid'!$U:$U,MATCH(A238,'Bid-NoBid'!$A:$A,0))),"Screen: "&amp;AC238))</f>
        <v/>
      </c>
      <c r="V238" s="60" t="n"/>
      <c r="W238" s="70" t="inlineStr">
        <is>
          <t>Watching</t>
        </is>
      </c>
      <c r="X238" s="70" t="inlineStr">
        <is>
          <t>Frank</t>
        </is>
      </c>
      <c r="Y238" s="60" t="n"/>
      <c r="Z238" s="60" t="n"/>
      <c r="AA238" s="73" t="n">
        <v>46323</v>
      </c>
      <c r="AB238" s="74" t="inlineStr">
        <is>
          <t>Small Works / Tender</t>
        </is>
      </c>
      <c r="AC238" s="74" t="inlineStr">
        <is>
          <t>Pursue</t>
        </is>
      </c>
      <c r="AD238" s="74" t="inlineStr">
        <is>
          <t>Auto (Small Works / Tender): Building works within reach of Dar</t>
        </is>
      </c>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74" t="inlineStr">
        <is>
          <t>Get the tender document, confirm value, CRB class, site visit and bid security; brief the MD</t>
        </is>
      </c>
      <c r="AJ238" s="74" t="inlineStr">
        <is>
          <t>Auto-scan</t>
        </is>
      </c>
      <c r="AK238" s="74" t="inlineStr">
        <is>
          <t>1ae2a333-1528-498d-9ecb-670624eb6cd1</t>
        </is>
      </c>
      <c r="AL238" s="59">
        <f>IF(AND(OR(W238="Watching",W238="Preparing"),ISNUMBER(Q238)),IF(AND(Q238&gt;='Friday Summary'!$C$4,Q238&lt;='Friday Summary'!$C$4+14),Q238+ROW()/1000000,""),"")</f>
        <v/>
      </c>
    </row>
    <row r="239" ht="15" customHeight="1" s="51">
      <c r="A239" s="59">
        <f>IF(B239="","","OP-"&amp;TEXT(ROW()-4,"000"))</f>
        <v/>
      </c>
      <c r="B239" s="70" t="inlineStr">
        <is>
          <t>72C5/2026/2027/W/05</t>
        </is>
      </c>
      <c r="C239" s="71" t="n">
        <v>46324</v>
      </c>
      <c r="D239" s="70" t="inlineStr">
        <is>
          <t>NeST</t>
        </is>
      </c>
      <c r="E239" s="70" t="inlineStr">
        <is>
          <t>https://nest.go.tz/tenders/published-tenders</t>
        </is>
      </c>
      <c r="F239" s="70" t="inlineStr">
        <is>
          <t>Bahi District Council</t>
        </is>
      </c>
      <c r="G239" s="70" t="inlineStr">
        <is>
          <t>government</t>
        </is>
      </c>
      <c r="H239" s="70" t="inlineStr">
        <is>
          <t>Construction of a typical point-Source water project</t>
        </is>
      </c>
      <c r="I239" s="70" t="inlineStr">
        <is>
          <t>From NeST notice (1 lot) – read the tender document</t>
        </is>
      </c>
      <c r="J239" s="70" t="inlineStr">
        <is>
          <t>Dodoma (from client's office – confirm site)</t>
        </is>
      </c>
      <c r="K239" s="70" t="inlineStr">
        <is>
          <t>civil</t>
        </is>
      </c>
      <c r="L239" s="70" t="inlineStr">
        <is>
          <t>NeST login needed</t>
        </is>
      </c>
      <c r="M239" s="62" t="n"/>
      <c r="N239" s="70" t="inlineStr">
        <is>
          <t>unknown</t>
        </is>
      </c>
      <c r="O239" s="71" t="inlineStr">
        <is>
          <t>NeST login needed</t>
        </is>
      </c>
      <c r="P239" s="71" t="inlineStr">
        <is>
          <t>NeST login needed</t>
        </is>
      </c>
      <c r="Q239" s="72" t="n">
        <v>46329.58333333334</v>
      </c>
      <c r="R239" s="70" t="inlineStr">
        <is>
          <t>NeST login needed</t>
        </is>
      </c>
      <c r="S239" s="70" t="inlineStr">
        <is>
          <t>N</t>
        </is>
      </c>
      <c r="T239" s="64">
        <f>IF(A239="","",IFERROR(INDEX('Bid-NoBid'!$T:$T,MATCH(A239,'Bid-NoBid'!$A:$A,0)),""))</f>
        <v/>
      </c>
      <c r="U239" s="59">
        <f>IF(A239="","",IFERROR(IF(OR(INDEX('Bid-NoBid'!$U:$U,MATCH(A239,'Bid-NoBid'!$A:$A,0))="",LEFT(INDEX('Bid-NoBid'!$U:$U,MATCH(A239,'Bid-NoBid'!$A:$A,0)),10)="Incomplete"),"Screen: "&amp;AC239,INDEX('Bid-NoBid'!$U:$U,MATCH(A239,'Bid-NoBid'!$A:$A,0))),"Screen: "&amp;AC239))</f>
        <v/>
      </c>
      <c r="V239" s="60" t="n"/>
      <c r="W239" s="70" t="inlineStr">
        <is>
          <t>Watching</t>
        </is>
      </c>
      <c r="X239" s="70" t="inlineStr">
        <is>
          <t>Frank</t>
        </is>
      </c>
      <c r="Y239" s="60" t="n"/>
      <c r="Z239" s="60" t="n"/>
      <c r="AA239" s="73" t="n">
        <v>46323</v>
      </c>
      <c r="AB239" s="74" t="inlineStr">
        <is>
          <t>Small Works / Tender</t>
        </is>
      </c>
      <c r="AC239" s="74" t="inlineStr">
        <is>
          <t>Check</t>
        </is>
      </c>
      <c r="AD239" s="74" t="inlineStr">
        <is>
          <t>Auto (Small Works / Tender): Civil works – confirm site, CRB class and margin</t>
        </is>
      </c>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74" t="inlineStr">
        <is>
          <t>Read the notice and decide with the QS Director whether to pursue</t>
        </is>
      </c>
      <c r="AJ239" s="74" t="inlineStr">
        <is>
          <t>Auto-scan</t>
        </is>
      </c>
      <c r="AK239" s="74" t="inlineStr">
        <is>
          <t>a0774212-e861-4784-823b-a29911b64594</t>
        </is>
      </c>
      <c r="AL239" s="59">
        <f>IF(AND(OR(W239="Watching",W239="Preparing"),ISNUMBER(Q239)),IF(AND(Q239&gt;='Friday Summary'!$C$4,Q239&lt;='Friday Summary'!$C$4+14),Q239+ROW()/1000000,""),"")</f>
        <v/>
      </c>
    </row>
    <row r="240" ht="15" customHeight="1" s="51">
      <c r="A240" s="59">
        <f>IF(B240="","","OP-"&amp;TEXT(ROW()-4,"000"))</f>
        <v/>
      </c>
      <c r="B240" s="70" t="inlineStr">
        <is>
          <t>52/2026/2027/W/22</t>
        </is>
      </c>
      <c r="C240" s="71" t="n">
        <v>46324</v>
      </c>
      <c r="D240" s="70" t="inlineStr">
        <is>
          <t>NeST</t>
        </is>
      </c>
      <c r="E240" s="70" t="inlineStr">
        <is>
          <t>https://nest.go.tz/tenders/published-tenders</t>
        </is>
      </c>
      <c r="F240" s="70" t="inlineStr">
        <is>
          <t>Ministry of Health</t>
        </is>
      </c>
      <c r="G240" s="70" t="inlineStr">
        <is>
          <t>government</t>
        </is>
      </c>
      <c r="H240" s="70" t="inlineStr">
        <is>
          <t>Proposed Construction of academic Complex at Tanga collage of Health and allied Science-DHR (TMCHIP)</t>
        </is>
      </c>
      <c r="I240" s="70" t="inlineStr">
        <is>
          <t>From NeST notice (1 lot) – read the tender document</t>
        </is>
      </c>
      <c r="J240" s="70" t="inlineStr">
        <is>
          <t>Tanga</t>
        </is>
      </c>
      <c r="K240" s="70" t="inlineStr">
        <is>
          <t>building</t>
        </is>
      </c>
      <c r="L240" s="70" t="inlineStr">
        <is>
          <t>NeST login needed</t>
        </is>
      </c>
      <c r="M240" s="62" t="n"/>
      <c r="N240" s="70" t="inlineStr">
        <is>
          <t>unknown</t>
        </is>
      </c>
      <c r="O240" s="71" t="inlineStr">
        <is>
          <t>NeST login needed</t>
        </is>
      </c>
      <c r="P240" s="71" t="inlineStr">
        <is>
          <t>NeST login needed</t>
        </is>
      </c>
      <c r="Q240" s="72" t="n">
        <v>46331.625</v>
      </c>
      <c r="R240" s="70" t="inlineStr">
        <is>
          <t>NeST login needed</t>
        </is>
      </c>
      <c r="S240" s="70" t="inlineStr">
        <is>
          <t>N</t>
        </is>
      </c>
      <c r="T240" s="64">
        <f>IF(A240="","",IFERROR(INDEX('Bid-NoBid'!$T:$T,MATCH(A240,'Bid-NoBid'!$A:$A,0)),""))</f>
        <v/>
      </c>
      <c r="U240" s="59">
        <f>IF(A240="","",IFERROR(IF(OR(INDEX('Bid-NoBid'!$U:$U,MATCH(A240,'Bid-NoBid'!$A:$A,0))="",LEFT(INDEX('Bid-NoBid'!$U:$U,MATCH(A240,'Bid-NoBid'!$A:$A,0)),10)="Incomplete"),"Screen: "&amp;AC240,INDEX('Bid-NoBid'!$U:$U,MATCH(A240,'Bid-NoBid'!$A:$A,0))),"Screen: "&amp;AC240))</f>
        <v/>
      </c>
      <c r="V240" s="60" t="n"/>
      <c r="W240" s="70" t="inlineStr">
        <is>
          <t>Watching</t>
        </is>
      </c>
      <c r="X240" s="70" t="inlineStr">
        <is>
          <t>Frank</t>
        </is>
      </c>
      <c r="Y240" s="60" t="n"/>
      <c r="Z240" s="60" t="n"/>
      <c r="AA240" s="73" t="n">
        <v>46324</v>
      </c>
      <c r="AB240" s="74" t="inlineStr">
        <is>
          <t>Small Works / Tender</t>
        </is>
      </c>
      <c r="AC240" s="74" t="inlineStr">
        <is>
          <t>Pursue</t>
        </is>
      </c>
      <c r="AD240" s="74" t="inlineStr">
        <is>
          <t>Auto (Small Works / Tender): Building works within reach of Dar</t>
        </is>
      </c>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74" t="inlineStr">
        <is>
          <t>Deadline changed at source 30-Oct (was 05-Nov 14:00). Get the tender document, confirm value, CRB class, site visit and bid security; brief the MD</t>
        </is>
      </c>
      <c r="AJ240" s="74" t="inlineStr">
        <is>
          <t>Auto-scan</t>
        </is>
      </c>
      <c r="AK240" s="74" t="inlineStr">
        <is>
          <t>73a313ea-031f-433a-9f14-3b8192fcc4d2</t>
        </is>
      </c>
      <c r="AL240" s="59">
        <f>IF(AND(OR(W240="Watching",W240="Preparing"),ISNUMBER(Q240)),IF(AND(Q240&gt;='Friday Summary'!$C$4,Q240&lt;='Friday Summary'!$C$4+14),Q240+ROW()/1000000,""),"")</f>
        <v/>
      </c>
    </row>
    <row r="241" ht="15" customHeight="1" s="51">
      <c r="A241" s="59">
        <f>IF(B241="","","OP-"&amp;TEXT(ROW()-4,"000"))</f>
        <v/>
      </c>
      <c r="B241" s="70" t="inlineStr">
        <is>
          <t>80L2/2026/2027/W/02</t>
        </is>
      </c>
      <c r="C241" s="71" t="n">
        <v>46324</v>
      </c>
      <c r="D241" s="70" t="inlineStr">
        <is>
          <t>NeST</t>
        </is>
      </c>
      <c r="E241" s="70" t="inlineStr">
        <is>
          <t>https://nest.go.tz/tenders/published-tenders</t>
        </is>
      </c>
      <c r="F241" s="70" t="inlineStr">
        <is>
          <t>Masasi District Council</t>
        </is>
      </c>
      <c r="G241" s="70" t="inlineStr">
        <is>
          <t>government</t>
        </is>
      </c>
      <c r="H241" s="70" t="inlineStr">
        <is>
          <t>Construction of Ground water tank 31,000ltrs and installation hand water pump with Installation of rain gutter system on near building structure built in Mitesa Secondary School, Lipumburu Secondary School, Mlingula Secondary School, Msikisi Secondary School, Namajani Secondary School,Mpanyani Secondary School,Temeke Secondary School, Jida Secondary Schoo,Matawale Secondary School and Masasi Technical Secondary School</t>
        </is>
      </c>
      <c r="I241" s="70" t="inlineStr">
        <is>
          <t>From NeST notice (3 lots) – read the tender document</t>
        </is>
      </c>
      <c r="J241" s="70" t="inlineStr">
        <is>
          <t>Dar es Salaam (Temeke)</t>
        </is>
      </c>
      <c r="K241" s="70" t="inlineStr">
        <is>
          <t>building</t>
        </is>
      </c>
      <c r="L241" s="70" t="inlineStr">
        <is>
          <t>NeST login needed</t>
        </is>
      </c>
      <c r="M241" s="62" t="n"/>
      <c r="N241" s="70" t="inlineStr">
        <is>
          <t>unknown</t>
        </is>
      </c>
      <c r="O241" s="71" t="inlineStr">
        <is>
          <t>NeST login needed</t>
        </is>
      </c>
      <c r="P241" s="71" t="inlineStr">
        <is>
          <t>NeST login needed</t>
        </is>
      </c>
      <c r="Q241" s="72" t="n">
        <v>46331.58333333334</v>
      </c>
      <c r="R241" s="70" t="inlineStr">
        <is>
          <t>NeST login needed</t>
        </is>
      </c>
      <c r="S241" s="70" t="inlineStr">
        <is>
          <t>N</t>
        </is>
      </c>
      <c r="T241" s="64">
        <f>IF(A241="","",IFERROR(INDEX('Bid-NoBid'!$T:$T,MATCH(A241,'Bid-NoBid'!$A:$A,0)),""))</f>
        <v/>
      </c>
      <c r="U241" s="59">
        <f>IF(A241="","",IFERROR(IF(OR(INDEX('Bid-NoBid'!$U:$U,MATCH(A241,'Bid-NoBid'!$A:$A,0))="",LEFT(INDEX('Bid-NoBid'!$U:$U,MATCH(A241,'Bid-NoBid'!$A:$A,0)),10)="Incomplete"),"Screen: "&amp;AC241,INDEX('Bid-NoBid'!$U:$U,MATCH(A241,'Bid-NoBid'!$A:$A,0))),"Screen: "&amp;AC241))</f>
        <v/>
      </c>
      <c r="V241" s="60" t="n"/>
      <c r="W241" s="70" t="inlineStr">
        <is>
          <t>Watching</t>
        </is>
      </c>
      <c r="X241" s="70" t="inlineStr">
        <is>
          <t>Frank</t>
        </is>
      </c>
      <c r="Y241" s="60" t="n"/>
      <c r="Z241" s="60" t="n"/>
      <c r="AA241" s="73" t="n">
        <v>46324</v>
      </c>
      <c r="AB241" s="74" t="inlineStr">
        <is>
          <t>Small Works / Tender</t>
        </is>
      </c>
      <c r="AC241" s="74" t="inlineStr">
        <is>
          <t>Pursue</t>
        </is>
      </c>
      <c r="AD241" s="74" t="inlineStr">
        <is>
          <t>Auto (Small Works / Tender): Building works within reach of Dar</t>
        </is>
      </c>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74" t="inlineStr">
        <is>
          <t>Get the tender document, confirm value, CRB class, site visit and bid security; brief the MD</t>
        </is>
      </c>
      <c r="AJ241" s="74" t="inlineStr">
        <is>
          <t>Auto-scan</t>
        </is>
      </c>
      <c r="AK241" s="74" t="inlineStr">
        <is>
          <t>b215d10f-d82f-46c5-a6db-e40060d280fd</t>
        </is>
      </c>
      <c r="AL241" s="59">
        <f>IF(AND(OR(W241="Watching",W241="Preparing"),ISNUMBER(Q241)),IF(AND(Q241&gt;='Friday Summary'!$C$4,Q241&lt;='Friday Summary'!$C$4+14),Q241+ROW()/1000000,""),"")</f>
        <v/>
      </c>
    </row>
    <row r="242" ht="15" customHeight="1" s="51">
      <c r="A242" s="59">
        <f>IF(B242="","","OP-"&amp;TEXT(ROW()-4,"000"))</f>
        <v/>
      </c>
      <c r="B242" s="70" t="inlineStr">
        <is>
          <t>52/2026/2027/W/25</t>
        </is>
      </c>
      <c r="C242" s="71" t="n">
        <v>46324</v>
      </c>
      <c r="D242" s="70" t="inlineStr">
        <is>
          <t>NeST</t>
        </is>
      </c>
      <c r="E242" s="70" t="inlineStr">
        <is>
          <t>https://nest.go.tz/tenders/published-tenders</t>
        </is>
      </c>
      <c r="F242" s="70" t="inlineStr">
        <is>
          <t>Ministry of Health</t>
        </is>
      </c>
      <c r="G242" s="70" t="inlineStr">
        <is>
          <t>government</t>
        </is>
      </c>
      <c r="H242" s="70" t="inlineStr">
        <is>
          <t>COMPLETION OF CONFERENCE BUILDING FOR EDUCATIONAL DEVELOPMENT IN HEALTH ARUSHA (CEDHA)</t>
        </is>
      </c>
      <c r="I242" s="70" t="inlineStr">
        <is>
          <t>From NeST notice (1 lot) – read the tender document</t>
        </is>
      </c>
      <c r="J242" s="70" t="inlineStr">
        <is>
          <t>Arusha</t>
        </is>
      </c>
      <c r="K242" s="70" t="inlineStr">
        <is>
          <t>building</t>
        </is>
      </c>
      <c r="L242" s="70" t="inlineStr">
        <is>
          <t>NeST login needed</t>
        </is>
      </c>
      <c r="M242" s="62" t="n"/>
      <c r="N242" s="70" t="inlineStr">
        <is>
          <t>unknown</t>
        </is>
      </c>
      <c r="O242" s="71" t="inlineStr">
        <is>
          <t>NeST login needed</t>
        </is>
      </c>
      <c r="P242" s="71" t="inlineStr">
        <is>
          <t>NeST login needed</t>
        </is>
      </c>
      <c r="Q242" s="72" t="n">
        <v>46331.58333333334</v>
      </c>
      <c r="R242" s="70" t="inlineStr">
        <is>
          <t>NeST login needed</t>
        </is>
      </c>
      <c r="S242" s="70" t="inlineStr">
        <is>
          <t>N</t>
        </is>
      </c>
      <c r="T242" s="64">
        <f>IF(A242="","",IFERROR(INDEX('Bid-NoBid'!$T:$T,MATCH(A242,'Bid-NoBid'!$A:$A,0)),""))</f>
        <v/>
      </c>
      <c r="U242" s="59">
        <f>IF(A242="","",IFERROR(IF(OR(INDEX('Bid-NoBid'!$U:$U,MATCH(A242,'Bid-NoBid'!$A:$A,0))="",LEFT(INDEX('Bid-NoBid'!$U:$U,MATCH(A242,'Bid-NoBid'!$A:$A,0)),10)="Incomplete"),"Screen: "&amp;AC242,INDEX('Bid-NoBid'!$U:$U,MATCH(A242,'Bid-NoBid'!$A:$A,0))),"Screen: "&amp;AC242))</f>
        <v/>
      </c>
      <c r="V242" s="60" t="n"/>
      <c r="W242" s="70" t="inlineStr">
        <is>
          <t>Watching</t>
        </is>
      </c>
      <c r="X242" s="70" t="inlineStr">
        <is>
          <t>Frank</t>
        </is>
      </c>
      <c r="Y242" s="60" t="n"/>
      <c r="Z242" s="60" t="n"/>
      <c r="AA242" s="73" t="n">
        <v>46324</v>
      </c>
      <c r="AB242" s="74" t="inlineStr">
        <is>
          <t>Small Works / Tender</t>
        </is>
      </c>
      <c r="AC242" s="74" t="inlineStr">
        <is>
          <t>Check</t>
        </is>
      </c>
      <c r="AD242" s="74" t="inlineStr">
        <is>
          <t>Auto (Small Works / Tender): Building works but remote from Dar</t>
        </is>
      </c>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74" t="inlineStr">
        <is>
          <t>Read the notice and decide with the QS Director whether to pursue</t>
        </is>
      </c>
      <c r="AJ242" s="74" t="inlineStr">
        <is>
          <t>Auto-scan</t>
        </is>
      </c>
      <c r="AK242" s="74" t="inlineStr">
        <is>
          <t>77233593-3658-46c9-95fb-b0afd6759b5b</t>
        </is>
      </c>
      <c r="AL242" s="59">
        <f>IF(AND(OR(W242="Watching",W242="Preparing"),ISNUMBER(Q242)),IF(AND(Q242&gt;='Friday Summary'!$C$4,Q242&lt;='Friday Summary'!$C$4+14),Q242+ROW()/1000000,""),"")</f>
        <v/>
      </c>
    </row>
    <row r="243" ht="15" customHeight="1" s="51">
      <c r="A243" s="59">
        <f>IF(B243="","","OP-"&amp;TEXT(ROW()-4,"000"))</f>
        <v/>
      </c>
      <c r="B243" s="70" t="inlineStr">
        <is>
          <t>S10/2026/2027/W/09</t>
        </is>
      </c>
      <c r="C243" s="71" t="n">
        <v>46324</v>
      </c>
      <c r="D243" s="70" t="inlineStr">
        <is>
          <t>NeST</t>
        </is>
      </c>
      <c r="E243" s="70" t="inlineStr">
        <is>
          <t>https://nest.go.tz/tenders/published-tenders</t>
        </is>
      </c>
      <c r="F243" s="70" t="inlineStr">
        <is>
          <t>Tanzania Rural and Urban Roads Agency</t>
        </is>
      </c>
      <c r="G243" s="70" t="inlineStr">
        <is>
          <t>government</t>
        </is>
      </c>
      <c r="H243" s="70" t="inlineStr">
        <is>
          <t>Construction of TARURA HQ Building at Block M, Plot 11, 12, and 13 in Njedengwa Investment Area, Dodoma CC</t>
        </is>
      </c>
      <c r="I243" s="70" t="inlineStr">
        <is>
          <t>From NeST notice (1 lot) – read the tender document</t>
        </is>
      </c>
      <c r="J243" s="70" t="inlineStr">
        <is>
          <t>Dodoma</t>
        </is>
      </c>
      <c r="K243" s="70" t="inlineStr">
        <is>
          <t>building</t>
        </is>
      </c>
      <c r="L243" s="70" t="inlineStr">
        <is>
          <t>NeST login needed</t>
        </is>
      </c>
      <c r="M243" s="62" t="n"/>
      <c r="N243" s="70" t="inlineStr">
        <is>
          <t>unknown</t>
        </is>
      </c>
      <c r="O243" s="71" t="inlineStr">
        <is>
          <t>NeST login needed</t>
        </is>
      </c>
      <c r="P243" s="71" t="inlineStr">
        <is>
          <t>NeST login needed</t>
        </is>
      </c>
      <c r="Q243" s="72" t="n">
        <v>46338.625</v>
      </c>
      <c r="R243" s="70" t="inlineStr">
        <is>
          <t>NeST login needed</t>
        </is>
      </c>
      <c r="S243" s="70" t="inlineStr">
        <is>
          <t>N</t>
        </is>
      </c>
      <c r="T243" s="64">
        <f>IF(A243="","",IFERROR(INDEX('Bid-NoBid'!$T:$T,MATCH(A243,'Bid-NoBid'!$A:$A,0)),""))</f>
        <v/>
      </c>
      <c r="U243" s="59">
        <f>IF(A243="","",IFERROR(IF(OR(INDEX('Bid-NoBid'!$U:$U,MATCH(A243,'Bid-NoBid'!$A:$A,0))="",LEFT(INDEX('Bid-NoBid'!$U:$U,MATCH(A243,'Bid-NoBid'!$A:$A,0)),10)="Incomplete"),"Screen: "&amp;AC243,INDEX('Bid-NoBid'!$U:$U,MATCH(A243,'Bid-NoBid'!$A:$A,0))),"Screen: "&amp;AC243))</f>
        <v/>
      </c>
      <c r="V243" s="60" t="n"/>
      <c r="W243" s="70" t="inlineStr">
        <is>
          <t>Watching</t>
        </is>
      </c>
      <c r="X243" s="70" t="inlineStr">
        <is>
          <t>Frank</t>
        </is>
      </c>
      <c r="Y243" s="60" t="n"/>
      <c r="Z243" s="60" t="n"/>
      <c r="AA243" s="73" t="n">
        <v>46324</v>
      </c>
      <c r="AB243" s="74" t="inlineStr">
        <is>
          <t>Small Works / Tender</t>
        </is>
      </c>
      <c r="AC243" s="74" t="inlineStr">
        <is>
          <t>Pursue</t>
        </is>
      </c>
      <c r="AD243" s="74" t="inlineStr">
        <is>
          <t>Auto (Small Works / Tender): Building works within reach of Dar</t>
        </is>
      </c>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74" t="inlineStr">
        <is>
          <t>Get the tender document, confirm value, CRB class, site visit and bid security; brief the MD</t>
        </is>
      </c>
      <c r="AJ243" s="74" t="inlineStr">
        <is>
          <t>Auto-scan</t>
        </is>
      </c>
      <c r="AK243" s="74" t="inlineStr">
        <is>
          <t>a751575d-daba-4d06-a3ff-8231446635b3</t>
        </is>
      </c>
      <c r="AL243" s="59">
        <f>IF(AND(OR(W243="Watching",W243="Preparing"),ISNUMBER(Q243)),IF(AND(Q243&gt;='Friday Summary'!$C$4,Q243&lt;='Friday Summary'!$C$4+14),Q243+ROW()/1000000,""),"")</f>
        <v/>
      </c>
    </row>
    <row r="244" ht="15" customHeight="1" s="51">
      <c r="A244" s="59">
        <f>IF(B244="","","OP-"&amp;TEXT(ROW()-4,"000"))</f>
        <v/>
      </c>
      <c r="B244" s="70" t="inlineStr">
        <is>
          <t>(not shown)</t>
        </is>
      </c>
      <c r="C244" s="71" t="n">
        <v>46324</v>
      </c>
      <c r="D244" s="70" t="inlineStr">
        <is>
          <t>press</t>
        </is>
      </c>
      <c r="E244" s="70" t="inlineStr">
        <is>
          <t>https://www.ddotenders.co.tz/tender.php?page=home</t>
        </is>
      </c>
      <c r="F244" s="70" t="inlineStr">
        <is>
          <t>NSSF</t>
        </is>
      </c>
      <c r="G244" s="70" t="inlineStr">
        <is>
          <t>government</t>
        </is>
      </c>
      <c r="H244" s="70" t="inlineStr">
        <is>
          <t>Lease hotel space</t>
        </is>
      </c>
      <c r="I244" s="70" t="inlineStr">
        <is>
          <t>From press notice (1 lot) – read the tender document</t>
        </is>
      </c>
      <c r="J244" s="70" t="inlineStr">
        <is>
          <t>Dar es Salaam</t>
        </is>
      </c>
      <c r="K244" s="70" t="inlineStr">
        <is>
          <t>building</t>
        </is>
      </c>
      <c r="L244" s="70" t="inlineStr">
        <is>
          <t>See tender document</t>
        </is>
      </c>
      <c r="M244" s="62" t="n"/>
      <c r="N244" s="70" t="inlineStr">
        <is>
          <t>unknown</t>
        </is>
      </c>
      <c r="O244" s="71" t="inlineStr">
        <is>
          <t>See tender document</t>
        </is>
      </c>
      <c r="P244" s="71" t="inlineStr">
        <is>
          <t>See tender document</t>
        </is>
      </c>
      <c r="Q244" s="72" t="n">
        <v>46383.41666666666</v>
      </c>
      <c r="R244" s="70" t="inlineStr">
        <is>
          <t>See tender document</t>
        </is>
      </c>
      <c r="S244" s="70" t="inlineStr">
        <is>
          <t>N</t>
        </is>
      </c>
      <c r="T244" s="64">
        <f>IF(A244="","",IFERROR(INDEX('Bid-NoBid'!$T:$T,MATCH(A244,'Bid-NoBid'!$A:$A,0)),""))</f>
        <v/>
      </c>
      <c r="U244" s="59">
        <f>IF(A244="","",IFERROR(IF(OR(INDEX('Bid-NoBid'!$U:$U,MATCH(A244,'Bid-NoBid'!$A:$A,0))="",LEFT(INDEX('Bid-NoBid'!$U:$U,MATCH(A244,'Bid-NoBid'!$A:$A,0)),10)="Incomplete"),"Screen: "&amp;AC244,INDEX('Bid-NoBid'!$U:$U,MATCH(A244,'Bid-NoBid'!$A:$A,0))),"Screen: "&amp;AC244))</f>
        <v/>
      </c>
      <c r="V244" s="60" t="n"/>
      <c r="W244" s="70" t="inlineStr">
        <is>
          <t>Watching</t>
        </is>
      </c>
      <c r="X244" s="70" t="inlineStr">
        <is>
          <t>Frank</t>
        </is>
      </c>
      <c r="Y244" s="60" t="n"/>
      <c r="Z244" s="60" t="n"/>
      <c r="AA244" s="73" t="n">
        <v>46324</v>
      </c>
      <c r="AB244" s="74" t="inlineStr">
        <is>
          <t>DDO Tenders (newspaper / private / donor)</t>
        </is>
      </c>
      <c r="AC244" s="74" t="inlineStr">
        <is>
          <t>Pursue</t>
        </is>
      </c>
      <c r="AD244" s="74" t="inlineStr">
        <is>
          <t>Auto (DDO Tenders): Building works within reach of Dar · deadline read from the web page – confirm</t>
        </is>
      </c>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74" t="inlineStr">
        <is>
          <t>Get the tender document, confirm value, CRB class, site visit and bid security; brief the MD</t>
        </is>
      </c>
      <c r="AJ244" s="74" t="inlineStr">
        <is>
          <t>Auto-scan</t>
        </is>
      </c>
      <c r="AK244" s="74" t="inlineStr">
        <is>
          <t>DDO:3108</t>
        </is>
      </c>
      <c r="AL244" s="59">
        <f>IF(AND(OR(W244="Watching",W244="Preparing"),ISNUMBER(Q244)),IF(AND(Q244&gt;='Friday Summary'!$C$4,Q244&lt;='Friday Summary'!$C$4+14),Q244+ROW()/1000000,""),"")</f>
        <v/>
      </c>
    </row>
    <row r="245" ht="15" customHeight="1" s="51">
      <c r="A245" s="59">
        <f>IF(B245="","","OP-"&amp;TEXT(ROW()-4,"000"))</f>
        <v/>
      </c>
      <c r="B245" s="70" t="inlineStr">
        <is>
          <t>75F2/2026/2027/W/09</t>
        </is>
      </c>
      <c r="C245" s="71" t="n">
        <v>46325</v>
      </c>
      <c r="D245" s="70" t="inlineStr">
        <is>
          <t>NeST</t>
        </is>
      </c>
      <c r="E245" s="70" t="inlineStr">
        <is>
          <t>https://nest.go.tz/tenders/published-tenders</t>
        </is>
      </c>
      <c r="F245" s="70" t="inlineStr">
        <is>
          <t>Same District Council</t>
        </is>
      </c>
      <c r="G245" s="70" t="inlineStr">
        <is>
          <t>government</t>
        </is>
      </c>
      <c r="H245" s="70" t="inlineStr">
        <is>
          <t>Rehabilitation of Livestock Watering Charco Dam, including Catch Drains, Desilting and Construction of Two Concrete Drifts at Njoro Ward, Same District Council</t>
        </is>
      </c>
      <c r="I245" s="70" t="inlineStr">
        <is>
          <t>From NeST notice (1 lot) – read the tender document</t>
        </is>
      </c>
      <c r="J245" s="70" t="inlineStr">
        <is>
          <t>Kilimanjaro (Same) (from client's office – confirm site)</t>
        </is>
      </c>
      <c r="K245" s="70" t="inlineStr">
        <is>
          <t>renovation</t>
        </is>
      </c>
      <c r="L245" s="70" t="inlineStr">
        <is>
          <t>NeST login needed</t>
        </is>
      </c>
      <c r="M245" s="62" t="n"/>
      <c r="N245" s="70" t="inlineStr">
        <is>
          <t>unknown</t>
        </is>
      </c>
      <c r="O245" s="71" t="inlineStr">
        <is>
          <t>NeST login needed</t>
        </is>
      </c>
      <c r="P245" s="71" t="inlineStr">
        <is>
          <t>NeST login needed</t>
        </is>
      </c>
      <c r="Q245" s="72" t="n">
        <v>46331.41666666666</v>
      </c>
      <c r="R245" s="70" t="inlineStr">
        <is>
          <t>NeST login needed</t>
        </is>
      </c>
      <c r="S245" s="70" t="inlineStr">
        <is>
          <t>N</t>
        </is>
      </c>
      <c r="T245" s="64">
        <f>IF(A245="","",IFERROR(INDEX('Bid-NoBid'!$T:$T,MATCH(A245,'Bid-NoBid'!$A:$A,0)),""))</f>
        <v/>
      </c>
      <c r="U245" s="59">
        <f>IF(A245="","",IFERROR(IF(OR(INDEX('Bid-NoBid'!$U:$U,MATCH(A245,'Bid-NoBid'!$A:$A,0))="",LEFT(INDEX('Bid-NoBid'!$U:$U,MATCH(A245,'Bid-NoBid'!$A:$A,0)),10)="Incomplete"),"Screen: "&amp;AC245,INDEX('Bid-NoBid'!$U:$U,MATCH(A245,'Bid-NoBid'!$A:$A,0))),"Screen: "&amp;AC245))</f>
        <v/>
      </c>
      <c r="V245" s="60" t="n"/>
      <c r="W245" s="70" t="inlineStr">
        <is>
          <t>Watching</t>
        </is>
      </c>
      <c r="X245" s="70" t="inlineStr">
        <is>
          <t>Frank</t>
        </is>
      </c>
      <c r="Y245" s="60" t="n"/>
      <c r="Z245" s="60" t="n"/>
      <c r="AA245" s="73" t="n">
        <v>46324</v>
      </c>
      <c r="AB245" s="74" t="inlineStr">
        <is>
          <t>Standard Invitation for Quotations -Works / Planned Tender</t>
        </is>
      </c>
      <c r="AC245" s="74" t="inlineStr">
        <is>
          <t>Check</t>
        </is>
      </c>
      <c r="AD245" s="74" t="inlineStr">
        <is>
          <t>Auto (Standard Invitation for Quotations -Works / Planned Tender): Construction tender kept for review (would have been dropped: Remote and closing soon)</t>
        </is>
      </c>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74" t="inlineStr">
        <is>
          <t>Read the notice and decide with the QS Director whether to pursue</t>
        </is>
      </c>
      <c r="AJ245" s="74" t="inlineStr">
        <is>
          <t>Auto-scan</t>
        </is>
      </c>
      <c r="AK245" s="74" t="inlineStr">
        <is>
          <t>b6c48224-be8d-41a7-afbc-548c47411583</t>
        </is>
      </c>
      <c r="AL245" s="59">
        <f>IF(AND(OR(W245="Watching",W245="Preparing"),ISNUMBER(Q245)),IF(AND(Q245&gt;='Friday Summary'!$C$4,Q245&lt;='Friday Summary'!$C$4+14),Q245+ROW()/1000000,""),"")</f>
        <v/>
      </c>
    </row>
    <row r="246" ht="15" customHeight="1" s="51">
      <c r="A246" s="59">
        <f>IF(B246="","","OP-"&amp;TEXT(ROW()-4,"000"))</f>
        <v/>
      </c>
      <c r="B246" s="70" t="inlineStr">
        <is>
          <t>S10/015/2026/2027/W/05</t>
        </is>
      </c>
      <c r="C246" s="71" t="n">
        <v>46325</v>
      </c>
      <c r="D246" s="70" t="inlineStr">
        <is>
          <t>NeST</t>
        </is>
      </c>
      <c r="E246" s="70" t="inlineStr">
        <is>
          <t>https://nest.go.tz/tenders/published-tenders</t>
        </is>
      </c>
      <c r="F246" s="70" t="inlineStr">
        <is>
          <t>TARURA - Mtwara Regional Office</t>
        </is>
      </c>
      <c r="G246" s="70" t="inlineStr">
        <is>
          <t>government</t>
        </is>
      </c>
      <c r="H246" s="70" t="inlineStr">
        <is>
          <t>Periodic Maintenance Works along Indian Qtrs Road, Tandika Road and other various Roads, and Construction of Concrete Culverts across Makonde Road, TANU-Magomeni Sokosela Road (Sokolidema) within Mtwara Mikindani Municipality</t>
        </is>
      </c>
      <c r="I246" s="70" t="inlineStr">
        <is>
          <t>From NeST notice (1 lot) – read the tender document</t>
        </is>
      </c>
      <c r="J246" s="70" t="inlineStr">
        <is>
          <t>Mtwara</t>
        </is>
      </c>
      <c r="K246" s="70" t="inlineStr">
        <is>
          <t>civil</t>
        </is>
      </c>
      <c r="L246" s="70" t="inlineStr">
        <is>
          <t>NeST login needed</t>
        </is>
      </c>
      <c r="M246" s="62" t="n"/>
      <c r="N246" s="70" t="inlineStr">
        <is>
          <t>unknown</t>
        </is>
      </c>
      <c r="O246" s="71" t="inlineStr">
        <is>
          <t>NeST login needed</t>
        </is>
      </c>
      <c r="P246" s="71" t="inlineStr">
        <is>
          <t>NeST login needed</t>
        </is>
      </c>
      <c r="Q246" s="72" t="n">
        <v>46331.41666666666</v>
      </c>
      <c r="R246" s="70" t="inlineStr">
        <is>
          <t>NeST login needed</t>
        </is>
      </c>
      <c r="S246" s="70" t="inlineStr">
        <is>
          <t>N</t>
        </is>
      </c>
      <c r="T246" s="64">
        <f>IF(A246="","",IFERROR(INDEX('Bid-NoBid'!$T:$T,MATCH(A246,'Bid-NoBid'!$A:$A,0)),""))</f>
        <v/>
      </c>
      <c r="U246" s="59">
        <f>IF(A246="","",IFERROR(IF(OR(INDEX('Bid-NoBid'!$U:$U,MATCH(A246,'Bid-NoBid'!$A:$A,0))="",LEFT(INDEX('Bid-NoBid'!$U:$U,MATCH(A246,'Bid-NoBid'!$A:$A,0)),10)="Incomplete"),"Screen: "&amp;AC246,INDEX('Bid-NoBid'!$U:$U,MATCH(A246,'Bid-NoBid'!$A:$A,0))),"Screen: "&amp;AC246))</f>
        <v/>
      </c>
      <c r="V246" s="60" t="n"/>
      <c r="W246" s="70" t="inlineStr">
        <is>
          <t>Watching</t>
        </is>
      </c>
      <c r="X246" s="70" t="inlineStr">
        <is>
          <t>Frank</t>
        </is>
      </c>
      <c r="Y246" s="60" t="n"/>
      <c r="Z246" s="60" t="n"/>
      <c r="AA246" s="73" t="n">
        <v>46324</v>
      </c>
      <c r="AB246" s="74" t="inlineStr">
        <is>
          <t>Small Works / Tender</t>
        </is>
      </c>
      <c r="AC246" s="74" t="inlineStr">
        <is>
          <t>Check</t>
        </is>
      </c>
      <c r="AD246" s="74" t="inlineStr">
        <is>
          <t>Auto (Small Works / Tender): Construction tender kept for review (would have been dropped: Remote civil works)</t>
        </is>
      </c>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74" t="inlineStr">
        <is>
          <t>Read the notice and decide with the QS Director whether to pursue</t>
        </is>
      </c>
      <c r="AJ246" s="74" t="inlineStr">
        <is>
          <t>Auto-scan</t>
        </is>
      </c>
      <c r="AK246" s="74" t="inlineStr">
        <is>
          <t>767c50c9-ddf3-466c-917f-ce9bee5db042</t>
        </is>
      </c>
      <c r="AL246" s="59">
        <f>IF(AND(OR(W246="Watching",W246="Preparing"),ISNUMBER(Q246)),IF(AND(Q246&gt;='Friday Summary'!$C$4,Q246&lt;='Friday Summary'!$C$4+14),Q246+ROW()/1000000,""),"")</f>
        <v/>
      </c>
    </row>
    <row r="247" ht="15" customHeight="1" s="51">
      <c r="A247" s="59">
        <f>IF(B247="","","OP-"&amp;TEXT(ROW()-4,"000"))</f>
        <v/>
      </c>
      <c r="B247" s="70" t="inlineStr">
        <is>
          <t>7205/2026/2027/W/13</t>
        </is>
      </c>
      <c r="C247" s="71" t="n">
        <v>46325</v>
      </c>
      <c r="D247" s="70" t="inlineStr">
        <is>
          <t>NeST</t>
        </is>
      </c>
      <c r="E247" s="70" t="inlineStr">
        <is>
          <t>https://nest.go.tz/tenders/published-tenders</t>
        </is>
      </c>
      <c r="F247" s="70" t="inlineStr">
        <is>
          <t>City Council of Dodoma</t>
        </is>
      </c>
      <c r="G247" s="70" t="inlineStr">
        <is>
          <t>government</t>
        </is>
      </c>
      <c r="H247" s="70" t="inlineStr">
        <is>
          <t>Construction of Chinyoya Secondary school at Kilimani ward in the City Council of Dodoma</t>
        </is>
      </c>
      <c r="I247" s="70" t="inlineStr">
        <is>
          <t>From NeST notice (1 lot) – read the tender document</t>
        </is>
      </c>
      <c r="J247" s="70" t="inlineStr">
        <is>
          <t>Dodoma</t>
        </is>
      </c>
      <c r="K247" s="70" t="inlineStr">
        <is>
          <t>building</t>
        </is>
      </c>
      <c r="L247" s="70" t="inlineStr">
        <is>
          <t>NeST login needed</t>
        </is>
      </c>
      <c r="M247" s="62" t="n"/>
      <c r="N247" s="70" t="inlineStr">
        <is>
          <t>unknown</t>
        </is>
      </c>
      <c r="O247" s="71" t="inlineStr">
        <is>
          <t>NeST login needed</t>
        </is>
      </c>
      <c r="P247" s="71" t="inlineStr">
        <is>
          <t>NeST login needed</t>
        </is>
      </c>
      <c r="Q247" s="72" t="n">
        <v>46331.41666666666</v>
      </c>
      <c r="R247" s="70" t="inlineStr">
        <is>
          <t>NeST login needed</t>
        </is>
      </c>
      <c r="S247" s="70" t="inlineStr">
        <is>
          <t>N</t>
        </is>
      </c>
      <c r="T247" s="64">
        <f>IF(A247="","",IFERROR(INDEX('Bid-NoBid'!$T:$T,MATCH(A247,'Bid-NoBid'!$A:$A,0)),""))</f>
        <v/>
      </c>
      <c r="U247" s="59">
        <f>IF(A247="","",IFERROR(IF(OR(INDEX('Bid-NoBid'!$U:$U,MATCH(A247,'Bid-NoBid'!$A:$A,0))="",LEFT(INDEX('Bid-NoBid'!$U:$U,MATCH(A247,'Bid-NoBid'!$A:$A,0)),10)="Incomplete"),"Screen: "&amp;AC247,INDEX('Bid-NoBid'!$U:$U,MATCH(A247,'Bid-NoBid'!$A:$A,0))),"Screen: "&amp;AC247))</f>
        <v/>
      </c>
      <c r="V247" s="60" t="n"/>
      <c r="W247" s="70" t="inlineStr">
        <is>
          <t>Watching</t>
        </is>
      </c>
      <c r="X247" s="70" t="inlineStr">
        <is>
          <t>Frank</t>
        </is>
      </c>
      <c r="Y247" s="60" t="n"/>
      <c r="Z247" s="60" t="n"/>
      <c r="AA247" s="73" t="n">
        <v>46324</v>
      </c>
      <c r="AB247" s="74" t="inlineStr">
        <is>
          <t>Small Works / Tender</t>
        </is>
      </c>
      <c r="AC247" s="74" t="inlineStr">
        <is>
          <t>Pursue</t>
        </is>
      </c>
      <c r="AD247" s="74" t="inlineStr">
        <is>
          <t>Auto (Small Works / Tender): Building works within reach of Dar</t>
        </is>
      </c>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74" t="inlineStr">
        <is>
          <t>Get the tender document, confirm value, CRB class, site visit and bid security; brief the MD</t>
        </is>
      </c>
      <c r="AJ247" s="74" t="inlineStr">
        <is>
          <t>Auto-scan</t>
        </is>
      </c>
      <c r="AK247" s="74" t="inlineStr">
        <is>
          <t>63499a79-7b39-4f52-814c-37d3d6da0043</t>
        </is>
      </c>
      <c r="AL247" s="59">
        <f>IF(AND(OR(W247="Watching",W247="Preparing"),ISNUMBER(Q247)),IF(AND(Q247&gt;='Friday Summary'!$C$4,Q247&lt;='Friday Summary'!$C$4+14),Q247+ROW()/1000000,""),"")</f>
        <v/>
      </c>
    </row>
    <row r="248" ht="15" customHeight="1" s="51">
      <c r="A248" s="59">
        <f>IF(B248="","","OP-"&amp;TEXT(ROW()-4,"000"))</f>
        <v/>
      </c>
      <c r="B248" s="70" t="inlineStr">
        <is>
          <t>TR36/008/2026/2027/W/11</t>
        </is>
      </c>
      <c r="C248" s="71" t="n">
        <v>46325</v>
      </c>
      <c r="D248" s="70" t="inlineStr">
        <is>
          <t>NeST</t>
        </is>
      </c>
      <c r="E248" s="70" t="inlineStr">
        <is>
          <t>https://nest.go.tz/tenders/published-tenders</t>
        </is>
      </c>
      <c r="F248" s="70" t="inlineStr">
        <is>
          <t>TANROADS - Kigoma Regional Office</t>
        </is>
      </c>
      <c r="G248" s="70" t="inlineStr">
        <is>
          <t>government</t>
        </is>
      </c>
      <c r="H248" s="70" t="inlineStr">
        <is>
          <t>Construction of Overhead Pedestrian Bridge along Trunk Roads for safety improvement</t>
        </is>
      </c>
      <c r="I248" s="70" t="inlineStr">
        <is>
          <t>From NeST notice (1 lot) – read the tender document</t>
        </is>
      </c>
      <c r="J248" s="70" t="inlineStr">
        <is>
          <t>Kigoma (from client's office – confirm site)</t>
        </is>
      </c>
      <c r="K248" s="70" t="inlineStr">
        <is>
          <t>civil</t>
        </is>
      </c>
      <c r="L248" s="70" t="inlineStr">
        <is>
          <t>NeST login needed</t>
        </is>
      </c>
      <c r="M248" s="62" t="n"/>
      <c r="N248" s="70" t="inlineStr">
        <is>
          <t>unknown</t>
        </is>
      </c>
      <c r="O248" s="71" t="inlineStr">
        <is>
          <t>NeST login needed</t>
        </is>
      </c>
      <c r="P248" s="71" t="inlineStr">
        <is>
          <t>NeST login needed</t>
        </is>
      </c>
      <c r="Q248" s="72" t="n">
        <v>46332.58333333334</v>
      </c>
      <c r="R248" s="70" t="inlineStr">
        <is>
          <t>NeST login needed</t>
        </is>
      </c>
      <c r="S248" s="70" t="inlineStr">
        <is>
          <t>N</t>
        </is>
      </c>
      <c r="T248" s="64">
        <f>IF(A248="","",IFERROR(INDEX('Bid-NoBid'!$T:$T,MATCH(A248,'Bid-NoBid'!$A:$A,0)),""))</f>
        <v/>
      </c>
      <c r="U248" s="59">
        <f>IF(A248="","",IFERROR(IF(OR(INDEX('Bid-NoBid'!$U:$U,MATCH(A248,'Bid-NoBid'!$A:$A,0))="",LEFT(INDEX('Bid-NoBid'!$U:$U,MATCH(A248,'Bid-NoBid'!$A:$A,0)),10)="Incomplete"),"Screen: "&amp;AC248,INDEX('Bid-NoBid'!$U:$U,MATCH(A248,'Bid-NoBid'!$A:$A,0))),"Screen: "&amp;AC248))</f>
        <v/>
      </c>
      <c r="V248" s="60" t="n"/>
      <c r="W248" s="70" t="inlineStr">
        <is>
          <t>Watching</t>
        </is>
      </c>
      <c r="X248" s="70" t="inlineStr">
        <is>
          <t>Frank</t>
        </is>
      </c>
      <c r="Y248" s="60" t="n"/>
      <c r="Z248" s="60" t="n"/>
      <c r="AA248" s="73" t="n">
        <v>46325</v>
      </c>
      <c r="AB248" s="74" t="inlineStr">
        <is>
          <t>Small Works / Tender</t>
        </is>
      </c>
      <c r="AC248" s="74" t="inlineStr">
        <is>
          <t>Check</t>
        </is>
      </c>
      <c r="AD248" s="74" t="inlineStr">
        <is>
          <t>Auto (Small Works / Tender): Construction tender kept for review (would have been dropped: Remote civil works)</t>
        </is>
      </c>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74" t="inlineStr">
        <is>
          <t>Read the notice and decide with the QS Director whether to pursue</t>
        </is>
      </c>
      <c r="AJ248" s="74" t="inlineStr">
        <is>
          <t>Auto-scan</t>
        </is>
      </c>
      <c r="AK248" s="74" t="inlineStr">
        <is>
          <t>8dea43b7-65d3-4ba5-8877-5e71907d54c8</t>
        </is>
      </c>
      <c r="AL248" s="59">
        <f>IF(AND(OR(W248="Watching",W248="Preparing"),ISNUMBER(Q248)),IF(AND(Q248&gt;='Friday Summary'!$C$4,Q248&lt;='Friday Summary'!$C$4+14),Q248+ROW()/1000000,""),"")</f>
        <v/>
      </c>
    </row>
    <row r="249" ht="15" customHeight="1" s="51">
      <c r="A249" s="59">
        <f>IF(B249="","","OP-"&amp;TEXT(ROW()-4,"000"))</f>
        <v/>
      </c>
      <c r="B249" s="70" t="inlineStr">
        <is>
          <t>TR152/002/2026/2027/W/03</t>
        </is>
      </c>
      <c r="C249" s="71" t="n">
        <v>46325</v>
      </c>
      <c r="D249" s="70" t="inlineStr">
        <is>
          <t>NeST</t>
        </is>
      </c>
      <c r="E249" s="70" t="inlineStr">
        <is>
          <t>https://nest.go.tz/tenders/published-tenders</t>
        </is>
      </c>
      <c r="F249" s="70" t="inlineStr">
        <is>
          <t>Bank of Tanzania Academy</t>
        </is>
      </c>
      <c r="G249" s="70" t="inlineStr">
        <is>
          <t>government</t>
        </is>
      </c>
      <c r="H249" s="70" t="inlineStr">
        <is>
          <t>Renovation of external area of the administration block at the Bank of Tanzania Academy, Mwanza</t>
        </is>
      </c>
      <c r="I249" s="70" t="inlineStr">
        <is>
          <t>From NeST notice (1 lot) – read the tender document</t>
        </is>
      </c>
      <c r="J249" s="70" t="inlineStr">
        <is>
          <t>Mwanza</t>
        </is>
      </c>
      <c r="K249" s="70" t="inlineStr">
        <is>
          <t>renovation</t>
        </is>
      </c>
      <c r="L249" s="70" t="inlineStr">
        <is>
          <t>NeST login needed</t>
        </is>
      </c>
      <c r="M249" s="62" t="n"/>
      <c r="N249" s="70" t="inlineStr">
        <is>
          <t>unknown</t>
        </is>
      </c>
      <c r="O249" s="71" t="inlineStr">
        <is>
          <t>NeST login needed</t>
        </is>
      </c>
      <c r="P249" s="71" t="inlineStr">
        <is>
          <t>NeST login needed</t>
        </is>
      </c>
      <c r="Q249" s="72" t="n">
        <v>46335.60416666666</v>
      </c>
      <c r="R249" s="70" t="inlineStr">
        <is>
          <t>NeST login needed</t>
        </is>
      </c>
      <c r="S249" s="70" t="inlineStr">
        <is>
          <t>N</t>
        </is>
      </c>
      <c r="T249" s="64">
        <f>IF(A249="","",IFERROR(INDEX('Bid-NoBid'!$T:$T,MATCH(A249,'Bid-NoBid'!$A:$A,0)),""))</f>
        <v/>
      </c>
      <c r="U249" s="59">
        <f>IF(A249="","",IFERROR(IF(OR(INDEX('Bid-NoBid'!$U:$U,MATCH(A249,'Bid-NoBid'!$A:$A,0))="",LEFT(INDEX('Bid-NoBid'!$U:$U,MATCH(A249,'Bid-NoBid'!$A:$A,0)),10)="Incomplete"),"Screen: "&amp;AC249,INDEX('Bid-NoBid'!$U:$U,MATCH(A249,'Bid-NoBid'!$A:$A,0))),"Screen: "&amp;AC249))</f>
        <v/>
      </c>
      <c r="V249" s="60" t="n"/>
      <c r="W249" s="70" t="inlineStr">
        <is>
          <t>Watching</t>
        </is>
      </c>
      <c r="X249" s="70" t="inlineStr">
        <is>
          <t>Frank</t>
        </is>
      </c>
      <c r="Y249" s="60" t="n"/>
      <c r="Z249" s="60" t="n"/>
      <c r="AA249" s="73" t="n">
        <v>46325</v>
      </c>
      <c r="AB249" s="74" t="inlineStr">
        <is>
          <t>Small Works / Tender</t>
        </is>
      </c>
      <c r="AC249" s="74" t="inlineStr">
        <is>
          <t>Check</t>
        </is>
      </c>
      <c r="AD249" s="74" t="inlineStr">
        <is>
          <t>Auto (Small Works / Tender): Building works but remote from Dar</t>
        </is>
      </c>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74" t="inlineStr">
        <is>
          <t>Read the notice and decide with the QS Director whether to pursue</t>
        </is>
      </c>
      <c r="AJ249" s="74" t="inlineStr">
        <is>
          <t>Auto-scan</t>
        </is>
      </c>
      <c r="AK249" s="74" t="inlineStr">
        <is>
          <t>348ca378-109a-4979-909b-85090caac06a</t>
        </is>
      </c>
      <c r="AL249" s="59">
        <f>IF(AND(OR(W249="Watching",W249="Preparing"),ISNUMBER(Q249)),IF(AND(Q249&gt;='Friday Summary'!$C$4,Q249&lt;='Friday Summary'!$C$4+14),Q249+ROW()/1000000,""),"")</f>
        <v/>
      </c>
    </row>
    <row r="250" ht="15" customHeight="1" s="51">
      <c r="A250" s="59">
        <f>IF(B250="","","OP-"&amp;TEXT(ROW()-4,"000"))</f>
        <v/>
      </c>
      <c r="B250" s="70" t="inlineStr">
        <is>
          <t>TR201/CCP/P155759/2026/2027/W/01</t>
        </is>
      </c>
      <c r="C250" s="71" t="n">
        <v>46325</v>
      </c>
      <c r="D250" s="70" t="inlineStr">
        <is>
          <t>NeST</t>
        </is>
      </c>
      <c r="E250" s="70" t="inlineStr">
        <is>
          <t>https://nest.go.tz/tenders/published-tenders</t>
        </is>
      </c>
      <c r="F250" s="70" t="inlineStr">
        <is>
          <t>Rufiji District Council</t>
        </is>
      </c>
      <c r="G250" s="70" t="inlineStr">
        <is>
          <t>government</t>
        </is>
      </c>
      <c r="H250" s="70" t="inlineStr">
        <is>
          <t>Construction of the Wall/Embankment at Mohoro.</t>
        </is>
      </c>
      <c r="I250" s="70" t="inlineStr">
        <is>
          <t>From NeST notice (1 lot) – read the tender document</t>
        </is>
      </c>
      <c r="J250" s="70" t="inlineStr">
        <is>
          <t>Pwani (Rufiji) (from client's office – confirm site)</t>
        </is>
      </c>
      <c r="K250" s="70" t="inlineStr">
        <is>
          <t>building</t>
        </is>
      </c>
      <c r="L250" s="70" t="inlineStr">
        <is>
          <t>NeST login needed</t>
        </is>
      </c>
      <c r="M250" s="62" t="n"/>
      <c r="N250" s="70" t="inlineStr">
        <is>
          <t>unknown</t>
        </is>
      </c>
      <c r="O250" s="71" t="inlineStr">
        <is>
          <t>NeST login needed</t>
        </is>
      </c>
      <c r="P250" s="71" t="inlineStr">
        <is>
          <t>NeST login needed</t>
        </is>
      </c>
      <c r="Q250" s="72" t="n">
        <v>46337.58333333334</v>
      </c>
      <c r="R250" s="70" t="inlineStr">
        <is>
          <t>NeST login needed</t>
        </is>
      </c>
      <c r="S250" s="70" t="inlineStr">
        <is>
          <t>N</t>
        </is>
      </c>
      <c r="T250" s="64">
        <f>IF(A250="","",IFERROR(INDEX('Bid-NoBid'!$T:$T,MATCH(A250,'Bid-NoBid'!$A:$A,0)),""))</f>
        <v/>
      </c>
      <c r="U250" s="59">
        <f>IF(A250="","",IFERROR(IF(OR(INDEX('Bid-NoBid'!$U:$U,MATCH(A250,'Bid-NoBid'!$A:$A,0))="",LEFT(INDEX('Bid-NoBid'!$U:$U,MATCH(A250,'Bid-NoBid'!$A:$A,0)),10)="Incomplete"),"Screen: "&amp;AC250,INDEX('Bid-NoBid'!$U:$U,MATCH(A250,'Bid-NoBid'!$A:$A,0))),"Screen: "&amp;AC250))</f>
        <v/>
      </c>
      <c r="V250" s="60" t="n"/>
      <c r="W250" s="70" t="inlineStr">
        <is>
          <t>Watching</t>
        </is>
      </c>
      <c r="X250" s="70" t="inlineStr">
        <is>
          <t>Frank</t>
        </is>
      </c>
      <c r="Y250" s="60" t="n"/>
      <c r="Z250" s="60" t="n"/>
      <c r="AA250" s="73" t="n">
        <v>46324</v>
      </c>
      <c r="AB250" s="74" t="inlineStr">
        <is>
          <t>World Bank - Request for Bids (Small Works) / Tender</t>
        </is>
      </c>
      <c r="AC250" s="74" t="inlineStr">
        <is>
          <t>Pursue</t>
        </is>
      </c>
      <c r="AD250" s="74" t="inlineStr">
        <is>
          <t>Auto (World Bank - Request for Bids): Building works within reach of Dar</t>
        </is>
      </c>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74" t="inlineStr">
        <is>
          <t>Get the tender document, confirm value, CRB class, site visit and bid security; brief the MD</t>
        </is>
      </c>
      <c r="AJ250" s="74" t="inlineStr">
        <is>
          <t>Auto-scan</t>
        </is>
      </c>
      <c r="AK250" s="74" t="inlineStr">
        <is>
          <t>11be6d69-fa8a-4f84-add6-519b9b4ddc42</t>
        </is>
      </c>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v>1</v>
      </c>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v>1</v>
      </c>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v>1</v>
      </c>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v>1</v>
      </c>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v>4</v>
      </c>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v>1</v>
      </c>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v>1</v>
      </c>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v>1</v>
      </c>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v>1</v>
      </c>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v>1</v>
      </c>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v>1</v>
      </c>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v>1</v>
      </c>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v>1</v>
      </c>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v>1</v>
      </c>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v>1</v>
      </c>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v>1</v>
      </c>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v>1</v>
      </c>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v>1</v>
      </c>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v>1</v>
      </c>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v>1</v>
      </c>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v>1</v>
      </c>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v>4</v>
      </c>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v>4</v>
      </c>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v>1</v>
      </c>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v>5</v>
      </c>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v>5</v>
      </c>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v>4</v>
      </c>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v>4</v>
      </c>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v>4</v>
      </c>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v>1</v>
      </c>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v>5</v>
      </c>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v>1</v>
      </c>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v>1</v>
      </c>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v>4</v>
      </c>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v>5</v>
      </c>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v>4</v>
      </c>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v>1</v>
      </c>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v>1</v>
      </c>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v>1</v>
      </c>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v>1</v>
      </c>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v>1</v>
      </c>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v>1</v>
      </c>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v>5</v>
      </c>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v>1</v>
      </c>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v>1</v>
      </c>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v>4</v>
      </c>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v>5</v>
      </c>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v>4</v>
      </c>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v>5</v>
      </c>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v>4</v>
      </c>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v>4</v>
      </c>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v>5</v>
      </c>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v>1</v>
      </c>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v>4</v>
      </c>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v>5</v>
      </c>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v>1</v>
      </c>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v>3</v>
      </c>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v>4</v>
      </c>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v>1</v>
      </c>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v>1</v>
      </c>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v>5</v>
      </c>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8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row r="62">
      <c r="A62" s="113" t="n">
        <v>46312</v>
      </c>
      <c r="B62" s="103" t="inlineStr">
        <is>
          <t>Automatic scan (all sources)</t>
        </is>
      </c>
      <c r="C62" s="103" t="inlineStr"/>
      <c r="D62" s="103" t="inlineStr">
        <is>
          <t>Automatic scan of World Bank (Tanzania, civil works),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6 new added to Pipeline (TanzaniaTenders.com: 6); 5 screened out; 0 deadline change(s)</t>
        </is>
      </c>
      <c r="E62" s="103" t="n">
        <v>6</v>
      </c>
      <c r="F62" s="103" t="inlineStr">
        <is>
          <t>Auto-scanner</t>
        </is>
      </c>
    </row>
    <row r="63">
      <c r="A63" s="113" t="n">
        <v>46314</v>
      </c>
      <c r="B63" s="103" t="inlineStr">
        <is>
          <t>Automatic scan (all sources)</t>
        </is>
      </c>
      <c r="C63" s="103" t="inlineStr"/>
      <c r="D6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4 new added to Pipeline (Small Works: 4); 1 screened out; 1 deadline change(s)</t>
        </is>
      </c>
      <c r="E63" s="103" t="n">
        <v>4</v>
      </c>
      <c r="F63" s="103" t="inlineStr">
        <is>
          <t>Auto-scanner</t>
        </is>
      </c>
    </row>
    <row r="64">
      <c r="A64" s="113" t="n">
        <v>46314</v>
      </c>
      <c r="B64" s="103" t="inlineStr">
        <is>
          <t>Automatic scan (all sources)</t>
        </is>
      </c>
      <c r="C64" s="103" t="inlineStr"/>
      <c r="D64" s="103" t="inlineStr">
        <is>
          <t>Automatic scan of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0 new added to Pipeline; 1 screened out; 0 deadline change(s)</t>
        </is>
      </c>
      <c r="E64" s="103" t="n">
        <v>0</v>
      </c>
      <c r="F64" s="103" t="inlineStr">
        <is>
          <t>Auto-scanner</t>
        </is>
      </c>
    </row>
    <row r="65">
      <c r="A65" s="113" t="n">
        <v>46314</v>
      </c>
      <c r="B65" s="103" t="inlineStr">
        <is>
          <t>Automatic scan (all sources)</t>
        </is>
      </c>
      <c r="C65" s="103" t="inlineStr"/>
      <c r="D65"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5" s="103" t="n">
        <v>1</v>
      </c>
      <c r="F65" s="103" t="inlineStr">
        <is>
          <t>Auto-scanner</t>
        </is>
      </c>
    </row>
    <row r="66">
      <c r="A66" s="113" t="n">
        <v>46315</v>
      </c>
      <c r="B66" s="103" t="inlineStr">
        <is>
          <t>Automatic scan (all sources)</t>
        </is>
      </c>
      <c r="C66" s="103" t="inlineStr"/>
      <c r="D66" s="103" t="inlineStr">
        <is>
          <t>Automatic scan of NeST, World Bank (Tanzania, civil works), TANROADS website, DDO Tenders (newspapers, private, donors), TanzaniaTenders.com (newspapers, portals, private): 14 new added to Pipeline (Small Works: 4, Standard Invitation for Quotations -Works: 10); 5 screened out; 1 deadline change(s)</t>
        </is>
      </c>
      <c r="E66" s="103" t="n">
        <v>14</v>
      </c>
      <c r="F66" s="103" t="inlineStr">
        <is>
          <t>Auto-scanner</t>
        </is>
      </c>
    </row>
    <row r="67">
      <c r="A67" s="113" t="n">
        <v>46315</v>
      </c>
      <c r="B67" s="103" t="inlineStr">
        <is>
          <t>Automatic scan (all sources)</t>
        </is>
      </c>
      <c r="C67" s="103" t="inlineStr"/>
      <c r="D67" s="103" t="inlineStr">
        <is>
          <t>Automatic scan of NeST, World Bank (Tanzania, civil works), TANROADS website, DDO Tenders (newspapers, private, donors), TanzaniaTenders.com (newspapers, portals, private): 1 new added to Pipeline (TanzaniaTenders.com: 1); 0 screened out; 0 deadline change(s)</t>
        </is>
      </c>
      <c r="E67" s="103" t="n">
        <v>1</v>
      </c>
      <c r="F67" s="103" t="inlineStr">
        <is>
          <t>Auto-scanner</t>
        </is>
      </c>
    </row>
    <row r="68">
      <c r="A68" s="113" t="n">
        <v>46316</v>
      </c>
      <c r="B68" s="103" t="inlineStr">
        <is>
          <t>Automatic scan (all sources)</t>
        </is>
      </c>
      <c r="C68" s="103" t="inlineStr"/>
      <c r="D68"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(Small Works: 3); 5 screened out; 0 deadline change(s)</t>
        </is>
      </c>
      <c r="E68" s="103" t="n">
        <v>3</v>
      </c>
      <c r="F68" s="103" t="inlineStr">
        <is>
          <t>Auto-scanner</t>
        </is>
      </c>
    </row>
    <row r="69">
      <c r="A69" s="113" t="n">
        <v>46316</v>
      </c>
      <c r="B69" s="103" t="inlineStr">
        <is>
          <t>Automatic scan (all sources)</t>
        </is>
      </c>
      <c r="C69" s="103" t="inlineStr"/>
      <c r="D6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(TanzaniaTenders.com: 3); 0 screened out; 0 deadline change(s)</t>
        </is>
      </c>
      <c r="E69" s="103" t="n">
        <v>3</v>
      </c>
      <c r="F69" s="103" t="inlineStr">
        <is>
          <t>Auto-scanner</t>
        </is>
      </c>
    </row>
    <row r="70">
      <c r="A70" s="113" t="n">
        <v>46316</v>
      </c>
      <c r="B70" s="103" t="inlineStr">
        <is>
          <t>Automatic scan (all sources)</t>
        </is>
      </c>
      <c r="C70" s="103" t="inlineStr"/>
      <c r="D7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70" s="103" t="n">
        <v>1</v>
      </c>
      <c r="F70" s="103" t="inlineStr">
        <is>
          <t>Auto-scanner</t>
        </is>
      </c>
    </row>
    <row r="71">
      <c r="A71" s="113" t="n">
        <v>46317</v>
      </c>
      <c r="B71" s="103" t="inlineStr">
        <is>
          <t>Automatic scan (all sources)</t>
        </is>
      </c>
      <c r="C71" s="103" t="inlineStr"/>
      <c r="D71"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5 new added to Pipeline (Small Works: 5); 0 screened out; 0 deadline change(s)</t>
        </is>
      </c>
      <c r="E71" s="103" t="n">
        <v>5</v>
      </c>
      <c r="F71" s="103" t="inlineStr">
        <is>
          <t>Auto-scanner</t>
        </is>
      </c>
    </row>
    <row r="72">
      <c r="A72" s="113" t="n">
        <v>46317</v>
      </c>
      <c r="B72" s="103" t="inlineStr">
        <is>
          <t>Automatic scan (all sources)</t>
        </is>
      </c>
      <c r="C72" s="103" t="inlineStr"/>
      <c r="D72"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72" s="103" t="n">
        <v>2</v>
      </c>
      <c r="F72" s="103" t="inlineStr">
        <is>
          <t>Auto-scanner</t>
        </is>
      </c>
    </row>
    <row r="73">
      <c r="A73" s="113" t="n">
        <v>46318</v>
      </c>
      <c r="B73" s="103" t="inlineStr">
        <is>
          <t>Automatic scan (all sources)</t>
        </is>
      </c>
      <c r="C73" s="103" t="inlineStr"/>
      <c r="D73" s="103" t="inlineStr">
        <is>
          <t>Automatic scan of NeST, World Bank (Tanzania, civil works), TANROADS website, DDO Tenders (newspapers, private, donors), TanzaniaTenders.com (newspapers, portals, private): 7 new added to Pipeline (Design and Build: 1, Small Works: 5, Standard Invitation for Quotations -Works: 1); 2 screened out; 1 deadline change(s)</t>
        </is>
      </c>
      <c r="E73" s="103" t="n">
        <v>7</v>
      </c>
      <c r="F73" s="103" t="inlineStr">
        <is>
          <t>Auto-scanner</t>
        </is>
      </c>
    </row>
    <row r="74">
      <c r="A74" s="113" t="n">
        <v>46318</v>
      </c>
      <c r="B74" s="103" t="inlineStr">
        <is>
          <t>Automatic scan (all sources)</t>
        </is>
      </c>
      <c r="C74" s="103" t="inlineStr"/>
      <c r="D74" s="103" t="inlineStr">
        <is>
          <t>Automatic scan of NeST, World Bank (Tanzania, civil works), TANROADS website, DDO Tenders (newspapers, private, donors), TanzaniaTenders.com (newspapers, portals, private): 1 new added to Pipeline (TanzaniaTenders.com: 1); 0 screened out; 0 deadline change(s)</t>
        </is>
      </c>
      <c r="E74" s="103" t="n">
        <v>1</v>
      </c>
      <c r="F74" s="103" t="inlineStr">
        <is>
          <t>Auto-scanner</t>
        </is>
      </c>
    </row>
    <row r="75">
      <c r="A75" s="113" t="n">
        <v>46318</v>
      </c>
      <c r="B75" s="103" t="inlineStr">
        <is>
          <t>Automatic scan (all sources)</t>
        </is>
      </c>
      <c r="C75" s="103" t="inlineStr"/>
      <c r="D75" s="103" t="inlineStr">
        <is>
          <t>Automatic scan of NeST, World Bank (Tanzania, civil works), TANROADS website, DDO Tenders (newspapers, private, donors), TanzaniaTenders.com (newspapers, portals, private): 1 new added to Pipeline (TanzaniaTenders.com: 1); 0 screened out; 0 deadline change(s)</t>
        </is>
      </c>
      <c r="E75" s="103" t="n">
        <v>1</v>
      </c>
      <c r="F75" s="103" t="inlineStr">
        <is>
          <t>Auto-scanner</t>
        </is>
      </c>
    </row>
    <row r="76">
      <c r="A76" s="113" t="n">
        <v>46319</v>
      </c>
      <c r="B76" s="103" t="inlineStr">
        <is>
          <t>Automatic scan (all sources)</t>
        </is>
      </c>
      <c r="C76" s="103" t="inlineStr"/>
      <c r="D76" s="103" t="inlineStr">
        <is>
          <t>Automatic scan of NeST, World Bank (Tanzania, civil works), TANROADS website, DDO Tenders (newspapers, private, donors), TanzaniaTenders.com (newspapers, portals, private): 2 new added to Pipeline (Small Works: 2); 3 screened out; 0 deadline change(s)</t>
        </is>
      </c>
      <c r="E76" s="103" t="n">
        <v>2</v>
      </c>
      <c r="F76" s="103" t="inlineStr">
        <is>
          <t>Auto-scanner</t>
        </is>
      </c>
    </row>
    <row r="77">
      <c r="A77" s="113" t="n">
        <v>46319</v>
      </c>
      <c r="B77" s="103" t="inlineStr">
        <is>
          <t>Automatic scan (all sources)</t>
        </is>
      </c>
      <c r="C77" s="103" t="inlineStr"/>
      <c r="D7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PPRA public notices, Exim Bank Tanzania tenders: 2 new added to Pipeline (TanzaniaTenders.com: 2); 1 screened out; 0 deadline change(s)</t>
        </is>
      </c>
      <c r="E77" s="103" t="n">
        <v>2</v>
      </c>
      <c r="F77" s="103" t="inlineStr">
        <is>
          <t>Auto-scanner</t>
        </is>
      </c>
    </row>
    <row r="78">
      <c r="A78" s="113" t="n">
        <v>46319</v>
      </c>
      <c r="B78" s="103" t="inlineStr">
        <is>
          <t>Automatic scan (all sources)</t>
        </is>
      </c>
      <c r="C78" s="103" t="inlineStr"/>
      <c r="D7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1 new added to Pipeline (TanzaniaTenders.com: 1); 0 screened out; 0 deadline change(s)</t>
        </is>
      </c>
      <c r="E78" s="103" t="n">
        <v>1</v>
      </c>
      <c r="F78" s="103" t="inlineStr">
        <is>
          <t>Auto-scanner</t>
        </is>
      </c>
    </row>
    <row r="79">
      <c r="A79" s="113" t="n">
        <v>46319</v>
      </c>
      <c r="B79" s="103" t="inlineStr">
        <is>
          <t>Automatic scan (all sources)</t>
        </is>
      </c>
      <c r="C79" s="103" t="inlineStr"/>
      <c r="D7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(BidDetail: 2); 0 screened out; 0 deadline change(s)</t>
        </is>
      </c>
      <c r="E79" s="103" t="n">
        <v>2</v>
      </c>
      <c r="F79" s="103" t="inlineStr">
        <is>
          <t>Auto-scanner</t>
        </is>
      </c>
    </row>
    <row r="80">
      <c r="A80" s="113" t="n">
        <v>46321</v>
      </c>
      <c r="B80" s="103" t="inlineStr">
        <is>
          <t>Automatic scan (all sources)</t>
        </is>
      </c>
      <c r="C80" s="103" t="inlineStr"/>
      <c r="D8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IUCEA procurement, ESAMI (Arusha) procurement, Shelter Afrique procurement, OPEC Fund procurement, IRC (International Rescue Committee) procurement, Norwegian Refugee Council procurement, Welthungerhilfe tenders, Concern Worldwide tenders: 3 new added to Pipeline (Small Works: 3); 2 screened out; 0 deadline change(s)</t>
        </is>
      </c>
      <c r="E80" s="103" t="n">
        <v>3</v>
      </c>
      <c r="F80" s="103" t="inlineStr">
        <is>
          <t>Auto-scanner</t>
        </is>
      </c>
    </row>
    <row r="81">
      <c r="A81" s="113" t="n">
        <v>46321</v>
      </c>
      <c r="B81" s="103" t="inlineStr">
        <is>
          <t>Automatic scan (all sources)</t>
        </is>
      </c>
      <c r="C81" s="103" t="inlineStr"/>
      <c r="D81"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PPRA public notices, Exim Bank Tanzania tenders: 1 new added to Pipeline (DDO Tenders: 1); 0 screened out; 0 deadline change(s)</t>
        </is>
      </c>
      <c r="E81" s="103" t="n">
        <v>1</v>
      </c>
      <c r="F81" s="103" t="inlineStr">
        <is>
          <t>Auto-scanner</t>
        </is>
      </c>
    </row>
    <row r="82">
      <c r="A82" s="113" t="n">
        <v>46321</v>
      </c>
      <c r="B82" s="103" t="inlineStr">
        <is>
          <t>Automatic scan (all sources)</t>
        </is>
      </c>
      <c r="C82" s="103" t="inlineStr"/>
      <c r="D82" s="103" t="inlineStr">
        <is>
          <t>Automatic scan of World Bank (Tanzania, civil works),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3 screened out; 0 deadline change(s)</t>
        </is>
      </c>
      <c r="E82" s="103" t="n">
        <v>2</v>
      </c>
      <c r="F82" s="103" t="inlineStr">
        <is>
          <t>Auto-scanner</t>
        </is>
      </c>
    </row>
    <row r="83">
      <c r="A83" s="113" t="n">
        <v>46322</v>
      </c>
      <c r="B83" s="103" t="inlineStr">
        <is>
          <t>Automatic scan (all sources)</t>
        </is>
      </c>
      <c r="C83" s="103" t="inlineStr"/>
      <c r="D8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 screened out; 0 deadline change(s)</t>
        </is>
      </c>
      <c r="E83" s="103" t="n">
        <v>0</v>
      </c>
      <c r="F83" s="103" t="inlineStr">
        <is>
          <t>Auto-scanner</t>
        </is>
      </c>
    </row>
    <row r="84">
      <c r="A84" s="113" t="n">
        <v>46323</v>
      </c>
      <c r="B84" s="103" t="inlineStr">
        <is>
          <t>Automatic scan (all sources)</t>
        </is>
      </c>
      <c r="C84" s="103" t="inlineStr"/>
      <c r="D8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4 new added to Pipeline (Standard Invitation for Quotations -Works: 1, Design and Build: 1, Small Works: 2); 4 screened out; 0 deadline change(s)</t>
        </is>
      </c>
      <c r="E84" s="103" t="n">
        <v>4</v>
      </c>
      <c r="F84" s="103" t="inlineStr">
        <is>
          <t>Auto-scanner</t>
        </is>
      </c>
    </row>
    <row r="85">
      <c r="A85" s="113" t="n">
        <v>46324</v>
      </c>
      <c r="B85" s="103" t="inlineStr">
        <is>
          <t>Automatic scan (all sources)</t>
        </is>
      </c>
      <c r="C85" s="103" t="inlineStr"/>
      <c r="D85" s="103" t="inlineStr">
        <is>
          <t>Automatic scan of NeST, World Bank (Tanzania, civil works), TANROADS website, DDO Tenders (newspapers, private, donors), TanzaniaTenders.com (newspapers, portals, private), CRDB Bank tenders, TPA current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7 new added to Pipeline (Standard Invitation for Quotations -Works: 1, Small Works: 6); 3 screened out; 1 deadline change(s)</t>
        </is>
      </c>
      <c r="E85" s="103" t="n">
        <v>7</v>
      </c>
      <c r="F85" s="103" t="inlineStr">
        <is>
          <t>Auto-scanner</t>
        </is>
      </c>
    </row>
    <row r="86">
      <c r="A86" s="113" t="n">
        <v>46324</v>
      </c>
      <c r="B86" s="103" t="inlineStr">
        <is>
          <t>Automatic scan (all sources)</t>
        </is>
      </c>
      <c r="C86" s="103" t="inlineStr"/>
      <c r="D86" s="103" t="inlineStr">
        <is>
          <t>Automatic scan of NeST, World Bank (Tanzania, civil works), TANROADS website, DDO Tenders (newspapers, private, donors), TanzaniaTenders.com (newspapers, portals, private), CRDB Bank tenders, TPA current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(DDO Tenders: 1); 0 screened out; 0 deadline change(s)</t>
        </is>
      </c>
      <c r="E86" s="103" t="n">
        <v>1</v>
      </c>
      <c r="F86" s="103" t="inlineStr">
        <is>
          <t>Auto-scanner</t>
        </is>
      </c>
    </row>
    <row r="87">
      <c r="A87" s="113" t="n">
        <v>46325</v>
      </c>
      <c r="B87" s="103" t="inlineStr">
        <is>
          <t>Automatic scan (all sources)</t>
        </is>
      </c>
      <c r="C87" s="103" t="inlineStr"/>
      <c r="D87" s="103" t="inlineStr">
        <is>
          <t>Automatic scan of NeST, World Bank (Tanzania, civil works), TANROADS website, DDO Tenders (newspapers, private, donors), TanzaniaTenders.com (newspapers, portals, private), CRDB Bank tenders, TPA current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6 new added to Pipeline (Standard Invitation for Quotations -Works: 1, Small Works: 4, World Bank - Request for Bids: 1); 6 screened out; 1 deadline change(s)</t>
        </is>
      </c>
      <c r="E87" s="103" t="n">
        <v>6</v>
      </c>
      <c r="F87"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46"/>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row r="105">
      <c r="A105" s="114" t="n">
        <v>46312</v>
      </c>
      <c r="B105" s="111" t="inlineStr"/>
      <c r="C105" s="111" t="inlineStr">
        <is>
          <t>See advert</t>
        </is>
      </c>
      <c r="D105" s="111" t="inlineStr">
        <is>
          <t>Rehabilitation of Engaruka Juu Irrigation Scheme (Main Canal 250M) at Engaruka Chini Vilage in Monduli District</t>
        </is>
      </c>
      <c r="E105" s="111" t="inlineStr">
        <is>
          <t>Arusha (Monduli)</t>
        </is>
      </c>
      <c r="F105" s="111" t="inlineStr">
        <is>
          <t>civil</t>
        </is>
      </c>
      <c r="G105" s="115" t="n">
        <v>46318.41666666666</v>
      </c>
      <c r="H105" s="111" t="inlineStr">
        <is>
          <t>Auto (TanzaniaTenders.com): Remote civil works · deadline read from the web page – confirm</t>
        </is>
      </c>
      <c r="I105" s="111" t="inlineStr">
        <is>
          <t>TZT:151084287</t>
        </is>
      </c>
      <c r="J105" s="111" t="inlineStr">
        <is>
          <t>press</t>
        </is>
      </c>
      <c r="K105" s="111" t="inlineStr">
        <is>
          <t>https://www.tanzaniatenders.com/tender/rehabilitation-engaruka-juu-irrigation-scheme-main-canal-250m-engaruka-chini-vilage-monduli-distri-9015cff.php</t>
        </is>
      </c>
    </row>
    <row r="106">
      <c r="A106" s="114" t="n">
        <v>46312</v>
      </c>
      <c r="B106" s="111" t="inlineStr"/>
      <c r="C106" s="111" t="inlineStr">
        <is>
          <t>See advert</t>
        </is>
      </c>
      <c r="D106" s="111" t="inlineStr">
        <is>
          <t>Rehabilitation of Irerendeni Village Irrigation Scheme (Main Canal 250M) at Engaruka Chini Vilage in Monduli District</t>
        </is>
      </c>
      <c r="E106" s="111" t="inlineStr">
        <is>
          <t>Arusha (Monduli)</t>
        </is>
      </c>
      <c r="F106" s="111" t="inlineStr">
        <is>
          <t>civil</t>
        </is>
      </c>
      <c r="G106" s="115" t="n">
        <v>46318.41666666666</v>
      </c>
      <c r="H106" s="111" t="inlineStr">
        <is>
          <t>Auto (TanzaniaTenders.com): Remote civil works · deadline read from the web page – confirm</t>
        </is>
      </c>
      <c r="I106" s="111" t="inlineStr">
        <is>
          <t>TZT:151084284</t>
        </is>
      </c>
      <c r="J106" s="111" t="inlineStr">
        <is>
          <t>press</t>
        </is>
      </c>
      <c r="K106" s="111" t="inlineStr">
        <is>
          <t>https://www.tanzaniatenders.com/tender/rehabilitation-irerendeni-village-irrigation-scheme-main-canal-250m-engaruka-chini-vilage-monduli-9015cfc.php</t>
        </is>
      </c>
    </row>
    <row r="107">
      <c r="A107" s="114" t="n">
        <v>46312</v>
      </c>
      <c r="B107" s="111" t="inlineStr"/>
      <c r="C107" s="111" t="inlineStr">
        <is>
          <t>See advert</t>
        </is>
      </c>
      <c r="D107" s="111" t="inlineStr">
        <is>
          <t>Rehabilitation of Oldonyo Lengai Village Irrigation Scheme (Main Canal 250M) at Engaruka Chini Vilage in Monduli District</t>
        </is>
      </c>
      <c r="E107" s="111" t="inlineStr">
        <is>
          <t>Arusha (Monduli)</t>
        </is>
      </c>
      <c r="F107" s="111" t="inlineStr">
        <is>
          <t>civil</t>
        </is>
      </c>
      <c r="G107" s="115" t="n">
        <v>46318.41666666666</v>
      </c>
      <c r="H107" s="111" t="inlineStr">
        <is>
          <t>Auto (TanzaniaTenders.com): Remote civil works · deadline read from the web page – confirm</t>
        </is>
      </c>
      <c r="I107" s="111" t="inlineStr">
        <is>
          <t>TZT:151084261</t>
        </is>
      </c>
      <c r="J107" s="111" t="inlineStr">
        <is>
          <t>press</t>
        </is>
      </c>
      <c r="K107" s="111" t="inlineStr">
        <is>
          <t>https://www.tanzaniatenders.com/tender/rehabilitation-oldonyo-lengai-village-irrigation-scheme-main-canal-250m-engaruka-chini-vilage-mond-9015ce5.php</t>
        </is>
      </c>
    </row>
    <row r="108">
      <c r="A108" s="114" t="n">
        <v>46312</v>
      </c>
      <c r="B108" s="111" t="inlineStr"/>
      <c r="C108" s="111" t="inlineStr">
        <is>
          <t>See advert</t>
        </is>
      </c>
      <c r="D108" s="111" t="inlineStr">
        <is>
          <t>Rehabilitation Works Along Ikungi - Londoni - Kilimatinde (Solya) Unpaved Regional Road (R431) to be Financed through Development Roads Funds, Rehabilitation Works Along Ikungi - Londoni - Kilimatinde...</t>
        </is>
      </c>
      <c r="E108" s="111" t="inlineStr">
        <is>
          <t>Singida (Ikungi)</t>
        </is>
      </c>
      <c r="F108" s="111" t="inlineStr">
        <is>
          <t>civil</t>
        </is>
      </c>
      <c r="G108" s="115" t="n">
        <v>46318.41666666666</v>
      </c>
      <c r="H108" s="111" t="inlineStr">
        <is>
          <t>Auto (TanzaniaTenders.com): Remote civil works · deadline read from the web page – confirm</t>
        </is>
      </c>
      <c r="I108" s="111" t="inlineStr">
        <is>
          <t>TZT:151084224</t>
        </is>
      </c>
      <c r="J108" s="111" t="inlineStr">
        <is>
          <t>press</t>
        </is>
      </c>
      <c r="K108" s="111" t="inlineStr">
        <is>
          <t>https://www.tanzaniatenders.com/tender/rehabilitation-works-along-ikungi-londoni-kilimatinde-solya-unpaved-regional-road-r431-be-fi-9015cc0.php</t>
        </is>
      </c>
    </row>
    <row r="109">
      <c r="A109" s="114" t="n">
        <v>46312</v>
      </c>
      <c r="B109" s="111" t="inlineStr"/>
      <c r="C109" s="111" t="inlineStr">
        <is>
          <t>See advert</t>
        </is>
      </c>
      <c r="D109" s="111" t="inlineStr">
        <is>
          <t>Widening of Misigiri - Kiomboi (Reconstruction to Bitumen Standard from Km 16 + 450 - Km 16 + 650) Paved Regional Road (R423) to be Financed through Development Consolidated Funds and Widening Along M...</t>
        </is>
      </c>
      <c r="E109" s="111" t="inlineStr">
        <is>
          <t>Not stated – read the notice</t>
        </is>
      </c>
      <c r="F109" s="111" t="inlineStr">
        <is>
          <t>civil</t>
        </is>
      </c>
      <c r="G109" s="115" t="n">
        <v>46318.41666666666</v>
      </c>
      <c r="H109" s="111" t="inlineStr">
        <is>
          <t>Auto (TanzaniaTenders.com): Large road works, likely above Civil Class IV – JV only (escalate to MD if of interest) · deadline read from the web page – confirm</t>
        </is>
      </c>
      <c r="I109" s="111" t="inlineStr">
        <is>
          <t>TZT:151084220</t>
        </is>
      </c>
      <c r="J109" s="111" t="inlineStr">
        <is>
          <t>press</t>
        </is>
      </c>
      <c r="K109" s="111" t="inlineStr">
        <is>
          <t>https://www.tanzaniatenders.com/tender/widening-misigiri-kiomboi-reconstruction-bitumen-standard-km-16-450-km-16-650-paved-region-9015cbc.php</t>
        </is>
      </c>
    </row>
    <row r="110">
      <c r="A110" s="114" t="n">
        <v>46314</v>
      </c>
      <c r="B110" s="111" t="inlineStr">
        <is>
          <t>S10/011/2026/2027/W/80</t>
        </is>
      </c>
      <c r="C110" s="111" t="inlineStr">
        <is>
          <t>TARURA - Manyara Regional Office</t>
        </is>
      </c>
      <c r="D110" s="111" t="inlineStr">
        <is>
          <t>Upgrading Dongobesh and Haydom town gravel Roads to tarmac standard</t>
        </is>
      </c>
      <c r="E110" s="111" t="inlineStr">
        <is>
          <t>Manyara (Babati) (from client's office – confirm site)</t>
        </is>
      </c>
      <c r="F110" s="111" t="inlineStr">
        <is>
          <t>civil</t>
        </is>
      </c>
      <c r="G110" s="115" t="n">
        <v>46321.58333333334</v>
      </c>
      <c r="H110" s="111" t="inlineStr">
        <is>
          <t>Auto (Small Works / Tender): Large road works, likely above Civil Class IV – JV only (escalate to MD if of interest)</t>
        </is>
      </c>
      <c r="I110" s="111" t="inlineStr">
        <is>
          <t>bf97b668-544f-41d2-acaa-c0ec7a48a57e</t>
        </is>
      </c>
      <c r="J110" s="111" t="inlineStr">
        <is>
          <t>NeST</t>
        </is>
      </c>
      <c r="K110" s="111" t="inlineStr">
        <is>
          <t>https://nest.go.tz/tenders/published-tenders</t>
        </is>
      </c>
    </row>
    <row r="111">
      <c r="A111" s="114" t="n">
        <v>46314</v>
      </c>
      <c r="B111" s="111" t="inlineStr"/>
      <c r="C111" s="111" t="inlineStr">
        <is>
          <t>See advert</t>
        </is>
      </c>
      <c r="D111" s="111" t="inlineStr">
        <is>
          <t>Upgrading Dongobesh and Haydom Town Gravel Roads to Tarmac Standard</t>
        </is>
      </c>
      <c r="E111" s="111" t="inlineStr">
        <is>
          <t>Not stated – read the notice</t>
        </is>
      </c>
      <c r="F111" s="111" t="inlineStr">
        <is>
          <t>civil</t>
        </is>
      </c>
      <c r="G111" s="115" t="n">
        <v>46321.41666666666</v>
      </c>
      <c r="H111" s="111" t="inlineStr">
        <is>
          <t>Auto (TanzaniaTenders.com): Large road works, likely above Civil Class IV – JV only (escalate to MD if of interest) · deadline read from the web page – confirm</t>
        </is>
      </c>
      <c r="I111" s="111" t="inlineStr">
        <is>
          <t>TZT:151144519</t>
        </is>
      </c>
      <c r="J111" s="111" t="inlineStr">
        <is>
          <t>press</t>
        </is>
      </c>
      <c r="K111" s="111" t="inlineStr">
        <is>
          <t>https://www.tanzaniatenders.com/tender/upgrading-dongobesh-and-haydom-town-gravel-roads-tarmac-standard-9024847.php</t>
        </is>
      </c>
    </row>
    <row r="112">
      <c r="A112" s="114" t="n">
        <v>46315</v>
      </c>
      <c r="B112" s="111" t="inlineStr">
        <is>
          <t>S10/005/2026/2027/W/78</t>
        </is>
      </c>
      <c r="C112" s="111" t="inlineStr">
        <is>
          <t>TARURA - Iringa Regional Office</t>
        </is>
      </c>
      <c r="D112" s="111" t="inlineStr">
        <is>
          <t>PERIODIC IDUNDA - KINEGEMBASI ROAD (7KM) AND NYOLOLO - KIHENZILE SECONDARY ROAD (2.5KM) (SPECIAL GROUPS)</t>
        </is>
      </c>
      <c r="E112" s="111" t="inlineStr">
        <is>
          <t>Iringa (from client's office – confirm site)</t>
        </is>
      </c>
      <c r="F112" s="111" t="inlineStr">
        <is>
          <t>civil</t>
        </is>
      </c>
      <c r="G112" s="115" t="n">
        <v>46321.41666666666</v>
      </c>
      <c r="H112" s="111" t="inlineStr">
        <is>
          <t>Auto (Small Works / Tender): Remote civil works</t>
        </is>
      </c>
      <c r="I112" s="111" t="inlineStr">
        <is>
          <t>249d3f1b-24d7-4a96-a571-44879f028fea</t>
        </is>
      </c>
      <c r="J112" s="111" t="inlineStr">
        <is>
          <t>NeST</t>
        </is>
      </c>
      <c r="K112" s="111" t="inlineStr">
        <is>
          <t>https://nest.go.tz/tenders/published-tenders</t>
        </is>
      </c>
    </row>
    <row r="113">
      <c r="A113" s="114" t="n">
        <v>46315</v>
      </c>
      <c r="B113" s="111" t="inlineStr">
        <is>
          <t>S10/005/2026/2027/W/67</t>
        </is>
      </c>
      <c r="C113" s="111" t="inlineStr">
        <is>
          <t>TARURA - Iringa Regional Office</t>
        </is>
      </c>
      <c r="D113" s="111" t="inlineStr">
        <is>
          <t>SPOT IMPROVEMENT WORKS ALONG IKENGEZA - IGODIKAFU (7.0KM) MBUYUNI - MLOWA ISMANI - IKENGEZA (5KM) ISMANI - CHAMNDIDI (4.5KM) AND NYANG'ORO - HOLO (4KM) ROADS IN IRINGA DISTRICT (IRINGA REGION LABOR BASED CONTACTORS ONLY)</t>
        </is>
      </c>
      <c r="E113" s="111" t="inlineStr">
        <is>
          <t>Iringa</t>
        </is>
      </c>
      <c r="F113" s="111" t="inlineStr">
        <is>
          <t>civil</t>
        </is>
      </c>
      <c r="G113" s="115" t="n">
        <v>46321.41666666666</v>
      </c>
      <c r="H113" s="111" t="inlineStr">
        <is>
          <t>Auto (Small Works / Tender): Remote civil works</t>
        </is>
      </c>
      <c r="I113" s="111" t="inlineStr">
        <is>
          <t>1b52d704-c47d-4503-b6af-7b3ddb89f7a6</t>
        </is>
      </c>
      <c r="J113" s="111" t="inlineStr">
        <is>
          <t>NeST</t>
        </is>
      </c>
      <c r="K113" s="111" t="inlineStr">
        <is>
          <t>https://nest.go.tz/tenders/published-tenders</t>
        </is>
      </c>
    </row>
    <row r="114">
      <c r="A114" s="114" t="n">
        <v>46315</v>
      </c>
      <c r="B114" s="111" t="inlineStr">
        <is>
          <t>83P1/2026/2027/W/09</t>
        </is>
      </c>
      <c r="C114" s="111" t="inlineStr">
        <is>
          <t>Bariadi District Council</t>
        </is>
      </c>
      <c r="D114" s="111" t="inlineStr">
        <is>
          <t>TWO RESIDENTIAL HOUSE FOR COUNCIL HEAD OF DEPARTMENTS</t>
        </is>
      </c>
      <c r="E114" s="111" t="inlineStr">
        <is>
          <t>Simiyu (from client's office – confirm site)</t>
        </is>
      </c>
      <c r="F114" s="111" t="inlineStr">
        <is>
          <t>building</t>
        </is>
      </c>
      <c r="G114" s="115" t="n">
        <v>46321.41666666666</v>
      </c>
      <c r="H114" s="111" t="inlineStr">
        <is>
          <t>Auto (Standard Invitation for Quotations -Works / Planned Tender): Remote and closing soon</t>
        </is>
      </c>
      <c r="I114" s="111" t="inlineStr">
        <is>
          <t>0e1c9c1d-f0c9-4014-b4a0-ff26b0a9d5e2</t>
        </is>
      </c>
      <c r="J114" s="111" t="inlineStr">
        <is>
          <t>NeST</t>
        </is>
      </c>
      <c r="K114" s="111" t="inlineStr">
        <is>
          <t>https://nest.go.tz/tenders/published-tenders</t>
        </is>
      </c>
    </row>
    <row r="115">
      <c r="A115" s="114" t="n">
        <v>46315</v>
      </c>
      <c r="B115" s="111" t="inlineStr">
        <is>
          <t>S10/005/2026/2027/W/73</t>
        </is>
      </c>
      <c r="C115" s="111" t="inlineStr">
        <is>
          <t>TARURA - Iringa Regional Office</t>
        </is>
      </c>
      <c r="D115" s="111" t="inlineStr">
        <is>
          <t>SPOT IMPROVEMENT OF ISUPILO - ITIMBO (1.3KM) AND PERIODIC MAINTENANCE OF NUNDWE - IKONGOSI ROADS (10KM) IN MUFINDI DC (SPECIAL GROUPS)</t>
        </is>
      </c>
      <c r="E115" s="111" t="inlineStr">
        <is>
          <t>Iringa (Mufindi)</t>
        </is>
      </c>
      <c r="F115" s="111" t="inlineStr">
        <is>
          <t>civil</t>
        </is>
      </c>
      <c r="G115" s="115" t="n">
        <v>46321.41666666666</v>
      </c>
      <c r="H115" s="111" t="inlineStr">
        <is>
          <t>Auto (Small Works / Tender): Remote civil works</t>
        </is>
      </c>
      <c r="I115" s="111" t="inlineStr">
        <is>
          <t>66b82abe-127a-4eb3-b095-9b78cf8900b1</t>
        </is>
      </c>
      <c r="J115" s="111" t="inlineStr">
        <is>
          <t>NeST</t>
        </is>
      </c>
      <c r="K115" s="111" t="inlineStr">
        <is>
          <t>https://nest.go.tz/tenders/published-tenders</t>
        </is>
      </c>
    </row>
    <row r="116">
      <c r="A116" s="114" t="n">
        <v>46315</v>
      </c>
      <c r="B116" s="111" t="inlineStr">
        <is>
          <t>S10/022/2026/2027/W/67</t>
        </is>
      </c>
      <c r="C116" s="111" t="inlineStr">
        <is>
          <t>TARURA - Simiyu Regional Office</t>
        </is>
      </c>
      <c r="D116" s="111" t="inlineStr">
        <is>
          <t>Routine Maintenance and Spot Improvement along mahembe -kinangweri (2km), mwamapalala - bukingwaminzi - kinang'weli (4km), inalo - mahembe – sawida (4km), sunzula - mahaha (3km) gambasingu - nkoma - mwamapalala (4km)</t>
        </is>
      </c>
      <c r="E116" s="111" t="inlineStr">
        <is>
          <t>Simiyu (from client's office – confirm site)</t>
        </is>
      </c>
      <c r="F116" s="111" t="inlineStr">
        <is>
          <t>civil</t>
        </is>
      </c>
      <c r="G116" s="115" t="n">
        <v>46321.58333333334</v>
      </c>
      <c r="H116" s="111" t="inlineStr">
        <is>
          <t>Auto (Small Works / Tender): Remote civil works</t>
        </is>
      </c>
      <c r="I116" s="111" t="inlineStr">
        <is>
          <t>66491798-66d7-4ca4-90d2-c06d330f9103</t>
        </is>
      </c>
      <c r="J116" s="111" t="inlineStr">
        <is>
          <t>NeST</t>
        </is>
      </c>
      <c r="K116" s="111" t="inlineStr">
        <is>
          <t>https://nest.go.tz/tenders/published-tenders</t>
        </is>
      </c>
    </row>
    <row r="117">
      <c r="A117" s="114" t="n">
        <v>46316</v>
      </c>
      <c r="B117" s="111" t="inlineStr">
        <is>
          <t>TR36/001/2026/2027/W/65</t>
        </is>
      </c>
      <c r="C117" s="111" t="inlineStr">
        <is>
          <t>TANROADS - Arusha Regional Office</t>
        </is>
      </c>
      <c r="D117" s="111" t="inlineStr">
        <is>
          <t>Bridge Preventive Works along Monduli - Lolkisale (UP), Monduli - Engaruka (P &amp; UP), Karatu - Kilimapunda (UP) and Makao - Kimba (UP), Mto wa Mbu - Loliondo (UP) and Longido - Oldonyolengai Regional Roads.</t>
        </is>
      </c>
      <c r="E117" s="111" t="inlineStr">
        <is>
          <t>Arusha (Monduli)</t>
        </is>
      </c>
      <c r="F117" s="111" t="inlineStr">
        <is>
          <t>civil</t>
        </is>
      </c>
      <c r="G117" s="115" t="n">
        <v>46323.58333333334</v>
      </c>
      <c r="H117" s="111" t="inlineStr">
        <is>
          <t>Auto (Small Works / Tender): Remote civil works</t>
        </is>
      </c>
      <c r="I117" s="111" t="inlineStr">
        <is>
          <t>7c989877-62be-4180-8a60-576352e33fe2</t>
        </is>
      </c>
      <c r="J117" s="111" t="inlineStr">
        <is>
          <t>NeST</t>
        </is>
      </c>
      <c r="K117" s="111" t="inlineStr">
        <is>
          <t>https://nest.go.tz/tenders/published-tenders</t>
        </is>
      </c>
    </row>
    <row r="118">
      <c r="A118" s="114" t="n">
        <v>46316</v>
      </c>
      <c r="B118" s="111" t="inlineStr">
        <is>
          <t>TR36/001/2026/2027/W/57</t>
        </is>
      </c>
      <c r="C118" s="111" t="inlineStr">
        <is>
          <t>TANROADS - Arusha Regional Office</t>
        </is>
      </c>
      <c r="D118" s="111" t="inlineStr">
        <is>
          <t>Upgrading of Usariver - Momela - Arusha National Park - 55km and Usariver - Oldonyosambu Roads to Bitumen Standard.</t>
        </is>
      </c>
      <c r="E118" s="111" t="inlineStr">
        <is>
          <t>Arusha</t>
        </is>
      </c>
      <c r="F118" s="111" t="inlineStr">
        <is>
          <t>civil</t>
        </is>
      </c>
      <c r="G118" s="115" t="n">
        <v>46323.58333333334</v>
      </c>
      <c r="H118" s="111" t="inlineStr">
        <is>
          <t>Auto (Small Works / Tender): Large road works, likely above Civil Class IV – JV only (escalate to MD if of interest)</t>
        </is>
      </c>
      <c r="I118" s="111" t="inlineStr">
        <is>
          <t>7062aa7a-a4ab-4e28-8db2-723192a21454</t>
        </is>
      </c>
      <c r="J118" s="111" t="inlineStr">
        <is>
          <t>NeST</t>
        </is>
      </c>
      <c r="K118" s="111" t="inlineStr">
        <is>
          <t>https://nest.go.tz/tenders/published-tenders</t>
        </is>
      </c>
    </row>
    <row r="119">
      <c r="A119" s="114" t="n">
        <v>46316</v>
      </c>
      <c r="B119" s="111" t="inlineStr">
        <is>
          <t>TR36/001/2026/2027/W/30</t>
        </is>
      </c>
      <c r="C119" s="111" t="inlineStr">
        <is>
          <t>TANROADS - Arusha Regional Office</t>
        </is>
      </c>
      <c r="D119" s="111" t="inlineStr">
        <is>
          <t>Periodic Maintenance works, Routine /Recurrent works and Bridge Preventive works along M/Mbu - Loliondo (UP &amp; P)</t>
        </is>
      </c>
      <c r="E119" s="111" t="inlineStr">
        <is>
          <t>Arusha (Loliondo)</t>
        </is>
      </c>
      <c r="F119" s="111" t="inlineStr">
        <is>
          <t>civil</t>
        </is>
      </c>
      <c r="G119" s="115" t="n">
        <v>46323.58333333334</v>
      </c>
      <c r="H119" s="111" t="inlineStr">
        <is>
          <t>Auto (Small Works / Tender): Remote civil works</t>
        </is>
      </c>
      <c r="I119" s="111" t="inlineStr">
        <is>
          <t>ba20aa35-0526-4632-b501-9b97c5d77dcd</t>
        </is>
      </c>
      <c r="J119" s="111" t="inlineStr">
        <is>
          <t>NeST</t>
        </is>
      </c>
      <c r="K119" s="111" t="inlineStr">
        <is>
          <t>https://nest.go.tz/tenders/published-tenders</t>
        </is>
      </c>
    </row>
    <row r="120">
      <c r="A120" s="114" t="n">
        <v>46316</v>
      </c>
      <c r="B120" s="111" t="inlineStr">
        <is>
          <t>82N7/2026/2027/W/25</t>
        </is>
      </c>
      <c r="C120" s="111" t="inlineStr">
        <is>
          <t>Mbinga Town Council</t>
        </is>
      </c>
      <c r="D120" s="111" t="inlineStr">
        <is>
          <t>COMPLETION, RENOVATION AND IMPROVEMENT OF THE COUNCIL DIRECTOR'S RESIDENCE</t>
        </is>
      </c>
      <c r="E120" s="111" t="inlineStr">
        <is>
          <t>Ruvuma (Mbinga) (from client's office – confirm site)</t>
        </is>
      </c>
      <c r="F120" s="111" t="inlineStr">
        <is>
          <t>renovation</t>
        </is>
      </c>
      <c r="G120" s="115" t="n">
        <v>46322.58333333334</v>
      </c>
      <c r="H120" s="111" t="inlineStr">
        <is>
          <t>Auto (Small Works / Tender): Remote and closing soon</t>
        </is>
      </c>
      <c r="I120" s="111" t="inlineStr">
        <is>
          <t>eed2c14e-3602-412c-91fd-164445eefb3a</t>
        </is>
      </c>
      <c r="J120" s="111" t="inlineStr">
        <is>
          <t>NeST</t>
        </is>
      </c>
      <c r="K120" s="111" t="inlineStr">
        <is>
          <t>https://nest.go.tz/tenders/published-tenders</t>
        </is>
      </c>
    </row>
    <row r="121">
      <c r="A121" s="114" t="n">
        <v>46316</v>
      </c>
      <c r="B121" s="111" t="inlineStr">
        <is>
          <t>82/2026/2027/W/17</t>
        </is>
      </c>
      <c r="C121" s="111" t="inlineStr">
        <is>
          <t>Ruvuma Regional Secretariat</t>
        </is>
      </c>
      <c r="D121" s="111" t="inlineStr">
        <is>
          <t>The Rehabilitation and Renovation of the Nyasa District Commissioner's office at Nyasa District Council</t>
        </is>
      </c>
      <c r="E121" s="111" t="inlineStr">
        <is>
          <t>Ruvuma (Songea) (from client's office – confirm site)</t>
        </is>
      </c>
      <c r="F121" s="111" t="inlineStr">
        <is>
          <t>renovation</t>
        </is>
      </c>
      <c r="G121" s="115" t="n">
        <v>46322.58333333334</v>
      </c>
      <c r="H121" s="111" t="inlineStr">
        <is>
          <t>Auto (Small Works / Tender): Remote and closing soon</t>
        </is>
      </c>
      <c r="I121" s="111" t="inlineStr">
        <is>
          <t>0a35eb01-9381-4443-a3e7-da7ff9a4ffd0</t>
        </is>
      </c>
      <c r="J121" s="111" t="inlineStr">
        <is>
          <t>NeST</t>
        </is>
      </c>
      <c r="K121" s="111" t="inlineStr">
        <is>
          <t>https://nest.go.tz/tenders/published-tenders</t>
        </is>
      </c>
    </row>
    <row r="122">
      <c r="A122" s="114" t="n">
        <v>46318</v>
      </c>
      <c r="B122" s="111" t="inlineStr">
        <is>
          <t>75F5/2026/2027/W/05</t>
        </is>
      </c>
      <c r="C122" s="111" t="inlineStr">
        <is>
          <t>Mwanga District Council</t>
        </is>
      </c>
      <c r="D122" s="111" t="inlineStr">
        <is>
          <t>Rehabilitation of Water Dam at Pangaro</t>
        </is>
      </c>
      <c r="E122" s="111" t="inlineStr">
        <is>
          <t>Kilimanjaro (Mwanga) (from client's office – confirm site)</t>
        </is>
      </c>
      <c r="F122" s="111" t="inlineStr">
        <is>
          <t>civil</t>
        </is>
      </c>
      <c r="G122" s="115" t="n">
        <v>46325.58333333334</v>
      </c>
      <c r="H122" s="111" t="inlineStr">
        <is>
          <t>Auto (Small Works / Tender): Remote civil works</t>
        </is>
      </c>
      <c r="I122" s="111" t="inlineStr">
        <is>
          <t>ed03dce5-f80e-4d02-9846-5bc9089d155f</t>
        </is>
      </c>
      <c r="J122" s="111" t="inlineStr">
        <is>
          <t>NeST</t>
        </is>
      </c>
      <c r="K122" s="111" t="inlineStr">
        <is>
          <t>https://nest.go.tz/tenders/published-tenders</t>
        </is>
      </c>
    </row>
    <row r="123">
      <c r="A123" s="114" t="n">
        <v>46318</v>
      </c>
      <c r="B123" s="111" t="inlineStr">
        <is>
          <t>TR36/2026/2027/W/17</t>
        </is>
      </c>
      <c r="C123" s="111" t="inlineStr">
        <is>
          <t>Tanzania National Roads Agency</t>
        </is>
      </c>
      <c r="D123" s="111" t="inlineStr">
        <is>
          <t>UPGRADING OF MIKA - UTEGI - SHIRATI - KIRONGWE - RUARI PORT REGIONAL ROAD (56.80 KM) TO BITUMEN STANDARD: LOT 1: MIKA - UTEGI - SHIRATI SECTION (27.0 KM) IN MARA REGION</t>
        </is>
      </c>
      <c r="E123" s="111" t="inlineStr">
        <is>
          <t>Dodoma (from client's office – confirm site)</t>
        </is>
      </c>
      <c r="F123" s="111" t="inlineStr">
        <is>
          <t>civil</t>
        </is>
      </c>
      <c r="G123" s="115" t="n">
        <v>46331.58333333334</v>
      </c>
      <c r="H123" s="111" t="inlineStr">
        <is>
          <t>Auto (Medium and Large Works / Tender): Large road works, likely above Civil Class IV – JV only (escalate to MD if of interest)</t>
        </is>
      </c>
      <c r="I123" s="111" t="inlineStr">
        <is>
          <t>148d1208-f033-4ded-9183-1a75aeebb8e9</t>
        </is>
      </c>
      <c r="J123" s="111" t="inlineStr">
        <is>
          <t>NeST</t>
        </is>
      </c>
      <c r="K123" s="111" t="inlineStr">
        <is>
          <t>https://nest.go.tz/tenders/published-tenders</t>
        </is>
      </c>
    </row>
    <row r="124">
      <c r="A124" s="114" t="n">
        <v>46319</v>
      </c>
      <c r="B124" s="111" t="inlineStr">
        <is>
          <t>TR36/2026/2027/W/18</t>
        </is>
      </c>
      <c r="C124" s="111" t="inlineStr">
        <is>
          <t>Tanzania National Roads Agency</t>
        </is>
      </c>
      <c r="D124" s="111" t="inlineStr">
        <is>
          <t>UPGRADING OF MOROGORO - DODOMA ROAD (260 KM) TO BITUMEN STANDARDS; LOT 2: DUMILA BYPASS ( 20 KM) INCLUDING MKUNDI BRIDGE (80 M) IN MOROGORO REGION.</t>
        </is>
      </c>
      <c r="E124" s="111" t="inlineStr">
        <is>
          <t>Morogoro</t>
        </is>
      </c>
      <c r="F124" s="111" t="inlineStr">
        <is>
          <t>civil</t>
        </is>
      </c>
      <c r="G124" s="115" t="n">
        <v>46339.58333333334</v>
      </c>
      <c r="H124" s="111" t="inlineStr">
        <is>
          <t>Auto (Medium and Large Works / Tender): Large road works, likely above Civil Class IV – JV only (escalate to MD if of interest)</t>
        </is>
      </c>
      <c r="I124" s="111" t="inlineStr">
        <is>
          <t>cb2642a5-7e9c-430a-85c9-0289aa834dea</t>
        </is>
      </c>
      <c r="J124" s="111" t="inlineStr">
        <is>
          <t>NeST</t>
        </is>
      </c>
      <c r="K124" s="111" t="inlineStr">
        <is>
          <t>https://nest.go.tz/tenders/published-tenders</t>
        </is>
      </c>
    </row>
    <row r="125">
      <c r="A125" s="114" t="n">
        <v>46319</v>
      </c>
      <c r="B125" s="111" t="inlineStr">
        <is>
          <t>TR36/001/2026/2027/W/11</t>
        </is>
      </c>
      <c r="C125" s="111" t="inlineStr">
        <is>
          <t>TANROADS - Arusha Regional Office</t>
        </is>
      </c>
      <c r="D125" s="111" t="inlineStr">
        <is>
          <t>Bridge Preventive works along KIA - JCT - Namanga (P), TCA JCT - Minjingu (P), Makuyuni - Ngorongoro (P) and Matala - Njia Panda (UP) Trunk Roads.</t>
        </is>
      </c>
      <c r="E125" s="111" t="inlineStr">
        <is>
          <t>Arusha (Ngorongoro)</t>
        </is>
      </c>
      <c r="F125" s="111" t="inlineStr">
        <is>
          <t>civil</t>
        </is>
      </c>
      <c r="G125" s="115" t="n">
        <v>46325.58333333334</v>
      </c>
      <c r="H125" s="111" t="inlineStr">
        <is>
          <t>Auto (Small Works / Tender): Remote civil works</t>
        </is>
      </c>
      <c r="I125" s="111" t="inlineStr">
        <is>
          <t>cc2d45b4-bc98-4fb9-bb29-717614630607</t>
        </is>
      </c>
      <c r="J125" s="111" t="inlineStr">
        <is>
          <t>NeST</t>
        </is>
      </c>
      <c r="K125" s="111" t="inlineStr">
        <is>
          <t>https://nest.go.tz/tenders/published-tenders</t>
        </is>
      </c>
    </row>
    <row r="126">
      <c r="A126" s="114" t="n">
        <v>46319</v>
      </c>
      <c r="B126" s="111" t="inlineStr">
        <is>
          <t>78J10/2026/2027/W/05</t>
        </is>
      </c>
      <c r="C126" s="111" t="inlineStr">
        <is>
          <t>Tunduma Town Council</t>
        </is>
      </c>
      <c r="D126" s="111" t="inlineStr">
        <is>
          <t>Proposed for upgrading gravel road network at Katete road (6km), and Proposed for upgrading gravel road network at Katete road (6km)</t>
        </is>
      </c>
      <c r="E126" s="111" t="inlineStr">
        <is>
          <t>Songwe (from client's office – confirm site)</t>
        </is>
      </c>
      <c r="F126" s="111" t="inlineStr">
        <is>
          <t>civil</t>
        </is>
      </c>
      <c r="G126" s="115" t="n">
        <v>46325.41666666666</v>
      </c>
      <c r="H126" s="111" t="inlineStr">
        <is>
          <t>Auto (Standard Invitation for Quotations -Works / Planned Tender): Remote civil works</t>
        </is>
      </c>
      <c r="I126" s="111" t="inlineStr">
        <is>
          <t>9c7bfae6-415b-4789-8fc9-6e6fecef2d48</t>
        </is>
      </c>
      <c r="J126" s="111" t="inlineStr">
        <is>
          <t>NeST</t>
        </is>
      </c>
      <c r="K126" s="111" t="inlineStr">
        <is>
          <t>https://nest.go.tz/tenders/published-tenders</t>
        </is>
      </c>
    </row>
    <row r="127">
      <c r="A127" s="114" t="n">
        <v>46319</v>
      </c>
      <c r="B127" s="111" t="inlineStr"/>
      <c r="C127" s="111" t="inlineStr">
        <is>
          <t>See advert</t>
        </is>
      </c>
      <c r="D127" s="111" t="inlineStr">
        <is>
          <t>Bridge preventive works along KIA - JCT - Namanga, TCA JCT - Minjingu, Makuyuni - Ngorongoro, and Matala - Njia Panda trunk roads. **</t>
        </is>
      </c>
      <c r="E127" s="111" t="inlineStr">
        <is>
          <t>Arusha (Ngorongoro)</t>
        </is>
      </c>
      <c r="F127" s="111" t="inlineStr">
        <is>
          <t>civil</t>
        </is>
      </c>
      <c r="G127" s="115" t="n">
        <v>46325.41666666666</v>
      </c>
      <c r="H127" s="111" t="inlineStr">
        <is>
          <t>Auto (TanzaniaTenders.com): Remote civil works · deadline read from the web page – confirm</t>
        </is>
      </c>
      <c r="I127" s="111" t="inlineStr">
        <is>
          <t>TZT:151405527</t>
        </is>
      </c>
      <c r="J127" s="111" t="inlineStr">
        <is>
          <t>press</t>
        </is>
      </c>
      <c r="K127" s="111" t="inlineStr">
        <is>
          <t>https://www.tanzaniatenders.com/tender/bridge-preventive-works-along-kia-jct-namanga-tca-jct-minjingu-makuyuni-ngorongoro-and-ma-90643d7.php</t>
        </is>
      </c>
    </row>
    <row r="128">
      <c r="A128" s="114" t="n">
        <v>46321</v>
      </c>
      <c r="B128" s="111" t="inlineStr">
        <is>
          <t>S10/009/2026/2027/W/137</t>
        </is>
      </c>
      <c r="C128" s="111" t="inlineStr">
        <is>
          <t>TARURA - Kilimanjaro Regional Office</t>
        </is>
      </c>
      <c r="D128" s="111" t="inlineStr">
        <is>
          <t>Upgrading of KKKT Church Mwanga road to Double Surface Dressing in Mwanga District.</t>
        </is>
      </c>
      <c r="E128" s="111" t="inlineStr">
        <is>
          <t>Kilimanjaro (Mwanga)</t>
        </is>
      </c>
      <c r="F128" s="111" t="inlineStr">
        <is>
          <t>civil</t>
        </is>
      </c>
      <c r="G128" s="115" t="n">
        <v>46328.41666666666</v>
      </c>
      <c r="H128" s="111" t="inlineStr">
        <is>
          <t>Auto (Small Works / Tender): Large road works, likely above Civil Class IV – JV only (escalate to MD if of interest)</t>
        </is>
      </c>
      <c r="I128" s="111" t="inlineStr">
        <is>
          <t>501ee9ee-c2d0-4a81-8d40-54520212bd84</t>
        </is>
      </c>
      <c r="J128" s="111" t="inlineStr">
        <is>
          <t>NeST</t>
        </is>
      </c>
      <c r="K128" s="111" t="inlineStr">
        <is>
          <t>https://nest.go.tz/tenders/published-tenders</t>
        </is>
      </c>
    </row>
    <row r="129">
      <c r="A129" s="114" t="n">
        <v>46321</v>
      </c>
      <c r="B129" s="111" t="inlineStr">
        <is>
          <t>S10/009/2026/2027/W/183</t>
        </is>
      </c>
      <c r="C129" s="111" t="inlineStr">
        <is>
          <t>TARURA - Kilimanjaro Regional Office</t>
        </is>
      </c>
      <c r="D129" s="111" t="inlineStr">
        <is>
          <t>UPGRADING OF NDAMENI - USONGO - KWALAKAMU ROAD (4.8km) and KISALE DISPENSARY - MAHOROSHA ROAD (1.75km) TO GRAVEL STANDARD IN ROMBO DISTRICT.</t>
        </is>
      </c>
      <c r="E129" s="111" t="inlineStr">
        <is>
          <t>Kilimanjaro (Moshi) (from client's office – confirm site)</t>
        </is>
      </c>
      <c r="F129" s="111" t="inlineStr">
        <is>
          <t>civil</t>
        </is>
      </c>
      <c r="G129" s="115" t="n">
        <v>46328.41666666666</v>
      </c>
      <c r="H129" s="111" t="inlineStr">
        <is>
          <t>Auto (Small Works / Tender): Remote civil works</t>
        </is>
      </c>
      <c r="I129" s="111" t="inlineStr">
        <is>
          <t>3fddbbf1-9557-45a3-ab9d-0f8d23a368f1</t>
        </is>
      </c>
      <c r="J129" s="111" t="inlineStr">
        <is>
          <t>NeST</t>
        </is>
      </c>
      <c r="K129" s="111" t="inlineStr">
        <is>
          <t>https://nest.go.tz/tenders/published-tenders</t>
        </is>
      </c>
    </row>
    <row r="130">
      <c r="A130" s="114" t="n">
        <v>46321</v>
      </c>
      <c r="B130" s="111" t="inlineStr"/>
      <c r="C130" s="111" t="inlineStr">
        <is>
          <t>See advert</t>
        </is>
      </c>
      <c r="D130" s="111" t="inlineStr">
        <is>
          <t>Upgrading of Kkkt Church Mwanga Road to Double Surface Dressing in Mwanga District.</t>
        </is>
      </c>
      <c r="E130" s="111" t="inlineStr">
        <is>
          <t>Kilimanjaro (Mwanga)</t>
        </is>
      </c>
      <c r="F130" s="111" t="inlineStr">
        <is>
          <t>civil</t>
        </is>
      </c>
      <c r="G130" s="115" t="n">
        <v>46328.41666666666</v>
      </c>
      <c r="H130" s="111" t="inlineStr">
        <is>
          <t>Auto (TanzaniaTenders.com): Large road works, likely above Civil Class IV – JV only (escalate to MD if of interest) · deadline read from the web page – confirm</t>
        </is>
      </c>
      <c r="I130" s="111" t="inlineStr">
        <is>
          <t>TZT:151464972</t>
        </is>
      </c>
      <c r="J130" s="111" t="inlineStr">
        <is>
          <t>press</t>
        </is>
      </c>
      <c r="K130" s="111" t="inlineStr">
        <is>
          <t>https://www.tanzaniatenders.com/tender/upgrading-kkkt-church-mwanga-road-double-surface-dressing-mwanga-district-9072c0c.php</t>
        </is>
      </c>
    </row>
    <row r="131">
      <c r="A131" s="114" t="n">
        <v>46321</v>
      </c>
      <c r="B131" s="111" t="inlineStr"/>
      <c r="C131" s="111" t="inlineStr">
        <is>
          <t>See advert</t>
        </is>
      </c>
      <c r="D131" s="111" t="inlineStr">
        <is>
          <t>Spot Improvement Works 0.44Km Along Bus Stand-Dc Office Road, Spot Improvement Works 0.31Km Along Ccm-Rc Church Road, Spot Improvement Works 0.15Km Along Sweet Corner Road, Spot Improvement Works 0.25...</t>
        </is>
      </c>
      <c r="E131" s="111" t="inlineStr">
        <is>
          <t>Not stated – read the notice</t>
        </is>
      </c>
      <c r="F131" s="111" t="inlineStr">
        <is>
          <t>civil</t>
        </is>
      </c>
      <c r="G131" s="115" t="n">
        <v>46325.41666666666</v>
      </c>
      <c r="H131" s="111" t="inlineStr">
        <is>
          <t>Auto (TanzaniaTenders.com): Remote civil works · deadline read from the web page – confirm</t>
        </is>
      </c>
      <c r="I131" s="111" t="inlineStr">
        <is>
          <t>TZT:151405538</t>
        </is>
      </c>
      <c r="J131" s="111" t="inlineStr">
        <is>
          <t>press</t>
        </is>
      </c>
      <c r="K131" s="111" t="inlineStr">
        <is>
          <t>https://www.tanzaniatenders.com/tender/spot-improvement-works-0-44km-along-bus-stand-dc-office-road-spot-improvement-works-0-31km-along-cc-90643e2.php</t>
        </is>
      </c>
    </row>
    <row r="132">
      <c r="A132" s="114" t="n">
        <v>46321</v>
      </c>
      <c r="B132" s="111" t="inlineStr"/>
      <c r="C132" s="111" t="inlineStr">
        <is>
          <t>See advert</t>
        </is>
      </c>
      <c r="D132" s="111" t="inlineStr">
        <is>
          <t>Periodic Maintenance Works 0.1Km Along Bukoko-Mtunguru-Mwajinjama Road, Periodic Maintenance Works 0.1Km Along Matinje-Mwasung'ho Road, Periodic Maintenance Works 0.1Km Along Ibologero-Choma Road And....</t>
        </is>
      </c>
      <c r="E132" s="111" t="inlineStr">
        <is>
          <t>Not stated – read the notice</t>
        </is>
      </c>
      <c r="F132" s="111" t="inlineStr">
        <is>
          <t>civil</t>
        </is>
      </c>
      <c r="G132" s="115" t="n">
        <v>46325.41666666666</v>
      </c>
      <c r="H132" s="111" t="inlineStr">
        <is>
          <t>Auto (TanzaniaTenders.com): Remote civil works · deadline read from the web page – confirm</t>
        </is>
      </c>
      <c r="I132" s="111" t="inlineStr">
        <is>
          <t>TZT:151405534</t>
        </is>
      </c>
      <c r="J132" s="111" t="inlineStr">
        <is>
          <t>press</t>
        </is>
      </c>
      <c r="K132" s="111" t="inlineStr">
        <is>
          <t>https://www.tanzaniatenders.com/tender/periodic-maintenance-works-0-1km-along-bukoko-mtunguru-mwajinjama-road-periodic-maintenance-works-0-90643de.php</t>
        </is>
      </c>
    </row>
    <row r="133">
      <c r="A133" s="114" t="n">
        <v>46322</v>
      </c>
      <c r="B133" s="111" t="inlineStr">
        <is>
          <t>90DD1/2026/2027/W/05</t>
        </is>
      </c>
      <c r="C133" s="111" t="inlineStr">
        <is>
          <t>Songwe District Council</t>
        </is>
      </c>
      <c r="D133" s="111" t="inlineStr">
        <is>
          <t>UMALIZIAJI WA JENGO LA HALMASHAURI YA WILAYA YA SONGWE.</t>
        </is>
      </c>
      <c r="E133" s="111" t="inlineStr">
        <is>
          <t>Songwe</t>
        </is>
      </c>
      <c r="F133" s="111" t="inlineStr">
        <is>
          <t>building</t>
        </is>
      </c>
      <c r="G133" s="115" t="n">
        <v>46328.45833333334</v>
      </c>
      <c r="H133" s="111" t="inlineStr">
        <is>
          <t>Auto (Small Works / Tender): Remote and closing soon</t>
        </is>
      </c>
      <c r="I133" s="111" t="inlineStr">
        <is>
          <t>8ecf3ba7-16db-4c2a-9f0a-814dff405748</t>
        </is>
      </c>
      <c r="J133" s="111" t="inlineStr">
        <is>
          <t>NeST</t>
        </is>
      </c>
      <c r="K133" s="111" t="inlineStr">
        <is>
          <t>https://nest.go.tz/tenders/published-tenders</t>
        </is>
      </c>
    </row>
    <row r="134">
      <c r="A134" s="114" t="n">
        <v>46323</v>
      </c>
      <c r="B134" s="111" t="inlineStr">
        <is>
          <t>TR36/026/2026/2027/W/18</t>
        </is>
      </c>
      <c r="C134" s="111" t="inlineStr">
        <is>
          <t>TANROADS - Tanga Regional Office</t>
        </is>
      </c>
      <c r="D134" s="111" t="inlineStr">
        <is>
          <t>Installation of Solar Street Lights along Trunk Roads</t>
        </is>
      </c>
      <c r="E134" s="111" t="inlineStr">
        <is>
          <t>Tanga (from client's office – confirm site)</t>
        </is>
      </c>
      <c r="F134" s="111" t="inlineStr">
        <is>
          <t>MEP</t>
        </is>
      </c>
      <c r="G134" s="115" t="n">
        <v>46330.58333333334</v>
      </c>
      <c r="H134" s="111" t="inlineStr">
        <is>
          <t>Auto (Small Works / Tender): Specialist MEP works – pass to an electrical/mechanical subcontractor</t>
        </is>
      </c>
      <c r="I134" s="111" t="inlineStr">
        <is>
          <t>a559e412-72ca-4039-94d1-906f156b496b</t>
        </is>
      </c>
      <c r="J134" s="111" t="inlineStr">
        <is>
          <t>NeST</t>
        </is>
      </c>
      <c r="K134" s="111" t="inlineStr">
        <is>
          <t>https://nest.go.tz/tenders/published-tenders</t>
        </is>
      </c>
    </row>
    <row r="135">
      <c r="A135" s="114" t="n">
        <v>46323</v>
      </c>
      <c r="B135" s="111" t="inlineStr">
        <is>
          <t>TR36/001/2026/2027/W/67</t>
        </is>
      </c>
      <c r="C135" s="111" t="inlineStr">
        <is>
          <t>TANROADS - Arusha Regional Office</t>
        </is>
      </c>
      <c r="D135" s="111" t="inlineStr">
        <is>
          <t>Road Safety, Environmental and Social Activities (HQ Based) FY 2026/2027 in Arusha Region.</t>
        </is>
      </c>
      <c r="E135" s="111" t="inlineStr">
        <is>
          <t>Arusha</t>
        </is>
      </c>
      <c r="F135" s="111" t="inlineStr">
        <is>
          <t>civil</t>
        </is>
      </c>
      <c r="G135" s="115" t="n">
        <v>46330.58333333334</v>
      </c>
      <c r="H135" s="111" t="inlineStr">
        <is>
          <t>Auto (Small Works / Tender): Remote civil works</t>
        </is>
      </c>
      <c r="I135" s="111" t="inlineStr">
        <is>
          <t>917a2c18-fa91-4623-8fbf-a3f8d938ff54</t>
        </is>
      </c>
      <c r="J135" s="111" t="inlineStr">
        <is>
          <t>NeST</t>
        </is>
      </c>
      <c r="K135" s="111" t="inlineStr">
        <is>
          <t>https://nest.go.tz/tenders/published-tenders</t>
        </is>
      </c>
    </row>
    <row r="136">
      <c r="A136" s="114" t="n">
        <v>46323</v>
      </c>
      <c r="B136" s="111" t="inlineStr">
        <is>
          <t>TR36/001/2026/2027/W/38</t>
        </is>
      </c>
      <c r="C136" s="111" t="inlineStr">
        <is>
          <t>TANROADS - Arusha Regional Office</t>
        </is>
      </c>
      <c r="D136" s="111" t="inlineStr">
        <is>
          <t>Periodic Maintenance works and Routine /Recurrent works along Longido - SIHA (UP)</t>
        </is>
      </c>
      <c r="E136" s="111" t="inlineStr">
        <is>
          <t>Arusha (from client's office – confirm site)</t>
        </is>
      </c>
      <c r="F136" s="111" t="inlineStr">
        <is>
          <t>civil</t>
        </is>
      </c>
      <c r="G136" s="115" t="n">
        <v>46330.58333333334</v>
      </c>
      <c r="H136" s="111" t="inlineStr">
        <is>
          <t>Auto (Small Works / Tender): Remote civil works</t>
        </is>
      </c>
      <c r="I136" s="111" t="inlineStr">
        <is>
          <t>8cffa3cb-59ee-4b3d-a4d0-751d576406c5</t>
        </is>
      </c>
      <c r="J136" s="111" t="inlineStr">
        <is>
          <t>NeST</t>
        </is>
      </c>
      <c r="K136" s="111" t="inlineStr">
        <is>
          <t>https://nest.go.tz/tenders/published-tenders</t>
        </is>
      </c>
    </row>
    <row r="137">
      <c r="A137" s="114" t="n">
        <v>46323</v>
      </c>
      <c r="B137" s="111" t="inlineStr">
        <is>
          <t>S10/016/2026/2027/W/53</t>
        </is>
      </c>
      <c r="C137" s="111" t="inlineStr">
        <is>
          <t>TARURA - Mwanza Regional Office</t>
        </is>
      </c>
      <c r="D137" s="111" t="inlineStr">
        <is>
          <t>Upgrading of Ibondo - Kasungamile - Chamabanda, Kinoja - Sayuni - Marekano and Majinda - Ishokela Roads to Gravel Standard in Sengerema District</t>
        </is>
      </c>
      <c r="E137" s="111" t="inlineStr">
        <is>
          <t>Mwanza (Ilemela) (from client's office – confirm site)</t>
        </is>
      </c>
      <c r="F137" s="111" t="inlineStr">
        <is>
          <t>civil</t>
        </is>
      </c>
      <c r="G137" s="115" t="n">
        <v>46329.45833333334</v>
      </c>
      <c r="H137" s="111" t="inlineStr">
        <is>
          <t>Auto (Small Works / Tender): Remote civil works</t>
        </is>
      </c>
      <c r="I137" s="111" t="inlineStr">
        <is>
          <t>4e59b22b-18c4-46ca-8983-7fc9333b1aac</t>
        </is>
      </c>
      <c r="J137" s="111" t="inlineStr">
        <is>
          <t>NeST</t>
        </is>
      </c>
      <c r="K137" s="111" t="inlineStr">
        <is>
          <t>https://nest.go.tz/tenders/published-tenders</t>
        </is>
      </c>
    </row>
    <row r="138">
      <c r="A138" s="114" t="n">
        <v>46324</v>
      </c>
      <c r="B138" s="111" t="inlineStr">
        <is>
          <t>TR36/001/2026/2027/W/54</t>
        </is>
      </c>
      <c r="C138" s="111" t="inlineStr">
        <is>
          <t>TANROADS - Arusha Regional Office</t>
        </is>
      </c>
      <c r="D138" s="111" t="inlineStr">
        <is>
          <t>Rehabilitation works of Mto wa Mbu - Loliondo - 217km and Wasso - Kleins Gate Roads.</t>
        </is>
      </c>
      <c r="E138" s="111" t="inlineStr">
        <is>
          <t>Arusha (Loliondo)</t>
        </is>
      </c>
      <c r="F138" s="111" t="inlineStr">
        <is>
          <t>civil</t>
        </is>
      </c>
      <c r="G138" s="115" t="n">
        <v>46331.58333333334</v>
      </c>
      <c r="H138" s="111" t="inlineStr">
        <is>
          <t>Auto (Small Works / Tender): Remote civil works</t>
        </is>
      </c>
      <c r="I138" s="111" t="inlineStr">
        <is>
          <t>7e4672d3-573c-437b-8887-788b95cc623e</t>
        </is>
      </c>
      <c r="J138" s="111" t="inlineStr">
        <is>
          <t>NeST</t>
        </is>
      </c>
      <c r="K138" s="111" t="inlineStr">
        <is>
          <t>https://nest.go.tz/tenders/published-tenders</t>
        </is>
      </c>
    </row>
    <row r="139">
      <c r="A139" s="114" t="n">
        <v>46324</v>
      </c>
      <c r="B139" s="111" t="inlineStr">
        <is>
          <t>72C6/2026/2027/W/06</t>
        </is>
      </c>
      <c r="C139" s="111" t="inlineStr">
        <is>
          <t>Chamwino District Council</t>
        </is>
      </c>
      <c r="D139" s="111" t="inlineStr">
        <is>
          <t>Drip Irrigation System Project Covering Ten (10) Acres in Msamalo Ward</t>
        </is>
      </c>
      <c r="E139" s="111" t="inlineStr">
        <is>
          <t>Dodoma (Chamwino) (from client's office – confirm site)</t>
        </is>
      </c>
      <c r="F139" s="111" t="inlineStr">
        <is>
          <t>civil</t>
        </is>
      </c>
      <c r="G139" s="115" t="n">
        <v>46328.58333333334</v>
      </c>
      <c r="H139" s="111" t="inlineStr">
        <is>
          <t>Auto (Standard Invitation for Quotations -Works / Planned Tender): Remote civil works</t>
        </is>
      </c>
      <c r="I139" s="111" t="inlineStr">
        <is>
          <t>0ecf90a5-ccf7-482c-a181-cfd90dff20d9</t>
        </is>
      </c>
      <c r="J139" s="111" t="inlineStr">
        <is>
          <t>NeST</t>
        </is>
      </c>
      <c r="K139" s="111" t="inlineStr">
        <is>
          <t>https://nest.go.tz/tenders/published-tenders</t>
        </is>
      </c>
    </row>
    <row r="140">
      <c r="A140" s="114" t="n">
        <v>46324</v>
      </c>
      <c r="B140" s="111" t="inlineStr">
        <is>
          <t>72C6/2026/2027/W/07</t>
        </is>
      </c>
      <c r="C140" s="111" t="inlineStr">
        <is>
          <t>Chamwino District Council</t>
        </is>
      </c>
      <c r="D140" s="111" t="inlineStr">
        <is>
          <t>Rainwater Storage Dam Excavation Project in Nzali Village, Chilonwa Ward</t>
        </is>
      </c>
      <c r="E140" s="111" t="inlineStr">
        <is>
          <t>Dodoma (Chamwino) (from client's office – confirm site)</t>
        </is>
      </c>
      <c r="F140" s="111" t="inlineStr">
        <is>
          <t>civil</t>
        </is>
      </c>
      <c r="G140" s="115" t="n">
        <v>46328.58333333334</v>
      </c>
      <c r="H140" s="111" t="inlineStr">
        <is>
          <t>Auto (Standard Invitation for Quotations -Works / Planned Tender): Remote civil works</t>
        </is>
      </c>
      <c r="I140" s="111" t="inlineStr">
        <is>
          <t>3e58b5ef-84c5-4f27-9fb1-ef3d73714633</t>
        </is>
      </c>
      <c r="J140" s="111" t="inlineStr">
        <is>
          <t>NeST</t>
        </is>
      </c>
      <c r="K140" s="111" t="inlineStr">
        <is>
          <t>https://nest.go.tz/tenders/published-tenders</t>
        </is>
      </c>
    </row>
    <row r="141">
      <c r="A141" s="114" t="n">
        <v>46325</v>
      </c>
      <c r="B141" s="111" t="inlineStr">
        <is>
          <t>00005/2026/2027/W/37</t>
        </is>
      </c>
      <c r="C141" s="111" t="inlineStr">
        <is>
          <t>National Irrigation Commission</t>
        </is>
      </c>
      <c r="D141" s="111" t="inlineStr">
        <is>
          <t>Rehabilitation of Six Small Scale Irrigation projects in Mbozi District (4), Ileje District (1) and Momba District (1), Songwe Region</t>
        </is>
      </c>
      <c r="E141" s="111" t="inlineStr">
        <is>
          <t>Songwe</t>
        </is>
      </c>
      <c r="F141" s="111" t="inlineStr">
        <is>
          <t>civil</t>
        </is>
      </c>
      <c r="G141" s="115" t="n">
        <v>46332.45833333334</v>
      </c>
      <c r="H141" s="111" t="inlineStr">
        <is>
          <t>Auto (Small Works / Tender): Remote civil works</t>
        </is>
      </c>
      <c r="I141" s="111" t="inlineStr">
        <is>
          <t>daa62c16-6f69-4387-85d0-a1c480f339d7</t>
        </is>
      </c>
      <c r="J141" s="111" t="inlineStr">
        <is>
          <t>NeST</t>
        </is>
      </c>
      <c r="K141" s="111" t="inlineStr">
        <is>
          <t>https://nest.go.tz/tenders/published-tenders</t>
        </is>
      </c>
    </row>
    <row r="142">
      <c r="A142" s="114" t="n">
        <v>46325</v>
      </c>
      <c r="B142" s="111" t="inlineStr">
        <is>
          <t>00005/2026/2027/W/35</t>
        </is>
      </c>
      <c r="C142" s="111" t="inlineStr">
        <is>
          <t>National Irrigation Commission</t>
        </is>
      </c>
      <c r="D142" s="111" t="inlineStr">
        <is>
          <t>Rehabilitation of Four Small Scale Irrigation projects in Arusha Region (2) and Kilimanjaro Region (2)</t>
        </is>
      </c>
      <c r="E142" s="111" t="inlineStr">
        <is>
          <t>Arusha</t>
        </is>
      </c>
      <c r="F142" s="111" t="inlineStr">
        <is>
          <t>civil</t>
        </is>
      </c>
      <c r="G142" s="115" t="n">
        <v>46332.45833333334</v>
      </c>
      <c r="H142" s="111" t="inlineStr">
        <is>
          <t>Auto (Small Works / Tender): Remote civil works</t>
        </is>
      </c>
      <c r="I142" s="111" t="inlineStr">
        <is>
          <t>5e610f3e-c758-4e4a-904c-0822af8d0d32</t>
        </is>
      </c>
      <c r="J142" s="111" t="inlineStr">
        <is>
          <t>NeST</t>
        </is>
      </c>
      <c r="K142" s="111" t="inlineStr">
        <is>
          <t>https://nest.go.tz/tenders/published-tenders</t>
        </is>
      </c>
    </row>
    <row r="143">
      <c r="A143" s="114" t="n">
        <v>46325</v>
      </c>
      <c r="B143" s="111" t="inlineStr">
        <is>
          <t>S10/007/2026/2027/W/28</t>
        </is>
      </c>
      <c r="C143" s="111" t="inlineStr">
        <is>
          <t>TARURA - Katavi Regional Office</t>
        </is>
      </c>
      <c r="D143" s="111" t="inlineStr">
        <is>
          <t>TENDER FOR SPOT IMPROVEMENT OF NSIMBO DISTRICT ROADS.</t>
        </is>
      </c>
      <c r="E143" s="111" t="inlineStr">
        <is>
          <t>Katavi (Mpanda) (from client's office – confirm site)</t>
        </is>
      </c>
      <c r="F143" s="111" t="inlineStr">
        <is>
          <t>civil</t>
        </is>
      </c>
      <c r="G143" s="115" t="n">
        <v>46332.58333333334</v>
      </c>
      <c r="H143" s="111" t="inlineStr">
        <is>
          <t>Auto (Small Works / Tender): Remote civil works</t>
        </is>
      </c>
      <c r="I143" s="111" t="inlineStr">
        <is>
          <t>c20fd49d-5965-4fe2-a7c0-91e68278b352</t>
        </is>
      </c>
      <c r="J143" s="111" t="inlineStr">
        <is>
          <t>NeST</t>
        </is>
      </c>
      <c r="K143" s="111" t="inlineStr">
        <is>
          <t>https://nest.go.tz/tenders/published-tenders</t>
        </is>
      </c>
    </row>
    <row r="144">
      <c r="A144" s="114" t="n">
        <v>46325</v>
      </c>
      <c r="B144" s="111" t="inlineStr">
        <is>
          <t>S10/004/2026/2027/W/68</t>
        </is>
      </c>
      <c r="C144" s="111" t="inlineStr">
        <is>
          <t>TARURA - Geita Regional Office</t>
        </is>
      </c>
      <c r="D144" s="111" t="inlineStr">
        <is>
          <t>Rehabilitation of Ipalamasa-Mwabasabi (6.0KM) Road At Chato District.</t>
        </is>
      </c>
      <c r="E144" s="111" t="inlineStr">
        <is>
          <t>Geita (from client's office – confirm site)</t>
        </is>
      </c>
      <c r="F144" s="111" t="inlineStr">
        <is>
          <t>civil</t>
        </is>
      </c>
      <c r="G144" s="115" t="n">
        <v>46331.41666666666</v>
      </c>
      <c r="H144" s="111" t="inlineStr">
        <is>
          <t>Auto (Small Works / Tender): Remote civil works</t>
        </is>
      </c>
      <c r="I144" s="111" t="inlineStr">
        <is>
          <t>aebc90a3-0ed2-4eba-a830-0c34ceddeaec</t>
        </is>
      </c>
      <c r="J144" s="111" t="inlineStr">
        <is>
          <t>NeST</t>
        </is>
      </c>
      <c r="K144" s="111" t="inlineStr">
        <is>
          <t>https://nest.go.tz/tenders/published-tenders</t>
        </is>
      </c>
    </row>
    <row r="145">
      <c r="A145" s="114" t="n">
        <v>46325</v>
      </c>
      <c r="B145" s="111" t="inlineStr">
        <is>
          <t>S10/004/2026/2027/W/67</t>
        </is>
      </c>
      <c r="C145" s="111" t="inlineStr">
        <is>
          <t>TARURA - Geita Regional Office</t>
        </is>
      </c>
      <c r="D145" s="111" t="inlineStr">
        <is>
          <t>Upgrading to gravel standard Alex - Madame road 1km, John Masanja - Songambele road 2.5km &amp; rise of embankment 250m, Mashineni kwa Mhaya - Diwani Ezekiel road 1km, Buyaba - Mzee Kaswahili road 0.8km and Igenge - Nyakahengere road 4.44km</t>
        </is>
      </c>
      <c r="E145" s="111" t="inlineStr">
        <is>
          <t>Geita (from client's office – confirm site)</t>
        </is>
      </c>
      <c r="F145" s="111" t="inlineStr">
        <is>
          <t>civil</t>
        </is>
      </c>
      <c r="G145" s="115" t="n">
        <v>46331.41666666666</v>
      </c>
      <c r="H145" s="111" t="inlineStr">
        <is>
          <t>Auto (Small Works / Tender): Remote civil works</t>
        </is>
      </c>
      <c r="I145" s="111" t="inlineStr">
        <is>
          <t>ddc18460-bf03-4591-a691-17b8e97958d5</t>
        </is>
      </c>
      <c r="J145" s="111" t="inlineStr">
        <is>
          <t>NeST</t>
        </is>
      </c>
      <c r="K145" s="111" t="inlineStr">
        <is>
          <t>https://nest.go.tz/tenders/published-tenders</t>
        </is>
      </c>
    </row>
    <row r="146">
      <c r="A146" s="114" t="n">
        <v>46325</v>
      </c>
      <c r="B146" s="111" t="inlineStr">
        <is>
          <t>78J10/2026/2027/W/22</t>
        </is>
      </c>
      <c r="C146" s="111" t="inlineStr">
        <is>
          <t>Tunduma Town Council</t>
        </is>
      </c>
      <c r="D146" s="111" t="inlineStr">
        <is>
          <t>PROPOSED FOR UPGRADING GRAVEL ROAD NETWORK AT KATETE (6KM)</t>
        </is>
      </c>
      <c r="E146" s="111" t="inlineStr">
        <is>
          <t>Songwe (from client's office – confirm site)</t>
        </is>
      </c>
      <c r="F146" s="111" t="inlineStr">
        <is>
          <t>civil</t>
        </is>
      </c>
      <c r="G146" s="115" t="n">
        <v>46330.41666666666</v>
      </c>
      <c r="H146" s="111" t="inlineStr">
        <is>
          <t>Auto (Standard Invitation for Quotations -Works / Planned Tender): Remote civil works</t>
        </is>
      </c>
      <c r="I146" s="111" t="inlineStr">
        <is>
          <t>aae8d159-ea8a-465c-bb2d-5cd78950b243</t>
        </is>
      </c>
      <c r="J146" s="111" t="inlineStr">
        <is>
          <t>NeST</t>
        </is>
      </c>
      <c r="K146"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2026-10-30T03:00:54Z</dcterms:modified>
  <cp:revision>0</cp:revision>
</cp:coreProperties>
</file>