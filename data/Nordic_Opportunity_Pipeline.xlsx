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46325.66666666666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Deadline changed at source 16-Oct (was 16-Oct 16:00). 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70" t="inlineStr">
        <is>
          <t>(not shown)</t>
        </is>
      </c>
      <c r="C133" s="71" t="n">
        <v>46307</v>
      </c>
      <c r="D133" s="70" t="inlineStr">
        <is>
          <t>press</t>
        </is>
      </c>
      <c r="E133" s="70" t="inlineStr">
        <is>
          <t>https://www.tanzaniatenders.com/tender/procurement-therapeutic-and-patient-support-equipment-mri-compatible-anesthesia-machine-ventilator-8fcd741.php</t>
        </is>
      </c>
      <c r="F133" s="70" t="inlineStr">
        <is>
          <t>See advert</t>
        </is>
      </c>
      <c r="G133" s="70" t="inlineStr">
        <is>
          <t>government</t>
        </is>
      </c>
      <c r="H133" s="70" t="inlineStr">
        <is>
          <t>Procurement of Therapeutic and Patient Support Equipment (Mri Compatible Anesthesia Machine, Ventilators, Suction Machine, Rehabilitation Instrument, Ect Machine, Child and Adolescent Ot Tools, Perine...</t>
        </is>
      </c>
      <c r="I133" s="70" t="inlineStr">
        <is>
          <t>From press notice (1 lot) – read the tender document</t>
        </is>
      </c>
      <c r="J133" s="70" t="inlineStr">
        <is>
          <t>Not stated – read the notice</t>
        </is>
      </c>
      <c r="K133" s="70" t="inlineStr">
        <is>
          <t>renovation</t>
        </is>
      </c>
      <c r="L133" s="70" t="inlineStr">
        <is>
          <t>See tender document</t>
        </is>
      </c>
      <c r="M133" s="62" t="n"/>
      <c r="N133" s="70" t="inlineStr">
        <is>
          <t>unknown</t>
        </is>
      </c>
      <c r="O133" s="71" t="inlineStr">
        <is>
          <t>See tender document</t>
        </is>
      </c>
      <c r="P133" s="71" t="inlineStr">
        <is>
          <t>See tender document</t>
        </is>
      </c>
      <c r="Q133" s="72" t="n">
        <v>46314.41666666666</v>
      </c>
      <c r="R133" s="70" t="inlineStr">
        <is>
          <t>See tender document</t>
        </is>
      </c>
      <c r="S133" s="70" t="inlineStr">
        <is>
          <t>N</t>
        </is>
      </c>
      <c r="T133" s="64">
        <f>IF(A133="","",IFERROR(INDEX('Bid-NoBid'!$T:$T,MATCH(A133,'Bid-NoBid'!$A:$A,0)),""))</f>
        <v/>
      </c>
      <c r="U133" s="59">
        <f>IF(A133="","",IFERROR(IF(OR(INDEX('Bid-NoBid'!$U:$U,MATCH(A133,'Bid-NoBid'!$A:$A,0))="",LEFT(INDEX('Bid-NoBid'!$U:$U,MATCH(A133,'Bid-NoBid'!$A:$A,0)),10)="Incomplete"),"Screen: "&amp;AC133,INDEX('Bid-NoBid'!$U:$U,MATCH(A133,'Bid-NoBid'!$A:$A,0))),"Screen: "&amp;AC133))</f>
        <v/>
      </c>
      <c r="V133" s="60" t="n"/>
      <c r="W133" s="70" t="inlineStr">
        <is>
          <t>Watching</t>
        </is>
      </c>
      <c r="X133" s="70" t="inlineStr">
        <is>
          <t>Frank</t>
        </is>
      </c>
      <c r="Y133" s="60" t="n"/>
      <c r="Z133" s="60" t="n"/>
      <c r="AA133" s="73" t="n"/>
      <c r="AB133" s="74" t="inlineStr">
        <is>
          <t>TanzaniaTenders.com (newspapers / portals / private)</t>
        </is>
      </c>
      <c r="AC133" s="74" t="inlineStr">
        <is>
          <t>Check</t>
        </is>
      </c>
      <c r="AD133" s="74" t="inlineStr">
        <is>
          <t>Auto (TanzaniaTenders.com): Site not stated in the listing – read the notice · deadline read from the web page – confirm</t>
        </is>
      </c>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74" t="inlineStr">
        <is>
          <t>Read the notice and decide with the QS Director whether to pursue</t>
        </is>
      </c>
      <c r="AJ133" s="74" t="inlineStr">
        <is>
          <t>Auto-scan</t>
        </is>
      </c>
      <c r="AK133" s="74" t="inlineStr">
        <is>
          <t>TZT:150787905</t>
        </is>
      </c>
      <c r="AL133" s="59">
        <f>IF(AND(OR(W133="Watching",W133="Preparing"),ISNUMBER(Q133)),IF(AND(Q133&gt;='Friday Summary'!$C$4,Q133&lt;='Friday Summary'!$C$4+14),Q133+ROW()/1000000,""),"")</f>
        <v/>
      </c>
    </row>
    <row r="134" ht="15" customHeight="1" s="51">
      <c r="A134" s="59">
        <f>IF(B134="","","OP-"&amp;TEXT(ROW()-4,"000"))</f>
        <v/>
      </c>
      <c r="B134" s="70" t="inlineStr">
        <is>
          <t>(not shown)</t>
        </is>
      </c>
      <c r="C134" s="71" t="n">
        <v>46307</v>
      </c>
      <c r="D134" s="70" t="inlineStr">
        <is>
          <t>press</t>
        </is>
      </c>
      <c r="E134" s="70" t="inlineStr">
        <is>
          <t>https://www.tanzaniatenders.com/tender/installation-office-security-system-tbc1-mikocheni-8fcd73e.php</t>
        </is>
      </c>
      <c r="F134" s="70" t="inlineStr">
        <is>
          <t>See advert</t>
        </is>
      </c>
      <c r="G134" s="70" t="inlineStr">
        <is>
          <t>government</t>
        </is>
      </c>
      <c r="H134" s="70" t="inlineStr">
        <is>
          <t>Installation of Office Security System at Tbc1 Mikocheni</t>
        </is>
      </c>
      <c r="I134" s="70" t="inlineStr">
        <is>
          <t>From press notice (1 lot) – read the tender document</t>
        </is>
      </c>
      <c r="J134" s="70" t="inlineStr">
        <is>
          <t>Not stated – read the notice</t>
        </is>
      </c>
      <c r="K134" s="70" t="inlineStr">
        <is>
          <t>building</t>
        </is>
      </c>
      <c r="L134" s="70" t="inlineStr">
        <is>
          <t>See tender document</t>
        </is>
      </c>
      <c r="M134" s="62" t="n"/>
      <c r="N134" s="70" t="inlineStr">
        <is>
          <t>unknown</t>
        </is>
      </c>
      <c r="O134" s="71" t="inlineStr">
        <is>
          <t>See tender document</t>
        </is>
      </c>
      <c r="P134" s="71" t="inlineStr">
        <is>
          <t>See tender document</t>
        </is>
      </c>
      <c r="Q134" s="72" t="n">
        <v>46314.41666666666</v>
      </c>
      <c r="R134" s="70" t="inlineStr">
        <is>
          <t>See tender document</t>
        </is>
      </c>
      <c r="S134" s="70" t="inlineStr">
        <is>
          <t>N</t>
        </is>
      </c>
      <c r="T134" s="64">
        <f>IF(A134="","",IFERROR(INDEX('Bid-NoBid'!$T:$T,MATCH(A134,'Bid-NoBid'!$A:$A,0)),""))</f>
        <v/>
      </c>
      <c r="U134" s="59">
        <f>IF(A134="","",IFERROR(IF(OR(INDEX('Bid-NoBid'!$U:$U,MATCH(A134,'Bid-NoBid'!$A:$A,0))="",LEFT(INDEX('Bid-NoBid'!$U:$U,MATCH(A134,'Bid-NoBid'!$A:$A,0)),10)="Incomplete"),"Screen: "&amp;AC134,INDEX('Bid-NoBid'!$U:$U,MATCH(A134,'Bid-NoBid'!$A:$A,0))),"Screen: "&amp;AC134))</f>
        <v/>
      </c>
      <c r="V134" s="60" t="n"/>
      <c r="W134" s="70" t="inlineStr">
        <is>
          <t>Watching</t>
        </is>
      </c>
      <c r="X134" s="70" t="inlineStr">
        <is>
          <t>Frank</t>
        </is>
      </c>
      <c r="Y134" s="60" t="n"/>
      <c r="Z134" s="60" t="n"/>
      <c r="AA134" s="73" t="n"/>
      <c r="AB134" s="74" t="inlineStr">
        <is>
          <t>TanzaniaTenders.com (newspapers / portals / private)</t>
        </is>
      </c>
      <c r="AC134" s="74" t="inlineStr">
        <is>
          <t>Check</t>
        </is>
      </c>
      <c r="AD134" s="74" t="inlineStr">
        <is>
          <t>Auto (TanzaniaTenders.com): Site not stated in the listing – read the notice · deadline read from the web page – confirm</t>
        </is>
      </c>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74" t="inlineStr">
        <is>
          <t>Read the notice and decide with the QS Director whether to pursue</t>
        </is>
      </c>
      <c r="AJ134" s="74" t="inlineStr">
        <is>
          <t>Auto-scan</t>
        </is>
      </c>
      <c r="AK134" s="74" t="inlineStr">
        <is>
          <t>TZT:150787902</t>
        </is>
      </c>
      <c r="AL134" s="59">
        <f>IF(AND(OR(W134="Watching",W134="Preparing"),ISNUMBER(Q134)),IF(AND(Q134&gt;='Friday Summary'!$C$4,Q134&lt;='Friday Summary'!$C$4+14),Q134+ROW()/1000000,""),"")</f>
        <v/>
      </c>
    </row>
    <row r="135" ht="15" customHeight="1" s="51">
      <c r="A135" s="59">
        <f>IF(B135="","","OP-"&amp;TEXT(ROW()-4,"000"))</f>
        <v/>
      </c>
      <c r="B135" s="70" t="inlineStr">
        <is>
          <t>(not shown)</t>
        </is>
      </c>
      <c r="C135" s="71" t="n">
        <v>46307</v>
      </c>
      <c r="D135" s="70" t="inlineStr">
        <is>
          <t>client site</t>
        </is>
      </c>
      <c r="E135" s="70" t="inlineStr">
        <is>
          <t>https://www.tcra.go.tz/tcra-tovuti/2022/mamlaka-website/documents/tenders/en_1669799349_INVITATION_FOR_TENDERS_Conference_Hall_Facilities_PAPU_House_b8fc297abe.pdf</t>
        </is>
      </c>
      <c r="F135" s="70" t="inlineStr">
        <is>
          <t>Tanzania Communications Regulatory Authority (TCRA)</t>
        </is>
      </c>
      <c r="G135" s="70" t="inlineStr">
        <is>
          <t>government</t>
        </is>
      </c>
      <c r="H135" s="70" t="inlineStr">
        <is>
          <t>Tenders 1 5 29 th Nov, 2022 DESIGN AND INSTALLATION OF MULTIPURPOSE CONFERENCE HALL FACILITIES TO THE PAPU HOUSE Download View</t>
        </is>
      </c>
      <c r="I135" s="70" t="inlineStr">
        <is>
          <t>From client site notice (1 lot) – read the tender document</t>
        </is>
      </c>
      <c r="J135" s="70" t="inlineStr">
        <is>
          <t>Not stated – read the notice</t>
        </is>
      </c>
      <c r="K135" s="70" t="inlineStr">
        <is>
          <t>building</t>
        </is>
      </c>
      <c r="L135" s="70" t="inlineStr">
        <is>
          <t>See tender document</t>
        </is>
      </c>
      <c r="M135" s="62" t="n"/>
      <c r="N135" s="70" t="inlineStr">
        <is>
          <t>unknown</t>
        </is>
      </c>
      <c r="O135" s="71" t="inlineStr">
        <is>
          <t>See tender document</t>
        </is>
      </c>
      <c r="P135" s="71" t="inlineStr">
        <is>
          <t>See tender document</t>
        </is>
      </c>
      <c r="Q135" s="72" t="n"/>
      <c r="R135" s="70" t="inlineStr">
        <is>
          <t>See tender document</t>
        </is>
      </c>
      <c r="S135" s="70" t="inlineStr">
        <is>
          <t>N</t>
        </is>
      </c>
      <c r="T135" s="64">
        <f>IF(A135="","",IFERROR(INDEX('Bid-NoBid'!$T:$T,MATCH(A135,'Bid-NoBid'!$A:$A,0)),""))</f>
        <v/>
      </c>
      <c r="U135" s="59">
        <f>IF(A135="","",IFERROR(IF(OR(INDEX('Bid-NoBid'!$U:$U,MATCH(A135,'Bid-NoBid'!$A:$A,0))="",LEFT(INDEX('Bid-NoBid'!$U:$U,MATCH(A135,'Bid-NoBid'!$A:$A,0)),10)="Incomplete"),"Screen: "&amp;AC135,INDEX('Bid-NoBid'!$U:$U,MATCH(A135,'Bid-NoBid'!$A:$A,0))),"Screen: "&amp;AC135))</f>
        <v/>
      </c>
      <c r="V135" s="60" t="n"/>
      <c r="W135" s="70" t="inlineStr">
        <is>
          <t>Watching</t>
        </is>
      </c>
      <c r="X135" s="70" t="inlineStr">
        <is>
          <t>Frank</t>
        </is>
      </c>
      <c r="Y135" s="60" t="n"/>
      <c r="Z135" s="60" t="n"/>
      <c r="AA135" s="73" t="n"/>
      <c r="AB135" s="74" t="inlineStr">
        <is>
          <t>TCRA tenders (web page)</t>
        </is>
      </c>
      <c r="AC135" s="74" t="inlineStr">
        <is>
          <t>Check</t>
        </is>
      </c>
      <c r="AD135" s="74" t="inlineStr">
        <is>
          <t>Auto (TCRA tenders): Deadline not shown on the source page – open the link and read the notice</t>
        </is>
      </c>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74" t="inlineStr">
        <is>
          <t>Read the notice and decide with the QS Director whether to pursue</t>
        </is>
      </c>
      <c r="AJ135" s="74" t="inlineStr">
        <is>
          <t>Auto-scan</t>
        </is>
      </c>
      <c r="AK135" s="74" t="inlineStr">
        <is>
          <t>WEB:tcra_tenders:153ed7a6b77a83b7</t>
        </is>
      </c>
      <c r="AL135" s="59">
        <f>IF(AND(OR(W135="Watching",W135="Preparing"),ISNUMBER(Q135)),IF(AND(Q135&gt;='Friday Summary'!$C$4,Q135&lt;='Friday Summary'!$C$4+14),Q135+ROW()/1000000,""),"")</f>
        <v/>
      </c>
    </row>
    <row r="136" ht="15" customHeight="1" s="51">
      <c r="A136" s="59">
        <f>IF(B136="","","OP-"&amp;TEXT(ROW()-4,"000"))</f>
        <v/>
      </c>
      <c r="B136" s="70" t="inlineStr">
        <is>
          <t>(not shown)</t>
        </is>
      </c>
      <c r="C136" s="71" t="n">
        <v>46307</v>
      </c>
      <c r="D136" s="70" t="inlineStr">
        <is>
          <t>aggregator</t>
        </is>
      </c>
      <c r="E136" s="70" t="inlineStr">
        <is>
          <t>https://www.biddetail.com/latest-tenders/119227874$19f6d9f5-d21e-4420-b596-68f5f16b413d</t>
        </is>
      </c>
      <c r="F136" s="70" t="inlineStr">
        <is>
          <t>See notice</t>
        </is>
      </c>
      <c r="G136" s="70" t="inlineStr">
        <is>
          <t>government</t>
        </is>
      </c>
      <c r="H136" s="70" t="inlineStr">
        <is>
          <t>Presidents Office-Finance And Plann ...... Africa Invitation For Bids For Boosting Inclusive Growth For Zanzibar: I ......</t>
        </is>
      </c>
      <c r="I136" s="70" t="inlineStr">
        <is>
          <t>From aggregator notice (1 lot) – read the tender document</t>
        </is>
      </c>
      <c r="J136" s="70" t="inlineStr">
        <is>
          <t>Zanzibar</t>
        </is>
      </c>
      <c r="K136" s="70" t="inlineStr">
        <is>
          <t>building</t>
        </is>
      </c>
      <c r="L136" s="70" t="inlineStr">
        <is>
          <t>See tender document</t>
        </is>
      </c>
      <c r="M136" s="62" t="n"/>
      <c r="N136" s="70" t="inlineStr">
        <is>
          <t>unknown</t>
        </is>
      </c>
      <c r="O136" s="71" t="inlineStr">
        <is>
          <t>See tender document</t>
        </is>
      </c>
      <c r="P136" s="71" t="inlineStr">
        <is>
          <t>See tender document</t>
        </is>
      </c>
      <c r="Q136" s="72" t="n"/>
      <c r="R136" s="70" t="inlineStr">
        <is>
          <t>See tender document</t>
        </is>
      </c>
      <c r="S136" s="70" t="inlineStr">
        <is>
          <t>N</t>
        </is>
      </c>
      <c r="T136" s="64">
        <f>IF(A136="","",IFERROR(INDEX('Bid-NoBid'!$T:$T,MATCH(A136,'Bid-NoBid'!$A:$A,0)),""))</f>
        <v/>
      </c>
      <c r="U136" s="59">
        <f>IF(A136="","",IFERROR(IF(OR(INDEX('Bid-NoBid'!$U:$U,MATCH(A136,'Bid-NoBid'!$A:$A,0))="",LEFT(INDEX('Bid-NoBid'!$U:$U,MATCH(A136,'Bid-NoBid'!$A:$A,0)),10)="Incomplete"),"Screen: "&amp;AC136,INDEX('Bid-NoBid'!$U:$U,MATCH(A136,'Bid-NoBid'!$A:$A,0))),"Screen: "&amp;AC136))</f>
        <v/>
      </c>
      <c r="V136" s="60" t="n"/>
      <c r="W136" s="70" t="inlineStr">
        <is>
          <t>Watching</t>
        </is>
      </c>
      <c r="X136" s="70" t="inlineStr">
        <is>
          <t>Frank</t>
        </is>
      </c>
      <c r="Y136" s="60" t="n"/>
      <c r="Z136" s="60" t="n"/>
      <c r="AA136" s="73" t="n"/>
      <c r="AB136" s="74" t="inlineStr">
        <is>
          <t>BidDetail – Tanzania tenders (web page)</t>
        </is>
      </c>
      <c r="AC136" s="74" t="inlineStr">
        <is>
          <t>Check</t>
        </is>
      </c>
      <c r="AD136" s="74" t="inlineStr">
        <is>
          <t>Auto (BidDetail – Tanzania tenders): Deadline not shown on the source page – open the link and read the notice</t>
        </is>
      </c>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74" t="inlineStr">
        <is>
          <t>Read the notice and decide with the QS Director whether to pursue</t>
        </is>
      </c>
      <c r="AJ136" s="74" t="inlineStr">
        <is>
          <t>Auto-scan</t>
        </is>
      </c>
      <c r="AK136" s="74" t="inlineStr">
        <is>
          <t>WEB:biddetail_tanzania_tenders:42771fc2c17c4b6f</t>
        </is>
      </c>
      <c r="AL136" s="59">
        <f>IF(AND(OR(W136="Watching",W136="Preparing"),ISNUMBER(Q136)),IF(AND(Q136&gt;='Friday Summary'!$C$4,Q136&lt;='Friday Summary'!$C$4+14),Q136+ROW()/1000000,""),"")</f>
        <v/>
      </c>
    </row>
    <row r="137" ht="15" customHeight="1" s="51">
      <c r="A137" s="59">
        <f>IF(B137="","","OP-"&amp;TEXT(ROW()-4,"000"))</f>
        <v/>
      </c>
      <c r="B137" s="70" t="inlineStr">
        <is>
          <t>88Z3/2026/2027/W/117</t>
        </is>
      </c>
      <c r="C137" s="71" t="n">
        <v>46308</v>
      </c>
      <c r="D137" s="70" t="inlineStr">
        <is>
          <t>NeST</t>
        </is>
      </c>
      <c r="E137" s="70" t="inlineStr">
        <is>
          <t>https://nest.go.tz/tenders/published-tenders</t>
        </is>
      </c>
      <c r="F137" s="70" t="inlineStr">
        <is>
          <t>Kinondoni Municipal Council</t>
        </is>
      </c>
      <c r="G137" s="70" t="inlineStr">
        <is>
          <t>government</t>
        </is>
      </c>
      <c r="H137" s="70" t="inlineStr">
        <is>
          <t>To complete construction of 6 classrooms of storey building at Mkwawa primary school by june 2027</t>
        </is>
      </c>
      <c r="I137" s="70" t="inlineStr">
        <is>
          <t>From NeST notice (1 lot) – read the tender document</t>
        </is>
      </c>
      <c r="J137" s="70" t="inlineStr">
        <is>
          <t>Dar es Salaam (Kinondoni) (from client's office – confirm site)</t>
        </is>
      </c>
      <c r="K137" s="70" t="inlineStr">
        <is>
          <t>building</t>
        </is>
      </c>
      <c r="L137" s="70" t="inlineStr">
        <is>
          <t>NeST login needed</t>
        </is>
      </c>
      <c r="M137" s="62" t="n"/>
      <c r="N137" s="70" t="inlineStr">
        <is>
          <t>unknown</t>
        </is>
      </c>
      <c r="O137" s="71" t="inlineStr">
        <is>
          <t>NeST login needed</t>
        </is>
      </c>
      <c r="P137" s="71" t="inlineStr">
        <is>
          <t>NeST login needed</t>
        </is>
      </c>
      <c r="Q137" s="72" t="n">
        <v>46311.41666666666</v>
      </c>
      <c r="R137" s="70" t="inlineStr">
        <is>
          <t>NeST login needed</t>
        </is>
      </c>
      <c r="S137" s="70" t="inlineStr">
        <is>
          <t>N</t>
        </is>
      </c>
      <c r="T137" s="64">
        <f>IF(A137="","",IFERROR(INDEX('Bid-NoBid'!$T:$T,MATCH(A137,'Bid-NoBid'!$A:$A,0)),""))</f>
        <v/>
      </c>
      <c r="U137" s="59">
        <f>IF(A137="","",IFERROR(IF(OR(INDEX('Bid-NoBid'!$U:$U,MATCH(A137,'Bid-NoBid'!$A:$A,0))="",LEFT(INDEX('Bid-NoBid'!$U:$U,MATCH(A137,'Bid-NoBid'!$A:$A,0)),10)="Incomplete"),"Screen: "&amp;AC137,INDEX('Bid-NoBid'!$U:$U,MATCH(A137,'Bid-NoBid'!$A:$A,0))),"Screen: "&amp;AC137))</f>
        <v/>
      </c>
      <c r="V137" s="60" t="n"/>
      <c r="W137" s="70" t="inlineStr">
        <is>
          <t>Watching</t>
        </is>
      </c>
      <c r="X137" s="70" t="inlineStr">
        <is>
          <t>Frank</t>
        </is>
      </c>
      <c r="Y137" s="60" t="n"/>
      <c r="Z137" s="60" t="n"/>
      <c r="AA137" s="73" t="n">
        <v>46304</v>
      </c>
      <c r="AB137" s="74" t="inlineStr">
        <is>
          <t>Small Works / Planned Tender</t>
        </is>
      </c>
      <c r="AC137" s="74" t="inlineStr">
        <is>
          <t>Check</t>
        </is>
      </c>
      <c r="AD137" s="74" t="inlineStr">
        <is>
          <t>Auto (Small Works / Planned Tender): Good fit but little time left</t>
        </is>
      </c>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74" t="inlineStr">
        <is>
          <t>Read the notice and decide with the QS Director whether to pursue</t>
        </is>
      </c>
      <c r="AJ137" s="74" t="inlineStr">
        <is>
          <t>Auto-scan</t>
        </is>
      </c>
      <c r="AK137" s="74" t="inlineStr">
        <is>
          <t>e859f1d2-d9e2-401c-b1a5-171ac73597f7</t>
        </is>
      </c>
      <c r="AL137" s="59">
        <f>IF(AND(OR(W137="Watching",W137="Preparing"),ISNUMBER(Q137)),IF(AND(Q137&gt;='Friday Summary'!$C$4,Q137&lt;='Friday Summary'!$C$4+14),Q137+ROW()/1000000,""),"")</f>
        <v/>
      </c>
    </row>
    <row r="138" ht="15" customHeight="1" s="51">
      <c r="A138" s="59">
        <f>IF(B138="","","OP-"&amp;TEXT(ROW()-4,"000"))</f>
        <v/>
      </c>
      <c r="B138" s="70" t="inlineStr">
        <is>
          <t>79K3/2026/2027/W/02</t>
        </is>
      </c>
      <c r="C138" s="71" t="n">
        <v>46308</v>
      </c>
      <c r="D138" s="70" t="inlineStr">
        <is>
          <t>NeST</t>
        </is>
      </c>
      <c r="E138" s="70" t="inlineStr">
        <is>
          <t>https://nest.go.tz/tenders/published-tenders</t>
        </is>
      </c>
      <c r="F138" s="70" t="inlineStr">
        <is>
          <t>Ulanga District Council</t>
        </is>
      </c>
      <c r="G138" s="70" t="inlineStr">
        <is>
          <t>government</t>
        </is>
      </c>
      <c r="H138" s="70" t="inlineStr">
        <is>
          <t>CONSTUCTION OF HEAD OF DEPARTMENT HOUSES</t>
        </is>
      </c>
      <c r="I138" s="70" t="inlineStr">
        <is>
          <t>From NeST notice (1 lot) – read the tender document</t>
        </is>
      </c>
      <c r="J138" s="70" t="inlineStr">
        <is>
          <t>Morogoro (from client's office – confirm site)</t>
        </is>
      </c>
      <c r="K138" s="70" t="inlineStr">
        <is>
          <t>building</t>
        </is>
      </c>
      <c r="L138" s="70" t="inlineStr">
        <is>
          <t>NeST login needed</t>
        </is>
      </c>
      <c r="M138" s="62" t="n"/>
      <c r="N138" s="70" t="inlineStr">
        <is>
          <t>unknown</t>
        </is>
      </c>
      <c r="O138" s="71" t="inlineStr">
        <is>
          <t>NeST login needed</t>
        </is>
      </c>
      <c r="P138" s="71" t="inlineStr">
        <is>
          <t>NeST login needed</t>
        </is>
      </c>
      <c r="Q138" s="72" t="n">
        <v>46314.41666666666</v>
      </c>
      <c r="R138" s="70" t="inlineStr">
        <is>
          <t>NeST login needed</t>
        </is>
      </c>
      <c r="S138" s="70" t="inlineStr">
        <is>
          <t>N</t>
        </is>
      </c>
      <c r="T138" s="64">
        <f>IF(A138="","",IFERROR(INDEX('Bid-NoBid'!$T:$T,MATCH(A138,'Bid-NoBid'!$A:$A,0)),""))</f>
        <v/>
      </c>
      <c r="U138" s="59">
        <f>IF(A138="","",IFERROR(IF(OR(INDEX('Bid-NoBid'!$U:$U,MATCH(A138,'Bid-NoBid'!$A:$A,0))="",LEFT(INDEX('Bid-NoBid'!$U:$U,MATCH(A138,'Bid-NoBid'!$A:$A,0)),10)="Incomplete"),"Screen: "&amp;AC138,INDEX('Bid-NoBid'!$U:$U,MATCH(A138,'Bid-NoBid'!$A:$A,0))),"Screen: "&amp;AC138))</f>
        <v/>
      </c>
      <c r="V138" s="60" t="n"/>
      <c r="W138" s="70" t="inlineStr">
        <is>
          <t>Watching</t>
        </is>
      </c>
      <c r="X138" s="70" t="inlineStr">
        <is>
          <t>Frank</t>
        </is>
      </c>
      <c r="Y138" s="60" t="n"/>
      <c r="Z138" s="60" t="n"/>
      <c r="AA138" s="73" t="n">
        <v>46307</v>
      </c>
      <c r="AB138" s="74" t="inlineStr">
        <is>
          <t>Small Works / Tender</t>
        </is>
      </c>
      <c r="AC138" s="74" t="inlineStr">
        <is>
          <t>Pursue</t>
        </is>
      </c>
      <c r="AD138" s="74" t="inlineStr">
        <is>
          <t>Auto (Small Works / Tender): Building works within reach of Dar</t>
        </is>
      </c>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74" t="inlineStr">
        <is>
          <t>Get the tender document, confirm value, CRB class, site visit and bid security; brief the MD</t>
        </is>
      </c>
      <c r="AJ138" s="74" t="inlineStr">
        <is>
          <t>Auto-scan</t>
        </is>
      </c>
      <c r="AK138" s="74" t="inlineStr">
        <is>
          <t>0eae0b70-8774-473c-903b-2a539b64703a</t>
        </is>
      </c>
      <c r="AL138" s="59">
        <f>IF(AND(OR(W138="Watching",W138="Preparing"),ISNUMBER(Q138)),IF(AND(Q138&gt;='Friday Summary'!$C$4,Q138&lt;='Friday Summary'!$C$4+14),Q138+ROW()/1000000,""),"")</f>
        <v/>
      </c>
    </row>
    <row r="139" ht="15" customHeight="1" s="51">
      <c r="A139" s="59">
        <f>IF(B139="","","OP-"&amp;TEXT(ROW()-4,"000"))</f>
        <v/>
      </c>
      <c r="B139" s="70" t="inlineStr">
        <is>
          <t>TR140/010/2026/2027/W/05</t>
        </is>
      </c>
      <c r="C139" s="71" t="n">
        <v>46308</v>
      </c>
      <c r="D139" s="70" t="inlineStr">
        <is>
          <t>NeST</t>
        </is>
      </c>
      <c r="E139" s="70" t="inlineStr">
        <is>
          <t>https://nest.go.tz/tenders/published-tenders</t>
        </is>
      </c>
      <c r="F139" s="70" t="inlineStr">
        <is>
          <t>RUWASA - Manyara Regional Office</t>
        </is>
      </c>
      <c r="G139" s="70" t="inlineStr">
        <is>
          <t>government</t>
        </is>
      </c>
      <c r="H139" s="70" t="inlineStr">
        <is>
          <t>Procure of Contractor for Construction of Point Source at Mulbadaw Villages at RUWASA Hanang District, Construction of 3 point source with 5 DPs each to serve Loltepes, Mesera and Namelock Kiteto District in Manyara Region (1575 Programme)</t>
        </is>
      </c>
      <c r="I139" s="70" t="inlineStr">
        <is>
          <t>From NeST notice (1 lot) – read the tender document</t>
        </is>
      </c>
      <c r="J139" s="70" t="inlineStr">
        <is>
          <t>Manyara (Kiteto)</t>
        </is>
      </c>
      <c r="K139" s="70" t="inlineStr">
        <is>
          <t>building</t>
        </is>
      </c>
      <c r="L139" s="70" t="inlineStr">
        <is>
          <t>NeST login needed</t>
        </is>
      </c>
      <c r="M139" s="62" t="n"/>
      <c r="N139" s="70" t="inlineStr">
        <is>
          <t>unknown</t>
        </is>
      </c>
      <c r="O139" s="71" t="inlineStr">
        <is>
          <t>NeST login needed</t>
        </is>
      </c>
      <c r="P139" s="71" t="inlineStr">
        <is>
          <t>NeST login needed</t>
        </is>
      </c>
      <c r="Q139" s="72" t="n">
        <v>46314.58333333334</v>
      </c>
      <c r="R139" s="70" t="inlineStr">
        <is>
          <t>NeST login needed</t>
        </is>
      </c>
      <c r="S139" s="70" t="inlineStr">
        <is>
          <t>N</t>
        </is>
      </c>
      <c r="T139" s="64">
        <f>IF(A139="","",IFERROR(INDEX('Bid-NoBid'!$T:$T,MATCH(A139,'Bid-NoBid'!$A:$A,0)),""))</f>
        <v/>
      </c>
      <c r="U139" s="59">
        <f>IF(A139="","",IFERROR(IF(OR(INDEX('Bid-NoBid'!$U:$U,MATCH(A139,'Bid-NoBid'!$A:$A,0))="",LEFT(INDEX('Bid-NoBid'!$U:$U,MATCH(A139,'Bid-NoBid'!$A:$A,0)),10)="Incomplete"),"Screen: "&amp;AC139,INDEX('Bid-NoBid'!$U:$U,MATCH(A139,'Bid-NoBid'!$A:$A,0))),"Screen: "&amp;AC139))</f>
        <v/>
      </c>
      <c r="V139" s="60" t="n"/>
      <c r="W139" s="70" t="inlineStr">
        <is>
          <t>Watching</t>
        </is>
      </c>
      <c r="X139" s="70" t="inlineStr">
        <is>
          <t>Frank</t>
        </is>
      </c>
      <c r="Y139" s="60" t="n"/>
      <c r="Z139" s="60" t="n"/>
      <c r="AA139" s="73" t="n">
        <v>46307</v>
      </c>
      <c r="AB139" s="74" t="inlineStr">
        <is>
          <t>Standard Invitation for Quotations -Works / Planned Tender</t>
        </is>
      </c>
      <c r="AC139" s="74" t="inlineStr">
        <is>
          <t>Check</t>
        </is>
      </c>
      <c r="AD139" s="74" t="inlineStr">
        <is>
          <t>Auto (Standard Invitation for Quotations -Works / Planned Tender): Construction tender kept for review (would have been dropped: Remote and closing soon)</t>
        </is>
      </c>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74" t="inlineStr">
        <is>
          <t>Read the notice and decide with the QS Director whether to pursue</t>
        </is>
      </c>
      <c r="AJ139" s="74" t="inlineStr">
        <is>
          <t>Auto-scan</t>
        </is>
      </c>
      <c r="AK139" s="74" t="inlineStr">
        <is>
          <t>b11c0d14-4180-49e2-b218-9cc8542122ca</t>
        </is>
      </c>
      <c r="AL139" s="59">
        <f>IF(AND(OR(W139="Watching",W139="Preparing"),ISNUMBER(Q139)),IF(AND(Q139&gt;='Friday Summary'!$C$4,Q139&lt;='Friday Summary'!$C$4+14),Q139+ROW()/1000000,""),"")</f>
        <v/>
      </c>
    </row>
    <row r="140" ht="15" customHeight="1" s="51">
      <c r="A140" s="59">
        <f>IF(B140="","","OP-"&amp;TEXT(ROW()-4,"000"))</f>
        <v/>
      </c>
      <c r="B140" s="70" t="inlineStr">
        <is>
          <t>TR193/2026/2027/W/13</t>
        </is>
      </c>
      <c r="C140" s="71" t="n">
        <v>46308</v>
      </c>
      <c r="D140" s="70" t="inlineStr">
        <is>
          <t>NeST</t>
        </is>
      </c>
      <c r="E140" s="70" t="inlineStr">
        <is>
          <t>https://nest.go.tz/tenders/published-tenders</t>
        </is>
      </c>
      <c r="F140" s="70" t="inlineStr">
        <is>
          <t>Ngorongoro Conservation Area Authority</t>
        </is>
      </c>
      <c r="G140" s="70" t="inlineStr">
        <is>
          <t>government</t>
        </is>
      </c>
      <c r="H140" s="70" t="inlineStr">
        <is>
          <t>Upgrading of Endoro walking tray to Harden standard, Construction of Staff House and Pedestrial suspended bridge with associated facilities at Endoro gate</t>
        </is>
      </c>
      <c r="I140" s="70" t="inlineStr">
        <is>
          <t>From NeST notice (1 lot) – read the tender document</t>
        </is>
      </c>
      <c r="J140" s="70" t="inlineStr">
        <is>
          <t>Arusha (Ngorongoro) (from client's office – confirm site)</t>
        </is>
      </c>
      <c r="K140" s="70" t="inlineStr">
        <is>
          <t>civil</t>
        </is>
      </c>
      <c r="L140" s="70" t="inlineStr">
        <is>
          <t>NeST login needed</t>
        </is>
      </c>
      <c r="M140" s="62" t="n"/>
      <c r="N140" s="70" t="inlineStr">
        <is>
          <t>unknown</t>
        </is>
      </c>
      <c r="O140" s="71" t="inlineStr">
        <is>
          <t>NeST login needed</t>
        </is>
      </c>
      <c r="P140" s="71" t="inlineStr">
        <is>
          <t>NeST login needed</t>
        </is>
      </c>
      <c r="Q140" s="72" t="n">
        <v>46314.58333333334</v>
      </c>
      <c r="R140" s="70" t="inlineStr">
        <is>
          <t>NeST login needed</t>
        </is>
      </c>
      <c r="S140" s="70" t="inlineStr">
        <is>
          <t>N</t>
        </is>
      </c>
      <c r="T140" s="64">
        <f>IF(A140="","",IFERROR(INDEX('Bid-NoBid'!$T:$T,MATCH(A140,'Bid-NoBid'!$A:$A,0)),""))</f>
        <v/>
      </c>
      <c r="U140" s="59">
        <f>IF(A140="","",IFERROR(IF(OR(INDEX('Bid-NoBid'!$U:$U,MATCH(A140,'Bid-NoBid'!$A:$A,0))="",LEFT(INDEX('Bid-NoBid'!$U:$U,MATCH(A140,'Bid-NoBid'!$A:$A,0)),10)="Incomplete"),"Screen: "&amp;AC140,INDEX('Bid-NoBid'!$U:$U,MATCH(A140,'Bid-NoBid'!$A:$A,0))),"Screen: "&amp;AC140))</f>
        <v/>
      </c>
      <c r="V140" s="60" t="n"/>
      <c r="W140" s="70" t="inlineStr">
        <is>
          <t>Watching</t>
        </is>
      </c>
      <c r="X140" s="70" t="inlineStr">
        <is>
          <t>Frank</t>
        </is>
      </c>
      <c r="Y140" s="60" t="n"/>
      <c r="Z140" s="60" t="n"/>
      <c r="AA140" s="73" t="n">
        <v>46307</v>
      </c>
      <c r="AB140" s="74" t="inlineStr">
        <is>
          <t>Standard Invitation for Quotations -Works / Planned Tender</t>
        </is>
      </c>
      <c r="AC140" s="74" t="inlineStr">
        <is>
          <t>Check</t>
        </is>
      </c>
      <c r="AD140" s="74" t="inlineStr">
        <is>
          <t>Auto (Standard Invitation for Quotations -Works / Planned Tender): Construction tender kept for review (would have been dropped: Remote civil works)</t>
        </is>
      </c>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74" t="inlineStr">
        <is>
          <t>Read the notice and decide with the QS Director whether to pursue</t>
        </is>
      </c>
      <c r="AJ140" s="74" t="inlineStr">
        <is>
          <t>Auto-scan</t>
        </is>
      </c>
      <c r="AK140" s="74" t="inlineStr">
        <is>
          <t>a5cac097-d076-493e-888c-d1e2d5d1152f</t>
        </is>
      </c>
      <c r="AL140" s="59">
        <f>IF(AND(OR(W140="Watching",W140="Preparing"),ISNUMBER(Q140)),IF(AND(Q140&gt;='Friday Summary'!$C$4,Q140&lt;='Friday Summary'!$C$4+14),Q140+ROW()/1000000,""),"")</f>
        <v/>
      </c>
    </row>
    <row r="141" ht="15" customHeight="1" s="51">
      <c r="A141" s="59">
        <f>IF(B141="","","OP-"&amp;TEXT(ROW()-4,"000"))</f>
        <v/>
      </c>
      <c r="B141" s="70" t="inlineStr">
        <is>
          <t>78/2026/2027/W/05</t>
        </is>
      </c>
      <c r="C141" s="71" t="n">
        <v>46308</v>
      </c>
      <c r="D141" s="70" t="inlineStr">
        <is>
          <t>NeST</t>
        </is>
      </c>
      <c r="E141" s="70" t="inlineStr">
        <is>
          <t>https://nest.go.tz/tenders/published-tenders</t>
        </is>
      </c>
      <c r="F141" s="70" t="inlineStr">
        <is>
          <t>Mbeya Regional Secretariat</t>
        </is>
      </c>
      <c r="G141" s="70" t="inlineStr">
        <is>
          <t>government</t>
        </is>
      </c>
      <c r="H141" s="70" t="inlineStr">
        <is>
          <t>PROPOSED CONSTRUCTION OF DISTRICT COMMISSIONER'S OFFICE TO BE BUILT AT KYELA DISTRICT (PHASE II)</t>
        </is>
      </c>
      <c r="I141" s="70" t="inlineStr">
        <is>
          <t>From NeST notice (1 lot) – read the tender document</t>
        </is>
      </c>
      <c r="J141" s="70" t="inlineStr">
        <is>
          <t>Mbeya (from client's office – confirm site)</t>
        </is>
      </c>
      <c r="K141" s="70" t="inlineStr">
        <is>
          <t>building</t>
        </is>
      </c>
      <c r="L141" s="70" t="inlineStr">
        <is>
          <t>NeST login needed</t>
        </is>
      </c>
      <c r="M141" s="62" t="n"/>
      <c r="N141" s="70" t="inlineStr">
        <is>
          <t>unknown</t>
        </is>
      </c>
      <c r="O141" s="71" t="inlineStr">
        <is>
          <t>NeST login needed</t>
        </is>
      </c>
      <c r="P141" s="71" t="inlineStr">
        <is>
          <t>NeST login needed</t>
        </is>
      </c>
      <c r="Q141" s="72" t="n">
        <v>46314.58333333334</v>
      </c>
      <c r="R141" s="70" t="inlineStr">
        <is>
          <t>NeST login needed</t>
        </is>
      </c>
      <c r="S141" s="70" t="inlineStr">
        <is>
          <t>N</t>
        </is>
      </c>
      <c r="T141" s="64">
        <f>IF(A141="","",IFERROR(INDEX('Bid-NoBid'!$T:$T,MATCH(A141,'Bid-NoBid'!$A:$A,0)),""))</f>
        <v/>
      </c>
      <c r="U141" s="59">
        <f>IF(A141="","",IFERROR(IF(OR(INDEX('Bid-NoBid'!$U:$U,MATCH(A141,'Bid-NoBid'!$A:$A,0))="",LEFT(INDEX('Bid-NoBid'!$U:$U,MATCH(A141,'Bid-NoBid'!$A:$A,0)),10)="Incomplete"),"Screen: "&amp;AC141,INDEX('Bid-NoBid'!$U:$U,MATCH(A141,'Bid-NoBid'!$A:$A,0))),"Screen: "&amp;AC141))</f>
        <v/>
      </c>
      <c r="V141" s="60" t="n"/>
      <c r="W141" s="70" t="inlineStr">
        <is>
          <t>Watching</t>
        </is>
      </c>
      <c r="X141" s="70" t="inlineStr">
        <is>
          <t>Frank</t>
        </is>
      </c>
      <c r="Y141" s="60" t="n"/>
      <c r="Z141" s="60" t="n"/>
      <c r="AA141" s="73" t="n">
        <v>46307</v>
      </c>
      <c r="AB141" s="74" t="inlineStr">
        <is>
          <t>Small Works / Tender</t>
        </is>
      </c>
      <c r="AC141" s="74" t="inlineStr">
        <is>
          <t>Check</t>
        </is>
      </c>
      <c r="AD141" s="74" t="inlineStr">
        <is>
          <t>Auto (Small Works / Tender): Construction tender kept for review (would have been dropped: Remote and closing soon)</t>
        </is>
      </c>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74" t="inlineStr">
        <is>
          <t>Read the notice and decide with the QS Director whether to pursue</t>
        </is>
      </c>
      <c r="AJ141" s="74" t="inlineStr">
        <is>
          <t>Auto-scan</t>
        </is>
      </c>
      <c r="AK141" s="74" t="inlineStr">
        <is>
          <t>06a10049-96a8-4d0c-80af-a172fbe3bb22</t>
        </is>
      </c>
      <c r="AL141" s="59">
        <f>IF(AND(OR(W141="Watching",W141="Preparing"),ISNUMBER(Q141)),IF(AND(Q141&gt;='Friday Summary'!$C$4,Q141&lt;='Friday Summary'!$C$4+14),Q141+ROW()/1000000,""),"")</f>
        <v/>
      </c>
    </row>
    <row r="142" ht="15" customHeight="1" s="51">
      <c r="A142" s="59">
        <f>IF(B142="","","OP-"&amp;TEXT(ROW()-4,"000"))</f>
        <v/>
      </c>
      <c r="B142" s="70" t="inlineStr">
        <is>
          <t>88Z3/2026/2027/W/125</t>
        </is>
      </c>
      <c r="C142" s="71" t="n">
        <v>46308</v>
      </c>
      <c r="D142" s="70" t="inlineStr">
        <is>
          <t>NeST</t>
        </is>
      </c>
      <c r="E142" s="70" t="inlineStr">
        <is>
          <t>https://nest.go.tz/tenders/published-tenders</t>
        </is>
      </c>
      <c r="F142" s="70" t="inlineStr">
        <is>
          <t>Kinondoni Municipal Council</t>
        </is>
      </c>
      <c r="G142" s="70" t="inlineStr">
        <is>
          <t>government</t>
        </is>
      </c>
      <c r="H142" s="70" t="inlineStr">
        <is>
          <t>PROPOSED CONSTRUCTION OF MUNICIPAL DIRECTOR HOUSE AT MSASANI PENINSULA IN KMC</t>
        </is>
      </c>
      <c r="I142" s="70" t="inlineStr">
        <is>
          <t>From NeST notice (1 lot) – read the tender document</t>
        </is>
      </c>
      <c r="J142" s="70" t="inlineStr">
        <is>
          <t>Dar es Salaam (Kinondoni) (from client's office – confirm site)</t>
        </is>
      </c>
      <c r="K142" s="70" t="inlineStr">
        <is>
          <t>building</t>
        </is>
      </c>
      <c r="L142" s="70" t="inlineStr">
        <is>
          <t>NeST login needed</t>
        </is>
      </c>
      <c r="M142" s="62" t="n"/>
      <c r="N142" s="70" t="inlineStr">
        <is>
          <t>unknown</t>
        </is>
      </c>
      <c r="O142" s="71" t="inlineStr">
        <is>
          <t>NeST login needed</t>
        </is>
      </c>
      <c r="P142" s="71" t="inlineStr">
        <is>
          <t>NeST login needed</t>
        </is>
      </c>
      <c r="Q142" s="72" t="n">
        <v>46314.58333333334</v>
      </c>
      <c r="R142" s="70" t="inlineStr">
        <is>
          <t>NeST login needed</t>
        </is>
      </c>
      <c r="S142" s="70" t="inlineStr">
        <is>
          <t>N</t>
        </is>
      </c>
      <c r="T142" s="64">
        <f>IF(A142="","",IFERROR(INDEX('Bid-NoBid'!$T:$T,MATCH(A142,'Bid-NoBid'!$A:$A,0)),""))</f>
        <v/>
      </c>
      <c r="U142" s="59">
        <f>IF(A142="","",IFERROR(IF(OR(INDEX('Bid-NoBid'!$U:$U,MATCH(A142,'Bid-NoBid'!$A:$A,0))="",LEFT(INDEX('Bid-NoBid'!$U:$U,MATCH(A142,'Bid-NoBid'!$A:$A,0)),10)="Incomplete"),"Screen: "&amp;AC142,INDEX('Bid-NoBid'!$U:$U,MATCH(A142,'Bid-NoBid'!$A:$A,0))),"Screen: "&amp;AC142))</f>
        <v/>
      </c>
      <c r="V142" s="60" t="n"/>
      <c r="W142" s="70" t="inlineStr">
        <is>
          <t>Watching</t>
        </is>
      </c>
      <c r="X142" s="70" t="inlineStr">
        <is>
          <t>Frank</t>
        </is>
      </c>
      <c r="Y142" s="60" t="n"/>
      <c r="Z142" s="60" t="n"/>
      <c r="AA142" s="73" t="n">
        <v>46307</v>
      </c>
      <c r="AB142" s="74" t="inlineStr">
        <is>
          <t>Small Works / Tender</t>
        </is>
      </c>
      <c r="AC142" s="74" t="inlineStr">
        <is>
          <t>Pursue</t>
        </is>
      </c>
      <c r="AD142" s="74" t="inlineStr">
        <is>
          <t>Auto (Small Works / Tender): Building works within reach of Dar</t>
        </is>
      </c>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74" t="inlineStr">
        <is>
          <t>Get the tender document, confirm value, CRB class, site visit and bid security; brief the MD</t>
        </is>
      </c>
      <c r="AJ142" s="74" t="inlineStr">
        <is>
          <t>Auto-scan</t>
        </is>
      </c>
      <c r="AK142" s="74" t="inlineStr">
        <is>
          <t>2bead82a-8125-4674-bbdb-1ed5ef8f07d6</t>
        </is>
      </c>
      <c r="AL142" s="59">
        <f>IF(AND(OR(W142="Watching",W142="Preparing"),ISNUMBER(Q142)),IF(AND(Q142&gt;='Friday Summary'!$C$4,Q142&lt;='Friday Summary'!$C$4+14),Q142+ROW()/1000000,""),"")</f>
        <v/>
      </c>
    </row>
    <row r="143" ht="15" customHeight="1" s="51">
      <c r="A143" s="59">
        <f>IF(B143="","","OP-"&amp;TEXT(ROW()-4,"000"))</f>
        <v/>
      </c>
      <c r="B143" s="70" t="inlineStr">
        <is>
          <t>88Z3/2026/2027/W/131</t>
        </is>
      </c>
      <c r="C143" s="71" t="n">
        <v>46308</v>
      </c>
      <c r="D143" s="70" t="inlineStr">
        <is>
          <t>NeST</t>
        </is>
      </c>
      <c r="E143" s="70" t="inlineStr">
        <is>
          <t>https://nest.go.tz/tenders/published-tenders</t>
        </is>
      </c>
      <c r="F143" s="70" t="inlineStr">
        <is>
          <t>Kinondoni Municipal Council</t>
        </is>
      </c>
      <c r="G143" s="70" t="inlineStr">
        <is>
          <t>government</t>
        </is>
      </c>
      <c r="H143" s="70" t="inlineStr">
        <is>
          <t>PROPOSED CONSTRUCTION OF FENCE WALL AND PAVING BLOCKS AT KINONDONI MUNICIPAL COUNCIL</t>
        </is>
      </c>
      <c r="I143" s="70" t="inlineStr">
        <is>
          <t>From NeST notice (1 lot) – read the tender document</t>
        </is>
      </c>
      <c r="J143" s="70" t="inlineStr">
        <is>
          <t>Dar es Salaam (Kinondoni)</t>
        </is>
      </c>
      <c r="K143" s="70" t="inlineStr">
        <is>
          <t>civil</t>
        </is>
      </c>
      <c r="L143" s="70" t="inlineStr">
        <is>
          <t>NeST login needed</t>
        </is>
      </c>
      <c r="M143" s="62" t="n"/>
      <c r="N143" s="70" t="inlineStr">
        <is>
          <t>unknown</t>
        </is>
      </c>
      <c r="O143" s="71" t="inlineStr">
        <is>
          <t>NeST login needed</t>
        </is>
      </c>
      <c r="P143" s="71" t="inlineStr">
        <is>
          <t>NeST login needed</t>
        </is>
      </c>
      <c r="Q143" s="72" t="n">
        <v>46321.58333333334</v>
      </c>
      <c r="R143" s="70" t="inlineStr">
        <is>
          <t>NeST login needed</t>
        </is>
      </c>
      <c r="S143" s="70" t="inlineStr">
        <is>
          <t>N</t>
        </is>
      </c>
      <c r="T143" s="64">
        <f>IF(A143="","",IFERROR(INDEX('Bid-NoBid'!$T:$T,MATCH(A143,'Bid-NoBid'!$A:$A,0)),""))</f>
        <v/>
      </c>
      <c r="U143" s="59">
        <f>IF(A143="","",IFERROR(IF(OR(INDEX('Bid-NoBid'!$U:$U,MATCH(A143,'Bid-NoBid'!$A:$A,0))="",LEFT(INDEX('Bid-NoBid'!$U:$U,MATCH(A143,'Bid-NoBid'!$A:$A,0)),10)="Incomplete"),"Screen: "&amp;AC143,INDEX('Bid-NoBid'!$U:$U,MATCH(A143,'Bid-NoBid'!$A:$A,0))),"Screen: "&amp;AC143))</f>
        <v/>
      </c>
      <c r="V143" s="60" t="n"/>
      <c r="W143" s="70" t="inlineStr">
        <is>
          <t>Watching</t>
        </is>
      </c>
      <c r="X143" s="70" t="inlineStr">
        <is>
          <t>Frank</t>
        </is>
      </c>
      <c r="Y143" s="60" t="n"/>
      <c r="Z143" s="60" t="n"/>
      <c r="AA143" s="73" t="n">
        <v>46307</v>
      </c>
      <c r="AB143" s="74" t="inlineStr">
        <is>
          <t>Small Works / Tender</t>
        </is>
      </c>
      <c r="AC143" s="74" t="inlineStr">
        <is>
          <t>Check</t>
        </is>
      </c>
      <c r="AD143" s="74" t="inlineStr">
        <is>
          <t>Auto (Small Works / Tender): Civil works in Dar/Coast – confirm CRB class and margin</t>
        </is>
      </c>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74" t="inlineStr">
        <is>
          <t>Deadline changed at source 19-Oct (was 19-Oct 14:00). Read the notice and decide with the QS Director whether to pursue</t>
        </is>
      </c>
      <c r="AJ143" s="74" t="inlineStr">
        <is>
          <t>Auto-scan</t>
        </is>
      </c>
      <c r="AK143" s="74" t="inlineStr">
        <is>
          <t>7fd2d334-fc33-434c-88ba-5072225c8f0a</t>
        </is>
      </c>
      <c r="AL143" s="59">
        <f>IF(AND(OR(W143="Watching",W143="Preparing"),ISNUMBER(Q143)),IF(AND(Q143&gt;='Friday Summary'!$C$4,Q143&lt;='Friday Summary'!$C$4+14),Q143+ROW()/1000000,""),"")</f>
        <v/>
      </c>
    </row>
    <row r="144" ht="15" customHeight="1" s="51">
      <c r="A144" s="59">
        <f>IF(B144="","","OP-"&amp;TEXT(ROW()-4,"000"))</f>
        <v/>
      </c>
      <c r="B144" s="70" t="inlineStr">
        <is>
          <t>(not shown)</t>
        </is>
      </c>
      <c r="C144" s="71" t="n">
        <v>46308</v>
      </c>
      <c r="D144" s="70" t="inlineStr">
        <is>
          <t>press</t>
        </is>
      </c>
      <c r="E144" s="70" t="inlineStr">
        <is>
          <t>https://www.tanzaniatenders.com/tender/provision-consultant-service-construction-tabora-nhif-building-8fd9728.php</t>
        </is>
      </c>
      <c r="F144" s="70" t="inlineStr">
        <is>
          <t>See advert</t>
        </is>
      </c>
      <c r="G144" s="70" t="inlineStr">
        <is>
          <t>government</t>
        </is>
      </c>
      <c r="H144" s="70" t="inlineStr">
        <is>
          <t>Provision of Consultant Service for Construction of Tabora Nhif Building</t>
        </is>
      </c>
      <c r="I144" s="70" t="inlineStr">
        <is>
          <t>From press notice (1 lot) – read the tender document</t>
        </is>
      </c>
      <c r="J144" s="70" t="inlineStr">
        <is>
          <t>Tabora</t>
        </is>
      </c>
      <c r="K144" s="70" t="inlineStr">
        <is>
          <t>building</t>
        </is>
      </c>
      <c r="L144" s="70" t="inlineStr">
        <is>
          <t>See tender document</t>
        </is>
      </c>
      <c r="M144" s="62" t="n"/>
      <c r="N144" s="70" t="inlineStr">
        <is>
          <t>unknown</t>
        </is>
      </c>
      <c r="O144" s="71" t="inlineStr">
        <is>
          <t>See tender document</t>
        </is>
      </c>
      <c r="P144" s="71" t="inlineStr">
        <is>
          <t>See tender document</t>
        </is>
      </c>
      <c r="Q144" s="72" t="n">
        <v>46321.41666666666</v>
      </c>
      <c r="R144" s="70" t="inlineStr">
        <is>
          <t>See tender document</t>
        </is>
      </c>
      <c r="S144" s="70" t="inlineStr">
        <is>
          <t>N</t>
        </is>
      </c>
      <c r="T144" s="64">
        <f>IF(A144="","",IFERROR(INDEX('Bid-NoBid'!$T:$T,MATCH(A144,'Bid-NoBid'!$A:$A,0)),""))</f>
        <v/>
      </c>
      <c r="U144" s="59">
        <f>IF(A144="","",IFERROR(IF(OR(INDEX('Bid-NoBid'!$U:$U,MATCH(A144,'Bid-NoBid'!$A:$A,0))="",LEFT(INDEX('Bid-NoBid'!$U:$U,MATCH(A144,'Bid-NoBid'!$A:$A,0)),10)="Incomplete"),"Screen: "&amp;AC144,INDEX('Bid-NoBid'!$U:$U,MATCH(A144,'Bid-NoBid'!$A:$A,0))),"Screen: "&amp;AC144))</f>
        <v/>
      </c>
      <c r="V144" s="60" t="n"/>
      <c r="W144" s="70" t="inlineStr">
        <is>
          <t>Watching</t>
        </is>
      </c>
      <c r="X144" s="70" t="inlineStr">
        <is>
          <t>Frank</t>
        </is>
      </c>
      <c r="Y144" s="60" t="n"/>
      <c r="Z144" s="60" t="n"/>
      <c r="AA144" s="73" t="n"/>
      <c r="AB144" s="74" t="inlineStr">
        <is>
          <t>TanzaniaTenders.com (newspapers / portals / private)</t>
        </is>
      </c>
      <c r="AC144" s="74" t="inlineStr">
        <is>
          <t>Check</t>
        </is>
      </c>
      <c r="AD144" s="74" t="inlineStr">
        <is>
          <t>Auto (TanzaniaTenders.com): Building works but remote from Dar · deadline read from the web page – confirm</t>
        </is>
      </c>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74" t="inlineStr">
        <is>
          <t>Read the notice and decide with the QS Director whether to pursue</t>
        </is>
      </c>
      <c r="AJ144" s="74" t="inlineStr">
        <is>
          <t>Auto-scan</t>
        </is>
      </c>
      <c r="AK144" s="74" t="inlineStr">
        <is>
          <t>TZT:150837032</t>
        </is>
      </c>
      <c r="AL144" s="59">
        <f>IF(AND(OR(W144="Watching",W144="Preparing"),ISNUMBER(Q144)),IF(AND(Q144&gt;='Friday Summary'!$C$4,Q144&lt;='Friday Summary'!$C$4+14),Q144+ROW()/1000000,""),"")</f>
        <v/>
      </c>
    </row>
    <row r="145" ht="15" customHeight="1" s="51">
      <c r="A145" s="59">
        <f>IF(B145="","","OP-"&amp;TEXT(ROW()-4,"000"))</f>
        <v/>
      </c>
      <c r="B145" s="70" t="inlineStr">
        <is>
          <t>(not shown)</t>
        </is>
      </c>
      <c r="C145" s="71" t="n">
        <v>46308</v>
      </c>
      <c r="D145" s="70" t="inlineStr">
        <is>
          <t>press</t>
        </is>
      </c>
      <c r="E145" s="70" t="inlineStr">
        <is>
          <t>https://www.tanzaniatenders.com/tender/specialized-monitoring-ac-voltage-induced-pipeline-powerlines-ac-corrosion-assessments-telluric-cu-8fe384d.php</t>
        </is>
      </c>
      <c r="F145" s="70" t="inlineStr">
        <is>
          <t>See advert</t>
        </is>
      </c>
      <c r="G145" s="70" t="inlineStr">
        <is>
          <t>government</t>
        </is>
      </c>
      <c r="H145" s="70" t="inlineStr">
        <is>
          <t>Specialized monitoring of AC voltage induced on the pipeline by powerlines, AC corrosion assessments, telluric current monitoring,</t>
        </is>
      </c>
      <c r="I145" s="70" t="inlineStr">
        <is>
          <t>From press notice (1 lot) – read the tender document</t>
        </is>
      </c>
      <c r="J145" s="70" t="inlineStr">
        <is>
          <t>Not stated – read the notice</t>
        </is>
      </c>
      <c r="K145" s="70" t="inlineStr">
        <is>
          <t>civil</t>
        </is>
      </c>
      <c r="L145" s="70" t="inlineStr">
        <is>
          <t>See tender document</t>
        </is>
      </c>
      <c r="M145" s="62" t="n"/>
      <c r="N145" s="70" t="inlineStr">
        <is>
          <t>unknown</t>
        </is>
      </c>
      <c r="O145" s="71" t="inlineStr">
        <is>
          <t>See tender document</t>
        </is>
      </c>
      <c r="P145" s="71" t="inlineStr">
        <is>
          <t>See tender document</t>
        </is>
      </c>
      <c r="Q145" s="72" t="n">
        <v>46325.41666666666</v>
      </c>
      <c r="R145" s="70" t="inlineStr">
        <is>
          <t>See tender document</t>
        </is>
      </c>
      <c r="S145" s="70" t="inlineStr">
        <is>
          <t>N</t>
        </is>
      </c>
      <c r="T145" s="64">
        <f>IF(A145="","",IFERROR(INDEX('Bid-NoBid'!$T:$T,MATCH(A145,'Bid-NoBid'!$A:$A,0)),""))</f>
        <v/>
      </c>
      <c r="U145" s="59">
        <f>IF(A145="","",IFERROR(IF(OR(INDEX('Bid-NoBid'!$U:$U,MATCH(A145,'Bid-NoBid'!$A:$A,0))="",LEFT(INDEX('Bid-NoBid'!$U:$U,MATCH(A145,'Bid-NoBid'!$A:$A,0)),10)="Incomplete"),"Screen: "&amp;AC145,INDEX('Bid-NoBid'!$U:$U,MATCH(A145,'Bid-NoBid'!$A:$A,0))),"Screen: "&amp;AC145))</f>
        <v/>
      </c>
      <c r="V145" s="60" t="n"/>
      <c r="W145" s="70" t="inlineStr">
        <is>
          <t>Watching</t>
        </is>
      </c>
      <c r="X145" s="70" t="inlineStr">
        <is>
          <t>Frank</t>
        </is>
      </c>
      <c r="Y145" s="60" t="n"/>
      <c r="Z145" s="60" t="n"/>
      <c r="AA145" s="73" t="n"/>
      <c r="AB145" s="74" t="inlineStr">
        <is>
          <t>TanzaniaTenders.com (newspapers / portals / private)</t>
        </is>
      </c>
      <c r="AC145" s="74" t="inlineStr">
        <is>
          <t>Check</t>
        </is>
      </c>
      <c r="AD145" s="74" t="inlineStr">
        <is>
          <t>Auto (TanzaniaTenders.com): Civil works – confirm site, CRB class and margin · deadline read from the web page – confirm</t>
        </is>
      </c>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74" t="inlineStr">
        <is>
          <t>Read the notice and decide with the QS Director whether to pursue</t>
        </is>
      </c>
      <c r="AJ145" s="74" t="inlineStr">
        <is>
          <t>Auto-scan</t>
        </is>
      </c>
      <c r="AK145" s="74" t="inlineStr">
        <is>
          <t>TZT:150878285</t>
        </is>
      </c>
      <c r="AL145" s="59">
        <f>IF(AND(OR(W145="Watching",W145="Preparing"),ISNUMBER(Q145)),IF(AND(Q145&gt;='Friday Summary'!$C$4,Q145&lt;='Friday Summary'!$C$4+14),Q145+ROW()/1000000,""),"")</f>
        <v/>
      </c>
    </row>
    <row r="146" ht="15" customHeight="1" s="51">
      <c r="A146" s="59">
        <f>IF(B146="","","OP-"&amp;TEXT(ROW()-4,"000"))</f>
        <v/>
      </c>
      <c r="B146" s="70" t="inlineStr">
        <is>
          <t>(not shown)</t>
        </is>
      </c>
      <c r="C146" s="71" t="n">
        <v>46308</v>
      </c>
      <c r="D146" s="70" t="inlineStr">
        <is>
          <t>press</t>
        </is>
      </c>
      <c r="E146" s="70" t="inlineStr">
        <is>
          <t>https://www.tanzaniatenders.com/tender/the-tender-involves-construction-works-integrated-tourism-development-infrastructure-and-livelihoo-8fe3851.php</t>
        </is>
      </c>
      <c r="F146" s="70" t="inlineStr">
        <is>
          <t>See advert</t>
        </is>
      </c>
      <c r="G146" s="70" t="inlineStr">
        <is>
          <t>government</t>
        </is>
      </c>
      <c r="H146" s="70" t="inlineStr">
        <is>
          <t>The tender involves construction works for integrated tourism development, infrastructure, and livelihood improvement in Unguja, Zanzibar (Nungwi Village). The scope includes the construction of a public square, a two-storey tourist information centr</t>
        </is>
      </c>
      <c r="I146" s="70" t="inlineStr">
        <is>
          <t>From press notice (1 lot) – read the tender document</t>
        </is>
      </c>
      <c r="J146" s="70" t="inlineStr">
        <is>
          <t>Zanzibar (Unguja)</t>
        </is>
      </c>
      <c r="K146" s="70" t="inlineStr">
        <is>
          <t>building</t>
        </is>
      </c>
      <c r="L146" s="70" t="inlineStr">
        <is>
          <t>See tender document</t>
        </is>
      </c>
      <c r="M146" s="62" t="n"/>
      <c r="N146" s="70" t="inlineStr">
        <is>
          <t>unknown</t>
        </is>
      </c>
      <c r="O146" s="71" t="inlineStr">
        <is>
          <t>See tender document</t>
        </is>
      </c>
      <c r="P146" s="71" t="inlineStr">
        <is>
          <t>See tender document</t>
        </is>
      </c>
      <c r="Q146" s="72" t="n">
        <v>46336.41666666666</v>
      </c>
      <c r="R146" s="70" t="inlineStr">
        <is>
          <t>See tender document</t>
        </is>
      </c>
      <c r="S146" s="70" t="inlineStr">
        <is>
          <t>N</t>
        </is>
      </c>
      <c r="T146" s="64">
        <f>IF(A146="","",IFERROR(INDEX('Bid-NoBid'!$T:$T,MATCH(A146,'Bid-NoBid'!$A:$A,0)),""))</f>
        <v/>
      </c>
      <c r="U146" s="59">
        <f>IF(A146="","",IFERROR(IF(OR(INDEX('Bid-NoBid'!$U:$U,MATCH(A146,'Bid-NoBid'!$A:$A,0))="",LEFT(INDEX('Bid-NoBid'!$U:$U,MATCH(A146,'Bid-NoBid'!$A:$A,0)),10)="Incomplete"),"Screen: "&amp;AC146,INDEX('Bid-NoBid'!$U:$U,MATCH(A146,'Bid-NoBid'!$A:$A,0))),"Screen: "&amp;AC146))</f>
        <v/>
      </c>
      <c r="V146" s="60" t="n"/>
      <c r="W146" s="70" t="inlineStr">
        <is>
          <t>Watching</t>
        </is>
      </c>
      <c r="X146" s="70" t="inlineStr">
        <is>
          <t>Frank</t>
        </is>
      </c>
      <c r="Y146" s="60" t="n"/>
      <c r="Z146" s="60" t="n"/>
      <c r="AA146" s="73" t="n"/>
      <c r="AB146" s="74" t="inlineStr">
        <is>
          <t>TanzaniaTenders.com (newspapers / portals / private)</t>
        </is>
      </c>
      <c r="AC146" s="74" t="inlineStr">
        <is>
          <t>Pursue</t>
        </is>
      </c>
      <c r="AD146" s="74" t="inlineStr">
        <is>
          <t>Auto (TanzaniaTenders.com): Building works within reach of Dar · deadline read from the web page – confirm</t>
        </is>
      </c>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74" t="inlineStr">
        <is>
          <t>Get the tender document, confirm value, CRB class, site visit and bid security; brief the MD</t>
        </is>
      </c>
      <c r="AJ146" s="74" t="inlineStr">
        <is>
          <t>Auto-scan</t>
        </is>
      </c>
      <c r="AK146" s="74" t="inlineStr">
        <is>
          <t>TZT:150878289</t>
        </is>
      </c>
      <c r="AL146" s="59">
        <f>IF(AND(OR(W146="Watching",W146="Preparing"),ISNUMBER(Q146)),IF(AND(Q146&gt;='Friday Summary'!$C$4,Q146&lt;='Friday Summary'!$C$4+14),Q146+ROW()/1000000,""),"")</f>
        <v/>
      </c>
    </row>
    <row r="147" ht="15" customHeight="1" s="51">
      <c r="A147" s="59">
        <f>IF(B147="","","OP-"&amp;TEXT(ROW()-4,"000"))</f>
        <v/>
      </c>
      <c r="B147" s="70" t="inlineStr">
        <is>
          <t>88Z4/2026/2027/W/45</t>
        </is>
      </c>
      <c r="C147" s="71" t="n">
        <v>46309</v>
      </c>
      <c r="D147" s="70" t="inlineStr">
        <is>
          <t>NeST</t>
        </is>
      </c>
      <c r="E147" s="70" t="inlineStr">
        <is>
          <t>https://nest.go.tz/tenders/published-tenders</t>
        </is>
      </c>
      <c r="F147" s="70" t="inlineStr">
        <is>
          <t>Ubungo Municipal Council</t>
        </is>
      </c>
      <c r="G147" s="70" t="inlineStr">
        <is>
          <t>government</t>
        </is>
      </c>
      <c r="H147" s="70" t="inlineStr">
        <is>
          <t>CONSTRUCTION OF SINGLE STOREY BUILDING OPD, MATERNITY AND RCH BUILDING FOR GOGONI DISPENSARY IN UBUNGO MUNICIPALITY - KIBAMBA WARD</t>
        </is>
      </c>
      <c r="I147" s="70" t="inlineStr">
        <is>
          <t>From NeST notice (1 lot) – read the tender document</t>
        </is>
      </c>
      <c r="J147" s="70" t="inlineStr">
        <is>
          <t>Dar es Salaam (Ubungo)</t>
        </is>
      </c>
      <c r="K147" s="70" t="inlineStr">
        <is>
          <t>building</t>
        </is>
      </c>
      <c r="L147" s="70" t="inlineStr">
        <is>
          <t>NeST login needed</t>
        </is>
      </c>
      <c r="M147" s="62" t="n"/>
      <c r="N147" s="70" t="inlineStr">
        <is>
          <t>unknown</t>
        </is>
      </c>
      <c r="O147" s="71" t="inlineStr">
        <is>
          <t>NeST login needed</t>
        </is>
      </c>
      <c r="P147" s="71" t="inlineStr">
        <is>
          <t>NeST login needed</t>
        </is>
      </c>
      <c r="Q147" s="72" t="n">
        <v>46314.58333333334</v>
      </c>
      <c r="R147" s="70" t="inlineStr">
        <is>
          <t>NeST login needed</t>
        </is>
      </c>
      <c r="S147" s="70" t="inlineStr">
        <is>
          <t>N</t>
        </is>
      </c>
      <c r="T147" s="64">
        <f>IF(A147="","",IFERROR(INDEX('Bid-NoBid'!$T:$T,MATCH(A147,'Bid-NoBid'!$A:$A,0)),""))</f>
        <v/>
      </c>
      <c r="U147" s="59">
        <f>IF(A147="","",IFERROR(IF(OR(INDEX('Bid-NoBid'!$U:$U,MATCH(A147,'Bid-NoBid'!$A:$A,0))="",LEFT(INDEX('Bid-NoBid'!$U:$U,MATCH(A147,'Bid-NoBid'!$A:$A,0)),10)="Incomplete"),"Screen: "&amp;AC147,INDEX('Bid-NoBid'!$U:$U,MATCH(A147,'Bid-NoBid'!$A:$A,0))),"Screen: "&amp;AC147))</f>
        <v/>
      </c>
      <c r="V147" s="60" t="n"/>
      <c r="W147" s="70" t="inlineStr">
        <is>
          <t>Watching</t>
        </is>
      </c>
      <c r="X147" s="70" t="inlineStr">
        <is>
          <t>Frank</t>
        </is>
      </c>
      <c r="Y147" s="60" t="n"/>
      <c r="Z147" s="60" t="n"/>
      <c r="AA147" s="73" t="n">
        <v>46307</v>
      </c>
      <c r="AB147" s="74" t="inlineStr">
        <is>
          <t>Small Works / Planned Tender</t>
        </is>
      </c>
      <c r="AC147" s="74" t="inlineStr">
        <is>
          <t>Pursue</t>
        </is>
      </c>
      <c r="AD147" s="74" t="inlineStr">
        <is>
          <t>Auto (Small Works / Planned Tender): Building works within reach of Dar</t>
        </is>
      </c>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74" t="inlineStr">
        <is>
          <t>Get the tender document, confirm value, CRB class, site visit and bid security; brief the MD</t>
        </is>
      </c>
      <c r="AJ147" s="74" t="inlineStr">
        <is>
          <t>Auto-scan</t>
        </is>
      </c>
      <c r="AK147" s="74" t="inlineStr">
        <is>
          <t>57af6020-21a4-4717-93ec-d0b01898ccd0</t>
        </is>
      </c>
      <c r="AL147" s="59">
        <f>IF(AND(OR(W147="Watching",W147="Preparing"),ISNUMBER(Q147)),IF(AND(Q147&gt;='Friday Summary'!$C$4,Q147&lt;='Friday Summary'!$C$4+14),Q147+ROW()/1000000,""),"")</f>
        <v/>
      </c>
    </row>
    <row r="148" ht="15" customHeight="1" s="51">
      <c r="A148" s="59">
        <f>IF(B148="","","OP-"&amp;TEXT(ROW()-4,"000"))</f>
        <v/>
      </c>
      <c r="B148" s="70" t="inlineStr">
        <is>
          <t>53/004/2026/2027/W/02</t>
        </is>
      </c>
      <c r="C148" s="71" t="n">
        <v>46309</v>
      </c>
      <c r="D148" s="70" t="inlineStr">
        <is>
          <t>NeST</t>
        </is>
      </c>
      <c r="E148" s="70" t="inlineStr">
        <is>
          <t>https://nest.go.tz/tenders/published-tenders</t>
        </is>
      </c>
      <c r="F148" s="70" t="inlineStr">
        <is>
          <t>Mcdgwsg - Rungemba Community Development Training Institute</t>
        </is>
      </c>
      <c r="G148" s="70" t="inlineStr">
        <is>
          <t>government</t>
        </is>
      </c>
      <c r="H148" s="70" t="inlineStr">
        <is>
          <t>Construction of Girls hostel at Rungemba CDTI</t>
        </is>
      </c>
      <c r="I148" s="70" t="inlineStr">
        <is>
          <t>From NeST notice (1 lot) – read the tender document</t>
        </is>
      </c>
      <c r="J148" s="70" t="inlineStr">
        <is>
          <t>Iringa (Mufindi) (from client's office – confirm site)</t>
        </is>
      </c>
      <c r="K148" s="70" t="inlineStr">
        <is>
          <t>building</t>
        </is>
      </c>
      <c r="L148" s="70" t="inlineStr">
        <is>
          <t>NeST login needed</t>
        </is>
      </c>
      <c r="M148" s="62" t="n"/>
      <c r="N148" s="70" t="inlineStr">
        <is>
          <t>unknown</t>
        </is>
      </c>
      <c r="O148" s="71" t="inlineStr">
        <is>
          <t>NeST login needed</t>
        </is>
      </c>
      <c r="P148" s="71" t="inlineStr">
        <is>
          <t>NeST login needed</t>
        </is>
      </c>
      <c r="Q148" s="72" t="n">
        <v>46315.58333333334</v>
      </c>
      <c r="R148" s="70" t="inlineStr">
        <is>
          <t>NeST login needed</t>
        </is>
      </c>
      <c r="S148" s="70" t="inlineStr">
        <is>
          <t>N</t>
        </is>
      </c>
      <c r="T148" s="64">
        <f>IF(A148="","",IFERROR(INDEX('Bid-NoBid'!$T:$T,MATCH(A148,'Bid-NoBid'!$A:$A,0)),""))</f>
        <v/>
      </c>
      <c r="U148" s="59">
        <f>IF(A148="","",IFERROR(IF(OR(INDEX('Bid-NoBid'!$U:$U,MATCH(A148,'Bid-NoBid'!$A:$A,0))="",LEFT(INDEX('Bid-NoBid'!$U:$U,MATCH(A148,'Bid-NoBid'!$A:$A,0)),10)="Incomplete"),"Screen: "&amp;AC148,INDEX('Bid-NoBid'!$U:$U,MATCH(A148,'Bid-NoBid'!$A:$A,0))),"Screen: "&amp;AC148))</f>
        <v/>
      </c>
      <c r="V148" s="60" t="n"/>
      <c r="W148" s="70" t="inlineStr">
        <is>
          <t>Watching</t>
        </is>
      </c>
      <c r="X148" s="70" t="inlineStr">
        <is>
          <t>Frank</t>
        </is>
      </c>
      <c r="Y148" s="60" t="n"/>
      <c r="Z148" s="60" t="n"/>
      <c r="AA148" s="73" t="n">
        <v>46308</v>
      </c>
      <c r="AB148" s="74" t="inlineStr">
        <is>
          <t>Design and Build / Tender</t>
        </is>
      </c>
      <c r="AC148" s="74" t="inlineStr">
        <is>
          <t>Check</t>
        </is>
      </c>
      <c r="AD148" s="74" t="inlineStr">
        <is>
          <t>Auto (Design and Build / Tender): Construction tender kept for review (would have been dropped: Remote and closing soon)</t>
        </is>
      </c>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74" t="inlineStr">
        <is>
          <t>Read the notice and decide with the QS Director whether to pursue</t>
        </is>
      </c>
      <c r="AJ148" s="74" t="inlineStr">
        <is>
          <t>Auto-scan</t>
        </is>
      </c>
      <c r="AK148" s="74" t="inlineStr">
        <is>
          <t>f63dc25a-0d02-4862-9f12-66a754efe926</t>
        </is>
      </c>
      <c r="AL148" s="59">
        <f>IF(AND(OR(W148="Watching",W148="Preparing"),ISNUMBER(Q148)),IF(AND(Q148&gt;='Friday Summary'!$C$4,Q148&lt;='Friday Summary'!$C$4+14),Q148+ROW()/1000000,""),"")</f>
        <v/>
      </c>
    </row>
    <row r="149" ht="15" customHeight="1" s="51">
      <c r="A149" s="59">
        <f>IF(B149="","","OP-"&amp;TEXT(ROW()-4,"000"))</f>
        <v/>
      </c>
      <c r="B149" s="70" t="inlineStr">
        <is>
          <t>88Z3/2026/2027/W/121</t>
        </is>
      </c>
      <c r="C149" s="71" t="n">
        <v>46309</v>
      </c>
      <c r="D149" s="70" t="inlineStr">
        <is>
          <t>NeST</t>
        </is>
      </c>
      <c r="E149" s="70" t="inlineStr">
        <is>
          <t>https://nest.go.tz/tenders/published-tenders</t>
        </is>
      </c>
      <c r="F149" s="70" t="inlineStr">
        <is>
          <t>Kinondoni Municipal Council</t>
        </is>
      </c>
      <c r="G149" s="70" t="inlineStr">
        <is>
          <t>government</t>
        </is>
      </c>
      <c r="H149" s="70" t="inlineStr">
        <is>
          <t>The proposed construction of Tandale Health Center in Kinondoni Municipality</t>
        </is>
      </c>
      <c r="I149" s="70" t="inlineStr">
        <is>
          <t>From NeST notice (1 lot) – read the tender document</t>
        </is>
      </c>
      <c r="J149" s="70" t="inlineStr">
        <is>
          <t>Dar es Salaam (Kinondoni)</t>
        </is>
      </c>
      <c r="K149" s="70" t="inlineStr">
        <is>
          <t>building</t>
        </is>
      </c>
      <c r="L149" s="70" t="inlineStr">
        <is>
          <t>NeST login needed</t>
        </is>
      </c>
      <c r="M149" s="62" t="n"/>
      <c r="N149" s="70" t="inlineStr">
        <is>
          <t>unknown</t>
        </is>
      </c>
      <c r="O149" s="71" t="inlineStr">
        <is>
          <t>NeST login needed</t>
        </is>
      </c>
      <c r="P149" s="71" t="inlineStr">
        <is>
          <t>NeST login needed</t>
        </is>
      </c>
      <c r="Q149" s="72" t="n">
        <v>46328.58333333334</v>
      </c>
      <c r="R149" s="70" t="inlineStr">
        <is>
          <t>NeST login needed</t>
        </is>
      </c>
      <c r="S149" s="70" t="inlineStr">
        <is>
          <t>N</t>
        </is>
      </c>
      <c r="T149" s="64">
        <f>IF(A149="","",IFERROR(INDEX('Bid-NoBid'!$T:$T,MATCH(A149,'Bid-NoBid'!$A:$A,0)),""))</f>
        <v/>
      </c>
      <c r="U149" s="59">
        <f>IF(A149="","",IFERROR(IF(OR(INDEX('Bid-NoBid'!$U:$U,MATCH(A149,'Bid-NoBid'!$A:$A,0))="",LEFT(INDEX('Bid-NoBid'!$U:$U,MATCH(A149,'Bid-NoBid'!$A:$A,0)),10)="Incomplete"),"Screen: "&amp;AC149,INDEX('Bid-NoBid'!$U:$U,MATCH(A149,'Bid-NoBid'!$A:$A,0))),"Screen: "&amp;AC149))</f>
        <v/>
      </c>
      <c r="V149" s="60" t="n"/>
      <c r="W149" s="70" t="inlineStr">
        <is>
          <t>Watching</t>
        </is>
      </c>
      <c r="X149" s="70" t="inlineStr">
        <is>
          <t>Frank</t>
        </is>
      </c>
      <c r="Y149" s="60" t="n"/>
      <c r="Z149" s="60" t="n"/>
      <c r="AA149" s="73" t="n">
        <v>46308</v>
      </c>
      <c r="AB149" s="74" t="inlineStr">
        <is>
          <t>Small Works / Tender</t>
        </is>
      </c>
      <c r="AC149" s="74" t="inlineStr">
        <is>
          <t>Pursue</t>
        </is>
      </c>
      <c r="AD149" s="74" t="inlineStr">
        <is>
          <t>Auto (Small Works / Tender): Building works within reach of Dar</t>
        </is>
      </c>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74" t="inlineStr">
        <is>
          <t>Deadline changed at source 20-Oct (was 21-Oct 14:00). Get the tender document, confirm value, CRB class, site visit and bid security; brief the MD</t>
        </is>
      </c>
      <c r="AJ149" s="74" t="inlineStr">
        <is>
          <t>Auto-scan</t>
        </is>
      </c>
      <c r="AK149" s="74" t="inlineStr">
        <is>
          <t>a47caa0a-2b99-4309-8a97-af4aa5ead91f</t>
        </is>
      </c>
      <c r="AL149" s="59">
        <f>IF(AND(OR(W149="Watching",W149="Preparing"),ISNUMBER(Q149)),IF(AND(Q149&gt;='Friday Summary'!$C$4,Q149&lt;='Friday Summary'!$C$4+14),Q149+ROW()/1000000,""),"")</f>
        <v/>
      </c>
    </row>
    <row r="150" ht="15" customHeight="1" s="51">
      <c r="A150" s="59">
        <f>IF(B150="","","OP-"&amp;TEXT(ROW()-4,"000"))</f>
        <v/>
      </c>
      <c r="B150" s="70" t="inlineStr">
        <is>
          <t>(not shown)</t>
        </is>
      </c>
      <c r="C150" s="71" t="n">
        <v>46309</v>
      </c>
      <c r="D150" s="70" t="inlineStr">
        <is>
          <t>press</t>
        </is>
      </c>
      <c r="E150" s="70" t="inlineStr">
        <is>
          <t>https://www.tanzaniatenders.com/tender/tender-leasing-shops-iaa-babati-campus-cafeteria-building-8fe9474.php</t>
        </is>
      </c>
      <c r="F150" s="70" t="inlineStr">
        <is>
          <t>See advert</t>
        </is>
      </c>
      <c r="G150" s="70" t="inlineStr">
        <is>
          <t>government</t>
        </is>
      </c>
      <c r="H150" s="70" t="inlineStr">
        <is>
          <t>Tender for Leasing Shops at Iaa Babati Campus- Cafeteria Building</t>
        </is>
      </c>
      <c r="I150" s="70" t="inlineStr">
        <is>
          <t>From press notice (1 lot) – read the tender document</t>
        </is>
      </c>
      <c r="J150" s="70" t="inlineStr">
        <is>
          <t>Manyara (Babati)</t>
        </is>
      </c>
      <c r="K150" s="70" t="inlineStr">
        <is>
          <t>building</t>
        </is>
      </c>
      <c r="L150" s="70" t="inlineStr">
        <is>
          <t>See tender document</t>
        </is>
      </c>
      <c r="M150" s="62" t="n"/>
      <c r="N150" s="70" t="inlineStr">
        <is>
          <t>unknown</t>
        </is>
      </c>
      <c r="O150" s="71" t="inlineStr">
        <is>
          <t>See tender document</t>
        </is>
      </c>
      <c r="P150" s="71" t="inlineStr">
        <is>
          <t>See tender document</t>
        </is>
      </c>
      <c r="Q150" s="72" t="n">
        <v>46316.41666666666</v>
      </c>
      <c r="R150" s="70" t="inlineStr">
        <is>
          <t>See tender document</t>
        </is>
      </c>
      <c r="S150" s="70" t="inlineStr">
        <is>
          <t>N</t>
        </is>
      </c>
      <c r="T150" s="64">
        <f>IF(A150="","",IFERROR(INDEX('Bid-NoBid'!$T:$T,MATCH(A150,'Bid-NoBid'!$A:$A,0)),""))</f>
        <v/>
      </c>
      <c r="U150" s="59">
        <f>IF(A150="","",IFERROR(IF(OR(INDEX('Bid-NoBid'!$U:$U,MATCH(A150,'Bid-NoBid'!$A:$A,0))="",LEFT(INDEX('Bid-NoBid'!$U:$U,MATCH(A150,'Bid-NoBid'!$A:$A,0)),10)="Incomplete"),"Screen: "&amp;AC150,INDEX('Bid-NoBid'!$U:$U,MATCH(A150,'Bid-NoBid'!$A:$A,0))),"Screen: "&amp;AC150))</f>
        <v/>
      </c>
      <c r="V150" s="60" t="n"/>
      <c r="W150" s="70" t="inlineStr">
        <is>
          <t>Watching</t>
        </is>
      </c>
      <c r="X150" s="70" t="inlineStr">
        <is>
          <t>Frank</t>
        </is>
      </c>
      <c r="Y150" s="60" t="n"/>
      <c r="Z150" s="60" t="n"/>
      <c r="AA150" s="73" t="n"/>
      <c r="AB150" s="74" t="inlineStr">
        <is>
          <t>TanzaniaTenders.com (newspapers / portals / private)</t>
        </is>
      </c>
      <c r="AC150" s="74" t="inlineStr">
        <is>
          <t>Check</t>
        </is>
      </c>
      <c r="AD150" s="74" t="inlineStr">
        <is>
          <t>Auto (TanzaniaTenders.com): Building works but remote from Dar · deadline read from the web page – confirm</t>
        </is>
      </c>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74" t="inlineStr">
        <is>
          <t>Read the notice and decide with the QS Director whether to pursue</t>
        </is>
      </c>
      <c r="AJ150" s="74" t="inlineStr">
        <is>
          <t>Auto-scan</t>
        </is>
      </c>
      <c r="AK150" s="74" t="inlineStr">
        <is>
          <t>TZT:150901876</t>
        </is>
      </c>
      <c r="AL150" s="59">
        <f>IF(AND(OR(W150="Watching",W150="Preparing"),ISNUMBER(Q150)),IF(AND(Q150&gt;='Friday Summary'!$C$4,Q150&lt;='Friday Summary'!$C$4+14),Q150+ROW()/1000000,""),"")</f>
        <v/>
      </c>
    </row>
    <row r="151" ht="15" customHeight="1" s="51">
      <c r="A151" s="59">
        <f>IF(B151="","","OP-"&amp;TEXT(ROW()-4,"000"))</f>
        <v/>
      </c>
      <c r="B151" s="70" t="inlineStr">
        <is>
          <t>(not shown)</t>
        </is>
      </c>
      <c r="C151" s="71" t="n">
        <v>46309</v>
      </c>
      <c r="D151" s="70" t="inlineStr">
        <is>
          <t>aggregator</t>
        </is>
      </c>
      <c r="E151" s="70" t="inlineStr">
        <is>
          <t>https://www.tenderimpulse.com/tanzania-tenders</t>
        </is>
      </c>
      <c r="F151" s="70" t="inlineStr">
        <is>
          <t>See notice</t>
        </is>
      </c>
      <c r="G151" s="70" t="inlineStr">
        <is>
          <t>government</t>
        </is>
      </c>
      <c r="H151" s="70" t="inlineStr">
        <is>
          <t>Main buyers in Tanzania on Tender Impulse include the Tanzania National Roads Agency (TANROADS), the Tanzania Rural and Urban Roads Agency (TARURA), the Ministry of Education and development agencies such as the Belgian agency Enabel. Development partners fund many of the larger Tanzanian projects.</t>
        </is>
      </c>
      <c r="I151" s="70" t="inlineStr">
        <is>
          <t>From aggregator notice (1 lot) – read the tender document</t>
        </is>
      </c>
      <c r="J151" s="70" t="inlineStr">
        <is>
          <t>Not stated – read the notice</t>
        </is>
      </c>
      <c r="K151" s="70" t="inlineStr">
        <is>
          <t>civil</t>
        </is>
      </c>
      <c r="L151" s="70" t="inlineStr">
        <is>
          <t>See tender document</t>
        </is>
      </c>
      <c r="M151" s="62" t="n"/>
      <c r="N151" s="70" t="inlineStr">
        <is>
          <t>unknown</t>
        </is>
      </c>
      <c r="O151" s="71" t="inlineStr">
        <is>
          <t>See tender document</t>
        </is>
      </c>
      <c r="P151" s="71" t="inlineStr">
        <is>
          <t>See tender document</t>
        </is>
      </c>
      <c r="Q151" s="72" t="n"/>
      <c r="R151" s="70" t="inlineStr">
        <is>
          <t>See tender document</t>
        </is>
      </c>
      <c r="S151" s="70" t="inlineStr">
        <is>
          <t>N</t>
        </is>
      </c>
      <c r="T151" s="64">
        <f>IF(A151="","",IFERROR(INDEX('Bid-NoBid'!$T:$T,MATCH(A151,'Bid-NoBid'!$A:$A,0)),""))</f>
        <v/>
      </c>
      <c r="U151" s="59">
        <f>IF(A151="","",IFERROR(IF(OR(INDEX('Bid-NoBid'!$U:$U,MATCH(A151,'Bid-NoBid'!$A:$A,0))="",LEFT(INDEX('Bid-NoBid'!$U:$U,MATCH(A151,'Bid-NoBid'!$A:$A,0)),10)="Incomplete"),"Screen: "&amp;AC151,INDEX('Bid-NoBid'!$U:$U,MATCH(A151,'Bid-NoBid'!$A:$A,0))),"Screen: "&amp;AC151))</f>
        <v/>
      </c>
      <c r="V151" s="60" t="n"/>
      <c r="W151" s="70" t="inlineStr">
        <is>
          <t>Watching</t>
        </is>
      </c>
      <c r="X151" s="70" t="inlineStr">
        <is>
          <t>Frank</t>
        </is>
      </c>
      <c r="Y151" s="60" t="n"/>
      <c r="Z151" s="60" t="n"/>
      <c r="AA151" s="73" t="n"/>
      <c r="AB151" s="74" t="inlineStr">
        <is>
          <t>TenderImpulse – Tanzania (web page)</t>
        </is>
      </c>
      <c r="AC151" s="74" t="inlineStr">
        <is>
          <t>Check</t>
        </is>
      </c>
      <c r="AD151" s="74" t="inlineStr">
        <is>
          <t>Auto (TenderImpulse – Tanzania): Deadline not shown on the source page – open the link and read the notice</t>
        </is>
      </c>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74" t="inlineStr">
        <is>
          <t>Read the notice and decide with the QS Director whether to pursue</t>
        </is>
      </c>
      <c r="AJ151" s="74" t="inlineStr">
        <is>
          <t>Auto-scan</t>
        </is>
      </c>
      <c r="AK151" s="74" t="inlineStr">
        <is>
          <t>WEB:tenderimpulse_tanzania:f507631fe5d8e789</t>
        </is>
      </c>
      <c r="AL151" s="59">
        <f>IF(AND(OR(W151="Watching",W151="Preparing"),ISNUMBER(Q151)),IF(AND(Q151&gt;='Friday Summary'!$C$4,Q151&lt;='Friday Summary'!$C$4+14),Q151+ROW()/1000000,""),"")</f>
        <v/>
      </c>
    </row>
    <row r="152" ht="15" customHeight="1" s="51">
      <c r="A152" s="59">
        <f>IF(B152="","","OP-"&amp;TEXT(ROW()-4,"000"))</f>
        <v/>
      </c>
      <c r="B152" s="70" t="inlineStr">
        <is>
          <t>(not shown)</t>
        </is>
      </c>
      <c r="C152" s="71" t="n">
        <v>46309</v>
      </c>
      <c r="D152" s="70" t="inlineStr">
        <is>
          <t>press</t>
        </is>
      </c>
      <c r="E152" s="70" t="inlineStr">
        <is>
          <t>https://www.tanzaniatenders.com/tender/time-release-study-plus-trs-port-dar-es-salaam-8fec5e1.php</t>
        </is>
      </c>
      <c r="F152" s="70" t="inlineStr">
        <is>
          <t>See advert</t>
        </is>
      </c>
      <c r="G152" s="70" t="inlineStr">
        <is>
          <t>government</t>
        </is>
      </c>
      <c r="H152" s="70" t="inlineStr">
        <is>
          <t>Time Release Study Plus (TRS+) for the Port of Dar Es Salaam</t>
        </is>
      </c>
      <c r="I152" s="70" t="inlineStr">
        <is>
          <t>From press notice (1 lot) – read the tender document</t>
        </is>
      </c>
      <c r="J152" s="70" t="inlineStr">
        <is>
          <t>Dar es Salaam</t>
        </is>
      </c>
      <c r="K152" s="70" t="inlineStr">
        <is>
          <t>civil</t>
        </is>
      </c>
      <c r="L152" s="70" t="inlineStr">
        <is>
          <t>See tender document</t>
        </is>
      </c>
      <c r="M152" s="62" t="n"/>
      <c r="N152" s="70" t="inlineStr">
        <is>
          <t>unknown</t>
        </is>
      </c>
      <c r="O152" s="71" t="inlineStr">
        <is>
          <t>See tender document</t>
        </is>
      </c>
      <c r="P152" s="71" t="inlineStr">
        <is>
          <t>See tender document</t>
        </is>
      </c>
      <c r="Q152" s="72" t="n">
        <v>46322.41666666666</v>
      </c>
      <c r="R152" s="70" t="inlineStr">
        <is>
          <t>See tender document</t>
        </is>
      </c>
      <c r="S152" s="70" t="inlineStr">
        <is>
          <t>N</t>
        </is>
      </c>
      <c r="T152" s="64">
        <f>IF(A152="","",IFERROR(INDEX('Bid-NoBid'!$T:$T,MATCH(A152,'Bid-NoBid'!$A:$A,0)),""))</f>
        <v/>
      </c>
      <c r="U152" s="59">
        <f>IF(A152="","",IFERROR(IF(OR(INDEX('Bid-NoBid'!$U:$U,MATCH(A152,'Bid-NoBid'!$A:$A,0))="",LEFT(INDEX('Bid-NoBid'!$U:$U,MATCH(A152,'Bid-NoBid'!$A:$A,0)),10)="Incomplete"),"Screen: "&amp;AC152,INDEX('Bid-NoBid'!$U:$U,MATCH(A152,'Bid-NoBid'!$A:$A,0))),"Screen: "&amp;AC152))</f>
        <v/>
      </c>
      <c r="V152" s="60" t="n"/>
      <c r="W152" s="70" t="inlineStr">
        <is>
          <t>Watching</t>
        </is>
      </c>
      <c r="X152" s="70" t="inlineStr">
        <is>
          <t>Frank</t>
        </is>
      </c>
      <c r="Y152" s="60" t="n"/>
      <c r="Z152" s="60" t="n"/>
      <c r="AA152" s="73" t="n"/>
      <c r="AB152" s="74" t="inlineStr">
        <is>
          <t>TanzaniaTenders.com (newspapers / portals / private)</t>
        </is>
      </c>
      <c r="AC152" s="74" t="inlineStr">
        <is>
          <t>Check</t>
        </is>
      </c>
      <c r="AD152" s="74" t="inlineStr">
        <is>
          <t>Auto (TanzaniaTenders.com): Civil works in Dar/Coast – confirm CRB class and margin · deadline read from the web page – confirm</t>
        </is>
      </c>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74" t="inlineStr">
        <is>
          <t>Read the notice and decide with the QS Director whether to pursue</t>
        </is>
      </c>
      <c r="AJ152" s="74" t="inlineStr">
        <is>
          <t>Auto-scan</t>
        </is>
      </c>
      <c r="AK152" s="74" t="inlineStr">
        <is>
          <t>TZT:150914529</t>
        </is>
      </c>
      <c r="AL152" s="59">
        <f>IF(AND(OR(W152="Watching",W152="Preparing"),ISNUMBER(Q152)),IF(AND(Q152&gt;='Friday Summary'!$C$4,Q152&lt;='Friday Summary'!$C$4+14),Q152+ROW()/1000000,""),"")</f>
        <v/>
      </c>
    </row>
    <row r="153" ht="15" customHeight="1" s="51">
      <c r="A153" s="59">
        <f>IF(B153="","","OP-"&amp;TEXT(ROW()-4,"000"))</f>
        <v/>
      </c>
      <c r="B153" s="70" t="inlineStr">
        <is>
          <t>TR219/019/2026/2027/W/01</t>
        </is>
      </c>
      <c r="C153" s="71" t="n">
        <v>46310</v>
      </c>
      <c r="D153" s="70" t="inlineStr">
        <is>
          <t>NeST</t>
        </is>
      </c>
      <c r="E153" s="70" t="inlineStr">
        <is>
          <t>https://nest.go.tz/tenders/published-tenders</t>
        </is>
      </c>
      <c r="F153" s="70" t="inlineStr">
        <is>
          <t>TANAPA - Rubondo National Park</t>
        </is>
      </c>
      <c r="G153" s="70" t="inlineStr">
        <is>
          <t>government</t>
        </is>
      </c>
      <c r="H153" s="70" t="inlineStr">
        <is>
          <t>Construction of three fish farming cages at the Bwongera village</t>
        </is>
      </c>
      <c r="I153" s="70" t="inlineStr">
        <is>
          <t>From NeST notice (1 lot) – read the tender document</t>
        </is>
      </c>
      <c r="J153" s="70" t="inlineStr">
        <is>
          <t>Geita (from client's office – confirm site)</t>
        </is>
      </c>
      <c r="K153" s="70" t="inlineStr">
        <is>
          <t>building</t>
        </is>
      </c>
      <c r="L153" s="70" t="inlineStr">
        <is>
          <t>NeST login needed</t>
        </is>
      </c>
      <c r="M153" s="62" t="n"/>
      <c r="N153" s="70" t="inlineStr">
        <is>
          <t>unknown</t>
        </is>
      </c>
      <c r="O153" s="71" t="inlineStr">
        <is>
          <t>NeST login needed</t>
        </is>
      </c>
      <c r="P153" s="71" t="inlineStr">
        <is>
          <t>NeST login needed</t>
        </is>
      </c>
      <c r="Q153" s="72" t="n">
        <v>46315.58333333334</v>
      </c>
      <c r="R153" s="70" t="inlineStr">
        <is>
          <t>NeST login needed</t>
        </is>
      </c>
      <c r="S153" s="70" t="inlineStr">
        <is>
          <t>N</t>
        </is>
      </c>
      <c r="T153" s="64">
        <f>IF(A153="","",IFERROR(INDEX('Bid-NoBid'!$T:$T,MATCH(A153,'Bid-NoBid'!$A:$A,0)),""))</f>
        <v/>
      </c>
      <c r="U153" s="59">
        <f>IF(A153="","",IFERROR(IF(OR(INDEX('Bid-NoBid'!$U:$U,MATCH(A153,'Bid-NoBid'!$A:$A,0))="",LEFT(INDEX('Bid-NoBid'!$U:$U,MATCH(A153,'Bid-NoBid'!$A:$A,0)),10)="Incomplete"),"Screen: "&amp;AC153,INDEX('Bid-NoBid'!$U:$U,MATCH(A153,'Bid-NoBid'!$A:$A,0))),"Screen: "&amp;AC153))</f>
        <v/>
      </c>
      <c r="V153" s="60" t="n"/>
      <c r="W153" s="70" t="inlineStr">
        <is>
          <t>Watching</t>
        </is>
      </c>
      <c r="X153" s="70" t="inlineStr">
        <is>
          <t>Frank</t>
        </is>
      </c>
      <c r="Y153" s="60" t="n"/>
      <c r="Z153" s="60" t="n"/>
      <c r="AA153" s="73" t="n">
        <v>46308</v>
      </c>
      <c r="AB153" s="74" t="inlineStr">
        <is>
          <t>Standard Invitation for Quotations -Works / Planned Tender</t>
        </is>
      </c>
      <c r="AC153" s="74" t="inlineStr">
        <is>
          <t>Check</t>
        </is>
      </c>
      <c r="AD153" s="74" t="inlineStr">
        <is>
          <t>Auto (Standard Invitation for Quotations -Works / Planned Tender): Construction tender kept for review (would have been dropped: Remote and closing soon)</t>
        </is>
      </c>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74" t="inlineStr">
        <is>
          <t>Read the notice and decide with the QS Director whether to pursue</t>
        </is>
      </c>
      <c r="AJ153" s="74" t="inlineStr">
        <is>
          <t>Auto-scan</t>
        </is>
      </c>
      <c r="AK153" s="74" t="inlineStr">
        <is>
          <t>5567219e-1a2d-49ba-a1e2-c4181fa59a73</t>
        </is>
      </c>
      <c r="AL153" s="59">
        <f>IF(AND(OR(W153="Watching",W153="Preparing"),ISNUMBER(Q153)),IF(AND(Q153&gt;='Friday Summary'!$C$4,Q153&lt;='Friday Summary'!$C$4+14),Q153+ROW()/1000000,""),"")</f>
        <v/>
      </c>
    </row>
    <row r="154" ht="15" customHeight="1" s="51">
      <c r="A154" s="59">
        <f>IF(B154="","","OP-"&amp;TEXT(ROW()-4,"000"))</f>
        <v/>
      </c>
      <c r="B154" s="70" t="inlineStr">
        <is>
          <t>TR170/2026/2027/W/04</t>
        </is>
      </c>
      <c r="C154" s="71" t="n">
        <v>46310</v>
      </c>
      <c r="D154" s="70" t="inlineStr">
        <is>
          <t>NeST</t>
        </is>
      </c>
      <c r="E154" s="70" t="inlineStr">
        <is>
          <t>https://nest.go.tz/tenders/published-tenders</t>
        </is>
      </c>
      <c r="F154" s="70" t="inlineStr">
        <is>
          <t>Land Transport Regulatory Authority</t>
        </is>
      </c>
      <c r="G154" s="70" t="inlineStr">
        <is>
          <t>government</t>
        </is>
      </c>
      <c r="H154" s="70" t="inlineStr">
        <is>
          <t>Partitioning of Mbeya Regional Office</t>
        </is>
      </c>
      <c r="I154" s="70" t="inlineStr">
        <is>
          <t>From NeST notice (1 lot) – read the tender document</t>
        </is>
      </c>
      <c r="J154" s="70" t="inlineStr">
        <is>
          <t>Mbeya</t>
        </is>
      </c>
      <c r="K154" s="70" t="inlineStr">
        <is>
          <t>fit-out</t>
        </is>
      </c>
      <c r="L154" s="70" t="inlineStr">
        <is>
          <t>NeST login needed</t>
        </is>
      </c>
      <c r="M154" s="62" t="n"/>
      <c r="N154" s="70" t="inlineStr">
        <is>
          <t>unknown</t>
        </is>
      </c>
      <c r="O154" s="71" t="inlineStr">
        <is>
          <t>NeST login needed</t>
        </is>
      </c>
      <c r="P154" s="71" t="inlineStr">
        <is>
          <t>NeST login needed</t>
        </is>
      </c>
      <c r="Q154" s="72" t="n">
        <v>46317.58333333334</v>
      </c>
      <c r="R154" s="70" t="inlineStr">
        <is>
          <t>NeST login needed</t>
        </is>
      </c>
      <c r="S154" s="70" t="inlineStr">
        <is>
          <t>N</t>
        </is>
      </c>
      <c r="T154" s="64">
        <f>IF(A154="","",IFERROR(INDEX('Bid-NoBid'!$T:$T,MATCH(A154,'Bid-NoBid'!$A:$A,0)),""))</f>
        <v/>
      </c>
      <c r="U154" s="59">
        <f>IF(A154="","",IFERROR(IF(OR(INDEX('Bid-NoBid'!$U:$U,MATCH(A154,'Bid-NoBid'!$A:$A,0))="",LEFT(INDEX('Bid-NoBid'!$U:$U,MATCH(A154,'Bid-NoBid'!$A:$A,0)),10)="Incomplete"),"Screen: "&amp;AC154,INDEX('Bid-NoBid'!$U:$U,MATCH(A154,'Bid-NoBid'!$A:$A,0))),"Screen: "&amp;AC154))</f>
        <v/>
      </c>
      <c r="V154" s="60" t="n"/>
      <c r="W154" s="70" t="inlineStr">
        <is>
          <t>Watching</t>
        </is>
      </c>
      <c r="X154" s="70" t="inlineStr">
        <is>
          <t>Frank</t>
        </is>
      </c>
      <c r="Y154" s="60" t="n"/>
      <c r="Z154" s="60" t="n"/>
      <c r="AA154" s="73" t="n">
        <v>46310</v>
      </c>
      <c r="AB154" s="74" t="inlineStr">
        <is>
          <t>Standard Invitation for Quotations -Works / Planned Tender</t>
        </is>
      </c>
      <c r="AC154" s="74" t="inlineStr">
        <is>
          <t>Check</t>
        </is>
      </c>
      <c r="AD154" s="74" t="inlineStr">
        <is>
          <t>Auto (Standard Invitation for Quotations -Works / Planned Tender): Building works but remote from Dar</t>
        </is>
      </c>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74" t="inlineStr">
        <is>
          <t>Read the notice and decide with the QS Director whether to pursue</t>
        </is>
      </c>
      <c r="AJ154" s="74" t="inlineStr">
        <is>
          <t>Auto-scan</t>
        </is>
      </c>
      <c r="AK154" s="74" t="inlineStr">
        <is>
          <t>62cd567d-2384-4629-9dfc-cba546a9662f</t>
        </is>
      </c>
      <c r="AL154" s="59">
        <f>IF(AND(OR(W154="Watching",W154="Preparing"),ISNUMBER(Q154)),IF(AND(Q154&gt;='Friday Summary'!$C$4,Q154&lt;='Friday Summary'!$C$4+14),Q154+ROW()/1000000,""),"")</f>
        <v/>
      </c>
    </row>
    <row r="155" ht="15" customHeight="1" s="51">
      <c r="A155" s="59">
        <f>IF(B155="","","OP-"&amp;TEXT(ROW()-4,"000"))</f>
        <v/>
      </c>
      <c r="B155" s="70" t="inlineStr">
        <is>
          <t>GIZ/IKI KATUMA/10058095/2026</t>
        </is>
      </c>
      <c r="C155" s="71" t="n">
        <v>46310</v>
      </c>
      <c r="D155" s="70" t="inlineStr">
        <is>
          <t>press</t>
        </is>
      </c>
      <c r="E155" s="70" t="inlineStr">
        <is>
          <t>https://www.ddotenders.co.tz/tender.php?page=home</t>
        </is>
      </c>
      <c r="F155" s="70" t="inlineStr">
        <is>
          <t>giz</t>
        </is>
      </c>
      <c r="G155" s="70" t="inlineStr">
        <is>
          <t>government</t>
        </is>
      </c>
      <c r="H155" s="70" t="inlineStr">
        <is>
          <t>Construction of lrbwb office</t>
        </is>
      </c>
      <c r="I155" s="70" t="inlineStr">
        <is>
          <t>From press notice (1 lot) – read the tender document</t>
        </is>
      </c>
      <c r="J155" s="70" t="inlineStr">
        <is>
          <t>Dar es Salaam</t>
        </is>
      </c>
      <c r="K155" s="70" t="inlineStr">
        <is>
          <t>building</t>
        </is>
      </c>
      <c r="L155" s="70" t="inlineStr">
        <is>
          <t>See tender document</t>
        </is>
      </c>
      <c r="M155" s="62" t="n"/>
      <c r="N155" s="70" t="inlineStr">
        <is>
          <t>unknown</t>
        </is>
      </c>
      <c r="O155" s="71" t="inlineStr">
        <is>
          <t>See tender document</t>
        </is>
      </c>
      <c r="P155" s="71" t="inlineStr">
        <is>
          <t>See tender document</t>
        </is>
      </c>
      <c r="Q155" s="72" t="n">
        <v>46327.41666666666</v>
      </c>
      <c r="R155" s="70" t="inlineStr">
        <is>
          <t>See tender document</t>
        </is>
      </c>
      <c r="S155" s="70" t="inlineStr">
        <is>
          <t>N</t>
        </is>
      </c>
      <c r="T155" s="64">
        <f>IF(A155="","",IFERROR(INDEX('Bid-NoBid'!$T:$T,MATCH(A155,'Bid-NoBid'!$A:$A,0)),""))</f>
        <v/>
      </c>
      <c r="U155" s="59">
        <f>IF(A155="","",IFERROR(IF(OR(INDEX('Bid-NoBid'!$U:$U,MATCH(A155,'Bid-NoBid'!$A:$A,0))="",LEFT(INDEX('Bid-NoBid'!$U:$U,MATCH(A155,'Bid-NoBid'!$A:$A,0)),10)="Incomplete"),"Screen: "&amp;AC155,INDEX('Bid-NoBid'!$U:$U,MATCH(A155,'Bid-NoBid'!$A:$A,0))),"Screen: "&amp;AC155))</f>
        <v/>
      </c>
      <c r="V155" s="60" t="n"/>
      <c r="W155" s="70" t="inlineStr">
        <is>
          <t>Watching</t>
        </is>
      </c>
      <c r="X155" s="70" t="inlineStr">
        <is>
          <t>Frank</t>
        </is>
      </c>
      <c r="Y155" s="60" t="n"/>
      <c r="Z155" s="60" t="n"/>
      <c r="AA155" s="73" t="n">
        <v>46310</v>
      </c>
      <c r="AB155" s="74" t="inlineStr">
        <is>
          <t>DDO Tenders (newspaper / private / donor)</t>
        </is>
      </c>
      <c r="AC155" s="74" t="inlineStr">
        <is>
          <t>Pursue</t>
        </is>
      </c>
      <c r="AD155" s="74" t="inlineStr">
        <is>
          <t>Auto (DDO Tenders): Building works within reach of Dar · deadline read from the web page – confirm</t>
        </is>
      </c>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74" t="inlineStr">
        <is>
          <t>Get the tender document, confirm value, CRB class, site visit and bid security; brief the MD</t>
        </is>
      </c>
      <c r="AJ155" s="74" t="inlineStr">
        <is>
          <t>Auto-scan</t>
        </is>
      </c>
      <c r="AK155" s="74" t="inlineStr">
        <is>
          <t>DDO:3088</t>
        </is>
      </c>
      <c r="AL155" s="59">
        <f>IF(AND(OR(W155="Watching",W155="Preparing"),ISNUMBER(Q155)),IF(AND(Q155&gt;='Friday Summary'!$C$4,Q155&lt;='Friday Summary'!$C$4+14),Q155+ROW()/1000000,""),"")</f>
        <v/>
      </c>
    </row>
    <row r="156" ht="15" customHeight="1" s="51">
      <c r="A156" s="59">
        <f>IF(B156="","","OP-"&amp;TEXT(ROW()-4,"000"))</f>
        <v/>
      </c>
      <c r="B156" s="70" t="inlineStr">
        <is>
          <t>(not shown)</t>
        </is>
      </c>
      <c r="C156" s="71" t="n">
        <v>46310</v>
      </c>
      <c r="D156" s="70" t="inlineStr">
        <is>
          <t>press</t>
        </is>
      </c>
      <c r="E156" s="70" t="inlineStr">
        <is>
          <t>https://www.tanzaniatenders.com/tender/construction-lrbwb-office-mpanda-part-project-conservation-biodiversity-wetlands-through-integrated-8fffb69.php</t>
        </is>
      </c>
      <c r="F156" s="70" t="inlineStr">
        <is>
          <t>See advert</t>
        </is>
      </c>
      <c r="G156" s="70" t="inlineStr">
        <is>
          <t>government</t>
        </is>
      </c>
      <c r="H156" s="70" t="inlineStr">
        <is>
          <t>Construction of LRBWB Office in Mpanda as part of the project 'Conservation of biodiversity in wetlands through integrated water resources management (IKI KATUMA)'.</t>
        </is>
      </c>
      <c r="I156" s="70" t="inlineStr">
        <is>
          <t>From press notice (1 lot) – read the tender document</t>
        </is>
      </c>
      <c r="J156" s="70" t="inlineStr">
        <is>
          <t>Katavi (Mpanda)</t>
        </is>
      </c>
      <c r="K156" s="70" t="inlineStr">
        <is>
          <t>building</t>
        </is>
      </c>
      <c r="L156" s="70" t="inlineStr">
        <is>
          <t>See tender document</t>
        </is>
      </c>
      <c r="M156" s="62" t="n"/>
      <c r="N156" s="70" t="inlineStr">
        <is>
          <t>unknown</t>
        </is>
      </c>
      <c r="O156" s="71" t="inlineStr">
        <is>
          <t>See tender document</t>
        </is>
      </c>
      <c r="P156" s="71" t="inlineStr">
        <is>
          <t>See tender document</t>
        </is>
      </c>
      <c r="Q156" s="72" t="n">
        <v>46327.41666666666</v>
      </c>
      <c r="R156" s="70" t="inlineStr">
        <is>
          <t>See tender document</t>
        </is>
      </c>
      <c r="S156" s="70" t="inlineStr">
        <is>
          <t>N</t>
        </is>
      </c>
      <c r="T156" s="64">
        <f>IF(A156="","",IFERROR(INDEX('Bid-NoBid'!$T:$T,MATCH(A156,'Bid-NoBid'!$A:$A,0)),""))</f>
        <v/>
      </c>
      <c r="U156" s="59">
        <f>IF(A156="","",IFERROR(IF(OR(INDEX('Bid-NoBid'!$U:$U,MATCH(A156,'Bid-NoBid'!$A:$A,0))="",LEFT(INDEX('Bid-NoBid'!$U:$U,MATCH(A156,'Bid-NoBid'!$A:$A,0)),10)="Incomplete"),"Screen: "&amp;AC156,INDEX('Bid-NoBid'!$U:$U,MATCH(A156,'Bid-NoBid'!$A:$A,0))),"Screen: "&amp;AC156))</f>
        <v/>
      </c>
      <c r="V156" s="60" t="n"/>
      <c r="W156" s="70" t="inlineStr">
        <is>
          <t>Watching</t>
        </is>
      </c>
      <c r="X156" s="70" t="inlineStr">
        <is>
          <t>Frank</t>
        </is>
      </c>
      <c r="Y156" s="60" t="n"/>
      <c r="Z156" s="60" t="n"/>
      <c r="AA156" s="73" t="n"/>
      <c r="AB156" s="74" t="inlineStr">
        <is>
          <t>TanzaniaTenders.com (newspapers / portals / private)</t>
        </is>
      </c>
      <c r="AC156" s="74" t="inlineStr">
        <is>
          <t>Check</t>
        </is>
      </c>
      <c r="AD156" s="74" t="inlineStr">
        <is>
          <t>Auto (TanzaniaTenders.com): Building works but remote from Dar · deadline read from the web page – confirm</t>
        </is>
      </c>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74" t="inlineStr">
        <is>
          <t>Read the notice and decide with the QS Director whether to pursue</t>
        </is>
      </c>
      <c r="AJ156" s="74" t="inlineStr">
        <is>
          <t>Auto-scan</t>
        </is>
      </c>
      <c r="AK156" s="74" t="inlineStr">
        <is>
          <t>TZT:150993769</t>
        </is>
      </c>
      <c r="AL156" s="59">
        <f>IF(AND(OR(W156="Watching",W156="Preparing"),ISNUMBER(Q156)),IF(AND(Q156&gt;='Friday Summary'!$C$4,Q156&lt;='Friday Summary'!$C$4+14),Q156+ROW()/1000000,""),"")</f>
        <v/>
      </c>
    </row>
    <row r="157" ht="15" customHeight="1" s="51">
      <c r="A157" s="59">
        <f>IF(B157="","","OP-"&amp;TEXT(ROW()-4,"000"))</f>
        <v/>
      </c>
      <c r="B157" s="70" t="inlineStr">
        <is>
          <t>TR103/2026/2027/W/12</t>
        </is>
      </c>
      <c r="C157" s="71" t="n">
        <v>46311</v>
      </c>
      <c r="D157" s="70" t="inlineStr">
        <is>
          <t>NeST</t>
        </is>
      </c>
      <c r="E157" s="70" t="inlineStr">
        <is>
          <t>https://nest.go.tz/tenders/published-tenders</t>
        </is>
      </c>
      <c r="F157" s="70" t="inlineStr">
        <is>
          <t>Agricultural Seeds Agency</t>
        </is>
      </c>
      <c r="G157" s="70" t="inlineStr">
        <is>
          <t>government</t>
        </is>
      </c>
      <c r="H157" s="70" t="inlineStr">
        <is>
          <t>Construction of Concerte fence at Msungura Seed Farm</t>
        </is>
      </c>
      <c r="I157" s="70" t="inlineStr">
        <is>
          <t>From NeST notice (1 lot) – read the tender document</t>
        </is>
      </c>
      <c r="J157" s="70" t="inlineStr">
        <is>
          <t>Morogoro (from client's office – confirm site)</t>
        </is>
      </c>
      <c r="K157" s="70" t="inlineStr">
        <is>
          <t>building</t>
        </is>
      </c>
      <c r="L157" s="70" t="inlineStr">
        <is>
          <t>NeST login needed</t>
        </is>
      </c>
      <c r="M157" s="62" t="n"/>
      <c r="N157" s="70" t="inlineStr">
        <is>
          <t>unknown</t>
        </is>
      </c>
      <c r="O157" s="71" t="inlineStr">
        <is>
          <t>NeST login needed</t>
        </is>
      </c>
      <c r="P157" s="71" t="inlineStr">
        <is>
          <t>NeST login needed</t>
        </is>
      </c>
      <c r="Q157" s="72" t="n">
        <v>46324.41666666666</v>
      </c>
      <c r="R157" s="70" t="inlineStr">
        <is>
          <t>NeST login needed</t>
        </is>
      </c>
      <c r="S157" s="70" t="inlineStr">
        <is>
          <t>N</t>
        </is>
      </c>
      <c r="T157" s="64">
        <f>IF(A157="","",IFERROR(INDEX('Bid-NoBid'!$T:$T,MATCH(A157,'Bid-NoBid'!$A:$A,0)),""))</f>
        <v/>
      </c>
      <c r="U157" s="59">
        <f>IF(A157="","",IFERROR(IF(OR(INDEX('Bid-NoBid'!$U:$U,MATCH(A157,'Bid-NoBid'!$A:$A,0))="",LEFT(INDEX('Bid-NoBid'!$U:$U,MATCH(A157,'Bid-NoBid'!$A:$A,0)),10)="Incomplete"),"Screen: "&amp;AC157,INDEX('Bid-NoBid'!$U:$U,MATCH(A157,'Bid-NoBid'!$A:$A,0))),"Screen: "&amp;AC157))</f>
        <v/>
      </c>
      <c r="V157" s="60" t="n"/>
      <c r="W157" s="70" t="inlineStr">
        <is>
          <t>Watching</t>
        </is>
      </c>
      <c r="X157" s="70" t="inlineStr">
        <is>
          <t>Frank</t>
        </is>
      </c>
      <c r="Y157" s="60" t="n"/>
      <c r="Z157" s="60" t="n"/>
      <c r="AA157" s="73" t="n">
        <v>46311</v>
      </c>
      <c r="AB157" s="74" t="inlineStr">
        <is>
          <t>Small Works / Tender</t>
        </is>
      </c>
      <c r="AC157" s="74" t="inlineStr">
        <is>
          <t>Pursue</t>
        </is>
      </c>
      <c r="AD157" s="74" t="inlineStr">
        <is>
          <t>Auto (Small Works / Tender): Building works within reach of Dar</t>
        </is>
      </c>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74" t="inlineStr">
        <is>
          <t>Get the tender document, confirm value, CRB class, site visit and bid security; brief the MD</t>
        </is>
      </c>
      <c r="AJ157" s="74" t="inlineStr">
        <is>
          <t>Auto-scan</t>
        </is>
      </c>
      <c r="AK157" s="74" t="inlineStr">
        <is>
          <t>d17aec02-c41f-49c0-aa64-3260b5e0d94e</t>
        </is>
      </c>
      <c r="AL157" s="59">
        <f>IF(AND(OR(W157="Watching",W157="Preparing"),ISNUMBER(Q157)),IF(AND(Q157&gt;='Friday Summary'!$C$4,Q157&lt;='Friday Summary'!$C$4+14),Q157+ROW()/1000000,""),"")</f>
        <v/>
      </c>
    </row>
    <row r="158" ht="15" customHeight="1" s="51">
      <c r="A158" s="59">
        <f>IF(B158="","","OP-"&amp;TEXT(ROW()-4,"000"))</f>
        <v/>
      </c>
      <c r="B158" s="70" t="inlineStr">
        <is>
          <t>(not shown)</t>
        </is>
      </c>
      <c r="C158" s="71" t="n">
        <v>46311</v>
      </c>
      <c r="D158" s="70" t="inlineStr">
        <is>
          <t>press</t>
        </is>
      </c>
      <c r="E158" s="70" t="inlineStr">
        <is>
          <t>https://www.tanzaniatenders.com/tender/provision-service-fire-alarm-systems-sukari-house-9005fdb.php</t>
        </is>
      </c>
      <c r="F158" s="70" t="inlineStr">
        <is>
          <t>See advert</t>
        </is>
      </c>
      <c r="G158" s="70" t="inlineStr">
        <is>
          <t>government</t>
        </is>
      </c>
      <c r="H158" s="70" t="inlineStr">
        <is>
          <t>Provision Service for Fire Alarm Systems at Sukari House</t>
        </is>
      </c>
      <c r="I158" s="70" t="inlineStr">
        <is>
          <t>From press notice (1 lot) – read the tender document</t>
        </is>
      </c>
      <c r="J158" s="70" t="inlineStr">
        <is>
          <t>Not stated – read the notice</t>
        </is>
      </c>
      <c r="K158" s="70" t="inlineStr">
        <is>
          <t>building</t>
        </is>
      </c>
      <c r="L158" s="70" t="inlineStr">
        <is>
          <t>See tender document</t>
        </is>
      </c>
      <c r="M158" s="62" t="n"/>
      <c r="N158" s="70" t="inlineStr">
        <is>
          <t>unknown</t>
        </is>
      </c>
      <c r="O158" s="71" t="inlineStr">
        <is>
          <t>See tender document</t>
        </is>
      </c>
      <c r="P158" s="71" t="inlineStr">
        <is>
          <t>See tender document</t>
        </is>
      </c>
      <c r="Q158" s="72" t="n">
        <v>46317.41666666666</v>
      </c>
      <c r="R158" s="70" t="inlineStr">
        <is>
          <t>See tender document</t>
        </is>
      </c>
      <c r="S158" s="70" t="inlineStr">
        <is>
          <t>N</t>
        </is>
      </c>
      <c r="T158" s="64">
        <f>IF(A158="","",IFERROR(INDEX('Bid-NoBid'!$T:$T,MATCH(A158,'Bid-NoBid'!$A:$A,0)),""))</f>
        <v/>
      </c>
      <c r="U158" s="59">
        <f>IF(A158="","",IFERROR(IF(OR(INDEX('Bid-NoBid'!$U:$U,MATCH(A158,'Bid-NoBid'!$A:$A,0))="",LEFT(INDEX('Bid-NoBid'!$U:$U,MATCH(A158,'Bid-NoBid'!$A:$A,0)),10)="Incomplete"),"Screen: "&amp;AC158,INDEX('Bid-NoBid'!$U:$U,MATCH(A158,'Bid-NoBid'!$A:$A,0))),"Screen: "&amp;AC158))</f>
        <v/>
      </c>
      <c r="V158" s="60" t="n"/>
      <c r="W158" s="70" t="inlineStr">
        <is>
          <t>Watching</t>
        </is>
      </c>
      <c r="X158" s="70" t="inlineStr">
        <is>
          <t>Frank</t>
        </is>
      </c>
      <c r="Y158" s="60" t="n"/>
      <c r="Z158" s="60" t="n"/>
      <c r="AA158" s="73" t="n"/>
      <c r="AB158" s="74" t="inlineStr">
        <is>
          <t>TanzaniaTenders.com (newspapers / portals / private)</t>
        </is>
      </c>
      <c r="AC158" s="74" t="inlineStr">
        <is>
          <t>Check</t>
        </is>
      </c>
      <c r="AD158" s="74" t="inlineStr">
        <is>
          <t>Auto (TanzaniaTenders.com): Site not stated in the listing – read the notice · deadline read from the web page – confirm</t>
        </is>
      </c>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74" t="inlineStr">
        <is>
          <t>Read the notice and decide with the QS Director whether to pursue</t>
        </is>
      </c>
      <c r="AJ158" s="74" t="inlineStr">
        <is>
          <t>Auto-scan</t>
        </is>
      </c>
      <c r="AK158" s="74" t="inlineStr">
        <is>
          <t>TZT:151019483</t>
        </is>
      </c>
      <c r="AL158" s="59">
        <f>IF(AND(OR(W158="Watching",W158="Preparing"),ISNUMBER(Q158)),IF(AND(Q158&gt;='Friday Summary'!$C$4,Q158&lt;='Friday Summary'!$C$4+14),Q158+ROW()/1000000,""),"")</f>
        <v/>
      </c>
    </row>
    <row r="159" ht="15" customHeight="1" s="51">
      <c r="A159" s="59">
        <f>IF(B159="","","OP-"&amp;TEXT(ROW()-4,"000"))</f>
        <v/>
      </c>
      <c r="B159" s="70" t="inlineStr">
        <is>
          <t>(not shown)</t>
        </is>
      </c>
      <c r="C159" s="71" t="n">
        <v>46311</v>
      </c>
      <c r="D159" s="70" t="inlineStr">
        <is>
          <t>press</t>
        </is>
      </c>
      <c r="E159" s="70" t="inlineStr">
        <is>
          <t>https://www.ddotenders.co.tz/tender.php?page=home</t>
        </is>
      </c>
      <c r="F159" s="70" t="inlineStr">
        <is>
          <t>UNHCR</t>
        </is>
      </c>
      <c r="G159" s="70" t="inlineStr">
        <is>
          <t>parastatal (verify)</t>
        </is>
      </c>
      <c r="H159" s="70" t="inlineStr">
        <is>
          <t>Logistics &amp; Warehouse Management</t>
        </is>
      </c>
      <c r="I159" s="70" t="inlineStr">
        <is>
          <t>From press notice (1 lot) – read the tender document</t>
        </is>
      </c>
      <c r="J159" s="70" t="inlineStr">
        <is>
          <t>Dar es Salaam</t>
        </is>
      </c>
      <c r="K159" s="70" t="inlineStr">
        <is>
          <t>building</t>
        </is>
      </c>
      <c r="L159" s="70" t="inlineStr">
        <is>
          <t>See tender document</t>
        </is>
      </c>
      <c r="M159" s="62" t="n"/>
      <c r="N159" s="70" t="inlineStr">
        <is>
          <t>unknown</t>
        </is>
      </c>
      <c r="O159" s="71" t="inlineStr">
        <is>
          <t>See tender document</t>
        </is>
      </c>
      <c r="P159" s="71" t="inlineStr">
        <is>
          <t>See tender document</t>
        </is>
      </c>
      <c r="Q159" s="72" t="n">
        <v>46332.41666666666</v>
      </c>
      <c r="R159" s="70" t="inlineStr">
        <is>
          <t>See tender document</t>
        </is>
      </c>
      <c r="S159" s="70" t="inlineStr">
        <is>
          <t>N</t>
        </is>
      </c>
      <c r="T159" s="64">
        <f>IF(A159="","",IFERROR(INDEX('Bid-NoBid'!$T:$T,MATCH(A159,'Bid-NoBid'!$A:$A,0)),""))</f>
        <v/>
      </c>
      <c r="U159" s="59">
        <f>IF(A159="","",IFERROR(IF(OR(INDEX('Bid-NoBid'!$U:$U,MATCH(A159,'Bid-NoBid'!$A:$A,0))="",LEFT(INDEX('Bid-NoBid'!$U:$U,MATCH(A159,'Bid-NoBid'!$A:$A,0)),10)="Incomplete"),"Screen: "&amp;AC159,INDEX('Bid-NoBid'!$U:$U,MATCH(A159,'Bid-NoBid'!$A:$A,0))),"Screen: "&amp;AC159))</f>
        <v/>
      </c>
      <c r="V159" s="60" t="n"/>
      <c r="W159" s="70" t="inlineStr">
        <is>
          <t>Watching</t>
        </is>
      </c>
      <c r="X159" s="70" t="inlineStr">
        <is>
          <t>Frank</t>
        </is>
      </c>
      <c r="Y159" s="60" t="n"/>
      <c r="Z159" s="60" t="n"/>
      <c r="AA159" s="73" t="n">
        <v>46311</v>
      </c>
      <c r="AB159" s="74" t="inlineStr">
        <is>
          <t>DDO Tenders (newspaper / private / donor)</t>
        </is>
      </c>
      <c r="AC159" s="74" t="inlineStr">
        <is>
          <t>Pursue</t>
        </is>
      </c>
      <c r="AD159" s="74" t="inlineStr">
        <is>
          <t>Auto (DDO Tenders): Building works within reach of Dar · deadline read from the web page – confirm</t>
        </is>
      </c>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74" t="inlineStr">
        <is>
          <t>Get the tender document, confirm value, CRB class, site visit and bid security; brief the MD</t>
        </is>
      </c>
      <c r="AJ159" s="74" t="inlineStr">
        <is>
          <t>Auto-scan</t>
        </is>
      </c>
      <c r="AK159" s="74" t="inlineStr">
        <is>
          <t>DDO:3095</t>
        </is>
      </c>
      <c r="AL159" s="59">
        <f>IF(AND(OR(W159="Watching",W159="Preparing"),ISNUMBER(Q159)),IF(AND(Q159&gt;='Friday Summary'!$C$4,Q159&lt;='Friday Summary'!$C$4+14),Q159+ROW()/1000000,""),"")</f>
        <v/>
      </c>
    </row>
    <row r="160" ht="15" customHeight="1" s="51">
      <c r="A160" s="59">
        <f>IF(B160="","","OP-"&amp;TEXT(ROW()-4,"000"))</f>
        <v/>
      </c>
      <c r="B160" s="70" t="inlineStr">
        <is>
          <t>82N7/2026/2027/W/24</t>
        </is>
      </c>
      <c r="C160" s="71" t="n">
        <v>46312</v>
      </c>
      <c r="D160" s="70" t="inlineStr">
        <is>
          <t>NeST</t>
        </is>
      </c>
      <c r="E160" s="70" t="inlineStr">
        <is>
          <t>https://nest.go.tz/tenders/published-tenders</t>
        </is>
      </c>
      <c r="F160" s="70" t="inlineStr">
        <is>
          <t>Mbinga Town Council</t>
        </is>
      </c>
      <c r="G160" s="70" t="inlineStr">
        <is>
          <t>government</t>
        </is>
      </c>
      <c r="H160" s="70" t="inlineStr">
        <is>
          <t>CONSTRUCTION OF COMMERCIAL SHOPS AT JUMBA LA MAENDELEO AREA IN MBINGA TOWN COUNCIL</t>
        </is>
      </c>
      <c r="I160" s="70" t="inlineStr">
        <is>
          <t>From NeST notice (1 lot) – read the tender document</t>
        </is>
      </c>
      <c r="J160" s="70" t="inlineStr">
        <is>
          <t>Ruvuma (Mbinga)</t>
        </is>
      </c>
      <c r="K160" s="70" t="inlineStr">
        <is>
          <t>building</t>
        </is>
      </c>
      <c r="L160" s="70" t="inlineStr">
        <is>
          <t>NeST login needed</t>
        </is>
      </c>
      <c r="M160" s="62" t="n"/>
      <c r="N160" s="70" t="inlineStr">
        <is>
          <t>unknown</t>
        </is>
      </c>
      <c r="O160" s="71" t="inlineStr">
        <is>
          <t>NeST login needed</t>
        </is>
      </c>
      <c r="P160" s="71" t="inlineStr">
        <is>
          <t>NeST login needed</t>
        </is>
      </c>
      <c r="Q160" s="72" t="n">
        <v>46317.58333333334</v>
      </c>
      <c r="R160" s="70" t="inlineStr">
        <is>
          <t>NeST login needed</t>
        </is>
      </c>
      <c r="S160" s="70" t="inlineStr">
        <is>
          <t>N</t>
        </is>
      </c>
      <c r="T160" s="64">
        <f>IF(A160="","",IFERROR(INDEX('Bid-NoBid'!$T:$T,MATCH(A160,'Bid-NoBid'!$A:$A,0)),""))</f>
        <v/>
      </c>
      <c r="U160" s="59">
        <f>IF(A160="","",IFERROR(IF(OR(INDEX('Bid-NoBid'!$U:$U,MATCH(A160,'Bid-NoBid'!$A:$A,0))="",LEFT(INDEX('Bid-NoBid'!$U:$U,MATCH(A160,'Bid-NoBid'!$A:$A,0)),10)="Incomplete"),"Screen: "&amp;AC160,INDEX('Bid-NoBid'!$U:$U,MATCH(A160,'Bid-NoBid'!$A:$A,0))),"Screen: "&amp;AC160))</f>
        <v/>
      </c>
      <c r="V160" s="60" t="n"/>
      <c r="W160" s="70" t="inlineStr">
        <is>
          <t>Watching</t>
        </is>
      </c>
      <c r="X160" s="70" t="inlineStr">
        <is>
          <t>Frank</t>
        </is>
      </c>
      <c r="Y160" s="60" t="n"/>
      <c r="Z160" s="60" t="n"/>
      <c r="AA160" s="73" t="n">
        <v>46311</v>
      </c>
      <c r="AB160" s="74" t="inlineStr">
        <is>
          <t>Small Works / Tender</t>
        </is>
      </c>
      <c r="AC160" s="74" t="inlineStr">
        <is>
          <t>Check</t>
        </is>
      </c>
      <c r="AD160" s="74" t="inlineStr">
        <is>
          <t>Auto (Small Works / Tender): Construction tender kept for review (would have been dropped: Remote and closing soon)</t>
        </is>
      </c>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74" t="inlineStr">
        <is>
          <t>Read the notice and decide with the QS Director whether to pursue</t>
        </is>
      </c>
      <c r="AJ160" s="74" t="inlineStr">
        <is>
          <t>Auto-scan</t>
        </is>
      </c>
      <c r="AK160" s="74" t="inlineStr">
        <is>
          <t>3c0ce8d7-762b-471c-92a2-1466abf2abbf</t>
        </is>
      </c>
      <c r="AL160" s="59">
        <f>IF(AND(OR(W160="Watching",W160="Preparing"),ISNUMBER(Q160)),IF(AND(Q160&gt;='Friday Summary'!$C$4,Q160&lt;='Friday Summary'!$C$4+14),Q160+ROW()/1000000,""),"")</f>
        <v/>
      </c>
    </row>
    <row r="161" ht="15" customHeight="1" s="51">
      <c r="A161" s="59">
        <f>IF(B161="","","OP-"&amp;TEXT(ROW()-4,"000"))</f>
        <v/>
      </c>
      <c r="B161" s="70" t="inlineStr">
        <is>
          <t>82N7/2026/2027/W/23</t>
        </is>
      </c>
      <c r="C161" s="71" t="n">
        <v>46312</v>
      </c>
      <c r="D161" s="70" t="inlineStr">
        <is>
          <t>NeST</t>
        </is>
      </c>
      <c r="E161" s="70" t="inlineStr">
        <is>
          <t>https://nest.go.tz/tenders/published-tenders</t>
        </is>
      </c>
      <c r="F161" s="70" t="inlineStr">
        <is>
          <t>Mbinga Town Council</t>
        </is>
      </c>
      <c r="G161" s="70" t="inlineStr">
        <is>
          <t>government</t>
        </is>
      </c>
      <c r="H161" s="70" t="inlineStr">
        <is>
          <t>CONSTRUCTION OF COMMERCIAL SHOPS AT MAKTABA AREA IN MBINGA TOWN COUNCIL</t>
        </is>
      </c>
      <c r="I161" s="70" t="inlineStr">
        <is>
          <t>From NeST notice (1 lot) – read the tender document</t>
        </is>
      </c>
      <c r="J161" s="70" t="inlineStr">
        <is>
          <t>Ruvuma (Mbinga)</t>
        </is>
      </c>
      <c r="K161" s="70" t="inlineStr">
        <is>
          <t>building</t>
        </is>
      </c>
      <c r="L161" s="70" t="inlineStr">
        <is>
          <t>NeST login needed</t>
        </is>
      </c>
      <c r="M161" s="62" t="n"/>
      <c r="N161" s="70" t="inlineStr">
        <is>
          <t>unknown</t>
        </is>
      </c>
      <c r="O161" s="71" t="inlineStr">
        <is>
          <t>NeST login needed</t>
        </is>
      </c>
      <c r="P161" s="71" t="inlineStr">
        <is>
          <t>NeST login needed</t>
        </is>
      </c>
      <c r="Q161" s="72" t="n">
        <v>46317.58333333334</v>
      </c>
      <c r="R161" s="70" t="inlineStr">
        <is>
          <t>NeST login needed</t>
        </is>
      </c>
      <c r="S161" s="70" t="inlineStr">
        <is>
          <t>N</t>
        </is>
      </c>
      <c r="T161" s="64">
        <f>IF(A161="","",IFERROR(INDEX('Bid-NoBid'!$T:$T,MATCH(A161,'Bid-NoBid'!$A:$A,0)),""))</f>
        <v/>
      </c>
      <c r="U161" s="59">
        <f>IF(A161="","",IFERROR(IF(OR(INDEX('Bid-NoBid'!$U:$U,MATCH(A161,'Bid-NoBid'!$A:$A,0))="",LEFT(INDEX('Bid-NoBid'!$U:$U,MATCH(A161,'Bid-NoBid'!$A:$A,0)),10)="Incomplete"),"Screen: "&amp;AC161,INDEX('Bid-NoBid'!$U:$U,MATCH(A161,'Bid-NoBid'!$A:$A,0))),"Screen: "&amp;AC161))</f>
        <v/>
      </c>
      <c r="V161" s="60" t="n"/>
      <c r="W161" s="70" t="inlineStr">
        <is>
          <t>Watching</t>
        </is>
      </c>
      <c r="X161" s="70" t="inlineStr">
        <is>
          <t>Frank</t>
        </is>
      </c>
      <c r="Y161" s="60" t="n"/>
      <c r="Z161" s="60" t="n"/>
      <c r="AA161" s="73" t="n">
        <v>46311</v>
      </c>
      <c r="AB161" s="74" t="inlineStr">
        <is>
          <t>Small Works / Tender</t>
        </is>
      </c>
      <c r="AC161" s="74" t="inlineStr">
        <is>
          <t>Check</t>
        </is>
      </c>
      <c r="AD161" s="74" t="inlineStr">
        <is>
          <t>Auto (Small Works / Tender): Construction tender kept for review (would have been dropped: Remote and closing soon)</t>
        </is>
      </c>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74" t="inlineStr">
        <is>
          <t>Read the notice and decide with the QS Director whether to pursue</t>
        </is>
      </c>
      <c r="AJ161" s="74" t="inlineStr">
        <is>
          <t>Auto-scan</t>
        </is>
      </c>
      <c r="AK161" s="74" t="inlineStr">
        <is>
          <t>98c3a0fe-df06-42a7-914b-4572ded2dc55</t>
        </is>
      </c>
      <c r="AL161" s="59">
        <f>IF(AND(OR(W161="Watching",W161="Preparing"),ISNUMBER(Q161)),IF(AND(Q161&gt;='Friday Summary'!$C$4,Q161&lt;='Friday Summary'!$C$4+14),Q161+ROW()/1000000,""),"")</f>
        <v/>
      </c>
    </row>
    <row r="162" ht="15" customHeight="1" s="51">
      <c r="A162" s="59">
        <f>IF(B162="","","OP-"&amp;TEXT(ROW()-4,"000"))</f>
        <v/>
      </c>
      <c r="B162" s="70" t="inlineStr">
        <is>
          <t>TR36/023/2026/2027/W/33</t>
        </is>
      </c>
      <c r="C162" s="71" t="n">
        <v>46312</v>
      </c>
      <c r="D162" s="70" t="inlineStr">
        <is>
          <t>NeST</t>
        </is>
      </c>
      <c r="E162" s="70" t="inlineStr">
        <is>
          <t>https://nest.go.tz/tenders/published-tenders</t>
        </is>
      </c>
      <c r="F162" s="70" t="inlineStr">
        <is>
          <t>TANROADS - Singida Regional Office</t>
        </is>
      </c>
      <c r="G162" s="70" t="inlineStr">
        <is>
          <t>government</t>
        </is>
      </c>
      <c r="H162" s="70" t="inlineStr">
        <is>
          <t>Construction of Box Culverts (Composite Box Culverts) Size 2.5m X 2.0m Along Soweto (Kiomboi) - Kisiriri - Chemchem Unpaved Regional Road (R435) to be Financed through Development Consolidated Funds and Rehabilitation Works Between Km 42 + 000 - Km 45 + 000 Along Soweto (Kiomboi) - Kisiriri - Chemchem Unpaved Regional Road (R435) to be Financed tthrough Development Road Funds</t>
        </is>
      </c>
      <c r="I162" s="70" t="inlineStr">
        <is>
          <t>From NeST notice (1 lot) – read the tender document</t>
        </is>
      </c>
      <c r="J162" s="70" t="inlineStr">
        <is>
          <t>Singida (from client's office – confirm site)</t>
        </is>
      </c>
      <c r="K162" s="70" t="inlineStr">
        <is>
          <t>renovation</t>
        </is>
      </c>
      <c r="L162" s="70" t="inlineStr">
        <is>
          <t>NeST login needed</t>
        </is>
      </c>
      <c r="M162" s="62" t="n"/>
      <c r="N162" s="70" t="inlineStr">
        <is>
          <t>unknown</t>
        </is>
      </c>
      <c r="O162" s="71" t="inlineStr">
        <is>
          <t>NeST login needed</t>
        </is>
      </c>
      <c r="P162" s="71" t="inlineStr">
        <is>
          <t>NeST login needed</t>
        </is>
      </c>
      <c r="Q162" s="72" t="n">
        <v>46318.41666666666</v>
      </c>
      <c r="R162" s="70" t="inlineStr">
        <is>
          <t>NeST login needed</t>
        </is>
      </c>
      <c r="S162" s="70" t="inlineStr">
        <is>
          <t>N</t>
        </is>
      </c>
      <c r="T162" s="64">
        <f>IF(A162="","",IFERROR(INDEX('Bid-NoBid'!$T:$T,MATCH(A162,'Bid-NoBid'!$A:$A,0)),""))</f>
        <v/>
      </c>
      <c r="U162" s="59">
        <f>IF(A162="","",IFERROR(IF(OR(INDEX('Bid-NoBid'!$U:$U,MATCH(A162,'Bid-NoBid'!$A:$A,0))="",LEFT(INDEX('Bid-NoBid'!$U:$U,MATCH(A162,'Bid-NoBid'!$A:$A,0)),10)="Incomplete"),"Screen: "&amp;AC162,INDEX('Bid-NoBid'!$U:$U,MATCH(A162,'Bid-NoBid'!$A:$A,0))),"Screen: "&amp;AC162))</f>
        <v/>
      </c>
      <c r="V162" s="60" t="n"/>
      <c r="W162" s="70" t="inlineStr">
        <is>
          <t>Watching</t>
        </is>
      </c>
      <c r="X162" s="70" t="inlineStr">
        <is>
          <t>Frank</t>
        </is>
      </c>
      <c r="Y162" s="60" t="n"/>
      <c r="Z162" s="60" t="n"/>
      <c r="AA162" s="73" t="n">
        <v>46311</v>
      </c>
      <c r="AB162" s="74" t="inlineStr">
        <is>
          <t>Small Works / Tender</t>
        </is>
      </c>
      <c r="AC162" s="74" t="inlineStr">
        <is>
          <t>Check</t>
        </is>
      </c>
      <c r="AD162" s="74" t="inlineStr">
        <is>
          <t>Auto (Small Works / Tender): Construction tender kept for review (would have been dropped: Remote and closing soon)</t>
        </is>
      </c>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74" t="inlineStr">
        <is>
          <t>Read the notice and decide with the QS Director whether to pursue</t>
        </is>
      </c>
      <c r="AJ162" s="74" t="inlineStr">
        <is>
          <t>Auto-scan</t>
        </is>
      </c>
      <c r="AK162" s="74" t="inlineStr">
        <is>
          <t>5a7d4e7d-c2ac-437e-ad0d-a2674b2a8dc7</t>
        </is>
      </c>
      <c r="AL162" s="59">
        <f>IF(AND(OR(W162="Watching",W162="Preparing"),ISNUMBER(Q162)),IF(AND(Q162&gt;='Friday Summary'!$C$4,Q162&lt;='Friday Summary'!$C$4+14),Q162+ROW()/1000000,""),"")</f>
        <v/>
      </c>
    </row>
    <row r="163" ht="15" customHeight="1" s="51">
      <c r="A163" s="59">
        <f>IF(B163="","","OP-"&amp;TEXT(ROW()-4,"000"))</f>
        <v/>
      </c>
      <c r="B163" s="70" t="inlineStr">
        <is>
          <t>70A2/2026/2027/W/10</t>
        </is>
      </c>
      <c r="C163" s="71" t="n">
        <v>46312</v>
      </c>
      <c r="D163" s="70" t="inlineStr">
        <is>
          <t>NeST</t>
        </is>
      </c>
      <c r="E163" s="70" t="inlineStr">
        <is>
          <t>https://nest.go.tz/tenders/published-tenders</t>
        </is>
      </c>
      <c r="F163" s="70" t="inlineStr">
        <is>
          <t>Monduli District Council</t>
        </is>
      </c>
      <c r="G163" s="70" t="inlineStr">
        <is>
          <t>government</t>
        </is>
      </c>
      <c r="H163" s="70" t="inlineStr">
        <is>
          <t>CONSTRUCTION OF DIPPING TANKS (JOSHO) TO MESERANI CHINI, NAALARAMI, ALKATANI &amp; NANJA VILLAGES IN MONDULI DISTRICT</t>
        </is>
      </c>
      <c r="I163" s="70" t="inlineStr">
        <is>
          <t>From NeST notice (1 lot) – read the tender document</t>
        </is>
      </c>
      <c r="J163" s="70" t="inlineStr">
        <is>
          <t>Arusha (Monduli)</t>
        </is>
      </c>
      <c r="K163" s="70" t="inlineStr">
        <is>
          <t>building</t>
        </is>
      </c>
      <c r="L163" s="70" t="inlineStr">
        <is>
          <t>NeST login needed</t>
        </is>
      </c>
      <c r="M163" s="62" t="n"/>
      <c r="N163" s="70" t="inlineStr">
        <is>
          <t>unknown</t>
        </is>
      </c>
      <c r="O163" s="71" t="inlineStr">
        <is>
          <t>NeST login needed</t>
        </is>
      </c>
      <c r="P163" s="71" t="inlineStr">
        <is>
          <t>NeST login needed</t>
        </is>
      </c>
      <c r="Q163" s="72" t="n">
        <v>46318.41666666666</v>
      </c>
      <c r="R163" s="70" t="inlineStr">
        <is>
          <t>NeST login needed</t>
        </is>
      </c>
      <c r="S163" s="70" t="inlineStr">
        <is>
          <t>N</t>
        </is>
      </c>
      <c r="T163" s="64">
        <f>IF(A163="","",IFERROR(INDEX('Bid-NoBid'!$T:$T,MATCH(A163,'Bid-NoBid'!$A:$A,0)),""))</f>
        <v/>
      </c>
      <c r="U163" s="59">
        <f>IF(A163="","",IFERROR(IF(OR(INDEX('Bid-NoBid'!$U:$U,MATCH(A163,'Bid-NoBid'!$A:$A,0))="",LEFT(INDEX('Bid-NoBid'!$U:$U,MATCH(A163,'Bid-NoBid'!$A:$A,0)),10)="Incomplete"),"Screen: "&amp;AC163,INDEX('Bid-NoBid'!$U:$U,MATCH(A163,'Bid-NoBid'!$A:$A,0))),"Screen: "&amp;AC163))</f>
        <v/>
      </c>
      <c r="V163" s="60" t="n"/>
      <c r="W163" s="70" t="inlineStr">
        <is>
          <t>Watching</t>
        </is>
      </c>
      <c r="X163" s="70" t="inlineStr">
        <is>
          <t>Frank</t>
        </is>
      </c>
      <c r="Y163" s="60" t="n"/>
      <c r="Z163" s="60" t="n"/>
      <c r="AA163" s="73" t="n">
        <v>46311</v>
      </c>
      <c r="AB163" s="74" t="inlineStr">
        <is>
          <t>Small Works / Tender</t>
        </is>
      </c>
      <c r="AC163" s="74" t="inlineStr">
        <is>
          <t>Check</t>
        </is>
      </c>
      <c r="AD163" s="74" t="inlineStr">
        <is>
          <t>Auto (Small Works / Tender): Construction tender kept for review (would have been dropped: Remote and closing soon)</t>
        </is>
      </c>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74" t="inlineStr">
        <is>
          <t>Read the notice and decide with the QS Director whether to pursue</t>
        </is>
      </c>
      <c r="AJ163" s="74" t="inlineStr">
        <is>
          <t>Auto-scan</t>
        </is>
      </c>
      <c r="AK163" s="74" t="inlineStr">
        <is>
          <t>f558993f-cfdb-4c35-8ede-4514cd9f0652</t>
        </is>
      </c>
      <c r="AL163" s="59">
        <f>IF(AND(OR(W163="Watching",W163="Preparing"),ISNUMBER(Q163)),IF(AND(Q163&gt;='Friday Summary'!$C$4,Q163&lt;='Friday Summary'!$C$4+14),Q163+ROW()/1000000,""),"")</f>
        <v/>
      </c>
    </row>
    <row r="164" ht="15" customHeight="1" s="51">
      <c r="A164" s="59">
        <f>IF(B164="","","OP-"&amp;TEXT(ROW()-4,"000"))</f>
        <v/>
      </c>
      <c r="B164" s="70" t="inlineStr">
        <is>
          <t>TR36/023/2026/2027/W/32</t>
        </is>
      </c>
      <c r="C164" s="71" t="n">
        <v>46312</v>
      </c>
      <c r="D164" s="70" t="inlineStr">
        <is>
          <t>NeST</t>
        </is>
      </c>
      <c r="E164" s="70" t="inlineStr">
        <is>
          <t>https://nest.go.tz/tenders/published-tenders</t>
        </is>
      </c>
      <c r="F164" s="70" t="inlineStr">
        <is>
          <t>TANROADS - Singida Regional Office</t>
        </is>
      </c>
      <c r="G164" s="70" t="inlineStr">
        <is>
          <t>government</t>
        </is>
      </c>
      <c r="H164" s="70" t="inlineStr">
        <is>
          <t>Construction of Reinforced Concrete Drift Size 20mx6.5 Along Sibiti (SMY/SGD Brd.) - Nyahaa - Matala (SGD/Arusha Brd.) Unpaved Trunk Road (T037) to be Financed through Development Consolidated Fund and Construction of Reinforced Concrete Drift Size 20mx6.5 Along Sibiti (SMY/SGD Brd.) - Nyahaa - Matala (SGD/Arusha Brd.) Unpaved Trunk Road (T037) to be Financed Through Development Consolidated Fund</t>
        </is>
      </c>
      <c r="I164" s="70" t="inlineStr">
        <is>
          <t>From NeST notice (1 lot) – read the tender document</t>
        </is>
      </c>
      <c r="J164" s="70" t="inlineStr">
        <is>
          <t>Arusha</t>
        </is>
      </c>
      <c r="K164" s="70" t="inlineStr">
        <is>
          <t>civil</t>
        </is>
      </c>
      <c r="L164" s="70" t="inlineStr">
        <is>
          <t>NeST login needed</t>
        </is>
      </c>
      <c r="M164" s="62" t="n"/>
      <c r="N164" s="70" t="inlineStr">
        <is>
          <t>unknown</t>
        </is>
      </c>
      <c r="O164" s="71" t="inlineStr">
        <is>
          <t>NeST login needed</t>
        </is>
      </c>
      <c r="P164" s="71" t="inlineStr">
        <is>
          <t>NeST login needed</t>
        </is>
      </c>
      <c r="Q164" s="72" t="n">
        <v>46318.41666666666</v>
      </c>
      <c r="R164" s="70" t="inlineStr">
        <is>
          <t>NeST login needed</t>
        </is>
      </c>
      <c r="S164" s="70" t="inlineStr">
        <is>
          <t>N</t>
        </is>
      </c>
      <c r="T164" s="64">
        <f>IF(A164="","",IFERROR(INDEX('Bid-NoBid'!$T:$T,MATCH(A164,'Bid-NoBid'!$A:$A,0)),""))</f>
        <v/>
      </c>
      <c r="U164" s="59">
        <f>IF(A164="","",IFERROR(IF(OR(INDEX('Bid-NoBid'!$U:$U,MATCH(A164,'Bid-NoBid'!$A:$A,0))="",LEFT(INDEX('Bid-NoBid'!$U:$U,MATCH(A164,'Bid-NoBid'!$A:$A,0)),10)="Incomplete"),"Screen: "&amp;AC164,INDEX('Bid-NoBid'!$U:$U,MATCH(A164,'Bid-NoBid'!$A:$A,0))),"Screen: "&amp;AC164))</f>
        <v/>
      </c>
      <c r="V164" s="60" t="n"/>
      <c r="W164" s="70" t="inlineStr">
        <is>
          <t>Watching</t>
        </is>
      </c>
      <c r="X164" s="70" t="inlineStr">
        <is>
          <t>Frank</t>
        </is>
      </c>
      <c r="Y164" s="60" t="n"/>
      <c r="Z164" s="60" t="n"/>
      <c r="AA164" s="73" t="n">
        <v>46311</v>
      </c>
      <c r="AB164" s="74" t="inlineStr">
        <is>
          <t>Small Works / Tender</t>
        </is>
      </c>
      <c r="AC164" s="74" t="inlineStr">
        <is>
          <t>Check</t>
        </is>
      </c>
      <c r="AD164" s="74" t="inlineStr">
        <is>
          <t>Auto (Small Works / Tender): Construction tender kept for review (would have been dropped: Remote civil works)</t>
        </is>
      </c>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74" t="inlineStr">
        <is>
          <t>Read the notice and decide with the QS Director whether to pursue</t>
        </is>
      </c>
      <c r="AJ164" s="74" t="inlineStr">
        <is>
          <t>Auto-scan</t>
        </is>
      </c>
      <c r="AK164" s="74" t="inlineStr">
        <is>
          <t>053db907-9a6b-4b83-b773-6272c7adb366</t>
        </is>
      </c>
      <c r="AL164" s="59">
        <f>IF(AND(OR(W164="Watching",W164="Preparing"),ISNUMBER(Q164)),IF(AND(Q164&gt;='Friday Summary'!$C$4,Q164&lt;='Friday Summary'!$C$4+14),Q164+ROW()/1000000,""),"")</f>
        <v/>
      </c>
    </row>
    <row r="165" ht="15" customHeight="1" s="51">
      <c r="A165" s="59">
        <f>IF(B165="","","OP-"&amp;TEXT(ROW()-4,"000"))</f>
        <v/>
      </c>
      <c r="B165" s="70" t="inlineStr">
        <is>
          <t>TR36/023/2026/2027/W/26</t>
        </is>
      </c>
      <c r="C165" s="71" t="n">
        <v>46312</v>
      </c>
      <c r="D165" s="70" t="inlineStr">
        <is>
          <t>NeST</t>
        </is>
      </c>
      <c r="E165" s="70" t="inlineStr">
        <is>
          <t>https://nest.go.tz/tenders/published-tenders</t>
        </is>
      </c>
      <c r="F165" s="70" t="inlineStr">
        <is>
          <t>TANROADS - Singida Regional Office</t>
        </is>
      </c>
      <c r="G165" s="70" t="inlineStr">
        <is>
          <t>government</t>
        </is>
      </c>
      <c r="H165" s="70" t="inlineStr">
        <is>
          <t>Rehabilitation Works Between Km 14 + 000 - KM 18 + 000 along Iyumbu (TBR/SGD Brd.) - Mgungira - Magereza (R436) Unpaved Regional Road to be Financed Through Development Consolidated Fund and Construction Of Reinforced Concrete Box Culverts(2Nos) Size 2.5m X 1.5m At Km 15 + 140 &amp; Km 17 + 900 along Iyumbu (TBR/SGD Brd.) - Mgungira - Mtunduru - Magereza Unpaved Regional Road (R436) to be Financed through Development Roads Fund</t>
        </is>
      </c>
      <c r="I165" s="70" t="inlineStr">
        <is>
          <t>From NeST notice (1 lot) – read the tender document</t>
        </is>
      </c>
      <c r="J165" s="70" t="inlineStr">
        <is>
          <t>Singida (from client's office – confirm site)</t>
        </is>
      </c>
      <c r="K165" s="70" t="inlineStr">
        <is>
          <t>renovation</t>
        </is>
      </c>
      <c r="L165" s="70" t="inlineStr">
        <is>
          <t>NeST login needed</t>
        </is>
      </c>
      <c r="M165" s="62" t="n"/>
      <c r="N165" s="70" t="inlineStr">
        <is>
          <t>unknown</t>
        </is>
      </c>
      <c r="O165" s="71" t="inlineStr">
        <is>
          <t>NeST login needed</t>
        </is>
      </c>
      <c r="P165" s="71" t="inlineStr">
        <is>
          <t>NeST login needed</t>
        </is>
      </c>
      <c r="Q165" s="72" t="n">
        <v>46318.41666666666</v>
      </c>
      <c r="R165" s="70" t="inlineStr">
        <is>
          <t>NeST login needed</t>
        </is>
      </c>
      <c r="S165" s="70" t="inlineStr">
        <is>
          <t>N</t>
        </is>
      </c>
      <c r="T165" s="64">
        <f>IF(A165="","",IFERROR(INDEX('Bid-NoBid'!$T:$T,MATCH(A165,'Bid-NoBid'!$A:$A,0)),""))</f>
        <v/>
      </c>
      <c r="U165" s="59">
        <f>IF(A165="","",IFERROR(IF(OR(INDEX('Bid-NoBid'!$U:$U,MATCH(A165,'Bid-NoBid'!$A:$A,0))="",LEFT(INDEX('Bid-NoBid'!$U:$U,MATCH(A165,'Bid-NoBid'!$A:$A,0)),10)="Incomplete"),"Screen: "&amp;AC165,INDEX('Bid-NoBid'!$U:$U,MATCH(A165,'Bid-NoBid'!$A:$A,0))),"Screen: "&amp;AC165))</f>
        <v/>
      </c>
      <c r="V165" s="60" t="n"/>
      <c r="W165" s="70" t="inlineStr">
        <is>
          <t>Watching</t>
        </is>
      </c>
      <c r="X165" s="70" t="inlineStr">
        <is>
          <t>Frank</t>
        </is>
      </c>
      <c r="Y165" s="60" t="n"/>
      <c r="Z165" s="60" t="n"/>
      <c r="AA165" s="73" t="n">
        <v>46311</v>
      </c>
      <c r="AB165" s="74" t="inlineStr">
        <is>
          <t>Small Works / Tender</t>
        </is>
      </c>
      <c r="AC165" s="74" t="inlineStr">
        <is>
          <t>Check</t>
        </is>
      </c>
      <c r="AD165" s="74" t="inlineStr">
        <is>
          <t>Auto (Small Works / Tender): Construction tender kept for review (would have been dropped: Remote and closing soon)</t>
        </is>
      </c>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74" t="inlineStr">
        <is>
          <t>Read the notice and decide with the QS Director whether to pursue</t>
        </is>
      </c>
      <c r="AJ165" s="74" t="inlineStr">
        <is>
          <t>Auto-scan</t>
        </is>
      </c>
      <c r="AK165" s="74" t="inlineStr">
        <is>
          <t>07412897-d2eb-4183-8b52-b60c289e2362</t>
        </is>
      </c>
      <c r="AL165" s="59">
        <f>IF(AND(OR(W165="Watching",W165="Preparing"),ISNUMBER(Q165)),IF(AND(Q165&gt;='Friday Summary'!$C$4,Q165&lt;='Friday Summary'!$C$4+14),Q165+ROW()/1000000,""),"")</f>
        <v/>
      </c>
    </row>
    <row r="166" ht="15" customHeight="1" s="51">
      <c r="A166" s="59">
        <f>IF(B166="","","OP-"&amp;TEXT(ROW()-4,"000"))</f>
        <v/>
      </c>
      <c r="B166" s="70" t="inlineStr">
        <is>
          <t>TR36/023/2026/2027/W/31</t>
        </is>
      </c>
      <c r="C166" s="71" t="n">
        <v>46312</v>
      </c>
      <c r="D166" s="70" t="inlineStr">
        <is>
          <t>NeST</t>
        </is>
      </c>
      <c r="E166" s="70" t="inlineStr">
        <is>
          <t>https://nest.go.tz/tenders/published-tenders</t>
        </is>
      </c>
      <c r="F166" s="70" t="inlineStr">
        <is>
          <t>TANROADS - Singida Regional Office</t>
        </is>
      </c>
      <c r="G166" s="70" t="inlineStr">
        <is>
          <t>government</t>
        </is>
      </c>
      <c r="H166" s="70" t="inlineStr">
        <is>
          <t>Rehabilitation Works Between Km 60 + 000 - Km 64 + 000 along Shelui - Sekenke - Tulya - Tyegelo Unpaved Regional Road (R421) to be Financed through Development Consolidated Funds, Construction of Reinforced Concrete Box Culvert (2nos) along Shelui - Sekenke - Tulya - Tyegelo Unpaved Regional Road (R421) to be Financed through Development Consolidated Funds and Construction of Reinforced Concrete Box Culvert (2nos) along Shelui - Sekenke - Tulya - Tyegelo Unpaved Regional Road (R421) to be Financed through Development Consolidated Funds</t>
        </is>
      </c>
      <c r="I166" s="70" t="inlineStr">
        <is>
          <t>From NeST notice (1 lot) – read the tender document</t>
        </is>
      </c>
      <c r="J166" s="70" t="inlineStr">
        <is>
          <t>Singida (from client's office – confirm site)</t>
        </is>
      </c>
      <c r="K166" s="70" t="inlineStr">
        <is>
          <t>renovation</t>
        </is>
      </c>
      <c r="L166" s="70" t="inlineStr">
        <is>
          <t>NeST login needed</t>
        </is>
      </c>
      <c r="M166" s="62" t="n"/>
      <c r="N166" s="70" t="inlineStr">
        <is>
          <t>unknown</t>
        </is>
      </c>
      <c r="O166" s="71" t="inlineStr">
        <is>
          <t>NeST login needed</t>
        </is>
      </c>
      <c r="P166" s="71" t="inlineStr">
        <is>
          <t>NeST login needed</t>
        </is>
      </c>
      <c r="Q166" s="72" t="n">
        <v>46318.41666666666</v>
      </c>
      <c r="R166" s="70" t="inlineStr">
        <is>
          <t>NeST login needed</t>
        </is>
      </c>
      <c r="S166" s="70" t="inlineStr">
        <is>
          <t>N</t>
        </is>
      </c>
      <c r="T166" s="64">
        <f>IF(A166="","",IFERROR(INDEX('Bid-NoBid'!$T:$T,MATCH(A166,'Bid-NoBid'!$A:$A,0)),""))</f>
        <v/>
      </c>
      <c r="U166" s="59">
        <f>IF(A166="","",IFERROR(IF(OR(INDEX('Bid-NoBid'!$U:$U,MATCH(A166,'Bid-NoBid'!$A:$A,0))="",LEFT(INDEX('Bid-NoBid'!$U:$U,MATCH(A166,'Bid-NoBid'!$A:$A,0)),10)="Incomplete"),"Screen: "&amp;AC166,INDEX('Bid-NoBid'!$U:$U,MATCH(A166,'Bid-NoBid'!$A:$A,0))),"Screen: "&amp;AC166))</f>
        <v/>
      </c>
      <c r="V166" s="60" t="n"/>
      <c r="W166" s="70" t="inlineStr">
        <is>
          <t>Watching</t>
        </is>
      </c>
      <c r="X166" s="70" t="inlineStr">
        <is>
          <t>Frank</t>
        </is>
      </c>
      <c r="Y166" s="60" t="n"/>
      <c r="Z166" s="60" t="n"/>
      <c r="AA166" s="73" t="n">
        <v>46311</v>
      </c>
      <c r="AB166" s="74" t="inlineStr">
        <is>
          <t>Small Works / Tender</t>
        </is>
      </c>
      <c r="AC166" s="74" t="inlineStr">
        <is>
          <t>Check</t>
        </is>
      </c>
      <c r="AD166" s="74" t="inlineStr">
        <is>
          <t>Auto (Small Works / Tender): Construction tender kept for review (would have been dropped: Remote and closing soon)</t>
        </is>
      </c>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74" t="inlineStr">
        <is>
          <t>Read the notice and decide with the QS Director whether to pursue</t>
        </is>
      </c>
      <c r="AJ166" s="74" t="inlineStr">
        <is>
          <t>Auto-scan</t>
        </is>
      </c>
      <c r="AK166" s="74" t="inlineStr">
        <is>
          <t>06413d47-4991-49c3-8625-972a644ab87b</t>
        </is>
      </c>
      <c r="AL166" s="59">
        <f>IF(AND(OR(W166="Watching",W166="Preparing"),ISNUMBER(Q166)),IF(AND(Q166&gt;='Friday Summary'!$C$4,Q166&lt;='Friday Summary'!$C$4+14),Q166+ROW()/1000000,""),"")</f>
        <v/>
      </c>
    </row>
    <row r="167" ht="15" customHeight="1" s="51">
      <c r="A167" s="59">
        <f>IF(B167="","","OP-"&amp;TEXT(ROW()-4,"000"))</f>
        <v/>
      </c>
      <c r="B167" s="70" t="inlineStr">
        <is>
          <t>TR36/023/2026/2027/W/30</t>
        </is>
      </c>
      <c r="C167" s="71" t="n">
        <v>46312</v>
      </c>
      <c r="D167" s="70" t="inlineStr">
        <is>
          <t>NeST</t>
        </is>
      </c>
      <c r="E167" s="70" t="inlineStr">
        <is>
          <t>https://nest.go.tz/tenders/published-tenders</t>
        </is>
      </c>
      <c r="F167" s="70" t="inlineStr">
        <is>
          <t>TANROADS - Singida Regional Office</t>
        </is>
      </c>
      <c r="G167" s="70" t="inlineStr">
        <is>
          <t>government</t>
        </is>
      </c>
      <c r="H167" s="70" t="inlineStr">
        <is>
          <t>Rehabilitation Works to Gravel Standard Between Km 60 + 000 - Km 63 + 000 along Sepuka - Mlandala - Mgungira Unpaved Regional Road (R422) to be Financed through Consolidated Fund, Rehabilitation Works to Gravel Standard Between Km 63 + 000 - Km 68 + 500 along Sepuka - Mlandala - Mgungira Unpaved Regional Road (R422) to be Financed through Roads Fund and Rehabilitation Works (Construction of Reinforced Concrete Box Culverts (2nos) Size 2.5m X 1.5m Single Cell) at Km 68 + 000 &amp; 78 + 100 along Sepuka - Mlandala - Mgungira Unpaved Regional Road (R422) to be Financed through Roads Fund</t>
        </is>
      </c>
      <c r="I167" s="70" t="inlineStr">
        <is>
          <t>From NeST notice (1 lot) – read the tender document</t>
        </is>
      </c>
      <c r="J167" s="70" t="inlineStr">
        <is>
          <t>Singida (from client's office – confirm site)</t>
        </is>
      </c>
      <c r="K167" s="70" t="inlineStr">
        <is>
          <t>renovation</t>
        </is>
      </c>
      <c r="L167" s="70" t="inlineStr">
        <is>
          <t>NeST login needed</t>
        </is>
      </c>
      <c r="M167" s="62" t="n"/>
      <c r="N167" s="70" t="inlineStr">
        <is>
          <t>unknown</t>
        </is>
      </c>
      <c r="O167" s="71" t="inlineStr">
        <is>
          <t>NeST login needed</t>
        </is>
      </c>
      <c r="P167" s="71" t="inlineStr">
        <is>
          <t>NeST login needed</t>
        </is>
      </c>
      <c r="Q167" s="72" t="n">
        <v>46318.41666666666</v>
      </c>
      <c r="R167" s="70" t="inlineStr">
        <is>
          <t>NeST login needed</t>
        </is>
      </c>
      <c r="S167" s="70" t="inlineStr">
        <is>
          <t>N</t>
        </is>
      </c>
      <c r="T167" s="64">
        <f>IF(A167="","",IFERROR(INDEX('Bid-NoBid'!$T:$T,MATCH(A167,'Bid-NoBid'!$A:$A,0)),""))</f>
        <v/>
      </c>
      <c r="U167" s="59">
        <f>IF(A167="","",IFERROR(IF(OR(INDEX('Bid-NoBid'!$U:$U,MATCH(A167,'Bid-NoBid'!$A:$A,0))="",LEFT(INDEX('Bid-NoBid'!$U:$U,MATCH(A167,'Bid-NoBid'!$A:$A,0)),10)="Incomplete"),"Screen: "&amp;AC167,INDEX('Bid-NoBid'!$U:$U,MATCH(A167,'Bid-NoBid'!$A:$A,0))),"Screen: "&amp;AC167))</f>
        <v/>
      </c>
      <c r="V167" s="60" t="n"/>
      <c r="W167" s="70" t="inlineStr">
        <is>
          <t>Watching</t>
        </is>
      </c>
      <c r="X167" s="70" t="inlineStr">
        <is>
          <t>Frank</t>
        </is>
      </c>
      <c r="Y167" s="60" t="n"/>
      <c r="Z167" s="60" t="n"/>
      <c r="AA167" s="73" t="n">
        <v>46311</v>
      </c>
      <c r="AB167" s="74" t="inlineStr">
        <is>
          <t>Small Works / Tender</t>
        </is>
      </c>
      <c r="AC167" s="74" t="inlineStr">
        <is>
          <t>Check</t>
        </is>
      </c>
      <c r="AD167" s="74" t="inlineStr">
        <is>
          <t>Auto (Small Works / Tender): Construction tender kept for review (would have been dropped: Remote and closing soon)</t>
        </is>
      </c>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74" t="inlineStr">
        <is>
          <t>Read the notice and decide with the QS Director whether to pursue</t>
        </is>
      </c>
      <c r="AJ167" s="74" t="inlineStr">
        <is>
          <t>Auto-scan</t>
        </is>
      </c>
      <c r="AK167" s="74" t="inlineStr">
        <is>
          <t>5726dbc5-6181-4fbe-a645-8c2a463516e3</t>
        </is>
      </c>
      <c r="AL167" s="59">
        <f>IF(AND(OR(W167="Watching",W167="Preparing"),ISNUMBER(Q167)),IF(AND(Q167&gt;='Friday Summary'!$C$4,Q167&lt;='Friday Summary'!$C$4+14),Q167+ROW()/1000000,""),"")</f>
        <v/>
      </c>
    </row>
    <row r="168" ht="15" customHeight="1" s="51">
      <c r="A168" s="59">
        <f>IF(B168="","","OP-"&amp;TEXT(ROW()-4,"000"))</f>
        <v/>
      </c>
      <c r="B168" s="70" t="inlineStr">
        <is>
          <t>(not shown)</t>
        </is>
      </c>
      <c r="C168" s="71" t="n">
        <v>46312</v>
      </c>
      <c r="D168" s="70" t="inlineStr">
        <is>
          <t>press</t>
        </is>
      </c>
      <c r="E168" s="70" t="inlineStr">
        <is>
          <t>https://www.tanzaniatenders.com/tender/hiv-awareness-campaign-trunk-and-regional-roads-9015cb7.php</t>
        </is>
      </c>
      <c r="F168" s="70" t="inlineStr">
        <is>
          <t>See advert</t>
        </is>
      </c>
      <c r="G168" s="70" t="inlineStr">
        <is>
          <t>government</t>
        </is>
      </c>
      <c r="H168" s="70" t="inlineStr">
        <is>
          <t>Hiv Awareness Campaign on Trunk and Regional Roads</t>
        </is>
      </c>
      <c r="I168" s="70" t="inlineStr">
        <is>
          <t>From press notice (1 lot) – read the tender document</t>
        </is>
      </c>
      <c r="J168" s="70" t="inlineStr">
        <is>
          <t>Not stated – read the notice</t>
        </is>
      </c>
      <c r="K168" s="70" t="inlineStr">
        <is>
          <t>civil</t>
        </is>
      </c>
      <c r="L168" s="70" t="inlineStr">
        <is>
          <t>See tender document</t>
        </is>
      </c>
      <c r="M168" s="62" t="n"/>
      <c r="N168" s="70" t="inlineStr">
        <is>
          <t>unknown</t>
        </is>
      </c>
      <c r="O168" s="71" t="inlineStr">
        <is>
          <t>See tender document</t>
        </is>
      </c>
      <c r="P168" s="71" t="inlineStr">
        <is>
          <t>See tender document</t>
        </is>
      </c>
      <c r="Q168" s="72" t="n">
        <v>46318.41666666666</v>
      </c>
      <c r="R168" s="70" t="inlineStr">
        <is>
          <t>See tender document</t>
        </is>
      </c>
      <c r="S168" s="70" t="inlineStr">
        <is>
          <t>N</t>
        </is>
      </c>
      <c r="T168" s="64">
        <f>IF(A168="","",IFERROR(INDEX('Bid-NoBid'!$T:$T,MATCH(A168,'Bid-NoBid'!$A:$A,0)),""))</f>
        <v/>
      </c>
      <c r="U168" s="59">
        <f>IF(A168="","",IFERROR(IF(OR(INDEX('Bid-NoBid'!$U:$U,MATCH(A168,'Bid-NoBid'!$A:$A,0))="",LEFT(INDEX('Bid-NoBid'!$U:$U,MATCH(A168,'Bid-NoBid'!$A:$A,0)),10)="Incomplete"),"Screen: "&amp;AC168,INDEX('Bid-NoBid'!$U:$U,MATCH(A168,'Bid-NoBid'!$A:$A,0))),"Screen: "&amp;AC168))</f>
        <v/>
      </c>
      <c r="V168" s="60" t="n"/>
      <c r="W168" s="70" t="inlineStr">
        <is>
          <t>Watching</t>
        </is>
      </c>
      <c r="X168" s="70" t="inlineStr">
        <is>
          <t>Frank</t>
        </is>
      </c>
      <c r="Y168" s="60" t="n"/>
      <c r="Z168" s="60" t="n"/>
      <c r="AA168" s="73" t="n"/>
      <c r="AB168" s="74" t="inlineStr">
        <is>
          <t>TanzaniaTenders.com (newspapers / portals / private)</t>
        </is>
      </c>
      <c r="AC168" s="74" t="inlineStr">
        <is>
          <t>Check</t>
        </is>
      </c>
      <c r="AD168" s="74" t="inlineStr">
        <is>
          <t>Auto (TanzaniaTenders.com): Civil works – confirm site, CRB class and margin · deadline read from the web page – confirm</t>
        </is>
      </c>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74" t="inlineStr">
        <is>
          <t>Read the notice and decide with the QS Director whether to pursue</t>
        </is>
      </c>
      <c r="AJ168" s="74" t="inlineStr">
        <is>
          <t>Auto-scan</t>
        </is>
      </c>
      <c r="AK168" s="74" t="inlineStr">
        <is>
          <t>TZT:151084215</t>
        </is>
      </c>
      <c r="AL168" s="59">
        <f>IF(AND(OR(W168="Watching",W168="Preparing"),ISNUMBER(Q168)),IF(AND(Q168&gt;='Friday Summary'!$C$4,Q168&lt;='Friday Summary'!$C$4+14),Q168+ROW()/1000000,""),"")</f>
        <v/>
      </c>
    </row>
    <row r="169" ht="15" customHeight="1" s="51">
      <c r="A169" s="59">
        <f>IF(B169="","","OP-"&amp;TEXT(ROW()-4,"000"))</f>
        <v/>
      </c>
      <c r="B169" s="70" t="inlineStr">
        <is>
          <t>(not shown)</t>
        </is>
      </c>
      <c r="C169" s="71" t="n">
        <v>46312</v>
      </c>
      <c r="D169" s="70" t="inlineStr">
        <is>
          <t>press</t>
        </is>
      </c>
      <c r="E169" s="70" t="inlineStr">
        <is>
          <t>https://www.tanzaniatenders.com/tender/provision-construction-two-2-market-sheds-64-stalls-and-associated-external-works-including-paving-90199db.php</t>
        </is>
      </c>
      <c r="F169" s="70" t="inlineStr">
        <is>
          <t>See advert</t>
        </is>
      </c>
      <c r="G169" s="70" t="inlineStr">
        <is>
          <t>government</t>
        </is>
      </c>
      <c r="H169" s="70" t="inlineStr">
        <is>
          <t>Provision of Construction of Two (2) Market Sheds with 64 Stalls and Associated External Works including paving, storm-water drainage, rainwater-harvesting tanks and wash points at Mkigo Ward, Kigoma District Council.</t>
        </is>
      </c>
      <c r="I169" s="70" t="inlineStr">
        <is>
          <t>From press notice (1 lot) – read the tender document</t>
        </is>
      </c>
      <c r="J169" s="70" t="inlineStr">
        <is>
          <t>Kigoma</t>
        </is>
      </c>
      <c r="K169" s="70" t="inlineStr">
        <is>
          <t>civil</t>
        </is>
      </c>
      <c r="L169" s="70" t="inlineStr">
        <is>
          <t>See tender document</t>
        </is>
      </c>
      <c r="M169" s="62" t="n"/>
      <c r="N169" s="70" t="inlineStr">
        <is>
          <t>unknown</t>
        </is>
      </c>
      <c r="O169" s="71" t="inlineStr">
        <is>
          <t>See tender document</t>
        </is>
      </c>
      <c r="P169" s="71" t="inlineStr">
        <is>
          <t>See tender document</t>
        </is>
      </c>
      <c r="Q169" s="72" t="n">
        <v>46339.41666666666</v>
      </c>
      <c r="R169" s="70" t="inlineStr">
        <is>
          <t>See tender document</t>
        </is>
      </c>
      <c r="S169" s="70" t="inlineStr">
        <is>
          <t>N</t>
        </is>
      </c>
      <c r="T169" s="64">
        <f>IF(A169="","",IFERROR(INDEX('Bid-NoBid'!$T:$T,MATCH(A169,'Bid-NoBid'!$A:$A,0)),""))</f>
        <v/>
      </c>
      <c r="U169" s="59">
        <f>IF(A169="","",IFERROR(IF(OR(INDEX('Bid-NoBid'!$U:$U,MATCH(A169,'Bid-NoBid'!$A:$A,0))="",LEFT(INDEX('Bid-NoBid'!$U:$U,MATCH(A169,'Bid-NoBid'!$A:$A,0)),10)="Incomplete"),"Screen: "&amp;AC169,INDEX('Bid-NoBid'!$U:$U,MATCH(A169,'Bid-NoBid'!$A:$A,0))),"Screen: "&amp;AC169))</f>
        <v/>
      </c>
      <c r="V169" s="60" t="n"/>
      <c r="W169" s="70" t="inlineStr">
        <is>
          <t>Watching</t>
        </is>
      </c>
      <c r="X169" s="70" t="inlineStr">
        <is>
          <t>Frank</t>
        </is>
      </c>
      <c r="Y169" s="60" t="n"/>
      <c r="Z169" s="60" t="n"/>
      <c r="AA169" s="73" t="n"/>
      <c r="AB169" s="74" t="inlineStr">
        <is>
          <t>TanzaniaTenders.com (newspapers / portals / private)</t>
        </is>
      </c>
      <c r="AC169" s="74" t="inlineStr">
        <is>
          <t>Check</t>
        </is>
      </c>
      <c r="AD169" s="74" t="inlineStr">
        <is>
          <t>Auto (TanzaniaTenders.com): Construction tender kept for review (would have been dropped: Remote civil works) · deadline read from the web page – confirm</t>
        </is>
      </c>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74" t="inlineStr">
        <is>
          <t>Read the notice and decide with the QS Director whether to pursue</t>
        </is>
      </c>
      <c r="AJ169" s="74" t="inlineStr">
        <is>
          <t>Auto-scan</t>
        </is>
      </c>
      <c r="AK169" s="74" t="inlineStr">
        <is>
          <t>TZT:151099867</t>
        </is>
      </c>
      <c r="AL169" s="59">
        <f>IF(AND(OR(W169="Watching",W169="Preparing"),ISNUMBER(Q169)),IF(AND(Q169&gt;='Friday Summary'!$C$4,Q169&lt;='Friday Summary'!$C$4+14),Q169+ROW()/1000000,""),"")</f>
        <v/>
      </c>
    </row>
    <row r="170" ht="15" customHeight="1" s="51">
      <c r="A170" s="59">
        <f>IF(B170="","","OP-"&amp;TEXT(ROW()-4,"000"))</f>
        <v/>
      </c>
      <c r="B170" s="70" t="inlineStr">
        <is>
          <t>(not shown)</t>
        </is>
      </c>
      <c r="C170" s="71" t="n">
        <v>46312</v>
      </c>
      <c r="D170" s="70" t="inlineStr">
        <is>
          <t>aggregator</t>
        </is>
      </c>
      <c r="E170" s="70" t="inlineStr">
        <is>
          <t>https://www.biddetail.com/latest-tenders/119516093$196555f7-b599-4c09-85c1-6d3824b434ba</t>
        </is>
      </c>
      <c r="F170" s="70" t="inlineStr">
        <is>
          <t>See notice</t>
        </is>
      </c>
      <c r="G170" s="70" t="inlineStr">
        <is>
          <t>government</t>
        </is>
      </c>
      <c r="H170" s="70" t="inlineStr">
        <is>
          <t>Ministry Of Agriculture, Irrigation ...... Africa Invitation For Bids For Tanzania Food Systems Resilience Program ......</t>
        </is>
      </c>
      <c r="I170" s="70" t="inlineStr">
        <is>
          <t>From aggregator notice (1 lot) – read the tender document</t>
        </is>
      </c>
      <c r="J170" s="70" t="inlineStr">
        <is>
          <t>Not stated – read the notice</t>
        </is>
      </c>
      <c r="K170" s="70" t="inlineStr">
        <is>
          <t>civil</t>
        </is>
      </c>
      <c r="L170" s="70" t="inlineStr">
        <is>
          <t>See tender document</t>
        </is>
      </c>
      <c r="M170" s="62" t="n"/>
      <c r="N170" s="70" t="inlineStr">
        <is>
          <t>unknown</t>
        </is>
      </c>
      <c r="O170" s="71" t="inlineStr">
        <is>
          <t>See tender document</t>
        </is>
      </c>
      <c r="P170" s="71" t="inlineStr">
        <is>
          <t>See tender document</t>
        </is>
      </c>
      <c r="Q170" s="72" t="n"/>
      <c r="R170" s="70" t="inlineStr">
        <is>
          <t>See tender document</t>
        </is>
      </c>
      <c r="S170" s="70" t="inlineStr">
        <is>
          <t>N</t>
        </is>
      </c>
      <c r="T170" s="64">
        <f>IF(A170="","",IFERROR(INDEX('Bid-NoBid'!$T:$T,MATCH(A170,'Bid-NoBid'!$A:$A,0)),""))</f>
        <v/>
      </c>
      <c r="U170" s="59">
        <f>IF(A170="","",IFERROR(IF(OR(INDEX('Bid-NoBid'!$U:$U,MATCH(A170,'Bid-NoBid'!$A:$A,0))="",LEFT(INDEX('Bid-NoBid'!$U:$U,MATCH(A170,'Bid-NoBid'!$A:$A,0)),10)="Incomplete"),"Screen: "&amp;AC170,INDEX('Bid-NoBid'!$U:$U,MATCH(A170,'Bid-NoBid'!$A:$A,0))),"Screen: "&amp;AC170))</f>
        <v/>
      </c>
      <c r="V170" s="60" t="n"/>
      <c r="W170" s="70" t="inlineStr">
        <is>
          <t>Watching</t>
        </is>
      </c>
      <c r="X170" s="70" t="inlineStr">
        <is>
          <t>Frank</t>
        </is>
      </c>
      <c r="Y170" s="60" t="n"/>
      <c r="Z170" s="60" t="n"/>
      <c r="AA170" s="73" t="n"/>
      <c r="AB170" s="74" t="inlineStr">
        <is>
          <t>BidDetail – Tanzania tenders (web page)</t>
        </is>
      </c>
      <c r="AC170" s="74" t="inlineStr">
        <is>
          <t>Check</t>
        </is>
      </c>
      <c r="AD170" s="74" t="inlineStr">
        <is>
          <t>Auto (BidDetail – Tanzania tenders): Deadline not shown on the source page – open the link and read the notice</t>
        </is>
      </c>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74" t="inlineStr">
        <is>
          <t>Read the notice and decide with the QS Director whether to pursue</t>
        </is>
      </c>
      <c r="AJ170" s="74" t="inlineStr">
        <is>
          <t>Auto-scan</t>
        </is>
      </c>
      <c r="AK170" s="74" t="inlineStr">
        <is>
          <t>WEB:biddetail_tanzania_tenders:e75019b7295b6e35</t>
        </is>
      </c>
      <c r="AL170" s="59">
        <f>IF(AND(OR(W170="Watching",W170="Preparing"),ISNUMBER(Q170)),IF(AND(Q170&gt;='Friday Summary'!$C$4,Q170&lt;='Friday Summary'!$C$4+14),Q170+ROW()/1000000,""),"")</f>
        <v/>
      </c>
    </row>
    <row r="171" ht="15" customHeight="1" s="51">
      <c r="A171" s="59">
        <f>IF(B171="","","OP-"&amp;TEXT(ROW()-4,"000"))</f>
        <v/>
      </c>
      <c r="B171" s="70" t="inlineStr">
        <is>
          <t>(not shown)</t>
        </is>
      </c>
      <c r="C171" s="71" t="n">
        <v>46312</v>
      </c>
      <c r="D171" s="70" t="inlineStr">
        <is>
          <t>press</t>
        </is>
      </c>
      <c r="E171" s="70" t="inlineStr">
        <is>
          <t>https://www.tanzaniatenders.com/tender/proposed-construction-national-prosecutions-service-nps-regional-office-building-mara-plot-no-611-9015d0f.php</t>
        </is>
      </c>
      <c r="F171" s="70" t="inlineStr">
        <is>
          <t>See advert</t>
        </is>
      </c>
      <c r="G171" s="70" t="inlineStr">
        <is>
          <t>government</t>
        </is>
      </c>
      <c r="H171" s="70" t="inlineStr">
        <is>
          <t>Proposed Construction of National Prosecutions Service (Nps) Regional Office Building at Mara on Plot No.611 Block C at Bweri in Musoma Municipality</t>
        </is>
      </c>
      <c r="I171" s="70" t="inlineStr">
        <is>
          <t>From press notice (1 lot) – read the tender document</t>
        </is>
      </c>
      <c r="J171" s="70" t="inlineStr">
        <is>
          <t>Mara (Musoma)</t>
        </is>
      </c>
      <c r="K171" s="70" t="inlineStr">
        <is>
          <t>building</t>
        </is>
      </c>
      <c r="L171" s="70" t="inlineStr">
        <is>
          <t>See tender document</t>
        </is>
      </c>
      <c r="M171" s="62" t="n"/>
      <c r="N171" s="70" t="inlineStr">
        <is>
          <t>unknown</t>
        </is>
      </c>
      <c r="O171" s="71" t="inlineStr">
        <is>
          <t>See tender document</t>
        </is>
      </c>
      <c r="P171" s="71" t="inlineStr">
        <is>
          <t>See tender document</t>
        </is>
      </c>
      <c r="Q171" s="72" t="n">
        <v>46317.41666666666</v>
      </c>
      <c r="R171" s="70" t="inlineStr">
        <is>
          <t>See tender document</t>
        </is>
      </c>
      <c r="S171" s="70" t="inlineStr">
        <is>
          <t>N</t>
        </is>
      </c>
      <c r="T171" s="64">
        <f>IF(A171="","",IFERROR(INDEX('Bid-NoBid'!$T:$T,MATCH(A171,'Bid-NoBid'!$A:$A,0)),""))</f>
        <v/>
      </c>
      <c r="U171" s="59">
        <f>IF(A171="","",IFERROR(IF(OR(INDEX('Bid-NoBid'!$U:$U,MATCH(A171,'Bid-NoBid'!$A:$A,0))="",LEFT(INDEX('Bid-NoBid'!$U:$U,MATCH(A171,'Bid-NoBid'!$A:$A,0)),10)="Incomplete"),"Screen: "&amp;AC171,INDEX('Bid-NoBid'!$U:$U,MATCH(A171,'Bid-NoBid'!$A:$A,0))),"Screen: "&amp;AC171))</f>
        <v/>
      </c>
      <c r="V171" s="60" t="n"/>
      <c r="W171" s="70" t="inlineStr">
        <is>
          <t>Watching</t>
        </is>
      </c>
      <c r="X171" s="70" t="inlineStr">
        <is>
          <t>Frank</t>
        </is>
      </c>
      <c r="Y171" s="60" t="n"/>
      <c r="Z171" s="60" t="n"/>
      <c r="AA171" s="73" t="n"/>
      <c r="AB171" s="74" t="inlineStr">
        <is>
          <t>TanzaniaTenders.com (newspapers / portals / private)</t>
        </is>
      </c>
      <c r="AC171" s="74" t="inlineStr">
        <is>
          <t>Check</t>
        </is>
      </c>
      <c r="AD171" s="74" t="inlineStr">
        <is>
          <t>Auto (TanzaniaTenders.com): Construction tender kept for review (would have been dropped: Remote and closing soon) · deadline read from the web page – confirm</t>
        </is>
      </c>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74" t="inlineStr">
        <is>
          <t>Read the notice and decide with the QS Director whether to pursue</t>
        </is>
      </c>
      <c r="AJ171" s="74" t="inlineStr">
        <is>
          <t>Auto-scan</t>
        </is>
      </c>
      <c r="AK171" s="74" t="inlineStr">
        <is>
          <t>TZT:151084303</t>
        </is>
      </c>
      <c r="AL171" s="59">
        <f>IF(AND(OR(W171="Watching",W171="Preparing"),ISNUMBER(Q171)),IF(AND(Q171&gt;='Friday Summary'!$C$4,Q171&lt;='Friday Summary'!$C$4+14),Q171+ROW()/1000000,""),"")</f>
        <v/>
      </c>
    </row>
    <row r="172" ht="15" customHeight="1" s="51">
      <c r="A172" s="59">
        <f>IF(B172="","","OP-"&amp;TEXT(ROW()-4,"000"))</f>
        <v/>
      </c>
      <c r="B172" s="70" t="inlineStr">
        <is>
          <t>(not shown)</t>
        </is>
      </c>
      <c r="C172" s="71" t="n">
        <v>46312</v>
      </c>
      <c r="D172" s="70" t="inlineStr">
        <is>
          <t>press</t>
        </is>
      </c>
      <c r="E172" s="70" t="inlineStr">
        <is>
          <t>https://www.tanzaniatenders.com/tender/rehabilitation-works-between-km-46-900-km-51-400-along-mkalama-mwangeza-kidarafa-unpaved-r-9015cdf.php</t>
        </is>
      </c>
      <c r="F172" s="70" t="inlineStr">
        <is>
          <t>See advert</t>
        </is>
      </c>
      <c r="G172" s="70" t="inlineStr">
        <is>
          <t>government</t>
        </is>
      </c>
      <c r="H172" s="70" t="inlineStr">
        <is>
          <t>Rehabilitation Works between Km 46 + 900 - Km 51 + 400 Along Mkalama - Mwangeza - Kidarafa Unpaved Regional Road (R437) to be Financed through Development Consolidated Funds and Rehabilitation Works B...</t>
        </is>
      </c>
      <c r="I172" s="70" t="inlineStr">
        <is>
          <t>From press notice (1 lot) – read the tender document</t>
        </is>
      </c>
      <c r="J172" s="70" t="inlineStr">
        <is>
          <t>Not stated – read the notice</t>
        </is>
      </c>
      <c r="K172" s="70" t="inlineStr">
        <is>
          <t>civil</t>
        </is>
      </c>
      <c r="L172" s="70" t="inlineStr">
        <is>
          <t>See tender document</t>
        </is>
      </c>
      <c r="M172" s="62" t="n"/>
      <c r="N172" s="70" t="inlineStr">
        <is>
          <t>unknown</t>
        </is>
      </c>
      <c r="O172" s="71" t="inlineStr">
        <is>
          <t>See tender document</t>
        </is>
      </c>
      <c r="P172" s="71" t="inlineStr">
        <is>
          <t>See tender document</t>
        </is>
      </c>
      <c r="Q172" s="72" t="n">
        <v>46318.41666666666</v>
      </c>
      <c r="R172" s="70" t="inlineStr">
        <is>
          <t>See tender document</t>
        </is>
      </c>
      <c r="S172" s="70" t="inlineStr">
        <is>
          <t>N</t>
        </is>
      </c>
      <c r="T172" s="64">
        <f>IF(A172="","",IFERROR(INDEX('Bid-NoBid'!$T:$T,MATCH(A172,'Bid-NoBid'!$A:$A,0)),""))</f>
        <v/>
      </c>
      <c r="U172" s="59">
        <f>IF(A172="","",IFERROR(IF(OR(INDEX('Bid-NoBid'!$U:$U,MATCH(A172,'Bid-NoBid'!$A:$A,0))="",LEFT(INDEX('Bid-NoBid'!$U:$U,MATCH(A172,'Bid-NoBid'!$A:$A,0)),10)="Incomplete"),"Screen: "&amp;AC172,INDEX('Bid-NoBid'!$U:$U,MATCH(A172,'Bid-NoBid'!$A:$A,0))),"Screen: "&amp;AC172))</f>
        <v/>
      </c>
      <c r="V172" s="60" t="n"/>
      <c r="W172" s="70" t="inlineStr">
        <is>
          <t>Watching</t>
        </is>
      </c>
      <c r="X172" s="70" t="inlineStr">
        <is>
          <t>Frank</t>
        </is>
      </c>
      <c r="Y172" s="60" t="n"/>
      <c r="Z172" s="60" t="n"/>
      <c r="AA172" s="73" t="n"/>
      <c r="AB172" s="74" t="inlineStr">
        <is>
          <t>TanzaniaTenders.com (newspapers / portals / private)</t>
        </is>
      </c>
      <c r="AC172" s="74" t="inlineStr">
        <is>
          <t>Check</t>
        </is>
      </c>
      <c r="AD172" s="74" t="inlineStr">
        <is>
          <t>Auto (TanzaniaTenders.com): Civil works – confirm site, CRB class and margin · deadline read from the web page – confirm</t>
        </is>
      </c>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74" t="inlineStr">
        <is>
          <t>Read the notice and decide with the QS Director whether to pursue</t>
        </is>
      </c>
      <c r="AJ172" s="74" t="inlineStr">
        <is>
          <t>Auto-scan</t>
        </is>
      </c>
      <c r="AK172" s="74" t="inlineStr">
        <is>
          <t>TZT:151084255</t>
        </is>
      </c>
      <c r="AL172" s="59">
        <f>IF(AND(OR(W172="Watching",W172="Preparing"),ISNUMBER(Q172)),IF(AND(Q172&gt;='Friday Summary'!$C$4,Q172&lt;='Friday Summary'!$C$4+14),Q172+ROW()/1000000,""),"")</f>
        <v/>
      </c>
    </row>
    <row r="173" ht="15" customHeight="1" s="51">
      <c r="A173" s="59">
        <f>IF(B173="","","OP-"&amp;TEXT(ROW()-4,"000"))</f>
        <v/>
      </c>
      <c r="B173" s="70" t="inlineStr">
        <is>
          <t>(not shown)</t>
        </is>
      </c>
      <c r="C173" s="71" t="n">
        <v>46312</v>
      </c>
      <c r="D173" s="70" t="inlineStr">
        <is>
          <t>press</t>
        </is>
      </c>
      <c r="E173" s="70" t="inlineStr">
        <is>
          <t>https://www.tanzaniatenders.com/tender/rehabilitation-works-between-sanza-chaliigongo-road-section-along-manyoni-east-heka-sanza-ch-9015cde.php</t>
        </is>
      </c>
      <c r="F173" s="70" t="inlineStr">
        <is>
          <t>See advert</t>
        </is>
      </c>
      <c r="G173" s="70" t="inlineStr">
        <is>
          <t>government</t>
        </is>
      </c>
      <c r="H173" s="70" t="inlineStr">
        <is>
          <t>Rehabilitation Works between Sanza - Chaliigongo Road Section Along Manyoni East - Heka - Sanza - Chali Igongo Unpaved Regional Road (R433) to be Financed through Development Consolidated Funds, Rehab...</t>
        </is>
      </c>
      <c r="I173" s="70" t="inlineStr">
        <is>
          <t>From press notice (1 lot) – read the tender document</t>
        </is>
      </c>
      <c r="J173" s="70" t="inlineStr">
        <is>
          <t>Not stated – read the notice</t>
        </is>
      </c>
      <c r="K173" s="70" t="inlineStr">
        <is>
          <t>civil</t>
        </is>
      </c>
      <c r="L173" s="70" t="inlineStr">
        <is>
          <t>See tender document</t>
        </is>
      </c>
      <c r="M173" s="62" t="n"/>
      <c r="N173" s="70" t="inlineStr">
        <is>
          <t>unknown</t>
        </is>
      </c>
      <c r="O173" s="71" t="inlineStr">
        <is>
          <t>See tender document</t>
        </is>
      </c>
      <c r="P173" s="71" t="inlineStr">
        <is>
          <t>See tender document</t>
        </is>
      </c>
      <c r="Q173" s="72" t="n">
        <v>46318.41666666666</v>
      </c>
      <c r="R173" s="70" t="inlineStr">
        <is>
          <t>See tender document</t>
        </is>
      </c>
      <c r="S173" s="70" t="inlineStr">
        <is>
          <t>N</t>
        </is>
      </c>
      <c r="T173" s="64">
        <f>IF(A173="","",IFERROR(INDEX('Bid-NoBid'!$T:$T,MATCH(A173,'Bid-NoBid'!$A:$A,0)),""))</f>
        <v/>
      </c>
      <c r="U173" s="59">
        <f>IF(A173="","",IFERROR(IF(OR(INDEX('Bid-NoBid'!$U:$U,MATCH(A173,'Bid-NoBid'!$A:$A,0))="",LEFT(INDEX('Bid-NoBid'!$U:$U,MATCH(A173,'Bid-NoBid'!$A:$A,0)),10)="Incomplete"),"Screen: "&amp;AC173,INDEX('Bid-NoBid'!$U:$U,MATCH(A173,'Bid-NoBid'!$A:$A,0))),"Screen: "&amp;AC173))</f>
        <v/>
      </c>
      <c r="V173" s="60" t="n"/>
      <c r="W173" s="70" t="inlineStr">
        <is>
          <t>Watching</t>
        </is>
      </c>
      <c r="X173" s="70" t="inlineStr">
        <is>
          <t>Frank</t>
        </is>
      </c>
      <c r="Y173" s="60" t="n"/>
      <c r="Z173" s="60" t="n"/>
      <c r="AA173" s="73" t="n"/>
      <c r="AB173" s="74" t="inlineStr">
        <is>
          <t>TanzaniaTenders.com (newspapers / portals / private)</t>
        </is>
      </c>
      <c r="AC173" s="74" t="inlineStr">
        <is>
          <t>Check</t>
        </is>
      </c>
      <c r="AD173" s="74" t="inlineStr">
        <is>
          <t>Auto (TanzaniaTenders.com): Civil works – confirm site, CRB class and margin · deadline read from the web page – confirm</t>
        </is>
      </c>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74" t="inlineStr">
        <is>
          <t>Read the notice and decide with the QS Director whether to pursue</t>
        </is>
      </c>
      <c r="AJ173" s="74" t="inlineStr">
        <is>
          <t>Auto-scan</t>
        </is>
      </c>
      <c r="AK173" s="74" t="inlineStr">
        <is>
          <t>TZT:151084254</t>
        </is>
      </c>
      <c r="AL173" s="59">
        <f>IF(AND(OR(W173="Watching",W173="Preparing"),ISNUMBER(Q173)),IF(AND(Q173&gt;='Friday Summary'!$C$4,Q173&lt;='Friday Summary'!$C$4+14),Q173+ROW()/1000000,""),"")</f>
        <v/>
      </c>
    </row>
    <row r="174" ht="15" customHeight="1" s="51">
      <c r="A174" s="59">
        <f>IF(B174="","","OP-"&amp;TEXT(ROW()-4,"000"))</f>
        <v/>
      </c>
      <c r="B174" s="70" t="inlineStr">
        <is>
          <t>(not shown)</t>
        </is>
      </c>
      <c r="C174" s="71" t="n">
        <v>46312</v>
      </c>
      <c r="D174" s="70" t="inlineStr">
        <is>
          <t>press</t>
        </is>
      </c>
      <c r="E174" s="70" t="inlineStr">
        <is>
          <t>https://www.tanzaniatenders.com/tender/proposed-upgrading-0-8-km-dampo-road-rigid-pavement-standard-9015cd1.php</t>
        </is>
      </c>
      <c r="F174" s="70" t="inlineStr">
        <is>
          <t>See advert</t>
        </is>
      </c>
      <c r="G174" s="70" t="inlineStr">
        <is>
          <t>government</t>
        </is>
      </c>
      <c r="H174" s="70" t="inlineStr">
        <is>
          <t>Proposed Upgrading of the 0.8 Km Dampo Road to Rigid Pavement Standard</t>
        </is>
      </c>
      <c r="I174" s="70" t="inlineStr">
        <is>
          <t>From press notice (1 lot) – read the tender document</t>
        </is>
      </c>
      <c r="J174" s="70" t="inlineStr">
        <is>
          <t>Not stated – read the notice</t>
        </is>
      </c>
      <c r="K174" s="70" t="inlineStr">
        <is>
          <t>civil</t>
        </is>
      </c>
      <c r="L174" s="70" t="inlineStr">
        <is>
          <t>See tender document</t>
        </is>
      </c>
      <c r="M174" s="62" t="n"/>
      <c r="N174" s="70" t="inlineStr">
        <is>
          <t>unknown</t>
        </is>
      </c>
      <c r="O174" s="71" t="inlineStr">
        <is>
          <t>See tender document</t>
        </is>
      </c>
      <c r="P174" s="71" t="inlineStr">
        <is>
          <t>See tender document</t>
        </is>
      </c>
      <c r="Q174" s="72" t="n">
        <v>46318.41666666666</v>
      </c>
      <c r="R174" s="70" t="inlineStr">
        <is>
          <t>See tender document</t>
        </is>
      </c>
      <c r="S174" s="70" t="inlineStr">
        <is>
          <t>N</t>
        </is>
      </c>
      <c r="T174" s="64">
        <f>IF(A174="","",IFERROR(INDEX('Bid-NoBid'!$T:$T,MATCH(A174,'Bid-NoBid'!$A:$A,0)),""))</f>
        <v/>
      </c>
      <c r="U174" s="59">
        <f>IF(A174="","",IFERROR(IF(OR(INDEX('Bid-NoBid'!$U:$U,MATCH(A174,'Bid-NoBid'!$A:$A,0))="",LEFT(INDEX('Bid-NoBid'!$U:$U,MATCH(A174,'Bid-NoBid'!$A:$A,0)),10)="Incomplete"),"Screen: "&amp;AC174,INDEX('Bid-NoBid'!$U:$U,MATCH(A174,'Bid-NoBid'!$A:$A,0))),"Screen: "&amp;AC174))</f>
        <v/>
      </c>
      <c r="V174" s="60" t="n"/>
      <c r="W174" s="70" t="inlineStr">
        <is>
          <t>Watching</t>
        </is>
      </c>
      <c r="X174" s="70" t="inlineStr">
        <is>
          <t>Frank</t>
        </is>
      </c>
      <c r="Y174" s="60" t="n"/>
      <c r="Z174" s="60" t="n"/>
      <c r="AA174" s="73" t="n"/>
      <c r="AB174" s="74" t="inlineStr">
        <is>
          <t>TanzaniaTenders.com (newspapers / portals / private)</t>
        </is>
      </c>
      <c r="AC174" s="74" t="inlineStr">
        <is>
          <t>Check</t>
        </is>
      </c>
      <c r="AD174" s="74" t="inlineStr">
        <is>
          <t>Auto (TanzaniaTenders.com): Civil works – confirm site, CRB class and margin · deadline read from the web page – confirm</t>
        </is>
      </c>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74" t="inlineStr">
        <is>
          <t>Read the notice and decide with the QS Director whether to pursue</t>
        </is>
      </c>
      <c r="AJ174" s="74" t="inlineStr">
        <is>
          <t>Auto-scan</t>
        </is>
      </c>
      <c r="AK174" s="74" t="inlineStr">
        <is>
          <t>TZT:151084241</t>
        </is>
      </c>
      <c r="AL174" s="59">
        <f>IF(AND(OR(W174="Watching",W174="Preparing"),ISNUMBER(Q174)),IF(AND(Q174&gt;='Friday Summary'!$C$4,Q174&lt;='Friday Summary'!$C$4+14),Q174+ROW()/1000000,""),"")</f>
        <v/>
      </c>
    </row>
    <row r="175" ht="15" customHeight="1" s="51">
      <c r="A175" s="59">
        <f>IF(B175="","","OP-"&amp;TEXT(ROW()-4,"000"))</f>
        <v/>
      </c>
      <c r="B175" s="70" t="inlineStr">
        <is>
          <t>(not shown)</t>
        </is>
      </c>
      <c r="C175" s="71" t="n">
        <v>46312</v>
      </c>
      <c r="D175" s="70" t="inlineStr">
        <is>
          <t>press</t>
        </is>
      </c>
      <c r="E175" s="70" t="inlineStr">
        <is>
          <t>https://www.tanzaniatenders.com/tender/tender-repair-residential-house-9015cc6.php</t>
        </is>
      </c>
      <c r="F175" s="70" t="inlineStr">
        <is>
          <t>See advert</t>
        </is>
      </c>
      <c r="G175" s="70" t="inlineStr">
        <is>
          <t>government</t>
        </is>
      </c>
      <c r="H175" s="70" t="inlineStr">
        <is>
          <t>Tender for Repair of Residential House</t>
        </is>
      </c>
      <c r="I175" s="70" t="inlineStr">
        <is>
          <t>From press notice (1 lot) – read the tender document</t>
        </is>
      </c>
      <c r="J175" s="70" t="inlineStr">
        <is>
          <t>Not stated – read the notice</t>
        </is>
      </c>
      <c r="K175" s="70" t="inlineStr">
        <is>
          <t>building</t>
        </is>
      </c>
      <c r="L175" s="70" t="inlineStr">
        <is>
          <t>See tender document</t>
        </is>
      </c>
      <c r="M175" s="62" t="n"/>
      <c r="N175" s="70" t="inlineStr">
        <is>
          <t>unknown</t>
        </is>
      </c>
      <c r="O175" s="71" t="inlineStr">
        <is>
          <t>See tender document</t>
        </is>
      </c>
      <c r="P175" s="71" t="inlineStr">
        <is>
          <t>See tender document</t>
        </is>
      </c>
      <c r="Q175" s="72" t="n">
        <v>46318.41666666666</v>
      </c>
      <c r="R175" s="70" t="inlineStr">
        <is>
          <t>See tender document</t>
        </is>
      </c>
      <c r="S175" s="70" t="inlineStr">
        <is>
          <t>N</t>
        </is>
      </c>
      <c r="T175" s="64">
        <f>IF(A175="","",IFERROR(INDEX('Bid-NoBid'!$T:$T,MATCH(A175,'Bid-NoBid'!$A:$A,0)),""))</f>
        <v/>
      </c>
      <c r="U175" s="59">
        <f>IF(A175="","",IFERROR(IF(OR(INDEX('Bid-NoBid'!$U:$U,MATCH(A175,'Bid-NoBid'!$A:$A,0))="",LEFT(INDEX('Bid-NoBid'!$U:$U,MATCH(A175,'Bid-NoBid'!$A:$A,0)),10)="Incomplete"),"Screen: "&amp;AC175,INDEX('Bid-NoBid'!$U:$U,MATCH(A175,'Bid-NoBid'!$A:$A,0))),"Screen: "&amp;AC175))</f>
        <v/>
      </c>
      <c r="V175" s="60" t="n"/>
      <c r="W175" s="70" t="inlineStr">
        <is>
          <t>Watching</t>
        </is>
      </c>
      <c r="X175" s="70" t="inlineStr">
        <is>
          <t>Frank</t>
        </is>
      </c>
      <c r="Y175" s="60" t="n"/>
      <c r="Z175" s="60" t="n"/>
      <c r="AA175" s="73" t="n"/>
      <c r="AB175" s="74" t="inlineStr">
        <is>
          <t>TanzaniaTenders.com (newspapers / portals / private)</t>
        </is>
      </c>
      <c r="AC175" s="74" t="inlineStr">
        <is>
          <t>Check</t>
        </is>
      </c>
      <c r="AD175" s="74" t="inlineStr">
        <is>
          <t>Auto (TanzaniaTenders.com): Site not stated in the listing – read the notice · deadline read from the web page – confirm</t>
        </is>
      </c>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74" t="inlineStr">
        <is>
          <t>Read the notice and decide with the QS Director whether to pursue</t>
        </is>
      </c>
      <c r="AJ175" s="74" t="inlineStr">
        <is>
          <t>Auto-scan</t>
        </is>
      </c>
      <c r="AK175" s="74" t="inlineStr">
        <is>
          <t>TZT:151084230</t>
        </is>
      </c>
      <c r="AL175" s="59">
        <f>IF(AND(OR(W175="Watching",W175="Preparing"),ISNUMBER(Q175)),IF(AND(Q175&gt;='Friday Summary'!$C$4,Q175&lt;='Friday Summary'!$C$4+14),Q175+ROW()/1000000,""),"")</f>
        <v/>
      </c>
    </row>
    <row r="176" ht="15" customHeight="1" s="51">
      <c r="A176" s="59">
        <f>IF(B176="","","OP-"&amp;TEXT(ROW()-4,"000"))</f>
        <v/>
      </c>
      <c r="B176" s="70" t="inlineStr">
        <is>
          <t>(not shown)</t>
        </is>
      </c>
      <c r="C176" s="71" t="n">
        <v>46312</v>
      </c>
      <c r="D176" s="70" t="inlineStr">
        <is>
          <t>press</t>
        </is>
      </c>
      <c r="E176" s="70" t="inlineStr">
        <is>
          <t>https://www.tanzaniatenders.com/tender/rehabilitation-works-between-km-27-500-km-34-500-along-iguguno-shamba-nduguti-gumanga-unpa-9015cc2.php</t>
        </is>
      </c>
      <c r="F176" s="70" t="inlineStr">
        <is>
          <t>See advert</t>
        </is>
      </c>
      <c r="G176" s="70" t="inlineStr">
        <is>
          <t>government</t>
        </is>
      </c>
      <c r="H176" s="70" t="inlineStr">
        <is>
          <t>Rehabilitation Works between Km 27 + 500 - Km 34 + 500 Along Iguguno Shamba - Nduguti - Gumanga Unpaved Regional Road (R425) to be Financed through Development Consolidated Funds and Rehabilitation Wo...</t>
        </is>
      </c>
      <c r="I176" s="70" t="inlineStr">
        <is>
          <t>From press notice (1 lot) – read the tender document</t>
        </is>
      </c>
      <c r="J176" s="70" t="inlineStr">
        <is>
          <t>Not stated – read the notice</t>
        </is>
      </c>
      <c r="K176" s="70" t="inlineStr">
        <is>
          <t>civil</t>
        </is>
      </c>
      <c r="L176" s="70" t="inlineStr">
        <is>
          <t>See tender document</t>
        </is>
      </c>
      <c r="M176" s="62" t="n"/>
      <c r="N176" s="70" t="inlineStr">
        <is>
          <t>unknown</t>
        </is>
      </c>
      <c r="O176" s="71" t="inlineStr">
        <is>
          <t>See tender document</t>
        </is>
      </c>
      <c r="P176" s="71" t="inlineStr">
        <is>
          <t>See tender document</t>
        </is>
      </c>
      <c r="Q176" s="72" t="n">
        <v>46318.41666666666</v>
      </c>
      <c r="R176" s="70" t="inlineStr">
        <is>
          <t>See tender document</t>
        </is>
      </c>
      <c r="S176" s="70" t="inlineStr">
        <is>
          <t>N</t>
        </is>
      </c>
      <c r="T176" s="64">
        <f>IF(A176="","",IFERROR(INDEX('Bid-NoBid'!$T:$T,MATCH(A176,'Bid-NoBid'!$A:$A,0)),""))</f>
        <v/>
      </c>
      <c r="U176" s="59">
        <f>IF(A176="","",IFERROR(IF(OR(INDEX('Bid-NoBid'!$U:$U,MATCH(A176,'Bid-NoBid'!$A:$A,0))="",LEFT(INDEX('Bid-NoBid'!$U:$U,MATCH(A176,'Bid-NoBid'!$A:$A,0)),10)="Incomplete"),"Screen: "&amp;AC176,INDEX('Bid-NoBid'!$U:$U,MATCH(A176,'Bid-NoBid'!$A:$A,0))),"Screen: "&amp;AC176))</f>
        <v/>
      </c>
      <c r="V176" s="60" t="n"/>
      <c r="W176" s="70" t="inlineStr">
        <is>
          <t>Watching</t>
        </is>
      </c>
      <c r="X176" s="70" t="inlineStr">
        <is>
          <t>Frank</t>
        </is>
      </c>
      <c r="Y176" s="60" t="n"/>
      <c r="Z176" s="60" t="n"/>
      <c r="AA176" s="73" t="n"/>
      <c r="AB176" s="74" t="inlineStr">
        <is>
          <t>TanzaniaTenders.com (newspapers / portals / private)</t>
        </is>
      </c>
      <c r="AC176" s="74" t="inlineStr">
        <is>
          <t>Check</t>
        </is>
      </c>
      <c r="AD176" s="74" t="inlineStr">
        <is>
          <t>Auto (TanzaniaTenders.com): Civil works – confirm site, CRB class and margin · deadline read from the web page – confirm</t>
        </is>
      </c>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74" t="inlineStr">
        <is>
          <t>Read the notice and decide with the QS Director whether to pursue</t>
        </is>
      </c>
      <c r="AJ176" s="74" t="inlineStr">
        <is>
          <t>Auto-scan</t>
        </is>
      </c>
      <c r="AK176" s="74" t="inlineStr">
        <is>
          <t>TZT:151084226</t>
        </is>
      </c>
      <c r="AL176" s="59">
        <f>IF(AND(OR(W176="Watching",W176="Preparing"),ISNUMBER(Q176)),IF(AND(Q176&gt;='Friday Summary'!$C$4,Q176&lt;='Friday Summary'!$C$4+14),Q176+ROW()/1000000,""),"")</f>
        <v/>
      </c>
    </row>
    <row r="177" ht="15" customHeight="1" s="51">
      <c r="A177" s="59">
        <f>IF(B177="","","OP-"&amp;TEXT(ROW()-4,"000"))</f>
        <v/>
      </c>
      <c r="B177" s="70" t="inlineStr">
        <is>
          <t>S10/011/2026/2027/W/95</t>
        </is>
      </c>
      <c r="C177" s="71" t="n">
        <v>46314</v>
      </c>
      <c r="D177" s="70" t="inlineStr">
        <is>
          <t>NeST</t>
        </is>
      </c>
      <c r="E177" s="70" t="inlineStr">
        <is>
          <t>https://nest.go.tz/tenders/published-tenders</t>
        </is>
      </c>
      <c r="F177" s="70" t="inlineStr">
        <is>
          <t>TARURA - Manyara Regional Office</t>
        </is>
      </c>
      <c r="G177" s="70" t="inlineStr">
        <is>
          <t>government</t>
        </is>
      </c>
      <c r="H177" s="70" t="inlineStr">
        <is>
          <t>Rehabilitation of Ndedo-Makame road and construction storm drains along Kibaya Township in Kiteto District</t>
        </is>
      </c>
      <c r="I177" s="70" t="inlineStr">
        <is>
          <t>From NeST notice (1 lot) – read the tender document</t>
        </is>
      </c>
      <c r="J177" s="70" t="inlineStr">
        <is>
          <t>Manyara (Kiteto)</t>
        </is>
      </c>
      <c r="K177" s="70" t="inlineStr">
        <is>
          <t>renovation</t>
        </is>
      </c>
      <c r="L177" s="70" t="inlineStr">
        <is>
          <t>NeST login needed</t>
        </is>
      </c>
      <c r="M177" s="62" t="n"/>
      <c r="N177" s="70" t="inlineStr">
        <is>
          <t>unknown</t>
        </is>
      </c>
      <c r="O177" s="71" t="inlineStr">
        <is>
          <t>NeST login needed</t>
        </is>
      </c>
      <c r="P177" s="71" t="inlineStr">
        <is>
          <t>NeST login needed</t>
        </is>
      </c>
      <c r="Q177" s="72" t="n">
        <v>46321.58333333334</v>
      </c>
      <c r="R177" s="70" t="inlineStr">
        <is>
          <t>NeST login needed</t>
        </is>
      </c>
      <c r="S177" s="70" t="inlineStr">
        <is>
          <t>N</t>
        </is>
      </c>
      <c r="T177" s="64">
        <f>IF(A177="","",IFERROR(INDEX('Bid-NoBid'!$T:$T,MATCH(A177,'Bid-NoBid'!$A:$A,0)),""))</f>
        <v/>
      </c>
      <c r="U177" s="59">
        <f>IF(A177="","",IFERROR(IF(OR(INDEX('Bid-NoBid'!$U:$U,MATCH(A177,'Bid-NoBid'!$A:$A,0))="",LEFT(INDEX('Bid-NoBid'!$U:$U,MATCH(A177,'Bid-NoBid'!$A:$A,0)),10)="Incomplete"),"Screen: "&amp;AC177,INDEX('Bid-NoBid'!$U:$U,MATCH(A177,'Bid-NoBid'!$A:$A,0))),"Screen: "&amp;AC177))</f>
        <v/>
      </c>
      <c r="V177" s="60" t="n"/>
      <c r="W177" s="70" t="inlineStr">
        <is>
          <t>Watching</t>
        </is>
      </c>
      <c r="X177" s="70" t="inlineStr">
        <is>
          <t>Frank</t>
        </is>
      </c>
      <c r="Y177" s="60" t="n"/>
      <c r="Z177" s="60" t="n"/>
      <c r="AA177" s="73" t="n">
        <v>46314</v>
      </c>
      <c r="AB177" s="74" t="inlineStr">
        <is>
          <t>Small Works / Tender</t>
        </is>
      </c>
      <c r="AC177" s="74" t="inlineStr">
        <is>
          <t>Check</t>
        </is>
      </c>
      <c r="AD177" s="74" t="inlineStr">
        <is>
          <t>Auto (Small Works / Tender): Building works but remote from Dar</t>
        </is>
      </c>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74" t="inlineStr">
        <is>
          <t>Read the notice and decide with the QS Director whether to pursue</t>
        </is>
      </c>
      <c r="AJ177" s="74" t="inlineStr">
        <is>
          <t>Auto-scan</t>
        </is>
      </c>
      <c r="AK177" s="74" t="inlineStr">
        <is>
          <t>b07eab10-a483-4752-bd14-82cd291abab5</t>
        </is>
      </c>
      <c r="AL177" s="59">
        <f>IF(AND(OR(W177="Watching",W177="Preparing"),ISNUMBER(Q177)),IF(AND(Q177&gt;='Friday Summary'!$C$4,Q177&lt;='Friday Summary'!$C$4+14),Q177+ROW()/1000000,""),"")</f>
        <v/>
      </c>
    </row>
    <row r="178" ht="15" customHeight="1" s="51">
      <c r="A178" s="59">
        <f>IF(B178="","","OP-"&amp;TEXT(ROW()-4,"000"))</f>
        <v/>
      </c>
      <c r="B178" s="70" t="inlineStr">
        <is>
          <t>S10/011/2026/2027/W/94</t>
        </is>
      </c>
      <c r="C178" s="71" t="n">
        <v>46314</v>
      </c>
      <c r="D178" s="70" t="inlineStr">
        <is>
          <t>NeST</t>
        </is>
      </c>
      <c r="E178" s="70" t="inlineStr">
        <is>
          <t>https://nest.go.tz/tenders/published-tenders</t>
        </is>
      </c>
      <c r="F178" s="70" t="inlineStr">
        <is>
          <t>TARURA - Manyara Regional Office</t>
        </is>
      </c>
      <c r="G178" s="70" t="inlineStr">
        <is>
          <t>government</t>
        </is>
      </c>
      <c r="H178" s="70" t="inlineStr">
        <is>
          <t>Construction of Arch bridge along Namelock-Sunya Roads in Kiteto District</t>
        </is>
      </c>
      <c r="I178" s="70" t="inlineStr">
        <is>
          <t>From NeST notice (1 lot) – read the tender document</t>
        </is>
      </c>
      <c r="J178" s="70" t="inlineStr">
        <is>
          <t>Manyara (Kiteto)</t>
        </is>
      </c>
      <c r="K178" s="70" t="inlineStr">
        <is>
          <t>civil</t>
        </is>
      </c>
      <c r="L178" s="70" t="inlineStr">
        <is>
          <t>NeST login needed</t>
        </is>
      </c>
      <c r="M178" s="62" t="n"/>
      <c r="N178" s="70" t="inlineStr">
        <is>
          <t>unknown</t>
        </is>
      </c>
      <c r="O178" s="71" t="inlineStr">
        <is>
          <t>NeST login needed</t>
        </is>
      </c>
      <c r="P178" s="71" t="inlineStr">
        <is>
          <t>NeST login needed</t>
        </is>
      </c>
      <c r="Q178" s="72" t="n">
        <v>46321.58333333334</v>
      </c>
      <c r="R178" s="70" t="inlineStr">
        <is>
          <t>NeST login needed</t>
        </is>
      </c>
      <c r="S178" s="70" t="inlineStr">
        <is>
          <t>N</t>
        </is>
      </c>
      <c r="T178" s="64">
        <f>IF(A178="","",IFERROR(INDEX('Bid-NoBid'!$T:$T,MATCH(A178,'Bid-NoBid'!$A:$A,0)),""))</f>
        <v/>
      </c>
      <c r="U178" s="59">
        <f>IF(A178="","",IFERROR(IF(OR(INDEX('Bid-NoBid'!$U:$U,MATCH(A178,'Bid-NoBid'!$A:$A,0))="",LEFT(INDEX('Bid-NoBid'!$U:$U,MATCH(A178,'Bid-NoBid'!$A:$A,0)),10)="Incomplete"),"Screen: "&amp;AC178,INDEX('Bid-NoBid'!$U:$U,MATCH(A178,'Bid-NoBid'!$A:$A,0))),"Screen: "&amp;AC178))</f>
        <v/>
      </c>
      <c r="V178" s="60" t="n"/>
      <c r="W178" s="70" t="inlineStr">
        <is>
          <t>Watching</t>
        </is>
      </c>
      <c r="X178" s="70" t="inlineStr">
        <is>
          <t>Frank</t>
        </is>
      </c>
      <c r="Y178" s="60" t="n"/>
      <c r="Z178" s="60" t="n"/>
      <c r="AA178" s="73" t="n">
        <v>46314</v>
      </c>
      <c r="AB178" s="74" t="inlineStr">
        <is>
          <t>Small Works / Tender</t>
        </is>
      </c>
      <c r="AC178" s="74" t="inlineStr">
        <is>
          <t>Check</t>
        </is>
      </c>
      <c r="AD178" s="74" t="inlineStr">
        <is>
          <t>Auto (Small Works / Tender): Construction tender kept for review (would have been dropped: Remote civil works)</t>
        </is>
      </c>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74" t="inlineStr">
        <is>
          <t>Read the notice and decide with the QS Director whether to pursue</t>
        </is>
      </c>
      <c r="AJ178" s="74" t="inlineStr">
        <is>
          <t>Auto-scan</t>
        </is>
      </c>
      <c r="AK178" s="74" t="inlineStr">
        <is>
          <t>5b792d55-9981-4abb-9c67-35d820b1a9ed</t>
        </is>
      </c>
      <c r="AL178" s="59">
        <f>IF(AND(OR(W178="Watching",W178="Preparing"),ISNUMBER(Q178)),IF(AND(Q178&gt;='Friday Summary'!$C$4,Q178&lt;='Friday Summary'!$C$4+14),Q178+ROW()/1000000,""),"")</f>
        <v/>
      </c>
    </row>
    <row r="179" ht="15" customHeight="1" s="51">
      <c r="A179" s="59">
        <f>IF(B179="","","OP-"&amp;TEXT(ROW()-4,"000"))</f>
        <v/>
      </c>
      <c r="B179" s="70" t="inlineStr">
        <is>
          <t>S10/006/2026/2027/W/107</t>
        </is>
      </c>
      <c r="C179" s="71" t="n">
        <v>46314</v>
      </c>
      <c r="D179" s="70" t="inlineStr">
        <is>
          <t>NeST</t>
        </is>
      </c>
      <c r="E179" s="70" t="inlineStr">
        <is>
          <t>https://nest.go.tz/tenders/published-tenders</t>
        </is>
      </c>
      <c r="F179" s="70" t="inlineStr">
        <is>
          <t>TARURA - Kagera Regional Office</t>
        </is>
      </c>
      <c r="G179" s="70" t="inlineStr">
        <is>
          <t>government</t>
        </is>
      </c>
      <c r="H179" s="70" t="inlineStr">
        <is>
          <t>Upgrading of 25km to gravel standard and construction of 10 composite Box Culvert s and 11 concrete pipe Culverts along Kanyabureza- Runyanga, Ainurama- Igombe-Rwenkorongo and Nyakabanga Omukarilo in Karagwe District.</t>
        </is>
      </c>
      <c r="I179" s="70" t="inlineStr">
        <is>
          <t>From NeST notice (1 lot) – read the tender document</t>
        </is>
      </c>
      <c r="J179" s="70" t="inlineStr">
        <is>
          <t>Kagera (Bukoba) (from client's office – confirm site)</t>
        </is>
      </c>
      <c r="K179" s="70" t="inlineStr">
        <is>
          <t>civil</t>
        </is>
      </c>
      <c r="L179" s="70" t="inlineStr">
        <is>
          <t>NeST login needed</t>
        </is>
      </c>
      <c r="M179" s="62" t="n"/>
      <c r="N179" s="70" t="inlineStr">
        <is>
          <t>unknown</t>
        </is>
      </c>
      <c r="O179" s="71" t="inlineStr">
        <is>
          <t>NeST login needed</t>
        </is>
      </c>
      <c r="P179" s="71" t="inlineStr">
        <is>
          <t>NeST login needed</t>
        </is>
      </c>
      <c r="Q179" s="72" t="n">
        <v>46321.58333333334</v>
      </c>
      <c r="R179" s="70" t="inlineStr">
        <is>
          <t>NeST login needed</t>
        </is>
      </c>
      <c r="S179" s="70" t="inlineStr">
        <is>
          <t>N</t>
        </is>
      </c>
      <c r="T179" s="64">
        <f>IF(A179="","",IFERROR(INDEX('Bid-NoBid'!$T:$T,MATCH(A179,'Bid-NoBid'!$A:$A,0)),""))</f>
        <v/>
      </c>
      <c r="U179" s="59">
        <f>IF(A179="","",IFERROR(IF(OR(INDEX('Bid-NoBid'!$U:$U,MATCH(A179,'Bid-NoBid'!$A:$A,0))="",LEFT(INDEX('Bid-NoBid'!$U:$U,MATCH(A179,'Bid-NoBid'!$A:$A,0)),10)="Incomplete"),"Screen: "&amp;AC179,INDEX('Bid-NoBid'!$U:$U,MATCH(A179,'Bid-NoBid'!$A:$A,0))),"Screen: "&amp;AC179))</f>
        <v/>
      </c>
      <c r="V179" s="60" t="n"/>
      <c r="W179" s="70" t="inlineStr">
        <is>
          <t>Watching</t>
        </is>
      </c>
      <c r="X179" s="70" t="inlineStr">
        <is>
          <t>Frank</t>
        </is>
      </c>
      <c r="Y179" s="60" t="n"/>
      <c r="Z179" s="60" t="n"/>
      <c r="AA179" s="73" t="n">
        <v>46314</v>
      </c>
      <c r="AB179" s="74" t="inlineStr">
        <is>
          <t>Small Works / Tender</t>
        </is>
      </c>
      <c r="AC179" s="74" t="inlineStr">
        <is>
          <t>Check</t>
        </is>
      </c>
      <c r="AD179" s="74" t="inlineStr">
        <is>
          <t>Auto (Small Works / Tender): Construction tender kept for review (would have been dropped: Remote civil works)</t>
        </is>
      </c>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74" t="inlineStr">
        <is>
          <t>Read the notice and decide with the QS Director whether to pursue</t>
        </is>
      </c>
      <c r="AJ179" s="74" t="inlineStr">
        <is>
          <t>Auto-scan</t>
        </is>
      </c>
      <c r="AK179" s="74" t="inlineStr">
        <is>
          <t>524a92ca-940f-46c2-8784-6a4bd3bcb3b2</t>
        </is>
      </c>
      <c r="AL179" s="59">
        <f>IF(AND(OR(W179="Watching",W179="Preparing"),ISNUMBER(Q179)),IF(AND(Q179&gt;='Friday Summary'!$C$4,Q179&lt;='Friday Summary'!$C$4+14),Q179+ROW()/1000000,""),"")</f>
        <v/>
      </c>
    </row>
    <row r="180" ht="15" customHeight="1" s="51">
      <c r="A180" s="59">
        <f>IF(B180="","","OP-"&amp;TEXT(ROW()-4,"000"))</f>
        <v/>
      </c>
      <c r="B180" s="70" t="inlineStr">
        <is>
          <t>TR152/003/2026/2027/W/01</t>
        </is>
      </c>
      <c r="C180" s="71" t="n">
        <v>46314</v>
      </c>
      <c r="D180" s="70" t="inlineStr">
        <is>
          <t>NeST</t>
        </is>
      </c>
      <c r="E180" s="70" t="inlineStr">
        <is>
          <t>https://nest.go.tz/tenders/published-tenders</t>
        </is>
      </c>
      <c r="F180" s="70" t="inlineStr">
        <is>
          <t>Bank of Tanzania - Dodoma Head Office</t>
        </is>
      </c>
      <c r="G180" s="70" t="inlineStr">
        <is>
          <t>government</t>
        </is>
      </c>
      <c r="H180" s="70" t="inlineStr">
        <is>
          <t>Construction of Partitioning Wall at the Bank of Tanzania, Dodoma Residential Premises.</t>
        </is>
      </c>
      <c r="I180" s="70" t="inlineStr">
        <is>
          <t>From NeST notice (1 lot) – read the tender document</t>
        </is>
      </c>
      <c r="J180" s="70" t="inlineStr">
        <is>
          <t>Dodoma</t>
        </is>
      </c>
      <c r="K180" s="70" t="inlineStr">
        <is>
          <t>fit-out</t>
        </is>
      </c>
      <c r="L180" s="70" t="inlineStr">
        <is>
          <t>NeST login needed</t>
        </is>
      </c>
      <c r="M180" s="62" t="n"/>
      <c r="N180" s="70" t="inlineStr">
        <is>
          <t>unknown</t>
        </is>
      </c>
      <c r="O180" s="71" t="inlineStr">
        <is>
          <t>NeST login needed</t>
        </is>
      </c>
      <c r="P180" s="71" t="inlineStr">
        <is>
          <t>NeST login needed</t>
        </is>
      </c>
      <c r="Q180" s="72" t="n">
        <v>46325.45833333334</v>
      </c>
      <c r="R180" s="70" t="inlineStr">
        <is>
          <t>NeST login needed</t>
        </is>
      </c>
      <c r="S180" s="70" t="inlineStr">
        <is>
          <t>N</t>
        </is>
      </c>
      <c r="T180" s="64">
        <f>IF(A180="","",IFERROR(INDEX('Bid-NoBid'!$T:$T,MATCH(A180,'Bid-NoBid'!$A:$A,0)),""))</f>
        <v/>
      </c>
      <c r="U180" s="59">
        <f>IF(A180="","",IFERROR(IF(OR(INDEX('Bid-NoBid'!$U:$U,MATCH(A180,'Bid-NoBid'!$A:$A,0))="",LEFT(INDEX('Bid-NoBid'!$U:$U,MATCH(A180,'Bid-NoBid'!$A:$A,0)),10)="Incomplete"),"Screen: "&amp;AC180,INDEX('Bid-NoBid'!$U:$U,MATCH(A180,'Bid-NoBid'!$A:$A,0))),"Screen: "&amp;AC180))</f>
        <v/>
      </c>
      <c r="V180" s="60" t="n"/>
      <c r="W180" s="70" t="inlineStr">
        <is>
          <t>Watching</t>
        </is>
      </c>
      <c r="X180" s="70" t="inlineStr">
        <is>
          <t>Frank</t>
        </is>
      </c>
      <c r="Y180" s="60" t="n"/>
      <c r="Z180" s="60" t="n"/>
      <c r="AA180" s="73" t="n">
        <v>46314</v>
      </c>
      <c r="AB180" s="74" t="inlineStr">
        <is>
          <t>Small Works / Tender</t>
        </is>
      </c>
      <c r="AC180" s="74" t="inlineStr">
        <is>
          <t>Pursue</t>
        </is>
      </c>
      <c r="AD180" s="74" t="inlineStr">
        <is>
          <t>Auto (Small Works / Tender): Building works within reach of Dar</t>
        </is>
      </c>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74" t="inlineStr">
        <is>
          <t>Get the tender document, confirm value, CRB class, site visit and bid security; brief the MD</t>
        </is>
      </c>
      <c r="AJ180" s="74" t="inlineStr">
        <is>
          <t>Auto-scan</t>
        </is>
      </c>
      <c r="AK180" s="74" t="inlineStr">
        <is>
          <t>3e80dce1-510c-4d41-9f04-251418bf36f0</t>
        </is>
      </c>
      <c r="AL180" s="59">
        <f>IF(AND(OR(W180="Watching",W180="Preparing"),ISNUMBER(Q180)),IF(AND(Q180&gt;='Friday Summary'!$C$4,Q180&lt;='Friday Summary'!$C$4+14),Q180+ROW()/1000000,""),"")</f>
        <v/>
      </c>
    </row>
    <row r="181" ht="15" customHeight="1" s="51">
      <c r="A181" s="59">
        <f>IF(B181="","","OP-"&amp;TEXT(ROW()-4,"000"))</f>
        <v/>
      </c>
      <c r="B181" s="70" t="inlineStr">
        <is>
          <t>(not shown)</t>
        </is>
      </c>
      <c r="C181" s="71" t="n">
        <v>46314</v>
      </c>
      <c r="D181" s="70" t="inlineStr">
        <is>
          <t>aggregator</t>
        </is>
      </c>
      <c r="E181" s="70" t="inlineStr">
        <is>
          <t>https://www.biddetail.com/latest-tenders/119546998$0d5d3e50-b63a-45a0-9172-15928b8c8805</t>
        </is>
      </c>
      <c r="F181" s="70" t="inlineStr">
        <is>
          <t>See notice</t>
        </is>
      </c>
      <c r="G181" s="70" t="inlineStr">
        <is>
          <t>government</t>
        </is>
      </c>
      <c r="H181" s="70" t="inlineStr">
        <is>
          <t>Quotation Are Invited For Provision Of Construction Of Market She ......</t>
        </is>
      </c>
      <c r="I181" s="70" t="inlineStr">
        <is>
          <t>From aggregator notice (1 lot) – read the tender document</t>
        </is>
      </c>
      <c r="J181" s="70" t="inlineStr">
        <is>
          <t>Not stated – read the notice</t>
        </is>
      </c>
      <c r="K181" s="70" t="inlineStr">
        <is>
          <t>building</t>
        </is>
      </c>
      <c r="L181" s="70" t="inlineStr">
        <is>
          <t>See tender document</t>
        </is>
      </c>
      <c r="M181" s="62" t="n"/>
      <c r="N181" s="70" t="inlineStr">
        <is>
          <t>unknown</t>
        </is>
      </c>
      <c r="O181" s="71" t="inlineStr">
        <is>
          <t>See tender document</t>
        </is>
      </c>
      <c r="P181" s="71" t="inlineStr">
        <is>
          <t>See tender document</t>
        </is>
      </c>
      <c r="Q181" s="72" t="n"/>
      <c r="R181" s="70" t="inlineStr">
        <is>
          <t>See tender document</t>
        </is>
      </c>
      <c r="S181" s="70" t="inlineStr">
        <is>
          <t>N</t>
        </is>
      </c>
      <c r="T181" s="64">
        <f>IF(A181="","",IFERROR(INDEX('Bid-NoBid'!$T:$T,MATCH(A181,'Bid-NoBid'!$A:$A,0)),""))</f>
        <v/>
      </c>
      <c r="U181" s="59">
        <f>IF(A181="","",IFERROR(IF(OR(INDEX('Bid-NoBid'!$U:$U,MATCH(A181,'Bid-NoBid'!$A:$A,0))="",LEFT(INDEX('Bid-NoBid'!$U:$U,MATCH(A181,'Bid-NoBid'!$A:$A,0)),10)="Incomplete"),"Screen: "&amp;AC181,INDEX('Bid-NoBid'!$U:$U,MATCH(A181,'Bid-NoBid'!$A:$A,0))),"Screen: "&amp;AC181))</f>
        <v/>
      </c>
      <c r="V181" s="60" t="n"/>
      <c r="W181" s="70" t="inlineStr">
        <is>
          <t>Watching</t>
        </is>
      </c>
      <c r="X181" s="70" t="inlineStr">
        <is>
          <t>Frank</t>
        </is>
      </c>
      <c r="Y181" s="60" t="n"/>
      <c r="Z181" s="60" t="n"/>
      <c r="AA181" s="73" t="n"/>
      <c r="AB181" s="74" t="inlineStr">
        <is>
          <t>BidDetail – Tanzania tenders (web page)</t>
        </is>
      </c>
      <c r="AC181" s="74" t="inlineStr">
        <is>
          <t>Check</t>
        </is>
      </c>
      <c r="AD181" s="74" t="inlineStr">
        <is>
          <t>Auto (BidDetail – Tanzania tenders): Deadline not shown on the source page – open the link and read the notice</t>
        </is>
      </c>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74" t="inlineStr">
        <is>
          <t>Read the notice and decide with the QS Director whether to pursue</t>
        </is>
      </c>
      <c r="AJ181" s="74" t="inlineStr">
        <is>
          <t>Auto-scan</t>
        </is>
      </c>
      <c r="AK181" s="74" t="inlineStr">
        <is>
          <t>WEB:biddetail_tanzania_tenders:80f93a46a31b4c34</t>
        </is>
      </c>
      <c r="AL181" s="59">
        <f>IF(AND(OR(W181="Watching",W181="Preparing"),ISNUMBER(Q181)),IF(AND(Q181&gt;='Friday Summary'!$C$4,Q181&lt;='Friday Summary'!$C$4+14),Q181+ROW()/1000000,""),"")</f>
        <v/>
      </c>
    </row>
    <row r="182" ht="15" customHeight="1" s="51">
      <c r="A182" s="59">
        <f>IF(B182="","","OP-"&amp;TEXT(ROW()-4,"000"))</f>
        <v/>
      </c>
      <c r="B182" s="70" t="inlineStr">
        <is>
          <t>47BB5/2026/2027/W/06</t>
        </is>
      </c>
      <c r="C182" s="71" t="n">
        <v>46315</v>
      </c>
      <c r="D182" s="70" t="inlineStr">
        <is>
          <t>NeST</t>
        </is>
      </c>
      <c r="E182" s="70" t="inlineStr">
        <is>
          <t>https://nest.go.tz/tenders/published-tenders</t>
        </is>
      </c>
      <c r="F182" s="70" t="inlineStr">
        <is>
          <t>Busega District Council</t>
        </is>
      </c>
      <c r="G182" s="70" t="inlineStr">
        <is>
          <t>government</t>
        </is>
      </c>
      <c r="H182" s="70" t="inlineStr">
        <is>
          <t>CONSTRUCTION OF FENCE AND EXTERNAL WORKS AND LANDSCAPING AT BUSEGA DC</t>
        </is>
      </c>
      <c r="I182" s="70" t="inlineStr">
        <is>
          <t>From NeST notice (1 lot) – read the tender document</t>
        </is>
      </c>
      <c r="J182" s="70" t="inlineStr">
        <is>
          <t>Simiyu (from client's office – confirm site)</t>
        </is>
      </c>
      <c r="K182" s="70" t="inlineStr">
        <is>
          <t>civil</t>
        </is>
      </c>
      <c r="L182" s="70" t="inlineStr">
        <is>
          <t>NeST login needed</t>
        </is>
      </c>
      <c r="M182" s="62" t="n"/>
      <c r="N182" s="70" t="inlineStr">
        <is>
          <t>unknown</t>
        </is>
      </c>
      <c r="O182" s="71" t="inlineStr">
        <is>
          <t>NeST login needed</t>
        </is>
      </c>
      <c r="P182" s="71" t="inlineStr">
        <is>
          <t>NeST login needed</t>
        </is>
      </c>
      <c r="Q182" s="72" t="n">
        <v>46321.41666666666</v>
      </c>
      <c r="R182" s="70" t="inlineStr">
        <is>
          <t>NeST login needed</t>
        </is>
      </c>
      <c r="S182" s="70" t="inlineStr">
        <is>
          <t>N</t>
        </is>
      </c>
      <c r="T182" s="64">
        <f>IF(A182="","",IFERROR(INDEX('Bid-NoBid'!$T:$T,MATCH(A182,'Bid-NoBid'!$A:$A,0)),""))</f>
        <v/>
      </c>
      <c r="U182" s="59">
        <f>IF(A182="","",IFERROR(IF(OR(INDEX('Bid-NoBid'!$U:$U,MATCH(A182,'Bid-NoBid'!$A:$A,0))="",LEFT(INDEX('Bid-NoBid'!$U:$U,MATCH(A182,'Bid-NoBid'!$A:$A,0)),10)="Incomplete"),"Screen: "&amp;AC182,INDEX('Bid-NoBid'!$U:$U,MATCH(A182,'Bid-NoBid'!$A:$A,0))),"Screen: "&amp;AC182))</f>
        <v/>
      </c>
      <c r="V182" s="60" t="n"/>
      <c r="W182" s="70" t="inlineStr">
        <is>
          <t>Watching</t>
        </is>
      </c>
      <c r="X182" s="70" t="inlineStr">
        <is>
          <t>Frank</t>
        </is>
      </c>
      <c r="Y182" s="60" t="n"/>
      <c r="Z182" s="60" t="n"/>
      <c r="AA182" s="73" t="n">
        <v>46314</v>
      </c>
      <c r="AB182" s="74" t="inlineStr">
        <is>
          <t>Small Works / Planned Tender</t>
        </is>
      </c>
      <c r="AC182" s="74" t="inlineStr">
        <is>
          <t>Check</t>
        </is>
      </c>
      <c r="AD182" s="74" t="inlineStr">
        <is>
          <t>Auto (Small Works / Planned Tender): Construction tender kept for review (would have been dropped: Remote civil works)</t>
        </is>
      </c>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74" t="inlineStr">
        <is>
          <t>Read the notice and decide with the QS Director whether to pursue</t>
        </is>
      </c>
      <c r="AJ182" s="74" t="inlineStr">
        <is>
          <t>Auto-scan</t>
        </is>
      </c>
      <c r="AK182" s="74" t="inlineStr">
        <is>
          <t>44a5d48e-6f8e-4ac0-81d1-d395fe3e4f34</t>
        </is>
      </c>
      <c r="AL182" s="59">
        <f>IF(AND(OR(W182="Watching",W182="Preparing"),ISNUMBER(Q182)),IF(AND(Q182&gt;='Friday Summary'!$C$4,Q182&lt;='Friday Summary'!$C$4+14),Q182+ROW()/1000000,""),"")</f>
        <v/>
      </c>
    </row>
    <row r="183" ht="15" customHeight="1" s="51">
      <c r="A183" s="59">
        <f>IF(B183="","","OP-"&amp;TEXT(ROW()-4,"000"))</f>
        <v/>
      </c>
      <c r="B183" s="70" t="inlineStr">
        <is>
          <t>S10/005/2026/2027/W/105</t>
        </is>
      </c>
      <c r="C183" s="71" t="n">
        <v>46315</v>
      </c>
      <c r="D183" s="70" t="inlineStr">
        <is>
          <t>NeST</t>
        </is>
      </c>
      <c r="E183" s="70" t="inlineStr">
        <is>
          <t>https://nest.go.tz/tenders/published-tenders</t>
        </is>
      </c>
      <c r="F183" s="70" t="inlineStr">
        <is>
          <t>TARURA - Iringa Regional Office</t>
        </is>
      </c>
      <c r="G183" s="70" t="inlineStr">
        <is>
          <t>government</t>
        </is>
      </c>
      <c r="H183" s="70" t="inlineStr">
        <is>
          <t>CONSTRUCTION OF STORM WATER DRAINAGE ALONG MGOVANO, KITASENGWA MKOGA ROAD AND CLEMENT ROAD, CONSTRUCTION OF BOX CULVERT ALONG CLEMENT ROAD AND BRIDGE REPAIR ALONG MGONGO MSISINA ROAD</t>
        </is>
      </c>
      <c r="I183" s="70" t="inlineStr">
        <is>
          <t>From NeST notice (1 lot) – read the tender document</t>
        </is>
      </c>
      <c r="J183" s="70" t="inlineStr">
        <is>
          <t>Iringa (from client's office – confirm site)</t>
        </is>
      </c>
      <c r="K183" s="70" t="inlineStr">
        <is>
          <t>civil</t>
        </is>
      </c>
      <c r="L183" s="70" t="inlineStr">
        <is>
          <t>NeST login needed</t>
        </is>
      </c>
      <c r="M183" s="62" t="n"/>
      <c r="N183" s="70" t="inlineStr">
        <is>
          <t>unknown</t>
        </is>
      </c>
      <c r="O183" s="71" t="inlineStr">
        <is>
          <t>NeST login needed</t>
        </is>
      </c>
      <c r="P183" s="71" t="inlineStr">
        <is>
          <t>NeST login needed</t>
        </is>
      </c>
      <c r="Q183" s="72" t="n">
        <v>46321.41666666666</v>
      </c>
      <c r="R183" s="70" t="inlineStr">
        <is>
          <t>NeST login needed</t>
        </is>
      </c>
      <c r="S183" s="70" t="inlineStr">
        <is>
          <t>N</t>
        </is>
      </c>
      <c r="T183" s="64">
        <f>IF(A183="","",IFERROR(INDEX('Bid-NoBid'!$T:$T,MATCH(A183,'Bid-NoBid'!$A:$A,0)),""))</f>
        <v/>
      </c>
      <c r="U183" s="59">
        <f>IF(A183="","",IFERROR(IF(OR(INDEX('Bid-NoBid'!$U:$U,MATCH(A183,'Bid-NoBid'!$A:$A,0))="",LEFT(INDEX('Bid-NoBid'!$U:$U,MATCH(A183,'Bid-NoBid'!$A:$A,0)),10)="Incomplete"),"Screen: "&amp;AC183,INDEX('Bid-NoBid'!$U:$U,MATCH(A183,'Bid-NoBid'!$A:$A,0))),"Screen: "&amp;AC183))</f>
        <v/>
      </c>
      <c r="V183" s="60" t="n"/>
      <c r="W183" s="70" t="inlineStr">
        <is>
          <t>Watching</t>
        </is>
      </c>
      <c r="X183" s="70" t="inlineStr">
        <is>
          <t>Frank</t>
        </is>
      </c>
      <c r="Y183" s="60" t="n"/>
      <c r="Z183" s="60" t="n"/>
      <c r="AA183" s="73" t="n">
        <v>46314</v>
      </c>
      <c r="AB183" s="74" t="inlineStr">
        <is>
          <t>Small Works / Tender</t>
        </is>
      </c>
      <c r="AC183" s="74" t="inlineStr">
        <is>
          <t>Check</t>
        </is>
      </c>
      <c r="AD183" s="74" t="inlineStr">
        <is>
          <t>Auto (Small Works / Tender): Construction tender kept for review (would have been dropped: Remote civil works)</t>
        </is>
      </c>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74" t="inlineStr">
        <is>
          <t>Read the notice and decide with the QS Director whether to pursue</t>
        </is>
      </c>
      <c r="AJ183" s="74" t="inlineStr">
        <is>
          <t>Auto-scan</t>
        </is>
      </c>
      <c r="AK183" s="74" t="inlineStr">
        <is>
          <t>22748ceb-a710-4343-b187-dd173a3e99d3</t>
        </is>
      </c>
      <c r="AL183" s="59">
        <f>IF(AND(OR(W183="Watching",W183="Preparing"),ISNUMBER(Q183)),IF(AND(Q183&gt;='Friday Summary'!$C$4,Q183&lt;='Friday Summary'!$C$4+14),Q183+ROW()/1000000,""),"")</f>
        <v/>
      </c>
    </row>
    <row r="184" ht="15" customHeight="1" s="51">
      <c r="A184" s="59">
        <f>IF(B184="","","OP-"&amp;TEXT(ROW()-4,"000"))</f>
        <v/>
      </c>
      <c r="B184" s="70" t="inlineStr">
        <is>
          <t>47BB5/2026/2027/W/03</t>
        </is>
      </c>
      <c r="C184" s="71" t="n">
        <v>46315</v>
      </c>
      <c r="D184" s="70" t="inlineStr">
        <is>
          <t>NeST</t>
        </is>
      </c>
      <c r="E184" s="70" t="inlineStr">
        <is>
          <t>https://nest.go.tz/tenders/published-tenders</t>
        </is>
      </c>
      <c r="F184" s="70" t="inlineStr">
        <is>
          <t>Busega District Council</t>
        </is>
      </c>
      <c r="G184" s="70" t="inlineStr">
        <is>
          <t>government</t>
        </is>
      </c>
      <c r="H184" s="70" t="inlineStr">
        <is>
          <t>Construction of HOD residential house</t>
        </is>
      </c>
      <c r="I184" s="70" t="inlineStr">
        <is>
          <t>From NeST notice (1 lot) – read the tender document</t>
        </is>
      </c>
      <c r="J184" s="70" t="inlineStr">
        <is>
          <t>Simiyu (from client's office – confirm site)</t>
        </is>
      </c>
      <c r="K184" s="70" t="inlineStr">
        <is>
          <t>building</t>
        </is>
      </c>
      <c r="L184" s="70" t="inlineStr">
        <is>
          <t>NeST login needed</t>
        </is>
      </c>
      <c r="M184" s="62" t="n"/>
      <c r="N184" s="70" t="inlineStr">
        <is>
          <t>unknown</t>
        </is>
      </c>
      <c r="O184" s="71" t="inlineStr">
        <is>
          <t>NeST login needed</t>
        </is>
      </c>
      <c r="P184" s="71" t="inlineStr">
        <is>
          <t>NeST login needed</t>
        </is>
      </c>
      <c r="Q184" s="72" t="n">
        <v>46321.45833333334</v>
      </c>
      <c r="R184" s="70" t="inlineStr">
        <is>
          <t>NeST login needed</t>
        </is>
      </c>
      <c r="S184" s="70" t="inlineStr">
        <is>
          <t>N</t>
        </is>
      </c>
      <c r="T184" s="64">
        <f>IF(A184="","",IFERROR(INDEX('Bid-NoBid'!$T:$T,MATCH(A184,'Bid-NoBid'!$A:$A,0)),""))</f>
        <v/>
      </c>
      <c r="U184" s="59">
        <f>IF(A184="","",IFERROR(IF(OR(INDEX('Bid-NoBid'!$U:$U,MATCH(A184,'Bid-NoBid'!$A:$A,0))="",LEFT(INDEX('Bid-NoBid'!$U:$U,MATCH(A184,'Bid-NoBid'!$A:$A,0)),10)="Incomplete"),"Screen: "&amp;AC184,INDEX('Bid-NoBid'!$U:$U,MATCH(A184,'Bid-NoBid'!$A:$A,0))),"Screen: "&amp;AC184))</f>
        <v/>
      </c>
      <c r="V184" s="60" t="n"/>
      <c r="W184" s="70" t="inlineStr">
        <is>
          <t>Watching</t>
        </is>
      </c>
      <c r="X184" s="70" t="inlineStr">
        <is>
          <t>Frank</t>
        </is>
      </c>
      <c r="Y184" s="60" t="n"/>
      <c r="Z184" s="60" t="n"/>
      <c r="AA184" s="73" t="n">
        <v>46314</v>
      </c>
      <c r="AB184" s="74" t="inlineStr">
        <is>
          <t>Small Works / Tender</t>
        </is>
      </c>
      <c r="AC184" s="74" t="inlineStr">
        <is>
          <t>Check</t>
        </is>
      </c>
      <c r="AD184" s="74" t="inlineStr">
        <is>
          <t>Auto (Small Works / Tender): Construction tender kept for review (would have been dropped: Remote and closing soon)</t>
        </is>
      </c>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74" t="inlineStr">
        <is>
          <t>Read the notice and decide with the QS Director whether to pursue</t>
        </is>
      </c>
      <c r="AJ184" s="74" t="inlineStr">
        <is>
          <t>Auto-scan</t>
        </is>
      </c>
      <c r="AK184" s="74" t="inlineStr">
        <is>
          <t>659972b0-3fc5-44f7-bb64-003011f41c30</t>
        </is>
      </c>
      <c r="AL184" s="59">
        <f>IF(AND(OR(W184="Watching",W184="Preparing"),ISNUMBER(Q184)),IF(AND(Q184&gt;='Friday Summary'!$C$4,Q184&lt;='Friday Summary'!$C$4+14),Q184+ROW()/1000000,""),"")</f>
        <v/>
      </c>
    </row>
    <row r="185" ht="15" customHeight="1" s="51">
      <c r="A185" s="59">
        <f>IF(B185="","","OP-"&amp;TEXT(ROW()-4,"000"))</f>
        <v/>
      </c>
      <c r="B185" s="70" t="inlineStr">
        <is>
          <t>85/2026/2027/W/12</t>
        </is>
      </c>
      <c r="C185" s="71" t="n">
        <v>46315</v>
      </c>
      <c r="D185" s="70" t="inlineStr">
        <is>
          <t>NeST</t>
        </is>
      </c>
      <c r="E185" s="70" t="inlineStr">
        <is>
          <t>https://nest.go.tz/tenders/published-tenders</t>
        </is>
      </c>
      <c r="F185" s="70" t="inlineStr">
        <is>
          <t>Tabora Regional Secretariat</t>
        </is>
      </c>
      <c r="G185" s="70" t="inlineStr">
        <is>
          <t>government</t>
        </is>
      </c>
      <c r="H185" s="70" t="inlineStr">
        <is>
          <t>COMPLETE REHABILITATION OF SIKONGE DISTRICT ADMINISTRATIVE SECRETARY'S HOUSE (FENCING AND EXTERNAL WORKS)</t>
        </is>
      </c>
      <c r="I185" s="70" t="inlineStr">
        <is>
          <t>From NeST notice (1 lot) – read the tender document</t>
        </is>
      </c>
      <c r="J185" s="70" t="inlineStr">
        <is>
          <t>Tabora (Sikonge)</t>
        </is>
      </c>
      <c r="K185" s="70" t="inlineStr">
        <is>
          <t>renovation</t>
        </is>
      </c>
      <c r="L185" s="70" t="inlineStr">
        <is>
          <t>NeST login needed</t>
        </is>
      </c>
      <c r="M185" s="62" t="n"/>
      <c r="N185" s="70" t="inlineStr">
        <is>
          <t>unknown</t>
        </is>
      </c>
      <c r="O185" s="71" t="inlineStr">
        <is>
          <t>NeST login needed</t>
        </is>
      </c>
      <c r="P185" s="71" t="inlineStr">
        <is>
          <t>NeST login needed</t>
        </is>
      </c>
      <c r="Q185" s="72" t="n">
        <v>46322.58333333334</v>
      </c>
      <c r="R185" s="70" t="inlineStr">
        <is>
          <t>NeST login needed</t>
        </is>
      </c>
      <c r="S185" s="70" t="inlineStr">
        <is>
          <t>N</t>
        </is>
      </c>
      <c r="T185" s="64">
        <f>IF(A185="","",IFERROR(INDEX('Bid-NoBid'!$T:$T,MATCH(A185,'Bid-NoBid'!$A:$A,0)),""))</f>
        <v/>
      </c>
      <c r="U185" s="59">
        <f>IF(A185="","",IFERROR(IF(OR(INDEX('Bid-NoBid'!$U:$U,MATCH(A185,'Bid-NoBid'!$A:$A,0))="",LEFT(INDEX('Bid-NoBid'!$U:$U,MATCH(A185,'Bid-NoBid'!$A:$A,0)),10)="Incomplete"),"Screen: "&amp;AC185,INDEX('Bid-NoBid'!$U:$U,MATCH(A185,'Bid-NoBid'!$A:$A,0))),"Screen: "&amp;AC185))</f>
        <v/>
      </c>
      <c r="V185" s="60" t="n"/>
      <c r="W185" s="70" t="inlineStr">
        <is>
          <t>Watching</t>
        </is>
      </c>
      <c r="X185" s="70" t="inlineStr">
        <is>
          <t>Frank</t>
        </is>
      </c>
      <c r="Y185" s="60" t="n"/>
      <c r="Z185" s="60" t="n"/>
      <c r="AA185" s="73" t="n">
        <v>46315</v>
      </c>
      <c r="AB185" s="74" t="inlineStr">
        <is>
          <t>Standard Invitation for Quotations -Works / Planned Tender</t>
        </is>
      </c>
      <c r="AC185" s="74" t="inlineStr">
        <is>
          <t>Check</t>
        </is>
      </c>
      <c r="AD185" s="74" t="inlineStr">
        <is>
          <t>Auto (Standard Invitation for Quotations -Works / Planned Tender): Building works but remote from Dar</t>
        </is>
      </c>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74" t="inlineStr">
        <is>
          <t>Read the notice and decide with the QS Director whether to pursue</t>
        </is>
      </c>
      <c r="AJ185" s="74" t="inlineStr">
        <is>
          <t>Auto-scan</t>
        </is>
      </c>
      <c r="AK185" s="74" t="inlineStr">
        <is>
          <t>f62bba8b-4c09-412f-b77b-fdd3d0d6a9ce</t>
        </is>
      </c>
      <c r="AL185" s="59">
        <f>IF(AND(OR(W185="Watching",W185="Preparing"),ISNUMBER(Q185)),IF(AND(Q185&gt;='Friday Summary'!$C$4,Q185&lt;='Friday Summary'!$C$4+14),Q185+ROW()/1000000,""),"")</f>
        <v/>
      </c>
    </row>
    <row r="186" ht="15" customHeight="1" s="51">
      <c r="A186" s="59">
        <f>IF(B186="","","OP-"&amp;TEXT(ROW()-4,"000"))</f>
        <v/>
      </c>
      <c r="B186" s="70" t="inlineStr">
        <is>
          <t>85/2026/2027/W/03</t>
        </is>
      </c>
      <c r="C186" s="71" t="n">
        <v>46315</v>
      </c>
      <c r="D186" s="70" t="inlineStr">
        <is>
          <t>NeST</t>
        </is>
      </c>
      <c r="E186" s="70" t="inlineStr">
        <is>
          <t>https://nest.go.tz/tenders/published-tenders</t>
        </is>
      </c>
      <c r="F186" s="70" t="inlineStr">
        <is>
          <t>Tabora Regional Secretariat</t>
        </is>
      </c>
      <c r="G186" s="70" t="inlineStr">
        <is>
          <t>government</t>
        </is>
      </c>
      <c r="H186" s="70" t="inlineStr">
        <is>
          <t>COMPLETE CONSTRUCTION OF KALIUA DISTRICT COMMISSIONER'S OFFICE (FENCING AND EXTERNAL WORKS)</t>
        </is>
      </c>
      <c r="I186" s="70" t="inlineStr">
        <is>
          <t>From NeST notice (1 lot) – read the tender document</t>
        </is>
      </c>
      <c r="J186" s="70" t="inlineStr">
        <is>
          <t>Tabora (from client's office – confirm site)</t>
        </is>
      </c>
      <c r="K186" s="70" t="inlineStr">
        <is>
          <t>building</t>
        </is>
      </c>
      <c r="L186" s="70" t="inlineStr">
        <is>
          <t>NeST login needed</t>
        </is>
      </c>
      <c r="M186" s="62" t="n"/>
      <c r="N186" s="70" t="inlineStr">
        <is>
          <t>unknown</t>
        </is>
      </c>
      <c r="O186" s="71" t="inlineStr">
        <is>
          <t>NeST login needed</t>
        </is>
      </c>
      <c r="P186" s="71" t="inlineStr">
        <is>
          <t>NeST login needed</t>
        </is>
      </c>
      <c r="Q186" s="72" t="n">
        <v>46322.58333333334</v>
      </c>
      <c r="R186" s="70" t="inlineStr">
        <is>
          <t>NeST login needed</t>
        </is>
      </c>
      <c r="S186" s="70" t="inlineStr">
        <is>
          <t>N</t>
        </is>
      </c>
      <c r="T186" s="64">
        <f>IF(A186="","",IFERROR(INDEX('Bid-NoBid'!$T:$T,MATCH(A186,'Bid-NoBid'!$A:$A,0)),""))</f>
        <v/>
      </c>
      <c r="U186" s="59">
        <f>IF(A186="","",IFERROR(IF(OR(INDEX('Bid-NoBid'!$U:$U,MATCH(A186,'Bid-NoBid'!$A:$A,0))="",LEFT(INDEX('Bid-NoBid'!$U:$U,MATCH(A186,'Bid-NoBid'!$A:$A,0)),10)="Incomplete"),"Screen: "&amp;AC186,INDEX('Bid-NoBid'!$U:$U,MATCH(A186,'Bid-NoBid'!$A:$A,0))),"Screen: "&amp;AC186))</f>
        <v/>
      </c>
      <c r="V186" s="60" t="n"/>
      <c r="W186" s="70" t="inlineStr">
        <is>
          <t>Watching</t>
        </is>
      </c>
      <c r="X186" s="70" t="inlineStr">
        <is>
          <t>Frank</t>
        </is>
      </c>
      <c r="Y186" s="60" t="n"/>
      <c r="Z186" s="60" t="n"/>
      <c r="AA186" s="73" t="n">
        <v>46315</v>
      </c>
      <c r="AB186" s="74" t="inlineStr">
        <is>
          <t>Standard Invitation for Quotations -Works / Planned Tender</t>
        </is>
      </c>
      <c r="AC186" s="74" t="inlineStr">
        <is>
          <t>Check</t>
        </is>
      </c>
      <c r="AD186" s="74" t="inlineStr">
        <is>
          <t>Auto (Standard Invitation for Quotations -Works / Planned Tender): Building works but remote from Dar</t>
        </is>
      </c>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74" t="inlineStr">
        <is>
          <t>Read the notice and decide with the QS Director whether to pursue</t>
        </is>
      </c>
      <c r="AJ186" s="74" t="inlineStr">
        <is>
          <t>Auto-scan</t>
        </is>
      </c>
      <c r="AK186" s="74" t="inlineStr">
        <is>
          <t>124bceca-0c2a-406c-90b7-5f6c7620ddf0</t>
        </is>
      </c>
      <c r="AL186" s="59">
        <f>IF(AND(OR(W186="Watching",W186="Preparing"),ISNUMBER(Q186)),IF(AND(Q186&gt;='Friday Summary'!$C$4,Q186&lt;='Friday Summary'!$C$4+14),Q186+ROW()/1000000,""),"")</f>
        <v/>
      </c>
    </row>
    <row r="187" ht="15" customHeight="1" s="51">
      <c r="A187" s="59">
        <f>IF(B187="","","OP-"&amp;TEXT(ROW()-4,"000"))</f>
        <v/>
      </c>
      <c r="B187" s="70" t="inlineStr">
        <is>
          <t>85/2026/2027/W/11</t>
        </is>
      </c>
      <c r="C187" s="71" t="n">
        <v>46315</v>
      </c>
      <c r="D187" s="70" t="inlineStr">
        <is>
          <t>NeST</t>
        </is>
      </c>
      <c r="E187" s="70" t="inlineStr">
        <is>
          <t>https://nest.go.tz/tenders/published-tenders</t>
        </is>
      </c>
      <c r="F187" s="70" t="inlineStr">
        <is>
          <t>Tabora Regional Secretariat</t>
        </is>
      </c>
      <c r="G187" s="70" t="inlineStr">
        <is>
          <t>government</t>
        </is>
      </c>
      <c r="H187" s="70" t="inlineStr">
        <is>
          <t>CONSTRUCTION OF BUKENE DIVISION OFFICER'S OFFICE</t>
        </is>
      </c>
      <c r="I187" s="70" t="inlineStr">
        <is>
          <t>From NeST notice (1 lot) – read the tender document</t>
        </is>
      </c>
      <c r="J187" s="70" t="inlineStr">
        <is>
          <t>Tabora (from client's office – confirm site)</t>
        </is>
      </c>
      <c r="K187" s="70" t="inlineStr">
        <is>
          <t>building</t>
        </is>
      </c>
      <c r="L187" s="70" t="inlineStr">
        <is>
          <t>NeST login needed</t>
        </is>
      </c>
      <c r="M187" s="62" t="n"/>
      <c r="N187" s="70" t="inlineStr">
        <is>
          <t>unknown</t>
        </is>
      </c>
      <c r="O187" s="71" t="inlineStr">
        <is>
          <t>NeST login needed</t>
        </is>
      </c>
      <c r="P187" s="71" t="inlineStr">
        <is>
          <t>NeST login needed</t>
        </is>
      </c>
      <c r="Q187" s="72" t="n">
        <v>46322.58333333334</v>
      </c>
      <c r="R187" s="70" t="inlineStr">
        <is>
          <t>NeST login needed</t>
        </is>
      </c>
      <c r="S187" s="70" t="inlineStr">
        <is>
          <t>N</t>
        </is>
      </c>
      <c r="T187" s="64">
        <f>IF(A187="","",IFERROR(INDEX('Bid-NoBid'!$T:$T,MATCH(A187,'Bid-NoBid'!$A:$A,0)),""))</f>
        <v/>
      </c>
      <c r="U187" s="59">
        <f>IF(A187="","",IFERROR(IF(OR(INDEX('Bid-NoBid'!$U:$U,MATCH(A187,'Bid-NoBid'!$A:$A,0))="",LEFT(INDEX('Bid-NoBid'!$U:$U,MATCH(A187,'Bid-NoBid'!$A:$A,0)),10)="Incomplete"),"Screen: "&amp;AC187,INDEX('Bid-NoBid'!$U:$U,MATCH(A187,'Bid-NoBid'!$A:$A,0))),"Screen: "&amp;AC187))</f>
        <v/>
      </c>
      <c r="V187" s="60" t="n"/>
      <c r="W187" s="70" t="inlineStr">
        <is>
          <t>Watching</t>
        </is>
      </c>
      <c r="X187" s="70" t="inlineStr">
        <is>
          <t>Frank</t>
        </is>
      </c>
      <c r="Y187" s="60" t="n"/>
      <c r="Z187" s="60" t="n"/>
      <c r="AA187" s="73" t="n">
        <v>46315</v>
      </c>
      <c r="AB187" s="74" t="inlineStr">
        <is>
          <t>Standard Invitation for Quotations -Works / Planned Tender</t>
        </is>
      </c>
      <c r="AC187" s="74" t="inlineStr">
        <is>
          <t>Check</t>
        </is>
      </c>
      <c r="AD187" s="74" t="inlineStr">
        <is>
          <t>Auto (Standard Invitation for Quotations -Works / Planned Tender): Building works but remote from Dar</t>
        </is>
      </c>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74" t="inlineStr">
        <is>
          <t>Read the notice and decide with the QS Director whether to pursue</t>
        </is>
      </c>
      <c r="AJ187" s="74" t="inlineStr">
        <is>
          <t>Auto-scan</t>
        </is>
      </c>
      <c r="AK187" s="74" t="inlineStr">
        <is>
          <t>d9a5e17c-5902-412d-a44e-65770256d5e5</t>
        </is>
      </c>
      <c r="AL187" s="59">
        <f>IF(AND(OR(W187="Watching",W187="Preparing"),ISNUMBER(Q187)),IF(AND(Q187&gt;='Friday Summary'!$C$4,Q187&lt;='Friday Summary'!$C$4+14),Q187+ROW()/1000000,""),"")</f>
        <v/>
      </c>
    </row>
    <row r="188" ht="15" customHeight="1" s="51">
      <c r="A188" s="59">
        <f>IF(B188="","","OP-"&amp;TEXT(ROW()-4,"000"))</f>
        <v/>
      </c>
      <c r="B188" s="70" t="inlineStr">
        <is>
          <t>85/2026/2027/W/06</t>
        </is>
      </c>
      <c r="C188" s="71" t="n">
        <v>46315</v>
      </c>
      <c r="D188" s="70" t="inlineStr">
        <is>
          <t>NeST</t>
        </is>
      </c>
      <c r="E188" s="70" t="inlineStr">
        <is>
          <t>https://nest.go.tz/tenders/published-tenders</t>
        </is>
      </c>
      <c r="F188" s="70" t="inlineStr">
        <is>
          <t>Tabora Regional Secretariat</t>
        </is>
      </c>
      <c r="G188" s="70" t="inlineStr">
        <is>
          <t>government</t>
        </is>
      </c>
      <c r="H188" s="70" t="inlineStr">
        <is>
          <t>COMPLETE CONSTRUCTION OF KALIUA DISTRICT ADMINISTRATIVE SECRETARY'S HOUSE (FENCING AND EXTERNAL WORKS)</t>
        </is>
      </c>
      <c r="I188" s="70" t="inlineStr">
        <is>
          <t>From NeST notice (1 lot) – read the tender document</t>
        </is>
      </c>
      <c r="J188" s="70" t="inlineStr">
        <is>
          <t>Tabora (from client's office – confirm site)</t>
        </is>
      </c>
      <c r="K188" s="70" t="inlineStr">
        <is>
          <t>building</t>
        </is>
      </c>
      <c r="L188" s="70" t="inlineStr">
        <is>
          <t>NeST login needed</t>
        </is>
      </c>
      <c r="M188" s="62" t="n"/>
      <c r="N188" s="70" t="inlineStr">
        <is>
          <t>unknown</t>
        </is>
      </c>
      <c r="O188" s="71" t="inlineStr">
        <is>
          <t>NeST login needed</t>
        </is>
      </c>
      <c r="P188" s="71" t="inlineStr">
        <is>
          <t>NeST login needed</t>
        </is>
      </c>
      <c r="Q188" s="72" t="n">
        <v>46322.58333333334</v>
      </c>
      <c r="R188" s="70" t="inlineStr">
        <is>
          <t>NeST login needed</t>
        </is>
      </c>
      <c r="S188" s="70" t="inlineStr">
        <is>
          <t>N</t>
        </is>
      </c>
      <c r="T188" s="64">
        <f>IF(A188="","",IFERROR(INDEX('Bid-NoBid'!$T:$T,MATCH(A188,'Bid-NoBid'!$A:$A,0)),""))</f>
        <v/>
      </c>
      <c r="U188" s="59">
        <f>IF(A188="","",IFERROR(IF(OR(INDEX('Bid-NoBid'!$U:$U,MATCH(A188,'Bid-NoBid'!$A:$A,0))="",LEFT(INDEX('Bid-NoBid'!$U:$U,MATCH(A188,'Bid-NoBid'!$A:$A,0)),10)="Incomplete"),"Screen: "&amp;AC188,INDEX('Bid-NoBid'!$U:$U,MATCH(A188,'Bid-NoBid'!$A:$A,0))),"Screen: "&amp;AC188))</f>
        <v/>
      </c>
      <c r="V188" s="60" t="n"/>
      <c r="W188" s="70" t="inlineStr">
        <is>
          <t>Watching</t>
        </is>
      </c>
      <c r="X188" s="70" t="inlineStr">
        <is>
          <t>Frank</t>
        </is>
      </c>
      <c r="Y188" s="60" t="n"/>
      <c r="Z188" s="60" t="n"/>
      <c r="AA188" s="73" t="n">
        <v>46315</v>
      </c>
      <c r="AB188" s="74" t="inlineStr">
        <is>
          <t>Standard Invitation for Quotations -Works / Planned Tender</t>
        </is>
      </c>
      <c r="AC188" s="74" t="inlineStr">
        <is>
          <t>Check</t>
        </is>
      </c>
      <c r="AD188" s="74" t="inlineStr">
        <is>
          <t>Auto (Standard Invitation for Quotations -Works / Planned Tender): Building works but remote from Dar</t>
        </is>
      </c>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74" t="inlineStr">
        <is>
          <t>Read the notice and decide with the QS Director whether to pursue</t>
        </is>
      </c>
      <c r="AJ188" s="74" t="inlineStr">
        <is>
          <t>Auto-scan</t>
        </is>
      </c>
      <c r="AK188" s="74" t="inlineStr">
        <is>
          <t>de006103-62b6-4bcb-8f3c-411f78166313</t>
        </is>
      </c>
      <c r="AL188" s="59">
        <f>IF(AND(OR(W188="Watching",W188="Preparing"),ISNUMBER(Q188)),IF(AND(Q188&gt;='Friday Summary'!$C$4,Q188&lt;='Friday Summary'!$C$4+14),Q188+ROW()/1000000,""),"")</f>
        <v/>
      </c>
    </row>
    <row r="189" ht="15" customHeight="1" s="51">
      <c r="A189" s="59">
        <f>IF(B189="","","OP-"&amp;TEXT(ROW()-4,"000"))</f>
        <v/>
      </c>
      <c r="B189" s="70" t="inlineStr">
        <is>
          <t>85/2026/2027/W/01</t>
        </is>
      </c>
      <c r="C189" s="71" t="n">
        <v>46315</v>
      </c>
      <c r="D189" s="70" t="inlineStr">
        <is>
          <t>NeST</t>
        </is>
      </c>
      <c r="E189" s="70" t="inlineStr">
        <is>
          <t>https://nest.go.tz/tenders/published-tenders</t>
        </is>
      </c>
      <c r="F189" s="70" t="inlineStr">
        <is>
          <t>Tabora Regional Secretariat</t>
        </is>
      </c>
      <c r="G189" s="70" t="inlineStr">
        <is>
          <t>government</t>
        </is>
      </c>
      <c r="H189" s="70" t="inlineStr">
        <is>
          <t>CONSTRUCTION OF IGUNGA DISTRICT ADMINISTRATIVE SECRETARY'S HOUSE.</t>
        </is>
      </c>
      <c r="I189" s="70" t="inlineStr">
        <is>
          <t>From NeST notice (1 lot) – read the tender document</t>
        </is>
      </c>
      <c r="J189" s="70" t="inlineStr">
        <is>
          <t>Tabora (Igunga)</t>
        </is>
      </c>
      <c r="K189" s="70" t="inlineStr">
        <is>
          <t>building</t>
        </is>
      </c>
      <c r="L189" s="70" t="inlineStr">
        <is>
          <t>NeST login needed</t>
        </is>
      </c>
      <c r="M189" s="62" t="n"/>
      <c r="N189" s="70" t="inlineStr">
        <is>
          <t>unknown</t>
        </is>
      </c>
      <c r="O189" s="71" t="inlineStr">
        <is>
          <t>NeST login needed</t>
        </is>
      </c>
      <c r="P189" s="71" t="inlineStr">
        <is>
          <t>NeST login needed</t>
        </is>
      </c>
      <c r="Q189" s="72" t="n">
        <v>46322.58333333334</v>
      </c>
      <c r="R189" s="70" t="inlineStr">
        <is>
          <t>NeST login needed</t>
        </is>
      </c>
      <c r="S189" s="70" t="inlineStr">
        <is>
          <t>N</t>
        </is>
      </c>
      <c r="T189" s="64">
        <f>IF(A189="","",IFERROR(INDEX('Bid-NoBid'!$T:$T,MATCH(A189,'Bid-NoBid'!$A:$A,0)),""))</f>
        <v/>
      </c>
      <c r="U189" s="59">
        <f>IF(A189="","",IFERROR(IF(OR(INDEX('Bid-NoBid'!$U:$U,MATCH(A189,'Bid-NoBid'!$A:$A,0))="",LEFT(INDEX('Bid-NoBid'!$U:$U,MATCH(A189,'Bid-NoBid'!$A:$A,0)),10)="Incomplete"),"Screen: "&amp;AC189,INDEX('Bid-NoBid'!$U:$U,MATCH(A189,'Bid-NoBid'!$A:$A,0))),"Screen: "&amp;AC189))</f>
        <v/>
      </c>
      <c r="V189" s="60" t="n"/>
      <c r="W189" s="70" t="inlineStr">
        <is>
          <t>Watching</t>
        </is>
      </c>
      <c r="X189" s="70" t="inlineStr">
        <is>
          <t>Frank</t>
        </is>
      </c>
      <c r="Y189" s="60" t="n"/>
      <c r="Z189" s="60" t="n"/>
      <c r="AA189" s="73" t="n">
        <v>46315</v>
      </c>
      <c r="AB189" s="74" t="inlineStr">
        <is>
          <t>Standard Invitation for Quotations -Works / Planned Tender</t>
        </is>
      </c>
      <c r="AC189" s="74" t="inlineStr">
        <is>
          <t>Check</t>
        </is>
      </c>
      <c r="AD189" s="74" t="inlineStr">
        <is>
          <t>Auto (Standard Invitation for Quotations -Works / Planned Tender): Building works but remote from Dar</t>
        </is>
      </c>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74" t="inlineStr">
        <is>
          <t>Read the notice and decide with the QS Director whether to pursue</t>
        </is>
      </c>
      <c r="AJ189" s="74" t="inlineStr">
        <is>
          <t>Auto-scan</t>
        </is>
      </c>
      <c r="AK189" s="74" t="inlineStr">
        <is>
          <t>2707beb4-3d4c-402d-a13f-5066289a875f</t>
        </is>
      </c>
      <c r="AL189" s="59">
        <f>IF(AND(OR(W189="Watching",W189="Preparing"),ISNUMBER(Q189)),IF(AND(Q189&gt;='Friday Summary'!$C$4,Q189&lt;='Friday Summary'!$C$4+14),Q189+ROW()/1000000,""),"")</f>
        <v/>
      </c>
    </row>
    <row r="190" ht="15" customHeight="1" s="51">
      <c r="A190" s="59">
        <f>IF(B190="","","OP-"&amp;TEXT(ROW()-4,"000"))</f>
        <v/>
      </c>
      <c r="B190" s="70" t="inlineStr">
        <is>
          <t>85/2026/2027/W/02</t>
        </is>
      </c>
      <c r="C190" s="71" t="n">
        <v>46315</v>
      </c>
      <c r="D190" s="70" t="inlineStr">
        <is>
          <t>NeST</t>
        </is>
      </c>
      <c r="E190" s="70" t="inlineStr">
        <is>
          <t>https://nest.go.tz/tenders/published-tenders</t>
        </is>
      </c>
      <c r="F190" s="70" t="inlineStr">
        <is>
          <t>Tabora Regional Secretariat</t>
        </is>
      </c>
      <c r="G190" s="70" t="inlineStr">
        <is>
          <t>government</t>
        </is>
      </c>
      <c r="H190" s="70" t="inlineStr">
        <is>
          <t>CONSTRUCTION OF UYUI DISTRICT ADMINISTRATIVE SECRETARY'S HOUSE.</t>
        </is>
      </c>
      <c r="I190" s="70" t="inlineStr">
        <is>
          <t>From NeST notice (1 lot) – read the tender document</t>
        </is>
      </c>
      <c r="J190" s="70" t="inlineStr">
        <is>
          <t>Tabora (from client's office – confirm site)</t>
        </is>
      </c>
      <c r="K190" s="70" t="inlineStr">
        <is>
          <t>building</t>
        </is>
      </c>
      <c r="L190" s="70" t="inlineStr">
        <is>
          <t>NeST login needed</t>
        </is>
      </c>
      <c r="M190" s="62" t="n"/>
      <c r="N190" s="70" t="inlineStr">
        <is>
          <t>unknown</t>
        </is>
      </c>
      <c r="O190" s="71" t="inlineStr">
        <is>
          <t>NeST login needed</t>
        </is>
      </c>
      <c r="P190" s="71" t="inlineStr">
        <is>
          <t>NeST login needed</t>
        </is>
      </c>
      <c r="Q190" s="72" t="n">
        <v>46322.58333333334</v>
      </c>
      <c r="R190" s="70" t="inlineStr">
        <is>
          <t>NeST login needed</t>
        </is>
      </c>
      <c r="S190" s="70" t="inlineStr">
        <is>
          <t>N</t>
        </is>
      </c>
      <c r="T190" s="64">
        <f>IF(A190="","",IFERROR(INDEX('Bid-NoBid'!$T:$T,MATCH(A190,'Bid-NoBid'!$A:$A,0)),""))</f>
        <v/>
      </c>
      <c r="U190" s="59">
        <f>IF(A190="","",IFERROR(IF(OR(INDEX('Bid-NoBid'!$U:$U,MATCH(A190,'Bid-NoBid'!$A:$A,0))="",LEFT(INDEX('Bid-NoBid'!$U:$U,MATCH(A190,'Bid-NoBid'!$A:$A,0)),10)="Incomplete"),"Screen: "&amp;AC190,INDEX('Bid-NoBid'!$U:$U,MATCH(A190,'Bid-NoBid'!$A:$A,0))),"Screen: "&amp;AC190))</f>
        <v/>
      </c>
      <c r="V190" s="60" t="n"/>
      <c r="W190" s="70" t="inlineStr">
        <is>
          <t>Watching</t>
        </is>
      </c>
      <c r="X190" s="70" t="inlineStr">
        <is>
          <t>Frank</t>
        </is>
      </c>
      <c r="Y190" s="60" t="n"/>
      <c r="Z190" s="60" t="n"/>
      <c r="AA190" s="73" t="n">
        <v>46315</v>
      </c>
      <c r="AB190" s="74" t="inlineStr">
        <is>
          <t>Standard Invitation for Quotations -Works / Planned Tender</t>
        </is>
      </c>
      <c r="AC190" s="74" t="inlineStr">
        <is>
          <t>Check</t>
        </is>
      </c>
      <c r="AD190" s="74" t="inlineStr">
        <is>
          <t>Auto (Standard Invitation for Quotations -Works / Planned Tender): Building works but remote from Dar</t>
        </is>
      </c>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74" t="inlineStr">
        <is>
          <t>Read the notice and decide with the QS Director whether to pursue</t>
        </is>
      </c>
      <c r="AJ190" s="74" t="inlineStr">
        <is>
          <t>Auto-scan</t>
        </is>
      </c>
      <c r="AK190" s="74" t="inlineStr">
        <is>
          <t>dfa9997b-658a-40da-8ecf-3e8a39da3be6</t>
        </is>
      </c>
      <c r="AL190" s="59">
        <f>IF(AND(OR(W190="Watching",W190="Preparing"),ISNUMBER(Q190)),IF(AND(Q190&gt;='Friday Summary'!$C$4,Q190&lt;='Friday Summary'!$C$4+14),Q190+ROW()/1000000,""),"")</f>
        <v/>
      </c>
    </row>
    <row r="191" ht="15" customHeight="1" s="51">
      <c r="A191" s="59">
        <f>IF(B191="","","OP-"&amp;TEXT(ROW()-4,"000"))</f>
        <v/>
      </c>
      <c r="B191" s="70" t="inlineStr">
        <is>
          <t>85/2026/2027/W/05</t>
        </is>
      </c>
      <c r="C191" s="71" t="n">
        <v>46315</v>
      </c>
      <c r="D191" s="70" t="inlineStr">
        <is>
          <t>NeST</t>
        </is>
      </c>
      <c r="E191" s="70" t="inlineStr">
        <is>
          <t>https://nest.go.tz/tenders/published-tenders</t>
        </is>
      </c>
      <c r="F191" s="70" t="inlineStr">
        <is>
          <t>Tabora Regional Secretariat</t>
        </is>
      </c>
      <c r="G191" s="70" t="inlineStr">
        <is>
          <t>government</t>
        </is>
      </c>
      <c r="H191" s="70" t="inlineStr">
        <is>
          <t>COMPLETE REHABILITATION OF SIKONGE DISTRICT COMMISSIONER'S HOUSE(FENCING AND EXTERNAL WORKS</t>
        </is>
      </c>
      <c r="I191" s="70" t="inlineStr">
        <is>
          <t>From NeST notice (1 lot) – read the tender document</t>
        </is>
      </c>
      <c r="J191" s="70" t="inlineStr">
        <is>
          <t>Tabora (Sikonge)</t>
        </is>
      </c>
      <c r="K191" s="70" t="inlineStr">
        <is>
          <t>renovation</t>
        </is>
      </c>
      <c r="L191" s="70" t="inlineStr">
        <is>
          <t>NeST login needed</t>
        </is>
      </c>
      <c r="M191" s="62" t="n"/>
      <c r="N191" s="70" t="inlineStr">
        <is>
          <t>unknown</t>
        </is>
      </c>
      <c r="O191" s="71" t="inlineStr">
        <is>
          <t>NeST login needed</t>
        </is>
      </c>
      <c r="P191" s="71" t="inlineStr">
        <is>
          <t>NeST login needed</t>
        </is>
      </c>
      <c r="Q191" s="72" t="n">
        <v>46322.58333333334</v>
      </c>
      <c r="R191" s="70" t="inlineStr">
        <is>
          <t>NeST login needed</t>
        </is>
      </c>
      <c r="S191" s="70" t="inlineStr">
        <is>
          <t>N</t>
        </is>
      </c>
      <c r="T191" s="64">
        <f>IF(A191="","",IFERROR(INDEX('Bid-NoBid'!$T:$T,MATCH(A191,'Bid-NoBid'!$A:$A,0)),""))</f>
        <v/>
      </c>
      <c r="U191" s="59">
        <f>IF(A191="","",IFERROR(IF(OR(INDEX('Bid-NoBid'!$U:$U,MATCH(A191,'Bid-NoBid'!$A:$A,0))="",LEFT(INDEX('Bid-NoBid'!$U:$U,MATCH(A191,'Bid-NoBid'!$A:$A,0)),10)="Incomplete"),"Screen: "&amp;AC191,INDEX('Bid-NoBid'!$U:$U,MATCH(A191,'Bid-NoBid'!$A:$A,0))),"Screen: "&amp;AC191))</f>
        <v/>
      </c>
      <c r="V191" s="60" t="n"/>
      <c r="W191" s="70" t="inlineStr">
        <is>
          <t>Watching</t>
        </is>
      </c>
      <c r="X191" s="70" t="inlineStr">
        <is>
          <t>Frank</t>
        </is>
      </c>
      <c r="Y191" s="60" t="n"/>
      <c r="Z191" s="60" t="n"/>
      <c r="AA191" s="73" t="n">
        <v>46315</v>
      </c>
      <c r="AB191" s="74" t="inlineStr">
        <is>
          <t>Standard Invitation for Quotations -Works / Planned Tender</t>
        </is>
      </c>
      <c r="AC191" s="74" t="inlineStr">
        <is>
          <t>Check</t>
        </is>
      </c>
      <c r="AD191" s="74" t="inlineStr">
        <is>
          <t>Auto (Standard Invitation for Quotations -Works / Planned Tender): Building works but remote from Dar</t>
        </is>
      </c>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74" t="inlineStr">
        <is>
          <t>Read the notice and decide with the QS Director whether to pursue</t>
        </is>
      </c>
      <c r="AJ191" s="74" t="inlineStr">
        <is>
          <t>Auto-scan</t>
        </is>
      </c>
      <c r="AK191" s="74" t="inlineStr">
        <is>
          <t>43eefae6-c091-4773-adff-108f2acd7350</t>
        </is>
      </c>
      <c r="AL191" s="59">
        <f>IF(AND(OR(W191="Watching",W191="Preparing"),ISNUMBER(Q191)),IF(AND(Q191&gt;='Friday Summary'!$C$4,Q191&lt;='Friday Summary'!$C$4+14),Q191+ROW()/1000000,""),"")</f>
        <v/>
      </c>
    </row>
    <row r="192" ht="15" customHeight="1" s="51">
      <c r="A192" s="59">
        <f>IF(B192="","","OP-"&amp;TEXT(ROW()-4,"000"))</f>
        <v/>
      </c>
      <c r="B192" s="70" t="inlineStr">
        <is>
          <t>85/2026/2027/W/07</t>
        </is>
      </c>
      <c r="C192" s="71" t="n">
        <v>46315</v>
      </c>
      <c r="D192" s="70" t="inlineStr">
        <is>
          <t>NeST</t>
        </is>
      </c>
      <c r="E192" s="70" t="inlineStr">
        <is>
          <t>https://nest.go.tz/tenders/published-tenders</t>
        </is>
      </c>
      <c r="F192" s="70" t="inlineStr">
        <is>
          <t>Tabora Regional Secretariat</t>
        </is>
      </c>
      <c r="G192" s="70" t="inlineStr">
        <is>
          <t>government</t>
        </is>
      </c>
      <c r="H192" s="70" t="inlineStr">
        <is>
          <t>CONSTRUCTION OF URAMBO DISTRICT ADMINISTRATIVE SECRETARY'S HOUSE.</t>
        </is>
      </c>
      <c r="I192" s="70" t="inlineStr">
        <is>
          <t>From NeST notice (1 lot) – read the tender document</t>
        </is>
      </c>
      <c r="J192" s="70" t="inlineStr">
        <is>
          <t>Tabora (from client's office – confirm site)</t>
        </is>
      </c>
      <c r="K192" s="70" t="inlineStr">
        <is>
          <t>building</t>
        </is>
      </c>
      <c r="L192" s="70" t="inlineStr">
        <is>
          <t>NeST login needed</t>
        </is>
      </c>
      <c r="M192" s="62" t="n"/>
      <c r="N192" s="70" t="inlineStr">
        <is>
          <t>unknown</t>
        </is>
      </c>
      <c r="O192" s="71" t="inlineStr">
        <is>
          <t>NeST login needed</t>
        </is>
      </c>
      <c r="P192" s="71" t="inlineStr">
        <is>
          <t>NeST login needed</t>
        </is>
      </c>
      <c r="Q192" s="72" t="n">
        <v>46322.58333333334</v>
      </c>
      <c r="R192" s="70" t="inlineStr">
        <is>
          <t>NeST login needed</t>
        </is>
      </c>
      <c r="S192" s="70" t="inlineStr">
        <is>
          <t>N</t>
        </is>
      </c>
      <c r="T192" s="64">
        <f>IF(A192="","",IFERROR(INDEX('Bid-NoBid'!$T:$T,MATCH(A192,'Bid-NoBid'!$A:$A,0)),""))</f>
        <v/>
      </c>
      <c r="U192" s="59">
        <f>IF(A192="","",IFERROR(IF(OR(INDEX('Bid-NoBid'!$U:$U,MATCH(A192,'Bid-NoBid'!$A:$A,0))="",LEFT(INDEX('Bid-NoBid'!$U:$U,MATCH(A192,'Bid-NoBid'!$A:$A,0)),10)="Incomplete"),"Screen: "&amp;AC192,INDEX('Bid-NoBid'!$U:$U,MATCH(A192,'Bid-NoBid'!$A:$A,0))),"Screen: "&amp;AC192))</f>
        <v/>
      </c>
      <c r="V192" s="60" t="n"/>
      <c r="W192" s="70" t="inlineStr">
        <is>
          <t>Watching</t>
        </is>
      </c>
      <c r="X192" s="70" t="inlineStr">
        <is>
          <t>Frank</t>
        </is>
      </c>
      <c r="Y192" s="60" t="n"/>
      <c r="Z192" s="60" t="n"/>
      <c r="AA192" s="73" t="n">
        <v>46315</v>
      </c>
      <c r="AB192" s="74" t="inlineStr">
        <is>
          <t>Standard Invitation for Quotations -Works / Planned Tender</t>
        </is>
      </c>
      <c r="AC192" s="74" t="inlineStr">
        <is>
          <t>Check</t>
        </is>
      </c>
      <c r="AD192" s="74" t="inlineStr">
        <is>
          <t>Auto (Standard Invitation for Quotations -Works / Planned Tender): Building works but remote from Dar</t>
        </is>
      </c>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74" t="inlineStr">
        <is>
          <t>Read the notice and decide with the QS Director whether to pursue</t>
        </is>
      </c>
      <c r="AJ192" s="74" t="inlineStr">
        <is>
          <t>Auto-scan</t>
        </is>
      </c>
      <c r="AK192" s="74" t="inlineStr">
        <is>
          <t>a72570b7-f137-4388-a67b-cc672acafceb</t>
        </is>
      </c>
      <c r="AL192" s="59">
        <f>IF(AND(OR(W192="Watching",W192="Preparing"),ISNUMBER(Q192)),IF(AND(Q192&gt;='Friday Summary'!$C$4,Q192&lt;='Friday Summary'!$C$4+14),Q192+ROW()/1000000,""),"")</f>
        <v/>
      </c>
    </row>
    <row r="193" ht="15" customHeight="1" s="51">
      <c r="A193" s="59">
        <f>IF(B193="","","OP-"&amp;TEXT(ROW()-4,"000"))</f>
        <v/>
      </c>
      <c r="B193" s="70" t="inlineStr">
        <is>
          <t>85/2026/2027/W/04</t>
        </is>
      </c>
      <c r="C193" s="71" t="n">
        <v>46315</v>
      </c>
      <c r="D193" s="70" t="inlineStr">
        <is>
          <t>NeST</t>
        </is>
      </c>
      <c r="E193" s="70" t="inlineStr">
        <is>
          <t>https://nest.go.tz/tenders/published-tenders</t>
        </is>
      </c>
      <c r="F193" s="70" t="inlineStr">
        <is>
          <t>Tabora Regional Secretariat</t>
        </is>
      </c>
      <c r="G193" s="70" t="inlineStr">
        <is>
          <t>government</t>
        </is>
      </c>
      <c r="H193" s="70" t="inlineStr">
        <is>
          <t>CONSTRUCTION OF NZEGA DISTRICT ADMINISTRATIVE SECRETARY'S HOUSE.</t>
        </is>
      </c>
      <c r="I193" s="70" t="inlineStr">
        <is>
          <t>From NeST notice (1 lot) – read the tender document</t>
        </is>
      </c>
      <c r="J193" s="70" t="inlineStr">
        <is>
          <t>Tabora (from client's office – confirm site)</t>
        </is>
      </c>
      <c r="K193" s="70" t="inlineStr">
        <is>
          <t>building</t>
        </is>
      </c>
      <c r="L193" s="70" t="inlineStr">
        <is>
          <t>NeST login needed</t>
        </is>
      </c>
      <c r="M193" s="62" t="n"/>
      <c r="N193" s="70" t="inlineStr">
        <is>
          <t>unknown</t>
        </is>
      </c>
      <c r="O193" s="71" t="inlineStr">
        <is>
          <t>NeST login needed</t>
        </is>
      </c>
      <c r="P193" s="71" t="inlineStr">
        <is>
          <t>NeST login needed</t>
        </is>
      </c>
      <c r="Q193" s="72" t="n">
        <v>46322.58333333334</v>
      </c>
      <c r="R193" s="70" t="inlineStr">
        <is>
          <t>NeST login needed</t>
        </is>
      </c>
      <c r="S193" s="70" t="inlineStr">
        <is>
          <t>N</t>
        </is>
      </c>
      <c r="T193" s="64">
        <f>IF(A193="","",IFERROR(INDEX('Bid-NoBid'!$T:$T,MATCH(A193,'Bid-NoBid'!$A:$A,0)),""))</f>
        <v/>
      </c>
      <c r="U193" s="59">
        <f>IF(A193="","",IFERROR(IF(OR(INDEX('Bid-NoBid'!$U:$U,MATCH(A193,'Bid-NoBid'!$A:$A,0))="",LEFT(INDEX('Bid-NoBid'!$U:$U,MATCH(A193,'Bid-NoBid'!$A:$A,0)),10)="Incomplete"),"Screen: "&amp;AC193,INDEX('Bid-NoBid'!$U:$U,MATCH(A193,'Bid-NoBid'!$A:$A,0))),"Screen: "&amp;AC193))</f>
        <v/>
      </c>
      <c r="V193" s="60" t="n"/>
      <c r="W193" s="70" t="inlineStr">
        <is>
          <t>Watching</t>
        </is>
      </c>
      <c r="X193" s="70" t="inlineStr">
        <is>
          <t>Frank</t>
        </is>
      </c>
      <c r="Y193" s="60" t="n"/>
      <c r="Z193" s="60" t="n"/>
      <c r="AA193" s="73" t="n">
        <v>46315</v>
      </c>
      <c r="AB193" s="74" t="inlineStr">
        <is>
          <t>Standard Invitation for Quotations -Works / Planned Tender</t>
        </is>
      </c>
      <c r="AC193" s="74" t="inlineStr">
        <is>
          <t>Check</t>
        </is>
      </c>
      <c r="AD193" s="74" t="inlineStr">
        <is>
          <t>Auto (Standard Invitation for Quotations -Works / Planned Tender): Building works but remote from Dar</t>
        </is>
      </c>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74" t="inlineStr">
        <is>
          <t>Read the notice and decide with the QS Director whether to pursue</t>
        </is>
      </c>
      <c r="AJ193" s="74" t="inlineStr">
        <is>
          <t>Auto-scan</t>
        </is>
      </c>
      <c r="AK193" s="74" t="inlineStr">
        <is>
          <t>de3b9518-bfcc-441c-bf2f-4c91c1b60c5d</t>
        </is>
      </c>
      <c r="AL193" s="59">
        <f>IF(AND(OR(W193="Watching",W193="Preparing"),ISNUMBER(Q193)),IF(AND(Q193&gt;='Friday Summary'!$C$4,Q193&lt;='Friday Summary'!$C$4+14),Q193+ROW()/1000000,""),"")</f>
        <v/>
      </c>
    </row>
    <row r="194" ht="15" customHeight="1" s="51">
      <c r="A194" s="59">
        <f>IF(B194="","","OP-"&amp;TEXT(ROW()-4,"000"))</f>
        <v/>
      </c>
      <c r="B194" s="70" t="inlineStr">
        <is>
          <t>85/2026/2027/W/10</t>
        </is>
      </c>
      <c r="C194" s="71" t="n">
        <v>46315</v>
      </c>
      <c r="D194" s="70" t="inlineStr">
        <is>
          <t>NeST</t>
        </is>
      </c>
      <c r="E194" s="70" t="inlineStr">
        <is>
          <t>https://nest.go.tz/tenders/published-tenders</t>
        </is>
      </c>
      <c r="F194" s="70" t="inlineStr">
        <is>
          <t>Tabora Regional Secretariat</t>
        </is>
      </c>
      <c r="G194" s="70" t="inlineStr">
        <is>
          <t>government</t>
        </is>
      </c>
      <c r="H194" s="70" t="inlineStr">
        <is>
          <t>CONSTRUCTION OF TABORA DISTRICT COMMISSIONER'S HOUSE.</t>
        </is>
      </c>
      <c r="I194" s="70" t="inlineStr">
        <is>
          <t>From NeST notice (1 lot) – read the tender document</t>
        </is>
      </c>
      <c r="J194" s="70" t="inlineStr">
        <is>
          <t>Tabora</t>
        </is>
      </c>
      <c r="K194" s="70" t="inlineStr">
        <is>
          <t>building</t>
        </is>
      </c>
      <c r="L194" s="70" t="inlineStr">
        <is>
          <t>NeST login needed</t>
        </is>
      </c>
      <c r="M194" s="62" t="n"/>
      <c r="N194" s="70" t="inlineStr">
        <is>
          <t>unknown</t>
        </is>
      </c>
      <c r="O194" s="71" t="inlineStr">
        <is>
          <t>NeST login needed</t>
        </is>
      </c>
      <c r="P194" s="71" t="inlineStr">
        <is>
          <t>NeST login needed</t>
        </is>
      </c>
      <c r="Q194" s="72" t="n">
        <v>46322.58333333334</v>
      </c>
      <c r="R194" s="70" t="inlineStr">
        <is>
          <t>NeST login needed</t>
        </is>
      </c>
      <c r="S194" s="70" t="inlineStr">
        <is>
          <t>N</t>
        </is>
      </c>
      <c r="T194" s="64">
        <f>IF(A194="","",IFERROR(INDEX('Bid-NoBid'!$T:$T,MATCH(A194,'Bid-NoBid'!$A:$A,0)),""))</f>
        <v/>
      </c>
      <c r="U194" s="59">
        <f>IF(A194="","",IFERROR(IF(OR(INDEX('Bid-NoBid'!$U:$U,MATCH(A194,'Bid-NoBid'!$A:$A,0))="",LEFT(INDEX('Bid-NoBid'!$U:$U,MATCH(A194,'Bid-NoBid'!$A:$A,0)),10)="Incomplete"),"Screen: "&amp;AC194,INDEX('Bid-NoBid'!$U:$U,MATCH(A194,'Bid-NoBid'!$A:$A,0))),"Screen: "&amp;AC194))</f>
        <v/>
      </c>
      <c r="V194" s="60" t="n"/>
      <c r="W194" s="70" t="inlineStr">
        <is>
          <t>Watching</t>
        </is>
      </c>
      <c r="X194" s="70" t="inlineStr">
        <is>
          <t>Frank</t>
        </is>
      </c>
      <c r="Y194" s="60" t="n"/>
      <c r="Z194" s="60" t="n"/>
      <c r="AA194" s="73" t="n">
        <v>46315</v>
      </c>
      <c r="AB194" s="74" t="inlineStr">
        <is>
          <t>Standard Invitation for Quotations -Works / Planned Tender</t>
        </is>
      </c>
      <c r="AC194" s="74" t="inlineStr">
        <is>
          <t>Check</t>
        </is>
      </c>
      <c r="AD194" s="74" t="inlineStr">
        <is>
          <t>Auto (Standard Invitation for Quotations -Works / Planned Tender): Building works but remote from Dar</t>
        </is>
      </c>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74" t="inlineStr">
        <is>
          <t>Read the notice and decide with the QS Director whether to pursue</t>
        </is>
      </c>
      <c r="AJ194" s="74" t="inlineStr">
        <is>
          <t>Auto-scan</t>
        </is>
      </c>
      <c r="AK194" s="74" t="inlineStr">
        <is>
          <t>f493d12f-2554-4627-93f5-cdd9407924df</t>
        </is>
      </c>
      <c r="AL194" s="59">
        <f>IF(AND(OR(W194="Watching",W194="Preparing"),ISNUMBER(Q194)),IF(AND(Q194&gt;='Friday Summary'!$C$4,Q194&lt;='Friday Summary'!$C$4+14),Q194+ROW()/1000000,""),"")</f>
        <v/>
      </c>
    </row>
    <row r="195" ht="15" customHeight="1" s="51">
      <c r="A195" s="59">
        <f>IF(B195="","","OP-"&amp;TEXT(ROW()-4,"000"))</f>
        <v/>
      </c>
      <c r="B195" s="70" t="inlineStr">
        <is>
          <t>TR219/2026/2027/W/13</t>
        </is>
      </c>
      <c r="C195" s="71" t="n">
        <v>46315</v>
      </c>
      <c r="D195" s="70" t="inlineStr">
        <is>
          <t>NeST</t>
        </is>
      </c>
      <c r="E195" s="70" t="inlineStr">
        <is>
          <t>https://nest.go.tz/tenders/published-tenders</t>
        </is>
      </c>
      <c r="F195" s="70" t="inlineStr">
        <is>
          <t>Tanzania National Parks</t>
        </is>
      </c>
      <c r="G195" s="70" t="inlineStr">
        <is>
          <t>government</t>
        </is>
      </c>
      <c r="H195" s="70" t="inlineStr">
        <is>
          <t>CONSTRUCTION OF BRIDGES AT BONA, MOKASI AND WARANGI YA CHINI IN SERENGETI NATIONAL PARK</t>
        </is>
      </c>
      <c r="I195" s="70" t="inlineStr">
        <is>
          <t>From NeST notice (1 lot) – read the tender document</t>
        </is>
      </c>
      <c r="J195" s="70" t="inlineStr">
        <is>
          <t>Arusha (from client's office – confirm site)</t>
        </is>
      </c>
      <c r="K195" s="70" t="inlineStr">
        <is>
          <t>civil</t>
        </is>
      </c>
      <c r="L195" s="70" t="inlineStr">
        <is>
          <t>NeST login needed</t>
        </is>
      </c>
      <c r="M195" s="62" t="n"/>
      <c r="N195" s="70" t="inlineStr">
        <is>
          <t>unknown</t>
        </is>
      </c>
      <c r="O195" s="71" t="inlineStr">
        <is>
          <t>NeST login needed</t>
        </is>
      </c>
      <c r="P195" s="71" t="inlineStr">
        <is>
          <t>NeST login needed</t>
        </is>
      </c>
      <c r="Q195" s="72" t="n">
        <v>46324.58333333334</v>
      </c>
      <c r="R195" s="70" t="inlineStr">
        <is>
          <t>NeST login needed</t>
        </is>
      </c>
      <c r="S195" s="70" t="inlineStr">
        <is>
          <t>N</t>
        </is>
      </c>
      <c r="T195" s="64">
        <f>IF(A195="","",IFERROR(INDEX('Bid-NoBid'!$T:$T,MATCH(A195,'Bid-NoBid'!$A:$A,0)),""))</f>
        <v/>
      </c>
      <c r="U195" s="59">
        <f>IF(A195="","",IFERROR(IF(OR(INDEX('Bid-NoBid'!$U:$U,MATCH(A195,'Bid-NoBid'!$A:$A,0))="",LEFT(INDEX('Bid-NoBid'!$U:$U,MATCH(A195,'Bid-NoBid'!$A:$A,0)),10)="Incomplete"),"Screen: "&amp;AC195,INDEX('Bid-NoBid'!$U:$U,MATCH(A195,'Bid-NoBid'!$A:$A,0))),"Screen: "&amp;AC195))</f>
        <v/>
      </c>
      <c r="V195" s="60" t="n"/>
      <c r="W195" s="70" t="inlineStr">
        <is>
          <t>Watching</t>
        </is>
      </c>
      <c r="X195" s="70" t="inlineStr">
        <is>
          <t>Frank</t>
        </is>
      </c>
      <c r="Y195" s="60" t="n"/>
      <c r="Z195" s="60" t="n"/>
      <c r="AA195" s="73" t="n">
        <v>46314</v>
      </c>
      <c r="AB195" s="74" t="inlineStr">
        <is>
          <t>Small Works / Tender</t>
        </is>
      </c>
      <c r="AC195" s="74" t="inlineStr">
        <is>
          <t>Check</t>
        </is>
      </c>
      <c r="AD195" s="74" t="inlineStr">
        <is>
          <t>Auto (Small Works / Tender): Construction tender kept for review (would have been dropped: Remote civil works)</t>
        </is>
      </c>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74" t="inlineStr">
        <is>
          <t>Read the notice and decide with the QS Director whether to pursue</t>
        </is>
      </c>
      <c r="AJ195" s="74" t="inlineStr">
        <is>
          <t>Auto-scan</t>
        </is>
      </c>
      <c r="AK195" s="74" t="inlineStr">
        <is>
          <t>466b1415-72b3-4bed-8c06-aed1fefecd10</t>
        </is>
      </c>
      <c r="AL195" s="59">
        <f>IF(AND(OR(W195="Watching",W195="Preparing"),ISNUMBER(Q195)),IF(AND(Q195&gt;='Friday Summary'!$C$4,Q195&lt;='Friday Summary'!$C$4+14),Q195+ROW()/1000000,""),"")</f>
        <v/>
      </c>
    </row>
    <row r="196" ht="15" customHeight="1" s="51">
      <c r="A196" s="59">
        <f>IF(B196="","","OP-"&amp;TEXT(ROW()-4,"000"))</f>
        <v/>
      </c>
      <c r="B196" s="70" t="inlineStr">
        <is>
          <t>(not shown)</t>
        </is>
      </c>
      <c r="C196" s="71" t="n">
        <v>46315</v>
      </c>
      <c r="D196" s="70" t="inlineStr">
        <is>
          <t>press</t>
        </is>
      </c>
      <c r="E196" s="70" t="inlineStr">
        <is>
          <t>https://www.tanzaniatenders.com/tender/iucn-26-10-renovation-storage-chamber-vz-1117-90328ab.php</t>
        </is>
      </c>
      <c r="F196" s="70" t="inlineStr">
        <is>
          <t>See advert</t>
        </is>
      </c>
      <c r="G196" s="70" t="inlineStr">
        <is>
          <t>government</t>
        </is>
      </c>
      <c r="H196" s="70" t="inlineStr">
        <is>
          <t>Iucn-26-10-Renovation Storage Chamber Vz-1117</t>
        </is>
      </c>
      <c r="I196" s="70" t="inlineStr">
        <is>
          <t>From press notice (1 lot) – read the tender document</t>
        </is>
      </c>
      <c r="J196" s="70" t="inlineStr">
        <is>
          <t>Not stated – read the notice</t>
        </is>
      </c>
      <c r="K196" s="70" t="inlineStr">
        <is>
          <t>renovation</t>
        </is>
      </c>
      <c r="L196" s="70" t="inlineStr">
        <is>
          <t>See tender document</t>
        </is>
      </c>
      <c r="M196" s="62" t="n"/>
      <c r="N196" s="70" t="inlineStr">
        <is>
          <t>unknown</t>
        </is>
      </c>
      <c r="O196" s="71" t="inlineStr">
        <is>
          <t>See tender document</t>
        </is>
      </c>
      <c r="P196" s="71" t="inlineStr">
        <is>
          <t>See tender document</t>
        </is>
      </c>
      <c r="Q196" s="72" t="n">
        <v>46334.41666666666</v>
      </c>
      <c r="R196" s="70" t="inlineStr">
        <is>
          <t>See tender document</t>
        </is>
      </c>
      <c r="S196" s="70" t="inlineStr">
        <is>
          <t>N</t>
        </is>
      </c>
      <c r="T196" s="64">
        <f>IF(A196="","",IFERROR(INDEX('Bid-NoBid'!$T:$T,MATCH(A196,'Bid-NoBid'!$A:$A,0)),""))</f>
        <v/>
      </c>
      <c r="U196" s="59">
        <f>IF(A196="","",IFERROR(IF(OR(INDEX('Bid-NoBid'!$U:$U,MATCH(A196,'Bid-NoBid'!$A:$A,0))="",LEFT(INDEX('Bid-NoBid'!$U:$U,MATCH(A196,'Bid-NoBid'!$A:$A,0)),10)="Incomplete"),"Screen: "&amp;AC196,INDEX('Bid-NoBid'!$U:$U,MATCH(A196,'Bid-NoBid'!$A:$A,0))),"Screen: "&amp;AC196))</f>
        <v/>
      </c>
      <c r="V196" s="60" t="n"/>
      <c r="W196" s="70" t="inlineStr">
        <is>
          <t>Watching</t>
        </is>
      </c>
      <c r="X196" s="70" t="inlineStr">
        <is>
          <t>Frank</t>
        </is>
      </c>
      <c r="Y196" s="60" t="n"/>
      <c r="Z196" s="60" t="n"/>
      <c r="AA196" s="73" t="n"/>
      <c r="AB196" s="74" t="inlineStr">
        <is>
          <t>TanzaniaTenders.com (newspapers / portals / private)</t>
        </is>
      </c>
      <c r="AC196" s="74" t="inlineStr">
        <is>
          <t>Check</t>
        </is>
      </c>
      <c r="AD196" s="74" t="inlineStr">
        <is>
          <t>Auto (TanzaniaTenders.com): Site not stated in the listing – read the notice · deadline read from the web page – confirm</t>
        </is>
      </c>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74" t="inlineStr">
        <is>
          <t>Read the notice and decide with the QS Director whether to pursue</t>
        </is>
      </c>
      <c r="AJ196" s="74" t="inlineStr">
        <is>
          <t>Auto-scan</t>
        </is>
      </c>
      <c r="AK196" s="74" t="inlineStr">
        <is>
          <t>TZT:151201963</t>
        </is>
      </c>
      <c r="AL196" s="59">
        <f>IF(AND(OR(W196="Watching",W196="Preparing"),ISNUMBER(Q196)),IF(AND(Q196&gt;='Friday Summary'!$C$4,Q196&lt;='Friday Summary'!$C$4+14),Q196+ROW()/1000000,""),"")</f>
        <v/>
      </c>
    </row>
    <row r="197" ht="15" customHeight="1" s="51">
      <c r="A197" s="59">
        <f>IF(B197="","","OP-"&amp;TEXT(ROW()-4,"000"))</f>
        <v/>
      </c>
      <c r="B197" s="70" t="inlineStr">
        <is>
          <t>70A8/2026/2027/W/03</t>
        </is>
      </c>
      <c r="C197" s="71" t="n">
        <v>46316</v>
      </c>
      <c r="D197" s="70" t="inlineStr">
        <is>
          <t>NeST</t>
        </is>
      </c>
      <c r="E197" s="70" t="inlineStr">
        <is>
          <t>https://nest.go.tz/tenders/published-tenders</t>
        </is>
      </c>
      <c r="F197" s="70" t="inlineStr">
        <is>
          <t>Simanjiro District Council</t>
        </is>
      </c>
      <c r="G197" s="70" t="inlineStr">
        <is>
          <t>government</t>
        </is>
      </c>
      <c r="H197" s="70" t="inlineStr">
        <is>
          <t>Construction 2 staff houses (Head of Division/Unit) at Simanjiro District Council</t>
        </is>
      </c>
      <c r="I197" s="70" t="inlineStr">
        <is>
          <t>From NeST notice (1 lot) – read the tender document</t>
        </is>
      </c>
      <c r="J197" s="70" t="inlineStr">
        <is>
          <t>Manyara (from client's office – confirm site)</t>
        </is>
      </c>
      <c r="K197" s="70" t="inlineStr">
        <is>
          <t>building</t>
        </is>
      </c>
      <c r="L197" s="70" t="inlineStr">
        <is>
          <t>NeST login needed</t>
        </is>
      </c>
      <c r="M197" s="62" t="n"/>
      <c r="N197" s="70" t="inlineStr">
        <is>
          <t>unknown</t>
        </is>
      </c>
      <c r="O197" s="71" t="inlineStr">
        <is>
          <t>NeST login needed</t>
        </is>
      </c>
      <c r="P197" s="71" t="inlineStr">
        <is>
          <t>NeST login needed</t>
        </is>
      </c>
      <c r="Q197" s="72" t="n">
        <v>46321.58333333334</v>
      </c>
      <c r="R197" s="70" t="inlineStr">
        <is>
          <t>NeST login needed</t>
        </is>
      </c>
      <c r="S197" s="70" t="inlineStr">
        <is>
          <t>N</t>
        </is>
      </c>
      <c r="T197" s="64">
        <f>IF(A197="","",IFERROR(INDEX('Bid-NoBid'!$T:$T,MATCH(A197,'Bid-NoBid'!$A:$A,0)),""))</f>
        <v/>
      </c>
      <c r="U197" s="59">
        <f>IF(A197="","",IFERROR(IF(OR(INDEX('Bid-NoBid'!$U:$U,MATCH(A197,'Bid-NoBid'!$A:$A,0))="",LEFT(INDEX('Bid-NoBid'!$U:$U,MATCH(A197,'Bid-NoBid'!$A:$A,0)),10)="Incomplete"),"Screen: "&amp;AC197,INDEX('Bid-NoBid'!$U:$U,MATCH(A197,'Bid-NoBid'!$A:$A,0))),"Screen: "&amp;AC197))</f>
        <v/>
      </c>
      <c r="V197" s="60" t="n"/>
      <c r="W197" s="70" t="inlineStr">
        <is>
          <t>Watching</t>
        </is>
      </c>
      <c r="X197" s="70" t="inlineStr">
        <is>
          <t>Frank</t>
        </is>
      </c>
      <c r="Y197" s="60" t="n"/>
      <c r="Z197" s="60" t="n"/>
      <c r="AA197" s="73" t="n">
        <v>46315</v>
      </c>
      <c r="AB197" s="74" t="inlineStr">
        <is>
          <t>Small Works / Tender</t>
        </is>
      </c>
      <c r="AC197" s="74" t="inlineStr">
        <is>
          <t>Check</t>
        </is>
      </c>
      <c r="AD197" s="74" t="inlineStr">
        <is>
          <t>Auto (Small Works / Tender): Construction tender kept for review (would have been dropped: Remote and closing soon)</t>
        </is>
      </c>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74" t="inlineStr">
        <is>
          <t>Read the notice and decide with the QS Director whether to pursue</t>
        </is>
      </c>
      <c r="AJ197" s="74" t="inlineStr">
        <is>
          <t>Auto-scan</t>
        </is>
      </c>
      <c r="AK197" s="74" t="inlineStr">
        <is>
          <t>997fd8a5-514e-4276-95bb-75656e422f29</t>
        </is>
      </c>
      <c r="AL197" s="59">
        <f>IF(AND(OR(W197="Watching",W197="Preparing"),ISNUMBER(Q197)),IF(AND(Q197&gt;='Friday Summary'!$C$4,Q197&lt;='Friday Summary'!$C$4+14),Q197+ROW()/1000000,""),"")</f>
        <v/>
      </c>
    </row>
    <row r="198" ht="15" customHeight="1" s="51">
      <c r="A198" s="59">
        <f>IF(B198="","","OP-"&amp;TEXT(ROW()-4,"000"))</f>
        <v/>
      </c>
      <c r="B198" s="70" t="inlineStr">
        <is>
          <t>TR168/2026/2027/W/11</t>
        </is>
      </c>
      <c r="C198" s="71" t="n">
        <v>46316</v>
      </c>
      <c r="D198" s="70" t="inlineStr">
        <is>
          <t>NeST</t>
        </is>
      </c>
      <c r="E198" s="70" t="inlineStr">
        <is>
          <t>https://nest.go.tz/tenders/published-tenders</t>
        </is>
      </c>
      <c r="F198" s="70" t="inlineStr">
        <is>
          <t>Kigoma Urban Water Supply and Sanitation Authority</t>
        </is>
      </c>
      <c r="G198" s="70" t="inlineStr">
        <is>
          <t>government</t>
        </is>
      </c>
      <c r="H198" s="70" t="inlineStr">
        <is>
          <t>CONSTRUCTION OF A WATER STORAGE TANK WITH A CAPACITY OF 1,000 CUBIC METERS AND WATER NETWORK IMPROVEMENT PROJECT AT MWANDIGA</t>
        </is>
      </c>
      <c r="I198" s="70" t="inlineStr">
        <is>
          <t>From NeST notice (1 lot) – read the tender document</t>
        </is>
      </c>
      <c r="J198" s="70" t="inlineStr">
        <is>
          <t>Kigoma (from client's office – confirm site)</t>
        </is>
      </c>
      <c r="K198" s="70" t="inlineStr">
        <is>
          <t>building</t>
        </is>
      </c>
      <c r="L198" s="70" t="inlineStr">
        <is>
          <t>NeST login needed</t>
        </is>
      </c>
      <c r="M198" s="62" t="n"/>
      <c r="N198" s="70" t="inlineStr">
        <is>
          <t>unknown</t>
        </is>
      </c>
      <c r="O198" s="71" t="inlineStr">
        <is>
          <t>NeST login needed</t>
        </is>
      </c>
      <c r="P198" s="71" t="inlineStr">
        <is>
          <t>NeST login needed</t>
        </is>
      </c>
      <c r="Q198" s="72" t="n">
        <v>46322.41666666666</v>
      </c>
      <c r="R198" s="70" t="inlineStr">
        <is>
          <t>NeST login needed</t>
        </is>
      </c>
      <c r="S198" s="70" t="inlineStr">
        <is>
          <t>N</t>
        </is>
      </c>
      <c r="T198" s="64">
        <f>IF(A198="","",IFERROR(INDEX('Bid-NoBid'!$T:$T,MATCH(A198,'Bid-NoBid'!$A:$A,0)),""))</f>
        <v/>
      </c>
      <c r="U198" s="59">
        <f>IF(A198="","",IFERROR(IF(OR(INDEX('Bid-NoBid'!$U:$U,MATCH(A198,'Bid-NoBid'!$A:$A,0))="",LEFT(INDEX('Bid-NoBid'!$U:$U,MATCH(A198,'Bid-NoBid'!$A:$A,0)),10)="Incomplete"),"Screen: "&amp;AC198,INDEX('Bid-NoBid'!$U:$U,MATCH(A198,'Bid-NoBid'!$A:$A,0))),"Screen: "&amp;AC198))</f>
        <v/>
      </c>
      <c r="V198" s="60" t="n"/>
      <c r="W198" s="70" t="inlineStr">
        <is>
          <t>Watching</t>
        </is>
      </c>
      <c r="X198" s="70" t="inlineStr">
        <is>
          <t>Frank</t>
        </is>
      </c>
      <c r="Y198" s="60" t="n"/>
      <c r="Z198" s="60" t="n"/>
      <c r="AA198" s="73" t="n">
        <v>46315</v>
      </c>
      <c r="AB198" s="74" t="inlineStr">
        <is>
          <t>Small Works / Tender</t>
        </is>
      </c>
      <c r="AC198" s="74" t="inlineStr">
        <is>
          <t>Check</t>
        </is>
      </c>
      <c r="AD198" s="74" t="inlineStr">
        <is>
          <t>Auto (Small Works / Tender): Construction tender kept for review (would have been dropped: Remote and closing soon)</t>
        </is>
      </c>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74" t="inlineStr">
        <is>
          <t>Read the notice and decide with the QS Director whether to pursue</t>
        </is>
      </c>
      <c r="AJ198" s="74" t="inlineStr">
        <is>
          <t>Auto-scan</t>
        </is>
      </c>
      <c r="AK198" s="74" t="inlineStr">
        <is>
          <t>81e48106-cebd-413d-b4b7-80904a5299f3</t>
        </is>
      </c>
      <c r="AL198" s="59">
        <f>IF(AND(OR(W198="Watching",W198="Preparing"),ISNUMBER(Q198)),IF(AND(Q198&gt;='Friday Summary'!$C$4,Q198&lt;='Friday Summary'!$C$4+14),Q198+ROW()/1000000,""),"")</f>
        <v/>
      </c>
    </row>
    <row r="199" ht="15" customHeight="1" s="51">
      <c r="A199" s="59">
        <f>IF(B199="","","OP-"&amp;TEXT(ROW()-4,"000"))</f>
        <v/>
      </c>
      <c r="B199" s="70" t="inlineStr">
        <is>
          <t>TR36/014/2026/2027/W/56</t>
        </is>
      </c>
      <c r="C199" s="71" t="n">
        <v>46316</v>
      </c>
      <c r="D199" s="70" t="inlineStr">
        <is>
          <t>NeST</t>
        </is>
      </c>
      <c r="E199" s="70" t="inlineStr">
        <is>
          <t>https://nest.go.tz/tenders/published-tenders</t>
        </is>
      </c>
      <c r="F199" s="70" t="inlineStr">
        <is>
          <t>TANROADS - Morogoro Regional Office</t>
        </is>
      </c>
      <c r="G199" s="70" t="inlineStr">
        <is>
          <t>government</t>
        </is>
      </c>
      <c r="H199" s="70" t="inlineStr">
        <is>
          <t>Bridge capacity improvement in Morogoro Region</t>
        </is>
      </c>
      <c r="I199" s="70" t="inlineStr">
        <is>
          <t>From NeST notice (1 lot) – read the tender document</t>
        </is>
      </c>
      <c r="J199" s="70" t="inlineStr">
        <is>
          <t>Morogoro</t>
        </is>
      </c>
      <c r="K199" s="70" t="inlineStr">
        <is>
          <t>civil</t>
        </is>
      </c>
      <c r="L199" s="70" t="inlineStr">
        <is>
          <t>NeST login needed</t>
        </is>
      </c>
      <c r="M199" s="62" t="n"/>
      <c r="N199" s="70" t="inlineStr">
        <is>
          <t>unknown</t>
        </is>
      </c>
      <c r="O199" s="71" t="inlineStr">
        <is>
          <t>NeST login needed</t>
        </is>
      </c>
      <c r="P199" s="71" t="inlineStr">
        <is>
          <t>NeST login needed</t>
        </is>
      </c>
      <c r="Q199" s="72" t="n">
        <v>46323.625</v>
      </c>
      <c r="R199" s="70" t="inlineStr">
        <is>
          <t>NeST login needed</t>
        </is>
      </c>
      <c r="S199" s="70" t="inlineStr">
        <is>
          <t>N</t>
        </is>
      </c>
      <c r="T199" s="64">
        <f>IF(A199="","",IFERROR(INDEX('Bid-NoBid'!$T:$T,MATCH(A199,'Bid-NoBid'!$A:$A,0)),""))</f>
        <v/>
      </c>
      <c r="U199" s="59">
        <f>IF(A199="","",IFERROR(IF(OR(INDEX('Bid-NoBid'!$U:$U,MATCH(A199,'Bid-NoBid'!$A:$A,0))="",LEFT(INDEX('Bid-NoBid'!$U:$U,MATCH(A199,'Bid-NoBid'!$A:$A,0)),10)="Incomplete"),"Screen: "&amp;AC199,INDEX('Bid-NoBid'!$U:$U,MATCH(A199,'Bid-NoBid'!$A:$A,0))),"Screen: "&amp;AC199))</f>
        <v/>
      </c>
      <c r="V199" s="60" t="n"/>
      <c r="W199" s="70" t="inlineStr">
        <is>
          <t>Watching</t>
        </is>
      </c>
      <c r="X199" s="70" t="inlineStr">
        <is>
          <t>Frank</t>
        </is>
      </c>
      <c r="Y199" s="60" t="n"/>
      <c r="Z199" s="60" t="n"/>
      <c r="AA199" s="73" t="n">
        <v>46316</v>
      </c>
      <c r="AB199" s="74" t="inlineStr">
        <is>
          <t>Small Works / Tender</t>
        </is>
      </c>
      <c r="AC199" s="74" t="inlineStr">
        <is>
          <t>Check</t>
        </is>
      </c>
      <c r="AD199" s="74" t="inlineStr">
        <is>
          <t>Auto (Small Works / Tender): Civil works – confirm site, CRB class and margin</t>
        </is>
      </c>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74" t="inlineStr">
        <is>
          <t>Read the notice and decide with the QS Director whether to pursue</t>
        </is>
      </c>
      <c r="AJ199" s="74" t="inlineStr">
        <is>
          <t>Auto-scan</t>
        </is>
      </c>
      <c r="AK199" s="74" t="inlineStr">
        <is>
          <t>d0ceb39c-0f55-4a0a-82a7-009152479e47</t>
        </is>
      </c>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v>4</v>
      </c>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v>5</v>
      </c>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v>4</v>
      </c>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v>1</v>
      </c>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v>1</v>
      </c>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v>1</v>
      </c>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v>5</v>
      </c>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v>5</v>
      </c>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v>1</v>
      </c>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v>4</v>
      </c>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v>5</v>
      </c>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v>1</v>
      </c>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v>5</v>
      </c>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v>1</v>
      </c>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v>5</v>
      </c>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v>1</v>
      </c>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v>1</v>
      </c>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v>5</v>
      </c>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v>1</v>
      </c>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v>4</v>
      </c>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v>5</v>
      </c>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v>1</v>
      </c>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v>1</v>
      </c>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v>1</v>
      </c>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v>1</v>
      </c>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v>1</v>
      </c>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v>1</v>
      </c>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v>1</v>
      </c>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v>1</v>
      </c>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v>1</v>
      </c>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v>1</v>
      </c>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v>1</v>
      </c>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v>1</v>
      </c>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v>1</v>
      </c>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v>4</v>
      </c>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v>1</v>
      </c>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v>1</v>
      </c>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v>1</v>
      </c>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v>1</v>
      </c>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v>1</v>
      </c>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v>1</v>
      </c>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v>1</v>
      </c>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v>1</v>
      </c>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v>1</v>
      </c>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v>1</v>
      </c>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v>1</v>
      </c>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v>1</v>
      </c>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v>1</v>
      </c>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v>1</v>
      </c>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v>1</v>
      </c>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v>1</v>
      </c>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v>4</v>
      </c>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6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row r="42">
      <c r="A42" s="113" t="n">
        <v>46307</v>
      </c>
      <c r="B42" s="103" t="inlineStr">
        <is>
          <t>Automatic scan (all sources)</t>
        </is>
      </c>
      <c r="C42" s="103" t="inlineStr"/>
      <c r="D42" s="103" t="inlineStr">
        <is>
          <t>Automatic scan of NeST, World Bank (Tanzania, civil works), TANROADS website, DDO Tenders (newspapers, private, donors), TanzaniaTenders.com (newspapers, portals, private): 2 new added to Pipeline (TanzaniaTenders.com: 2); 0 screened out; 0 deadline change(s)</t>
        </is>
      </c>
      <c r="E42" s="103" t="n">
        <v>2</v>
      </c>
      <c r="F42" s="103" t="inlineStr">
        <is>
          <t>Auto-scanner</t>
        </is>
      </c>
    </row>
    <row r="43">
      <c r="A43" s="113" t="n">
        <v>46307</v>
      </c>
      <c r="B43" s="103" t="inlineStr">
        <is>
          <t>Automatic scan (all sources)</t>
        </is>
      </c>
      <c r="C43" s="103" t="inlineStr"/>
      <c r="D43" s="103" t="inlineStr">
        <is>
          <t>Automatic scan of NeST, TANROADS website, DDO Tenders (newspapers, private, donors),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(TCRA tenders: 1); 0 screened out; 0 deadline change(s)</t>
        </is>
      </c>
      <c r="E43" s="103" t="n">
        <v>1</v>
      </c>
      <c r="F43" s="103" t="inlineStr">
        <is>
          <t>Auto-scanner</t>
        </is>
      </c>
    </row>
    <row r="44">
      <c r="A44" s="113" t="n">
        <v>46307</v>
      </c>
      <c r="B44" s="103" t="inlineStr">
        <is>
          <t>Automatic scan (all sources)</t>
        </is>
      </c>
      <c r="C44" s="103" t="inlineStr"/>
      <c r="D44"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44" s="103" t="n">
        <v>1</v>
      </c>
      <c r="F44" s="103" t="inlineStr">
        <is>
          <t>Auto-scanner</t>
        </is>
      </c>
    </row>
    <row r="45">
      <c r="A45" s="113" t="n">
        <v>46308</v>
      </c>
      <c r="B45" s="103" t="inlineStr">
        <is>
          <t>Automatic scan (all sources)</t>
        </is>
      </c>
      <c r="C45" s="103" t="inlineStr"/>
      <c r="D45" s="103" t="inlineStr">
        <is>
          <t>Automatic scan of NeST, World Bank (Tanzania, civil works), TANROADS website, DDO Tenders (newspapers, private, donors), TanzaniaTenders.com (newspapers, portals, private): 7 new added to Pipeline (Small Works: 5, Standard Invitation for Quotations -Works: 2); 4 screened out; 0 deadline change(s)</t>
        </is>
      </c>
      <c r="E45" s="103" t="n">
        <v>7</v>
      </c>
      <c r="F45" s="103" t="inlineStr">
        <is>
          <t>Auto-scanner</t>
        </is>
      </c>
    </row>
    <row r="46">
      <c r="A46" s="113" t="n">
        <v>46308</v>
      </c>
      <c r="B46" s="103" t="inlineStr">
        <is>
          <t>Automatic scan (all sources)</t>
        </is>
      </c>
      <c r="C46" s="103" t="inlineStr"/>
      <c r="D46" s="103" t="inlineStr">
        <is>
          <t>Automatic scan of NeST, World Bank (Tanzania, civil works), TANROADS website, DDO Tenders (newspapers, private, donors), TanzaniaTenders.com (newspapers, portals, private),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0 screened out; 0 deadline change(s)</t>
        </is>
      </c>
      <c r="E46" s="103" t="n">
        <v>1</v>
      </c>
      <c r="F46" s="103" t="inlineStr">
        <is>
          <t>Auto-scanner</t>
        </is>
      </c>
    </row>
    <row r="47">
      <c r="A47" s="113" t="n">
        <v>46308</v>
      </c>
      <c r="B47" s="103" t="inlineStr">
        <is>
          <t>Automatic scan (all sources)</t>
        </is>
      </c>
      <c r="C47" s="103" t="inlineStr"/>
      <c r="D47" s="103" t="inlineStr">
        <is>
          <t>Automatic scan of NeST, World Bank (Tanzania, civil works), TANROADS website, DDO Tenders (newspapers, private, donors), TanzaniaTenders.com (newspapers, portals, private), CRDB Bank tenders: 2 new added to Pipeline (TanzaniaTenders.com: 2); 0 screened out; 0 deadline change(s)</t>
        </is>
      </c>
      <c r="E47" s="103" t="n">
        <v>2</v>
      </c>
      <c r="F47" s="103" t="inlineStr">
        <is>
          <t>Auto-scanner</t>
        </is>
      </c>
    </row>
    <row r="48">
      <c r="A48" s="113" t="n">
        <v>46309</v>
      </c>
      <c r="B48" s="103" t="inlineStr">
        <is>
          <t>Automatic scan (all sources)</t>
        </is>
      </c>
      <c r="C48" s="103" t="inlineStr"/>
      <c r="D48" s="103" t="inlineStr">
        <is>
          <t>Automatic scan of NeST, TANROADS website, DDO Tenders (newspapers, private, donors): 3 new added to Pipeline (Small Works: 2, Design and Build: 1); 2 screened out; 0 deadline change(s)</t>
        </is>
      </c>
      <c r="E48" s="103" t="n">
        <v>3</v>
      </c>
      <c r="F48" s="103" t="inlineStr">
        <is>
          <t>Auto-scanner</t>
        </is>
      </c>
    </row>
    <row r="49">
      <c r="A49" s="113" t="n">
        <v>46309</v>
      </c>
      <c r="B49" s="103" t="inlineStr">
        <is>
          <t>Automatic scan (all sources)</t>
        </is>
      </c>
      <c r="C49" s="103" t="inlineStr"/>
      <c r="D49" s="103" t="inlineStr">
        <is>
          <t>Automatic scan of NeST, World Bank (Tanzania, civil works), TANROADS website, DDO Tenders (newspapers, private, donors), TanzaniaTenders.com (newspapers, portals, private): 1 new added to Pipeline (TanzaniaTenders.com: 1); 0 screened out; 0 deadline change(s)</t>
        </is>
      </c>
      <c r="E49" s="103" t="n">
        <v>1</v>
      </c>
      <c r="F49" s="103" t="inlineStr">
        <is>
          <t>Auto-scanner</t>
        </is>
      </c>
    </row>
    <row r="50">
      <c r="A50" s="113" t="n">
        <v>46309</v>
      </c>
      <c r="B50" s="103" t="inlineStr">
        <is>
          <t>Automatic scan (all sources)</t>
        </is>
      </c>
      <c r="C50" s="103" t="inlineStr"/>
      <c r="D50"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(TenderImpulse: 1); 0 screened out; 0 deadline change(s)</t>
        </is>
      </c>
      <c r="E50" s="103" t="n">
        <v>1</v>
      </c>
      <c r="F50" s="103" t="inlineStr">
        <is>
          <t>Auto-scanner</t>
        </is>
      </c>
    </row>
    <row r="51">
      <c r="A51" s="113" t="n">
        <v>46309</v>
      </c>
      <c r="B51" s="103" t="inlineStr">
        <is>
          <t>Automatic scan (all sources)</t>
        </is>
      </c>
      <c r="C51" s="103" t="inlineStr"/>
      <c r="D51" s="103" t="inlineStr">
        <is>
          <t>Automatic scan of NeST, World Bank (Tanzania, civil works), TANROADS website, DDO Tenders (newspapers, private, donors), TanzaniaTenders.com (newspapers, portals, private): 1 new added to Pipeline (TanzaniaTenders.com: 1); 0 screened out; 0 deadline change(s)</t>
        </is>
      </c>
      <c r="E51" s="103" t="n">
        <v>1</v>
      </c>
      <c r="F51" s="103" t="inlineStr">
        <is>
          <t>Auto-scanner</t>
        </is>
      </c>
    </row>
    <row r="52">
      <c r="A52" s="113" t="n">
        <v>46310</v>
      </c>
      <c r="B52" s="103" t="inlineStr">
        <is>
          <t>Automatic scan (all sources)</t>
        </is>
      </c>
      <c r="C52" s="103" t="inlineStr"/>
      <c r="D52"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2 new added to Pipeline (Standard Invitation for Quotations -Works: 2); 1 screened out; 0 deadline change(s)</t>
        </is>
      </c>
      <c r="E52" s="103" t="n">
        <v>2</v>
      </c>
      <c r="F52" s="103" t="inlineStr">
        <is>
          <t>Auto-scanner</t>
        </is>
      </c>
    </row>
    <row r="53">
      <c r="A53" s="113" t="n">
        <v>46310</v>
      </c>
      <c r="B53" s="103" t="inlineStr">
        <is>
          <t>Automatic scan (all sources)</t>
        </is>
      </c>
      <c r="C53" s="103" t="inlineStr"/>
      <c r="D53" s="103" t="inlineStr">
        <is>
          <t>Automatic scan of NeST, World Bank (Tanzania, civil works), TANROADS website, DDO Tenders (newspapers, private, donors), TanzaniaTenders.com (newspapers, portals, private): 1 new added to Pipeline (DDO Tenders: 1); 0 screened out; 0 deadline change(s)</t>
        </is>
      </c>
      <c r="E53" s="103" t="n">
        <v>1</v>
      </c>
      <c r="F53" s="103" t="inlineStr">
        <is>
          <t>Auto-scanner</t>
        </is>
      </c>
    </row>
    <row r="54">
      <c r="A54" s="113" t="n">
        <v>46310</v>
      </c>
      <c r="B54" s="103" t="inlineStr">
        <is>
          <t>Automatic scan (all sources)</t>
        </is>
      </c>
      <c r="C54" s="103" t="inlineStr"/>
      <c r="D5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(TanzaniaTenders.com: 1); 0 screened out; 0 deadline change(s)</t>
        </is>
      </c>
      <c r="E54" s="103" t="n">
        <v>1</v>
      </c>
      <c r="F54" s="103" t="inlineStr">
        <is>
          <t>Auto-scanner</t>
        </is>
      </c>
    </row>
    <row r="55">
      <c r="A55" s="113" t="n">
        <v>46311</v>
      </c>
      <c r="B55" s="103" t="inlineStr">
        <is>
          <t>Automatic scan (all sources)</t>
        </is>
      </c>
      <c r="C55" s="103" t="inlineStr"/>
      <c r="D5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(Small Works: 1); 1 screened out; 1 deadline change(s)</t>
        </is>
      </c>
      <c r="E55" s="103" t="n">
        <v>1</v>
      </c>
      <c r="F55" s="103" t="inlineStr">
        <is>
          <t>Auto-scanner</t>
        </is>
      </c>
    </row>
    <row r="56">
      <c r="A56" s="113" t="n">
        <v>46311</v>
      </c>
      <c r="B56" s="103" t="inlineStr">
        <is>
          <t>Automatic scan (all sources)</t>
        </is>
      </c>
      <c r="C56" s="103" t="inlineStr"/>
      <c r="D56" s="103" t="inlineStr">
        <is>
          <t>Automatic scan of NeST, World Bank (Tanzania, civil works), TANROADS website, DDO Tenders (newspapers, private, donors), TanzaniaTenders.com (newspapers, portals, private): 1 new added to Pipeline (TanzaniaTenders.com: 1); 1 screened out; 0 deadline change(s)</t>
        </is>
      </c>
      <c r="E56" s="103" t="n">
        <v>1</v>
      </c>
      <c r="F56" s="103" t="inlineStr">
        <is>
          <t>Auto-scanner</t>
        </is>
      </c>
    </row>
    <row r="57">
      <c r="A57" s="113" t="n">
        <v>46311</v>
      </c>
      <c r="B57" s="103" t="inlineStr">
        <is>
          <t>Automatic scan (all sources)</t>
        </is>
      </c>
      <c r="C57" s="103" t="inlineStr"/>
      <c r="D57" s="103" t="inlineStr">
        <is>
          <t>Automatic scan of NeST, World Bank (Tanzania, civil works), TANROADS website, DDO Tenders (newspapers, private, donors), TanzaniaTenders.com (newspapers, portals, private): 1 new added to Pipeline (DDO Tenders: 1); 0 screened out; 0 deadline change(s)</t>
        </is>
      </c>
      <c r="E57" s="103" t="n">
        <v>1</v>
      </c>
      <c r="F57" s="103" t="inlineStr">
        <is>
          <t>Auto-scanner</t>
        </is>
      </c>
    </row>
    <row r="58">
      <c r="A58" s="113" t="n">
        <v>46312</v>
      </c>
      <c r="B58" s="103" t="inlineStr">
        <is>
          <t>Automatic scan (all sources)</t>
        </is>
      </c>
      <c r="C58" s="103" t="inlineStr"/>
      <c r="D58"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8 new added to Pipeline (Small Works: 8); 11 screened out; 0 deadline change(s)</t>
        </is>
      </c>
      <c r="E58" s="103" t="n">
        <v>8</v>
      </c>
      <c r="F58" s="103" t="inlineStr">
        <is>
          <t>Auto-scanner</t>
        </is>
      </c>
    </row>
    <row r="59">
      <c r="A59" s="113" t="n">
        <v>46312</v>
      </c>
      <c r="B59" s="103" t="inlineStr">
        <is>
          <t>Automatic scan (all sources)</t>
        </is>
      </c>
      <c r="C59" s="103" t="inlineStr"/>
      <c r="D59"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1 screened out; 0 deadline change(s)</t>
        </is>
      </c>
      <c r="E59" s="103" t="n">
        <v>1</v>
      </c>
      <c r="F59" s="103" t="inlineStr">
        <is>
          <t>Auto-scanner</t>
        </is>
      </c>
    </row>
    <row r="60">
      <c r="A60" s="113" t="n">
        <v>46312</v>
      </c>
      <c r="B60" s="103" t="inlineStr">
        <is>
          <t>Automatic scan (all sources)</t>
        </is>
      </c>
      <c r="C60" s="103" t="inlineStr"/>
      <c r="D60" s="103" t="inlineStr">
        <is>
          <t>Automatic scan of NeST, World Bank (Tanzania, civil works), TANROADS website, DDO Tenders (newspapers, private, donors), TanzaniaTenders.com (newspapers, portals, private): 1 new added to Pipeline (TanzaniaTenders.com: 1); 0 screened out; 0 deadline change(s)</t>
        </is>
      </c>
      <c r="E60" s="103" t="n">
        <v>1</v>
      </c>
      <c r="F60" s="103" t="inlineStr">
        <is>
          <t>Auto-scanner</t>
        </is>
      </c>
    </row>
    <row r="61">
      <c r="A61" s="113" t="n">
        <v>46312</v>
      </c>
      <c r="B61" s="103" t="inlineStr">
        <is>
          <t>Automatic scan (all sources)</t>
        </is>
      </c>
      <c r="C61" s="103" t="inlineStr"/>
      <c r="D61"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1" s="103" t="n">
        <v>1</v>
      </c>
      <c r="F61" s="103" t="inlineStr">
        <is>
          <t>Auto-scanner</t>
        </is>
      </c>
    </row>
    <row r="62">
      <c r="A62" s="113" t="n">
        <v>46312</v>
      </c>
      <c r="B62" s="103" t="inlineStr">
        <is>
          <t>Automatic scan (all sources)</t>
        </is>
      </c>
      <c r="C62" s="103" t="inlineStr"/>
      <c r="D62" s="103" t="inlineStr">
        <is>
          <t>Automatic scan of World Bank (Tanzania, civil works),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6 new added to Pipeline (TanzaniaTenders.com: 6); 5 screened out; 0 deadline change(s)</t>
        </is>
      </c>
      <c r="E62" s="103" t="n">
        <v>6</v>
      </c>
      <c r="F62" s="103" t="inlineStr">
        <is>
          <t>Auto-scanner</t>
        </is>
      </c>
    </row>
    <row r="63">
      <c r="A63" s="113" t="n">
        <v>46314</v>
      </c>
      <c r="B63" s="103" t="inlineStr">
        <is>
          <t>Automatic scan (all sources)</t>
        </is>
      </c>
      <c r="C63" s="103" t="inlineStr"/>
      <c r="D63"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4 new added to Pipeline (Small Works: 4); 1 screened out; 1 deadline change(s)</t>
        </is>
      </c>
      <c r="E63" s="103" t="n">
        <v>4</v>
      </c>
      <c r="F63" s="103" t="inlineStr">
        <is>
          <t>Auto-scanner</t>
        </is>
      </c>
    </row>
    <row r="64">
      <c r="A64" s="113" t="n">
        <v>46314</v>
      </c>
      <c r="B64" s="103" t="inlineStr">
        <is>
          <t>Automatic scan (all sources)</t>
        </is>
      </c>
      <c r="C64" s="103" t="inlineStr"/>
      <c r="D64" s="103" t="inlineStr">
        <is>
          <t>Automatic scan of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0 new added to Pipeline; 1 screened out; 0 deadline change(s)</t>
        </is>
      </c>
      <c r="E64" s="103" t="n">
        <v>0</v>
      </c>
      <c r="F64" s="103" t="inlineStr">
        <is>
          <t>Auto-scanner</t>
        </is>
      </c>
    </row>
    <row r="65">
      <c r="A65" s="113" t="n">
        <v>46314</v>
      </c>
      <c r="B65" s="103" t="inlineStr">
        <is>
          <t>Automatic scan (all sources)</t>
        </is>
      </c>
      <c r="C65" s="103" t="inlineStr"/>
      <c r="D65"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5" s="103" t="n">
        <v>1</v>
      </c>
      <c r="F65" s="103" t="inlineStr">
        <is>
          <t>Auto-scanner</t>
        </is>
      </c>
    </row>
    <row r="66">
      <c r="A66" s="113" t="n">
        <v>46315</v>
      </c>
      <c r="B66" s="103" t="inlineStr">
        <is>
          <t>Automatic scan (all sources)</t>
        </is>
      </c>
      <c r="C66" s="103" t="inlineStr"/>
      <c r="D66" s="103" t="inlineStr">
        <is>
          <t>Automatic scan of NeST, World Bank (Tanzania, civil works), TANROADS website, DDO Tenders (newspapers, private, donors), TanzaniaTenders.com (newspapers, portals, private): 14 new added to Pipeline (Small Works: 4, Standard Invitation for Quotations -Works: 10); 5 screened out; 1 deadline change(s)</t>
        </is>
      </c>
      <c r="E66" s="103" t="n">
        <v>14</v>
      </c>
      <c r="F66" s="103" t="inlineStr">
        <is>
          <t>Auto-scanner</t>
        </is>
      </c>
    </row>
    <row r="67">
      <c r="A67" s="113" t="n">
        <v>46315</v>
      </c>
      <c r="B67" s="103" t="inlineStr">
        <is>
          <t>Automatic scan (all sources)</t>
        </is>
      </c>
      <c r="C67" s="103" t="inlineStr"/>
      <c r="D67" s="103" t="inlineStr">
        <is>
          <t>Automatic scan of NeST, World Bank (Tanzania, civil works), TANROADS website, DDO Tenders (newspapers, private, donors), TanzaniaTenders.com (newspapers, portals, private): 1 new added to Pipeline (TanzaniaTenders.com: 1); 0 screened out; 0 deadline change(s)</t>
        </is>
      </c>
      <c r="E67" s="103" t="n">
        <v>1</v>
      </c>
      <c r="F67" s="103" t="inlineStr">
        <is>
          <t>Auto-scanner</t>
        </is>
      </c>
    </row>
    <row r="68">
      <c r="A68" s="113" t="n">
        <v>46316</v>
      </c>
      <c r="B68" s="103" t="inlineStr">
        <is>
          <t>Automatic scan (all sources)</t>
        </is>
      </c>
      <c r="C68" s="103" t="inlineStr"/>
      <c r="D68"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3 new added to Pipeline (Small Works: 3); 5 screened out; 0 deadline change(s)</t>
        </is>
      </c>
      <c r="E68" s="103" t="n">
        <v>3</v>
      </c>
      <c r="F68"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121"/>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row r="84">
      <c r="A84" s="114" t="n">
        <v>46308</v>
      </c>
      <c r="B84" s="111" t="inlineStr">
        <is>
          <t>S10/009/2026/2027/W/187</t>
        </is>
      </c>
      <c r="C84" s="111" t="inlineStr">
        <is>
          <t>TARURA - Kilimanjaro Regional Office</t>
        </is>
      </c>
      <c r="D84" s="111" t="inlineStr">
        <is>
          <t>Upgrading of Nasai-Sango-Ngaroni (0+000 - 0+300 Km ) to bitumen standard in Siha District.</t>
        </is>
      </c>
      <c r="E84" s="111" t="inlineStr">
        <is>
          <t>Kilimanjaro (Moshi) (from client's office – confirm site)</t>
        </is>
      </c>
      <c r="F84" s="111" t="inlineStr">
        <is>
          <t>civil</t>
        </is>
      </c>
      <c r="G84" s="115" t="n">
        <v>46315.41666666666</v>
      </c>
      <c r="H84" s="111" t="inlineStr">
        <is>
          <t>Auto (Small Works / Tender): Large road works, likely above Civil Class IV – JV only (escalate to MD if of interest)</t>
        </is>
      </c>
      <c r="I84" s="111" t="inlineStr">
        <is>
          <t>ae67ab68-9fed-42b0-bb3a-9bf048195ce5</t>
        </is>
      </c>
      <c r="J84" s="111" t="inlineStr">
        <is>
          <t>NeST</t>
        </is>
      </c>
      <c r="K84" s="111" t="inlineStr">
        <is>
          <t>https://nest.go.tz/tenders/published-tenders</t>
        </is>
      </c>
    </row>
    <row r="85">
      <c r="A85" s="114" t="n">
        <v>46308</v>
      </c>
      <c r="B85" s="111" t="inlineStr">
        <is>
          <t>S10/009/2026/2027/W/150</t>
        </is>
      </c>
      <c r="C85" s="111" t="inlineStr">
        <is>
          <t>TARURA - Kilimanjaro Regional Office</t>
        </is>
      </c>
      <c r="D85" s="111" t="inlineStr">
        <is>
          <t>Upgrading of District Hospital road (1.0km) to paved standard in Rombo District</t>
        </is>
      </c>
      <c r="E85" s="111" t="inlineStr">
        <is>
          <t>Kilimanjaro (Moshi) (from client's office – confirm site)</t>
        </is>
      </c>
      <c r="F85" s="111" t="inlineStr">
        <is>
          <t>civil</t>
        </is>
      </c>
      <c r="G85" s="115" t="n">
        <v>46315.45833333334</v>
      </c>
      <c r="H85" s="111" t="inlineStr">
        <is>
          <t>Auto (Small Works / Tender): Remote civil works</t>
        </is>
      </c>
      <c r="I85" s="111" t="inlineStr">
        <is>
          <t>3f96f9a6-2890-4a02-8311-862498a352dc</t>
        </is>
      </c>
      <c r="J85" s="111" t="inlineStr">
        <is>
          <t>NeST</t>
        </is>
      </c>
      <c r="K85" s="111" t="inlineStr">
        <is>
          <t>https://nest.go.tz/tenders/published-tenders</t>
        </is>
      </c>
    </row>
    <row r="86">
      <c r="A86" s="114" t="n">
        <v>46308</v>
      </c>
      <c r="B86" s="111" t="inlineStr">
        <is>
          <t>S10/009/2026/2027/W/175</t>
        </is>
      </c>
      <c r="C86" s="111" t="inlineStr">
        <is>
          <t>TARURA - Kilimanjaro Regional Office</t>
        </is>
      </c>
      <c r="D86" s="111" t="inlineStr">
        <is>
          <t>Upgrading of Mlembea - Kivanda - Tangwa (2km) Road to to Bitumen Standard (DSD)</t>
        </is>
      </c>
      <c r="E86" s="111" t="inlineStr">
        <is>
          <t>Kilimanjaro (Moshi) (from client's office – confirm site)</t>
        </is>
      </c>
      <c r="F86" s="111" t="inlineStr">
        <is>
          <t>civil</t>
        </is>
      </c>
      <c r="G86" s="115" t="n">
        <v>46315.4375</v>
      </c>
      <c r="H86" s="111" t="inlineStr">
        <is>
          <t>Auto (Small Works / Tender): Large road works, likely above Civil Class IV – JV only (escalate to MD if of interest)</t>
        </is>
      </c>
      <c r="I86" s="111" t="inlineStr">
        <is>
          <t>778f6ce0-68da-4de4-a8d4-97707a1ca2f1</t>
        </is>
      </c>
      <c r="J86" s="111" t="inlineStr">
        <is>
          <t>NeST</t>
        </is>
      </c>
      <c r="K86" s="111" t="inlineStr">
        <is>
          <t>https://nest.go.tz/tenders/published-tenders</t>
        </is>
      </c>
    </row>
    <row r="87">
      <c r="A87" s="114" t="n">
        <v>46308</v>
      </c>
      <c r="B87" s="111" t="inlineStr">
        <is>
          <t>TR219/003/2026/2027/W/07</t>
        </is>
      </c>
      <c r="C87" s="111" t="inlineStr">
        <is>
          <t>TANAPA - Southern Zone</t>
        </is>
      </c>
      <c r="D87" s="111" t="inlineStr">
        <is>
          <t>Rehabilitation of 20km road to gravel standard (Mwakipembo-Nhumbe ) in Kitulo National Park</t>
        </is>
      </c>
      <c r="E87" s="111" t="inlineStr">
        <is>
          <t>Mbeya (Mbarali) (from client's office – confirm site)</t>
        </is>
      </c>
      <c r="F87" s="111" t="inlineStr">
        <is>
          <t>civil</t>
        </is>
      </c>
      <c r="G87" s="115" t="n">
        <v>46314.58333333334</v>
      </c>
      <c r="H87" s="111" t="inlineStr">
        <is>
          <t>Auto (Standard Invitation for Quotations -Works / Planned Tender): Remote civil works</t>
        </is>
      </c>
      <c r="I87" s="111" t="inlineStr">
        <is>
          <t>6d553037-c916-4632-b44c-59b4f1bbb4be</t>
        </is>
      </c>
      <c r="J87" s="111" t="inlineStr">
        <is>
          <t>NeST</t>
        </is>
      </c>
      <c r="K87" s="111" t="inlineStr">
        <is>
          <t>https://nest.go.tz/tenders/published-tenders</t>
        </is>
      </c>
    </row>
    <row r="88">
      <c r="A88" s="114" t="n">
        <v>46309</v>
      </c>
      <c r="B88" s="111" t="inlineStr">
        <is>
          <t>S10/001/2026/2027/W/02</t>
        </is>
      </c>
      <c r="C88" s="111" t="inlineStr">
        <is>
          <t>TARURA - Arusha Regional Office</t>
        </is>
      </c>
      <c r="D88" s="111" t="inlineStr">
        <is>
          <t>Upgrading to Paved Standard Boma Siara (0.7Km) road in Arusha District</t>
        </is>
      </c>
      <c r="E88" s="111" t="inlineStr">
        <is>
          <t>Arusha</t>
        </is>
      </c>
      <c r="F88" s="111" t="inlineStr">
        <is>
          <t>civil</t>
        </is>
      </c>
      <c r="G88" s="115" t="n">
        <v>46315.41666666666</v>
      </c>
      <c r="H88" s="111" t="inlineStr">
        <is>
          <t>Auto (Small Works / Tender): Remote civil works</t>
        </is>
      </c>
      <c r="I88" s="111" t="inlineStr">
        <is>
          <t>598b427b-9009-4797-9200-3cac6711be53</t>
        </is>
      </c>
      <c r="J88" s="111" t="inlineStr">
        <is>
          <t>NeST</t>
        </is>
      </c>
      <c r="K88" s="111" t="inlineStr">
        <is>
          <t>https://nest.go.tz/tenders/published-tenders</t>
        </is>
      </c>
    </row>
    <row r="89">
      <c r="A89" s="114" t="n">
        <v>46309</v>
      </c>
      <c r="B89" s="111" t="inlineStr">
        <is>
          <t>TR36/009/2026/2027/W/03</t>
        </is>
      </c>
      <c r="C89" s="111" t="inlineStr">
        <is>
          <t>TANROADS - Kilimanjaro Regional Office</t>
        </is>
      </c>
      <c r="D89" s="111" t="inlineStr">
        <is>
          <t>Routine Maintenance Works along Mwanga - Kikweni - Vuchama, Same - Kisiwani - Mkomazi (Paved), Kikweni-Usangi (Lomwe), Kilacha – Mwika and Kawawa - Nduoni</t>
        </is>
      </c>
      <c r="E89" s="111" t="inlineStr">
        <is>
          <t>Kilimanjaro (Mwanga)</t>
        </is>
      </c>
      <c r="F89" s="111" t="inlineStr">
        <is>
          <t>civil</t>
        </is>
      </c>
      <c r="G89" s="115" t="n">
        <v>46315.4375</v>
      </c>
      <c r="H89" s="111" t="inlineStr">
        <is>
          <t>Auto (Small Works / Tender): Remote civil works</t>
        </is>
      </c>
      <c r="I89" s="111" t="inlineStr">
        <is>
          <t>6bd28c6f-0988-496a-9cc2-a373d81fec0e</t>
        </is>
      </c>
      <c r="J89" s="111" t="inlineStr">
        <is>
          <t>NeST</t>
        </is>
      </c>
      <c r="K89" s="111" t="inlineStr">
        <is>
          <t>https://nest.go.tz/tenders/published-tenders</t>
        </is>
      </c>
    </row>
    <row r="90">
      <c r="A90" s="114" t="n">
        <v>46310</v>
      </c>
      <c r="B90" s="111" t="inlineStr">
        <is>
          <t>TR140/010/2026/2027/W/10</t>
        </is>
      </c>
      <c r="C90" s="111" t="inlineStr">
        <is>
          <t>RUWASA - Manyara Regional Office</t>
        </is>
      </c>
      <c r="D90" s="111" t="inlineStr">
        <is>
          <t>Procurement of Contractor for Extension of Haydom Water Scheme to Gidarudagaw Village in Mbulu District, Rehabilitation of Ngorika Water Supply Scheme in Simanjiro District and Rehabilitate and Extend Water Supply Project at Riroda village in Babati District in Manyara Region. (1575 Program)</t>
        </is>
      </c>
      <c r="E90" s="111" t="inlineStr">
        <is>
          <t>Manyara (Mbulu)</t>
        </is>
      </c>
      <c r="F90" s="111" t="inlineStr">
        <is>
          <t>civil</t>
        </is>
      </c>
      <c r="G90" s="115" t="n">
        <v>46317.58333333334</v>
      </c>
      <c r="H90" s="111" t="inlineStr">
        <is>
          <t>Auto (Standard Invitation for Quotations -Works / Planned Tender): Remote civil works</t>
        </is>
      </c>
      <c r="I90" s="111" t="inlineStr">
        <is>
          <t>8a2cee8e-b397-4bed-a453-ce5e2d2957a4</t>
        </is>
      </c>
      <c r="J90" s="111" t="inlineStr">
        <is>
          <t>NeST</t>
        </is>
      </c>
      <c r="K90" s="111" t="inlineStr">
        <is>
          <t>https://nest.go.tz/tenders/published-tenders</t>
        </is>
      </c>
    </row>
    <row r="91">
      <c r="A91" s="114" t="n">
        <v>46311</v>
      </c>
      <c r="B91" s="111" t="inlineStr">
        <is>
          <t>TR154/2026/2027/W/03</t>
        </is>
      </c>
      <c r="C91" s="111" t="inlineStr">
        <is>
          <t>Bukoba Urban Water Supply and Sanitation Authority</t>
        </is>
      </c>
      <c r="D91" s="111" t="inlineStr">
        <is>
          <t>Improvement of water supply in upper zone (Kashura-Magoti) lot II</t>
        </is>
      </c>
      <c r="E91" s="111" t="inlineStr">
        <is>
          <t>Kagera (Bukoba) (from client's office – confirm site)</t>
        </is>
      </c>
      <c r="F91" s="111" t="inlineStr">
        <is>
          <t>civil</t>
        </is>
      </c>
      <c r="G91" s="115" t="n">
        <v>46317.58333333334</v>
      </c>
      <c r="H91" s="111" t="inlineStr">
        <is>
          <t>Auto (Small Works / Tender): Remote civil works</t>
        </is>
      </c>
      <c r="I91" s="111" t="inlineStr">
        <is>
          <t>1e223fba-069c-497f-9e89-4584fcce589e</t>
        </is>
      </c>
      <c r="J91" s="111" t="inlineStr">
        <is>
          <t>NeST</t>
        </is>
      </c>
      <c r="K91" s="111" t="inlineStr">
        <is>
          <t>https://nest.go.tz/tenders/published-tenders</t>
        </is>
      </c>
    </row>
    <row r="92">
      <c r="A92" s="114" t="n">
        <v>46311</v>
      </c>
      <c r="B92" s="111" t="inlineStr"/>
      <c r="C92" s="111" t="inlineStr">
        <is>
          <t>See advert</t>
        </is>
      </c>
      <c r="D92" s="111" t="inlineStr">
        <is>
          <t>Collection of solid waste from residential and commercial areas for Shinyanga Municipal Council. **</t>
        </is>
      </c>
      <c r="E92" s="111" t="inlineStr">
        <is>
          <t>Shinyanga</t>
        </is>
      </c>
      <c r="F92" s="111" t="inlineStr">
        <is>
          <t>building</t>
        </is>
      </c>
      <c r="G92" s="115" t="n">
        <v>46317.41666666666</v>
      </c>
      <c r="H92" s="111" t="inlineStr">
        <is>
          <t>Auto (TanzaniaTenders.com): Remote and closing soon · deadline read from the web page – confirm</t>
        </is>
      </c>
      <c r="I92" s="111" t="inlineStr">
        <is>
          <t>TZT:151019477</t>
        </is>
      </c>
      <c r="J92" s="111" t="inlineStr">
        <is>
          <t>press</t>
        </is>
      </c>
      <c r="K92" s="111" t="inlineStr">
        <is>
          <t>https://www.tanzaniatenders.com/tender/collection-solid-waste-residential-and-commercial-areas-shinyanga-municipal-council-9005fd5.php</t>
        </is>
      </c>
    </row>
    <row r="93">
      <c r="A93" s="114" t="n">
        <v>46312</v>
      </c>
      <c r="B93" s="111" t="inlineStr">
        <is>
          <t>70A2/2026/2027/W/02</t>
        </is>
      </c>
      <c r="C93" s="111" t="inlineStr">
        <is>
          <t>Monduli District Council</t>
        </is>
      </c>
      <c r="D93" s="111" t="inlineStr">
        <is>
          <t>REHABILITATION OF OLDONYO LENGAI VILLAGE IRRIGATION SCHEME (MAIN CANAL 250M) AT ENGARUKA CHINI VILAGE IN MONDULI DISTRICT</t>
        </is>
      </c>
      <c r="E93" s="111" t="inlineStr">
        <is>
          <t>Arusha (Monduli)</t>
        </is>
      </c>
      <c r="F93" s="111" t="inlineStr">
        <is>
          <t>civil</t>
        </is>
      </c>
      <c r="G93" s="115" t="n">
        <v>46318.41666666666</v>
      </c>
      <c r="H93" s="111" t="inlineStr">
        <is>
          <t>Auto (Small Works / Tender): Remote civil works</t>
        </is>
      </c>
      <c r="I93" s="111" t="inlineStr">
        <is>
          <t>d8b23cd1-fdce-48ac-aff5-56c2c1c58969</t>
        </is>
      </c>
      <c r="J93" s="111" t="inlineStr">
        <is>
          <t>NeST</t>
        </is>
      </c>
      <c r="K93" s="111" t="inlineStr">
        <is>
          <t>https://nest.go.tz/tenders/published-tenders</t>
        </is>
      </c>
    </row>
    <row r="94">
      <c r="A94" s="114" t="n">
        <v>46312</v>
      </c>
      <c r="B94" s="111" t="inlineStr">
        <is>
          <t>70A2/2026/2027/W/05</t>
        </is>
      </c>
      <c r="C94" s="111" t="inlineStr">
        <is>
          <t>Monduli District Council</t>
        </is>
      </c>
      <c r="D94" s="111" t="inlineStr">
        <is>
          <t>REHABILITATION OF ENGARUKA CHINI IRRIGATION SCHEME (MAIN CANAL 250M),ROAD DRIFT) AT ENGARUKA CHINI VILAGE IN MONDULI DISTRICT</t>
        </is>
      </c>
      <c r="E94" s="111" t="inlineStr">
        <is>
          <t>Arusha (Monduli)</t>
        </is>
      </c>
      <c r="F94" s="111" t="inlineStr">
        <is>
          <t>civil</t>
        </is>
      </c>
      <c r="G94" s="115" t="n">
        <v>46318.41666666666</v>
      </c>
      <c r="H94" s="111" t="inlineStr">
        <is>
          <t>Auto (Small Works / Tender): Remote civil works</t>
        </is>
      </c>
      <c r="I94" s="111" t="inlineStr">
        <is>
          <t>e9765b80-c5e2-437d-86a3-4b9ba445107d</t>
        </is>
      </c>
      <c r="J94" s="111" t="inlineStr">
        <is>
          <t>NeST</t>
        </is>
      </c>
      <c r="K94" s="111" t="inlineStr">
        <is>
          <t>https://nest.go.tz/tenders/published-tenders</t>
        </is>
      </c>
    </row>
    <row r="95">
      <c r="A95" s="114" t="n">
        <v>46312</v>
      </c>
      <c r="B95" s="111" t="inlineStr">
        <is>
          <t>TR36/023/2026/2027/W/24</t>
        </is>
      </c>
      <c r="C95" s="111" t="inlineStr">
        <is>
          <t>TANROADS - Singida Regional Office</t>
        </is>
      </c>
      <c r="D95" s="111" t="inlineStr">
        <is>
          <t>Rehabilitation Works Between Km 27 + 500 - Km 34 + 500 along Iguguno Shamba - Nduguti - Gumanga Unpaved Regional Road (R425) to be Financed through Development Consolidated Funds and Rehabilitation Works Between Km 24 + 000 - Km 33 + 000 along Njuki - Ilongero - Ngamu Unpaved Regional Road (R428) to be Financed Through Development Consolidated Funds</t>
        </is>
      </c>
      <c r="E95" s="111" t="inlineStr">
        <is>
          <t>Singida (from client's office – confirm site)</t>
        </is>
      </c>
      <c r="F95" s="111" t="inlineStr">
        <is>
          <t>civil</t>
        </is>
      </c>
      <c r="G95" s="115" t="n">
        <v>46318.58333333334</v>
      </c>
      <c r="H95" s="111" t="inlineStr">
        <is>
          <t>Auto (Small Works / Tender): Remote civil works</t>
        </is>
      </c>
      <c r="I95" s="111" t="inlineStr">
        <is>
          <t>493f4c77-2492-4fe4-9129-8138f8ba4841</t>
        </is>
      </c>
      <c r="J95" s="111" t="inlineStr">
        <is>
          <t>NeST</t>
        </is>
      </c>
      <c r="K95" s="111" t="inlineStr">
        <is>
          <t>https://nest.go.tz/tenders/published-tenders</t>
        </is>
      </c>
    </row>
    <row r="96">
      <c r="A96" s="114" t="n">
        <v>46312</v>
      </c>
      <c r="B96" s="111" t="inlineStr">
        <is>
          <t>TR36/023/2026/2027/W/25</t>
        </is>
      </c>
      <c r="C96" s="111" t="inlineStr">
        <is>
          <t>TANROADS - Singida Regional Office</t>
        </is>
      </c>
      <c r="D96" s="111" t="inlineStr">
        <is>
          <t>Rehabilitation Works along Ikungi - Londoni - Kilimatinde (Solya) Unpaved Regional Road (R431) to be Financed through Development Roads Funds, Rehabilitation Works along Ikungi - Londoni - Kilimatinde (Solya) Unpaved Regional Road (R431) to be Financed through Consolidated Fund and Rehabilitation Works along Kinyamshindo - Kititimo Unpaved Regional Road (R463) to be Financed through Development Consolidated Funds</t>
        </is>
      </c>
      <c r="E96" s="111" t="inlineStr">
        <is>
          <t>Singida (Ikungi)</t>
        </is>
      </c>
      <c r="F96" s="111" t="inlineStr">
        <is>
          <t>civil</t>
        </is>
      </c>
      <c r="G96" s="115" t="n">
        <v>46318.58333333334</v>
      </c>
      <c r="H96" s="111" t="inlineStr">
        <is>
          <t>Auto (Small Works / Tender): Remote civil works</t>
        </is>
      </c>
      <c r="I96" s="111" t="inlineStr">
        <is>
          <t>d14eb137-4cc0-474e-a93f-2ff9015f4554</t>
        </is>
      </c>
      <c r="J96" s="111" t="inlineStr">
        <is>
          <t>NeST</t>
        </is>
      </c>
      <c r="K96" s="111" t="inlineStr">
        <is>
          <t>https://nest.go.tz/tenders/published-tenders</t>
        </is>
      </c>
    </row>
    <row r="97">
      <c r="A97" s="114" t="n">
        <v>46312</v>
      </c>
      <c r="B97" s="111" t="inlineStr">
        <is>
          <t>TR36/023/2026/2027/W/28</t>
        </is>
      </c>
      <c r="C97" s="111" t="inlineStr">
        <is>
          <t>TANROADS - Singida Regional Office</t>
        </is>
      </c>
      <c r="D97" s="111" t="inlineStr">
        <is>
          <t>Widening of Misigiri - Kiomboi (Reconstruction to Bitumen Standard From Km 16 + 450 - Km 16 + 650) Paved Regional Road (R423) to be Financed through Development Consolidated Funds and Widening along Misigiri - Kiomboi (Reconstruction to Bitumen Standard From Km 16 + 650 - Km 16 + 800) Paved Regional Road (R423) to be Financed through Development Road Funds</t>
        </is>
      </c>
      <c r="E97" s="111" t="inlineStr">
        <is>
          <t>Singida (from client's office – confirm site)</t>
        </is>
      </c>
      <c r="F97" s="111" t="inlineStr">
        <is>
          <t>civil</t>
        </is>
      </c>
      <c r="G97" s="115" t="n">
        <v>46318.58333333334</v>
      </c>
      <c r="H97" s="111" t="inlineStr">
        <is>
          <t>Auto (Small Works / Tender): Large road works, likely above Civil Class IV – JV only (escalate to MD if of interest)</t>
        </is>
      </c>
      <c r="I97" s="111" t="inlineStr">
        <is>
          <t>682e6c1f-5727-447d-b68f-9a5d32a1ad4e</t>
        </is>
      </c>
      <c r="J97" s="111" t="inlineStr">
        <is>
          <t>NeST</t>
        </is>
      </c>
      <c r="K97" s="111" t="inlineStr">
        <is>
          <t>https://nest.go.tz/tenders/published-tenders</t>
        </is>
      </c>
    </row>
    <row r="98">
      <c r="A98" s="114" t="n">
        <v>46312</v>
      </c>
      <c r="B98" s="111" t="inlineStr">
        <is>
          <t>70A2/2026/2027/W/09</t>
        </is>
      </c>
      <c r="C98" s="111" t="inlineStr">
        <is>
          <t>Monduli District Council</t>
        </is>
      </c>
      <c r="D98" s="111" t="inlineStr">
        <is>
          <t>REHABILITATION OF ENGARUKA JUU IRRIGATION SCHEME (MAIN CANAL 250M) AT ENGARUKA CHINI VILAGE IN MONDULI DISTRICT</t>
        </is>
      </c>
      <c r="E98" s="111" t="inlineStr">
        <is>
          <t>Arusha (Monduli)</t>
        </is>
      </c>
      <c r="F98" s="111" t="inlineStr">
        <is>
          <t>civil</t>
        </is>
      </c>
      <c r="G98" s="115" t="n">
        <v>46318.41666666666</v>
      </c>
      <c r="H98" s="111" t="inlineStr">
        <is>
          <t>Auto (Small Works / Tender): Remote civil works</t>
        </is>
      </c>
      <c r="I98" s="111" t="inlineStr">
        <is>
          <t>90bc6bc5-231b-4f98-a577-1846ab41ab4c</t>
        </is>
      </c>
      <c r="J98" s="111" t="inlineStr">
        <is>
          <t>NeST</t>
        </is>
      </c>
      <c r="K98" s="111" t="inlineStr">
        <is>
          <t>https://nest.go.tz/tenders/published-tenders</t>
        </is>
      </c>
    </row>
    <row r="99">
      <c r="A99" s="114" t="n">
        <v>46312</v>
      </c>
      <c r="B99" s="111" t="inlineStr">
        <is>
          <t>70A2/2026/2027/W/12</t>
        </is>
      </c>
      <c r="C99" s="111" t="inlineStr">
        <is>
          <t>Monduli District Council</t>
        </is>
      </c>
      <c r="D99" s="111" t="inlineStr">
        <is>
          <t>REHABILITATION OF IRERENDENI VILLAGE IRRIGATION SCHEME (MAIN CANAL 250M) AT ENGARUKA CHINI VILAGE IN MONDULI DISTRICT</t>
        </is>
      </c>
      <c r="E99" s="111" t="inlineStr">
        <is>
          <t>Arusha (Monduli)</t>
        </is>
      </c>
      <c r="F99" s="111" t="inlineStr">
        <is>
          <t>civil</t>
        </is>
      </c>
      <c r="G99" s="115" t="n">
        <v>46318.41666666666</v>
      </c>
      <c r="H99" s="111" t="inlineStr">
        <is>
          <t>Auto (Small Works / Tender): Remote civil works</t>
        </is>
      </c>
      <c r="I99" s="111" t="inlineStr">
        <is>
          <t>c72130c1-9566-4680-8582-6c44ea4c1423</t>
        </is>
      </c>
      <c r="J99" s="111" t="inlineStr">
        <is>
          <t>NeST</t>
        </is>
      </c>
      <c r="K99" s="111" t="inlineStr">
        <is>
          <t>https://nest.go.tz/tenders/published-tenders</t>
        </is>
      </c>
    </row>
    <row r="100">
      <c r="A100" s="114" t="n">
        <v>46312</v>
      </c>
      <c r="B100" s="111" t="inlineStr">
        <is>
          <t>7003/2026/2027/W/33</t>
        </is>
      </c>
      <c r="C100" s="111" t="inlineStr">
        <is>
          <t>Arusha City Council</t>
        </is>
      </c>
      <c r="D100" s="111" t="inlineStr">
        <is>
          <t>Proposed Upgrading of the 0.8 km Dampo Road to Rigid Pavement Standard</t>
        </is>
      </c>
      <c r="E100" s="111" t="inlineStr">
        <is>
          <t>Arusha (from client's office – confirm site)</t>
        </is>
      </c>
      <c r="F100" s="111" t="inlineStr">
        <is>
          <t>civil</t>
        </is>
      </c>
      <c r="G100" s="115" t="n">
        <v>46318.54166666666</v>
      </c>
      <c r="H100" s="111" t="inlineStr">
        <is>
          <t>Auto (Small Works / Tender): Remote civil works</t>
        </is>
      </c>
      <c r="I100" s="111" t="inlineStr">
        <is>
          <t>8b3de953-9950-4ac0-b7ee-428f2aefb853</t>
        </is>
      </c>
      <c r="J100" s="111" t="inlineStr">
        <is>
          <t>NeST</t>
        </is>
      </c>
      <c r="K100" s="111" t="inlineStr">
        <is>
          <t>https://nest.go.tz/tenders/published-tenders</t>
        </is>
      </c>
    </row>
    <row r="101">
      <c r="A101" s="114" t="n">
        <v>46312</v>
      </c>
      <c r="B101" s="111" t="inlineStr">
        <is>
          <t>TR36/023/2026/2027/W/27</t>
        </is>
      </c>
      <c r="C101" s="111" t="inlineStr">
        <is>
          <t>TANROADS - Singida Regional Office</t>
        </is>
      </c>
      <c r="D101" s="111" t="inlineStr">
        <is>
          <t>Rehabilitation Works Between Sanza - Chaliigongo Road Section along Manyoni East - Heka - Sanza - Chali Igongo Unpaved Regional Road (R433) to be Financed through Development Consolidated Funds, Rehabilitation Works on Sasilo Village along Heka - Sasilo - Iluma Unpaved Regional Road (R434) to be Financed through Development Consolidated Funds and Rehabilitation Works on Sasilo Village Along Heka - Sasilo - Iluma Unpaved Regional Road (R434) to Financed Through Development Roads Fund</t>
        </is>
      </c>
      <c r="E101" s="111" t="inlineStr">
        <is>
          <t>Singida (from client's office – confirm site)</t>
        </is>
      </c>
      <c r="F101" s="111" t="inlineStr">
        <is>
          <t>civil</t>
        </is>
      </c>
      <c r="G101" s="115" t="n">
        <v>46318.58333333334</v>
      </c>
      <c r="H101" s="111" t="inlineStr">
        <is>
          <t>Auto (Small Works / Tender): Remote civil works</t>
        </is>
      </c>
      <c r="I101" s="111" t="inlineStr">
        <is>
          <t>6bb4498b-41e8-486d-80f0-58561962dda1</t>
        </is>
      </c>
      <c r="J101" s="111" t="inlineStr">
        <is>
          <t>NeST</t>
        </is>
      </c>
      <c r="K101" s="111" t="inlineStr">
        <is>
          <t>https://nest.go.tz/tenders/published-tenders</t>
        </is>
      </c>
    </row>
    <row r="102">
      <c r="A102" s="114" t="n">
        <v>46312</v>
      </c>
      <c r="B102" s="111" t="inlineStr">
        <is>
          <t>TR134/004/2026/2027/W/02</t>
        </is>
      </c>
      <c r="C102" s="111" t="inlineStr">
        <is>
          <t>TRA - Mbeya</t>
        </is>
      </c>
      <c r="D102" s="111" t="inlineStr">
        <is>
          <t>Tender for repair of Residential House</t>
        </is>
      </c>
      <c r="E102" s="111" t="inlineStr">
        <is>
          <t>Mbeya (from client's office – confirm site)</t>
        </is>
      </c>
      <c r="F102" s="111" t="inlineStr">
        <is>
          <t>building</t>
        </is>
      </c>
      <c r="G102" s="115" t="n">
        <v>46318.58333333334</v>
      </c>
      <c r="H102" s="111" t="inlineStr">
        <is>
          <t>Auto (Standard Invitation for Quotations -Works / Planned Tender): Remote and closing soon</t>
        </is>
      </c>
      <c r="I102" s="111" t="inlineStr">
        <is>
          <t>3b8e3ef6-7938-4f5a-9186-8039e3b7001b</t>
        </is>
      </c>
      <c r="J102" s="111" t="inlineStr">
        <is>
          <t>NeST</t>
        </is>
      </c>
      <c r="K102" s="111" t="inlineStr">
        <is>
          <t>https://nest.go.tz/tenders/published-tenders</t>
        </is>
      </c>
    </row>
    <row r="103">
      <c r="A103" s="114" t="n">
        <v>46312</v>
      </c>
      <c r="B103" s="111" t="inlineStr">
        <is>
          <t>TR36/023/2026/2027/W/29</t>
        </is>
      </c>
      <c r="C103" s="111" t="inlineStr">
        <is>
          <t>TANROADS - Singida Regional Office</t>
        </is>
      </c>
      <c r="D103" s="111" t="inlineStr">
        <is>
          <t>Rehabilitation Works Between Km 46 + 900 - Km 51 + 400 along Mkalama - Mwangeza - Kidarafa Unpaved Regional Road (R437) to be Financed through Development Consolidated Funds and Rehabilitation Works Between Km 43 + 900 - Km 46 + 900 along Mkalama - Mwangeza - Kidarafa Unpaved Regional Road (R437) to be Financed through Development Roads Fund</t>
        </is>
      </c>
      <c r="E103" s="111" t="inlineStr">
        <is>
          <t>Singida (from client's office – confirm site)</t>
        </is>
      </c>
      <c r="F103" s="111" t="inlineStr">
        <is>
          <t>civil</t>
        </is>
      </c>
      <c r="G103" s="115" t="n">
        <v>46318.58333333334</v>
      </c>
      <c r="H103" s="111" t="inlineStr">
        <is>
          <t>Auto (Small Works / Tender): Remote civil works</t>
        </is>
      </c>
      <c r="I103" s="111" t="inlineStr">
        <is>
          <t>d497219a-24ca-40e4-a26e-1e4c26b1b90b</t>
        </is>
      </c>
      <c r="J103" s="111" t="inlineStr">
        <is>
          <t>NeST</t>
        </is>
      </c>
      <c r="K103" s="111" t="inlineStr">
        <is>
          <t>https://nest.go.tz/tenders/published-tenders</t>
        </is>
      </c>
    </row>
    <row r="104">
      <c r="A104" s="114" t="n">
        <v>46312</v>
      </c>
      <c r="B104" s="111" t="inlineStr"/>
      <c r="C104" s="111" t="inlineStr">
        <is>
          <t>See advert</t>
        </is>
      </c>
      <c r="D104" s="111" t="inlineStr">
        <is>
          <t>Leasing of Canteen Building at Njombe District Council Head Quater.</t>
        </is>
      </c>
      <c r="E104" s="111" t="inlineStr">
        <is>
          <t>Njombe</t>
        </is>
      </c>
      <c r="F104" s="111" t="inlineStr">
        <is>
          <t>building</t>
        </is>
      </c>
      <c r="G104" s="115" t="n">
        <v>46317.41666666666</v>
      </c>
      <c r="H104" s="111" t="inlineStr">
        <is>
          <t>Auto (TanzaniaTenders.com): Remote and closing soon · deadline read from the web page – confirm</t>
        </is>
      </c>
      <c r="I104" s="111" t="inlineStr">
        <is>
          <t>TZT:151084301</t>
        </is>
      </c>
      <c r="J104" s="111" t="inlineStr">
        <is>
          <t>press</t>
        </is>
      </c>
      <c r="K104" s="111" t="inlineStr">
        <is>
          <t>https://www.tanzaniatenders.com/tender/leasing-canteen-building-njombe-district-council-head-quater-9015d0d.php</t>
        </is>
      </c>
    </row>
    <row r="105">
      <c r="A105" s="114" t="n">
        <v>46312</v>
      </c>
      <c r="B105" s="111" t="inlineStr"/>
      <c r="C105" s="111" t="inlineStr">
        <is>
          <t>See advert</t>
        </is>
      </c>
      <c r="D105" s="111" t="inlineStr">
        <is>
          <t>Rehabilitation of Engaruka Juu Irrigation Scheme (Main Canal 250M) at Engaruka Chini Vilage in Monduli District</t>
        </is>
      </c>
      <c r="E105" s="111" t="inlineStr">
        <is>
          <t>Arusha (Monduli)</t>
        </is>
      </c>
      <c r="F105" s="111" t="inlineStr">
        <is>
          <t>civil</t>
        </is>
      </c>
      <c r="G105" s="115" t="n">
        <v>46318.41666666666</v>
      </c>
      <c r="H105" s="111" t="inlineStr">
        <is>
          <t>Auto (TanzaniaTenders.com): Remote civil works · deadline read from the web page – confirm</t>
        </is>
      </c>
      <c r="I105" s="111" t="inlineStr">
        <is>
          <t>TZT:151084287</t>
        </is>
      </c>
      <c r="J105" s="111" t="inlineStr">
        <is>
          <t>press</t>
        </is>
      </c>
      <c r="K105" s="111" t="inlineStr">
        <is>
          <t>https://www.tanzaniatenders.com/tender/rehabilitation-engaruka-juu-irrigation-scheme-main-canal-250m-engaruka-chini-vilage-monduli-distri-9015cff.php</t>
        </is>
      </c>
    </row>
    <row r="106">
      <c r="A106" s="114" t="n">
        <v>46312</v>
      </c>
      <c r="B106" s="111" t="inlineStr"/>
      <c r="C106" s="111" t="inlineStr">
        <is>
          <t>See advert</t>
        </is>
      </c>
      <c r="D106" s="111" t="inlineStr">
        <is>
          <t>Rehabilitation of Irerendeni Village Irrigation Scheme (Main Canal 250M) at Engaruka Chini Vilage in Monduli District</t>
        </is>
      </c>
      <c r="E106" s="111" t="inlineStr">
        <is>
          <t>Arusha (Monduli)</t>
        </is>
      </c>
      <c r="F106" s="111" t="inlineStr">
        <is>
          <t>civil</t>
        </is>
      </c>
      <c r="G106" s="115" t="n">
        <v>46318.41666666666</v>
      </c>
      <c r="H106" s="111" t="inlineStr">
        <is>
          <t>Auto (TanzaniaTenders.com): Remote civil works · deadline read from the web page – confirm</t>
        </is>
      </c>
      <c r="I106" s="111" t="inlineStr">
        <is>
          <t>TZT:151084284</t>
        </is>
      </c>
      <c r="J106" s="111" t="inlineStr">
        <is>
          <t>press</t>
        </is>
      </c>
      <c r="K106" s="111" t="inlineStr">
        <is>
          <t>https://www.tanzaniatenders.com/tender/rehabilitation-irerendeni-village-irrigation-scheme-main-canal-250m-engaruka-chini-vilage-monduli-9015cfc.php</t>
        </is>
      </c>
    </row>
    <row r="107">
      <c r="A107" s="114" t="n">
        <v>46312</v>
      </c>
      <c r="B107" s="111" t="inlineStr"/>
      <c r="C107" s="111" t="inlineStr">
        <is>
          <t>See advert</t>
        </is>
      </c>
      <c r="D107" s="111" t="inlineStr">
        <is>
          <t>Rehabilitation of Oldonyo Lengai Village Irrigation Scheme (Main Canal 250M) at Engaruka Chini Vilage in Monduli District</t>
        </is>
      </c>
      <c r="E107" s="111" t="inlineStr">
        <is>
          <t>Arusha (Monduli)</t>
        </is>
      </c>
      <c r="F107" s="111" t="inlineStr">
        <is>
          <t>civil</t>
        </is>
      </c>
      <c r="G107" s="115" t="n">
        <v>46318.41666666666</v>
      </c>
      <c r="H107" s="111" t="inlineStr">
        <is>
          <t>Auto (TanzaniaTenders.com): Remote civil works · deadline read from the web page – confirm</t>
        </is>
      </c>
      <c r="I107" s="111" t="inlineStr">
        <is>
          <t>TZT:151084261</t>
        </is>
      </c>
      <c r="J107" s="111" t="inlineStr">
        <is>
          <t>press</t>
        </is>
      </c>
      <c r="K107" s="111" t="inlineStr">
        <is>
          <t>https://www.tanzaniatenders.com/tender/rehabilitation-oldonyo-lengai-village-irrigation-scheme-main-canal-250m-engaruka-chini-vilage-mond-9015ce5.php</t>
        </is>
      </c>
    </row>
    <row r="108">
      <c r="A108" s="114" t="n">
        <v>46312</v>
      </c>
      <c r="B108" s="111" t="inlineStr"/>
      <c r="C108" s="111" t="inlineStr">
        <is>
          <t>See advert</t>
        </is>
      </c>
      <c r="D108" s="111" t="inlineStr">
        <is>
          <t>Rehabilitation Works Along Ikungi - Londoni - Kilimatinde (Solya) Unpaved Regional Road (R431) to be Financed through Development Roads Funds, Rehabilitation Works Along Ikungi - Londoni - Kilimatinde...</t>
        </is>
      </c>
      <c r="E108" s="111" t="inlineStr">
        <is>
          <t>Singida (Ikungi)</t>
        </is>
      </c>
      <c r="F108" s="111" t="inlineStr">
        <is>
          <t>civil</t>
        </is>
      </c>
      <c r="G108" s="115" t="n">
        <v>46318.41666666666</v>
      </c>
      <c r="H108" s="111" t="inlineStr">
        <is>
          <t>Auto (TanzaniaTenders.com): Remote civil works · deadline read from the web page – confirm</t>
        </is>
      </c>
      <c r="I108" s="111" t="inlineStr">
        <is>
          <t>TZT:151084224</t>
        </is>
      </c>
      <c r="J108" s="111" t="inlineStr">
        <is>
          <t>press</t>
        </is>
      </c>
      <c r="K108" s="111" t="inlineStr">
        <is>
          <t>https://www.tanzaniatenders.com/tender/rehabilitation-works-along-ikungi-londoni-kilimatinde-solya-unpaved-regional-road-r431-be-fi-9015cc0.php</t>
        </is>
      </c>
    </row>
    <row r="109">
      <c r="A109" s="114" t="n">
        <v>46312</v>
      </c>
      <c r="B109" s="111" t="inlineStr"/>
      <c r="C109" s="111" t="inlineStr">
        <is>
          <t>See advert</t>
        </is>
      </c>
      <c r="D109" s="111" t="inlineStr">
        <is>
          <t>Widening of Misigiri - Kiomboi (Reconstruction to Bitumen Standard from Km 16 + 450 - Km 16 + 650) Paved Regional Road (R423) to be Financed through Development Consolidated Funds and Widening Along M...</t>
        </is>
      </c>
      <c r="E109" s="111" t="inlineStr">
        <is>
          <t>Not stated – read the notice</t>
        </is>
      </c>
      <c r="F109" s="111" t="inlineStr">
        <is>
          <t>civil</t>
        </is>
      </c>
      <c r="G109" s="115" t="n">
        <v>46318.41666666666</v>
      </c>
      <c r="H109" s="111" t="inlineStr">
        <is>
          <t>Auto (TanzaniaTenders.com): Large road works, likely above Civil Class IV – JV only (escalate to MD if of interest) · deadline read from the web page – confirm</t>
        </is>
      </c>
      <c r="I109" s="111" t="inlineStr">
        <is>
          <t>TZT:151084220</t>
        </is>
      </c>
      <c r="J109" s="111" t="inlineStr">
        <is>
          <t>press</t>
        </is>
      </c>
      <c r="K109" s="111" t="inlineStr">
        <is>
          <t>https://www.tanzaniatenders.com/tender/widening-misigiri-kiomboi-reconstruction-bitumen-standard-km-16-450-km-16-650-paved-region-9015cbc.php</t>
        </is>
      </c>
    </row>
    <row r="110">
      <c r="A110" s="114" t="n">
        <v>46314</v>
      </c>
      <c r="B110" s="111" t="inlineStr">
        <is>
          <t>S10/011/2026/2027/W/80</t>
        </is>
      </c>
      <c r="C110" s="111" t="inlineStr">
        <is>
          <t>TARURA - Manyara Regional Office</t>
        </is>
      </c>
      <c r="D110" s="111" t="inlineStr">
        <is>
          <t>Upgrading Dongobesh and Haydom town gravel Roads to tarmac standard</t>
        </is>
      </c>
      <c r="E110" s="111" t="inlineStr">
        <is>
          <t>Manyara (Babati) (from client's office – confirm site)</t>
        </is>
      </c>
      <c r="F110" s="111" t="inlineStr">
        <is>
          <t>civil</t>
        </is>
      </c>
      <c r="G110" s="115" t="n">
        <v>46321.58333333334</v>
      </c>
      <c r="H110" s="111" t="inlineStr">
        <is>
          <t>Auto (Small Works / Tender): Large road works, likely above Civil Class IV – JV only (escalate to MD if of interest)</t>
        </is>
      </c>
      <c r="I110" s="111" t="inlineStr">
        <is>
          <t>bf97b668-544f-41d2-acaa-c0ec7a48a57e</t>
        </is>
      </c>
      <c r="J110" s="111" t="inlineStr">
        <is>
          <t>NeST</t>
        </is>
      </c>
      <c r="K110" s="111" t="inlineStr">
        <is>
          <t>https://nest.go.tz/tenders/published-tenders</t>
        </is>
      </c>
    </row>
    <row r="111">
      <c r="A111" s="114" t="n">
        <v>46314</v>
      </c>
      <c r="B111" s="111" t="inlineStr"/>
      <c r="C111" s="111" t="inlineStr">
        <is>
          <t>See advert</t>
        </is>
      </c>
      <c r="D111" s="111" t="inlineStr">
        <is>
          <t>Upgrading Dongobesh and Haydom Town Gravel Roads to Tarmac Standard</t>
        </is>
      </c>
      <c r="E111" s="111" t="inlineStr">
        <is>
          <t>Not stated – read the notice</t>
        </is>
      </c>
      <c r="F111" s="111" t="inlineStr">
        <is>
          <t>civil</t>
        </is>
      </c>
      <c r="G111" s="115" t="n">
        <v>46321.41666666666</v>
      </c>
      <c r="H111" s="111" t="inlineStr">
        <is>
          <t>Auto (TanzaniaTenders.com): Large road works, likely above Civil Class IV – JV only (escalate to MD if of interest) · deadline read from the web page – confirm</t>
        </is>
      </c>
      <c r="I111" s="111" t="inlineStr">
        <is>
          <t>TZT:151144519</t>
        </is>
      </c>
      <c r="J111" s="111" t="inlineStr">
        <is>
          <t>press</t>
        </is>
      </c>
      <c r="K111" s="111" t="inlineStr">
        <is>
          <t>https://www.tanzaniatenders.com/tender/upgrading-dongobesh-and-haydom-town-gravel-roads-tarmac-standard-9024847.php</t>
        </is>
      </c>
    </row>
    <row r="112">
      <c r="A112" s="114" t="n">
        <v>46315</v>
      </c>
      <c r="B112" s="111" t="inlineStr">
        <is>
          <t>S10/005/2026/2027/W/78</t>
        </is>
      </c>
      <c r="C112" s="111" t="inlineStr">
        <is>
          <t>TARURA - Iringa Regional Office</t>
        </is>
      </c>
      <c r="D112" s="111" t="inlineStr">
        <is>
          <t>PERIODIC IDUNDA - KINEGEMBASI ROAD (7KM) AND NYOLOLO - KIHENZILE SECONDARY ROAD (2.5KM) (SPECIAL GROUPS)</t>
        </is>
      </c>
      <c r="E112" s="111" t="inlineStr">
        <is>
          <t>Iringa (from client's office – confirm site)</t>
        </is>
      </c>
      <c r="F112" s="111" t="inlineStr">
        <is>
          <t>civil</t>
        </is>
      </c>
      <c r="G112" s="115" t="n">
        <v>46321.41666666666</v>
      </c>
      <c r="H112" s="111" t="inlineStr">
        <is>
          <t>Auto (Small Works / Tender): Remote civil works</t>
        </is>
      </c>
      <c r="I112" s="111" t="inlineStr">
        <is>
          <t>249d3f1b-24d7-4a96-a571-44879f028fea</t>
        </is>
      </c>
      <c r="J112" s="111" t="inlineStr">
        <is>
          <t>NeST</t>
        </is>
      </c>
      <c r="K112" s="111" t="inlineStr">
        <is>
          <t>https://nest.go.tz/tenders/published-tenders</t>
        </is>
      </c>
    </row>
    <row r="113">
      <c r="A113" s="114" t="n">
        <v>46315</v>
      </c>
      <c r="B113" s="111" t="inlineStr">
        <is>
          <t>S10/005/2026/2027/W/67</t>
        </is>
      </c>
      <c r="C113" s="111" t="inlineStr">
        <is>
          <t>TARURA - Iringa Regional Office</t>
        </is>
      </c>
      <c r="D113" s="111" t="inlineStr">
        <is>
          <t>SPOT IMPROVEMENT WORKS ALONG IKENGEZA - IGODIKAFU (7.0KM) MBUYUNI - MLOWA ISMANI - IKENGEZA (5KM) ISMANI - CHAMNDIDI (4.5KM) AND NYANG'ORO - HOLO (4KM) ROADS IN IRINGA DISTRICT (IRINGA REGION LABOR BASED CONTACTORS ONLY)</t>
        </is>
      </c>
      <c r="E113" s="111" t="inlineStr">
        <is>
          <t>Iringa</t>
        </is>
      </c>
      <c r="F113" s="111" t="inlineStr">
        <is>
          <t>civil</t>
        </is>
      </c>
      <c r="G113" s="115" t="n">
        <v>46321.41666666666</v>
      </c>
      <c r="H113" s="111" t="inlineStr">
        <is>
          <t>Auto (Small Works / Tender): Remote civil works</t>
        </is>
      </c>
      <c r="I113" s="111" t="inlineStr">
        <is>
          <t>1b52d704-c47d-4503-b6af-7b3ddb89f7a6</t>
        </is>
      </c>
      <c r="J113" s="111" t="inlineStr">
        <is>
          <t>NeST</t>
        </is>
      </c>
      <c r="K113" s="111" t="inlineStr">
        <is>
          <t>https://nest.go.tz/tenders/published-tenders</t>
        </is>
      </c>
    </row>
    <row r="114">
      <c r="A114" s="114" t="n">
        <v>46315</v>
      </c>
      <c r="B114" s="111" t="inlineStr">
        <is>
          <t>83P1/2026/2027/W/09</t>
        </is>
      </c>
      <c r="C114" s="111" t="inlineStr">
        <is>
          <t>Bariadi District Council</t>
        </is>
      </c>
      <c r="D114" s="111" t="inlineStr">
        <is>
          <t>TWO RESIDENTIAL HOUSE FOR COUNCIL HEAD OF DEPARTMENTS</t>
        </is>
      </c>
      <c r="E114" s="111" t="inlineStr">
        <is>
          <t>Simiyu (from client's office – confirm site)</t>
        </is>
      </c>
      <c r="F114" s="111" t="inlineStr">
        <is>
          <t>building</t>
        </is>
      </c>
      <c r="G114" s="115" t="n">
        <v>46321.41666666666</v>
      </c>
      <c r="H114" s="111" t="inlineStr">
        <is>
          <t>Auto (Standard Invitation for Quotations -Works / Planned Tender): Remote and closing soon</t>
        </is>
      </c>
      <c r="I114" s="111" t="inlineStr">
        <is>
          <t>0e1c9c1d-f0c9-4014-b4a0-ff26b0a9d5e2</t>
        </is>
      </c>
      <c r="J114" s="111" t="inlineStr">
        <is>
          <t>NeST</t>
        </is>
      </c>
      <c r="K114" s="111" t="inlineStr">
        <is>
          <t>https://nest.go.tz/tenders/published-tenders</t>
        </is>
      </c>
    </row>
    <row r="115">
      <c r="A115" s="114" t="n">
        <v>46315</v>
      </c>
      <c r="B115" s="111" t="inlineStr">
        <is>
          <t>S10/005/2026/2027/W/73</t>
        </is>
      </c>
      <c r="C115" s="111" t="inlineStr">
        <is>
          <t>TARURA - Iringa Regional Office</t>
        </is>
      </c>
      <c r="D115" s="111" t="inlineStr">
        <is>
          <t>SPOT IMPROVEMENT OF ISUPILO - ITIMBO (1.3KM) AND PERIODIC MAINTENANCE OF NUNDWE - IKONGOSI ROADS (10KM) IN MUFINDI DC (SPECIAL GROUPS)</t>
        </is>
      </c>
      <c r="E115" s="111" t="inlineStr">
        <is>
          <t>Iringa (Mufindi)</t>
        </is>
      </c>
      <c r="F115" s="111" t="inlineStr">
        <is>
          <t>civil</t>
        </is>
      </c>
      <c r="G115" s="115" t="n">
        <v>46321.41666666666</v>
      </c>
      <c r="H115" s="111" t="inlineStr">
        <is>
          <t>Auto (Small Works / Tender): Remote civil works</t>
        </is>
      </c>
      <c r="I115" s="111" t="inlineStr">
        <is>
          <t>66b82abe-127a-4eb3-b095-9b78cf8900b1</t>
        </is>
      </c>
      <c r="J115" s="111" t="inlineStr">
        <is>
          <t>NeST</t>
        </is>
      </c>
      <c r="K115" s="111" t="inlineStr">
        <is>
          <t>https://nest.go.tz/tenders/published-tenders</t>
        </is>
      </c>
    </row>
    <row r="116">
      <c r="A116" s="114" t="n">
        <v>46315</v>
      </c>
      <c r="B116" s="111" t="inlineStr">
        <is>
          <t>S10/022/2026/2027/W/67</t>
        </is>
      </c>
      <c r="C116" s="111" t="inlineStr">
        <is>
          <t>TARURA - Simiyu Regional Office</t>
        </is>
      </c>
      <c r="D116" s="111" t="inlineStr">
        <is>
          <t>Routine Maintenance and Spot Improvement along mahembe -kinangweri (2km), mwamapalala - bukingwaminzi - kinang'weli (4km), inalo - mahembe – sawida (4km), sunzula - mahaha (3km) gambasingu - nkoma - mwamapalala (4km)</t>
        </is>
      </c>
      <c r="E116" s="111" t="inlineStr">
        <is>
          <t>Simiyu (from client's office – confirm site)</t>
        </is>
      </c>
      <c r="F116" s="111" t="inlineStr">
        <is>
          <t>civil</t>
        </is>
      </c>
      <c r="G116" s="115" t="n">
        <v>46321.58333333334</v>
      </c>
      <c r="H116" s="111" t="inlineStr">
        <is>
          <t>Auto (Small Works / Tender): Remote civil works</t>
        </is>
      </c>
      <c r="I116" s="111" t="inlineStr">
        <is>
          <t>66491798-66d7-4ca4-90d2-c06d330f9103</t>
        </is>
      </c>
      <c r="J116" s="111" t="inlineStr">
        <is>
          <t>NeST</t>
        </is>
      </c>
      <c r="K116" s="111" t="inlineStr">
        <is>
          <t>https://nest.go.tz/tenders/published-tenders</t>
        </is>
      </c>
    </row>
    <row r="117">
      <c r="A117" s="114" t="n">
        <v>46316</v>
      </c>
      <c r="B117" s="111" t="inlineStr">
        <is>
          <t>TR36/001/2026/2027/W/65</t>
        </is>
      </c>
      <c r="C117" s="111" t="inlineStr">
        <is>
          <t>TANROADS - Arusha Regional Office</t>
        </is>
      </c>
      <c r="D117" s="111" t="inlineStr">
        <is>
          <t>Bridge Preventive Works along Monduli - Lolkisale (UP), Monduli - Engaruka (P &amp; UP), Karatu - Kilimapunda (UP) and Makao - Kimba (UP), Mto wa Mbu - Loliondo (UP) and Longido - Oldonyolengai Regional Roads.</t>
        </is>
      </c>
      <c r="E117" s="111" t="inlineStr">
        <is>
          <t>Arusha (Monduli)</t>
        </is>
      </c>
      <c r="F117" s="111" t="inlineStr">
        <is>
          <t>civil</t>
        </is>
      </c>
      <c r="G117" s="115" t="n">
        <v>46323.58333333334</v>
      </c>
      <c r="H117" s="111" t="inlineStr">
        <is>
          <t>Auto (Small Works / Tender): Remote civil works</t>
        </is>
      </c>
      <c r="I117" s="111" t="inlineStr">
        <is>
          <t>7c989877-62be-4180-8a60-576352e33fe2</t>
        </is>
      </c>
      <c r="J117" s="111" t="inlineStr">
        <is>
          <t>NeST</t>
        </is>
      </c>
      <c r="K117" s="111" t="inlineStr">
        <is>
          <t>https://nest.go.tz/tenders/published-tenders</t>
        </is>
      </c>
    </row>
    <row r="118">
      <c r="A118" s="114" t="n">
        <v>46316</v>
      </c>
      <c r="B118" s="111" t="inlineStr">
        <is>
          <t>TR36/001/2026/2027/W/57</t>
        </is>
      </c>
      <c r="C118" s="111" t="inlineStr">
        <is>
          <t>TANROADS - Arusha Regional Office</t>
        </is>
      </c>
      <c r="D118" s="111" t="inlineStr">
        <is>
          <t>Upgrading of Usariver - Momela - Arusha National Park - 55km and Usariver - Oldonyosambu Roads to Bitumen Standard.</t>
        </is>
      </c>
      <c r="E118" s="111" t="inlineStr">
        <is>
          <t>Arusha</t>
        </is>
      </c>
      <c r="F118" s="111" t="inlineStr">
        <is>
          <t>civil</t>
        </is>
      </c>
      <c r="G118" s="115" t="n">
        <v>46323.58333333334</v>
      </c>
      <c r="H118" s="111" t="inlineStr">
        <is>
          <t>Auto (Small Works / Tender): Large road works, likely above Civil Class IV – JV only (escalate to MD if of interest)</t>
        </is>
      </c>
      <c r="I118" s="111" t="inlineStr">
        <is>
          <t>7062aa7a-a4ab-4e28-8db2-723192a21454</t>
        </is>
      </c>
      <c r="J118" s="111" t="inlineStr">
        <is>
          <t>NeST</t>
        </is>
      </c>
      <c r="K118" s="111" t="inlineStr">
        <is>
          <t>https://nest.go.tz/tenders/published-tenders</t>
        </is>
      </c>
    </row>
    <row r="119">
      <c r="A119" s="114" t="n">
        <v>46316</v>
      </c>
      <c r="B119" s="111" t="inlineStr">
        <is>
          <t>TR36/001/2026/2027/W/30</t>
        </is>
      </c>
      <c r="C119" s="111" t="inlineStr">
        <is>
          <t>TANROADS - Arusha Regional Office</t>
        </is>
      </c>
      <c r="D119" s="111" t="inlineStr">
        <is>
          <t>Periodic Maintenance works, Routine /Recurrent works and Bridge Preventive works along M/Mbu - Loliondo (UP &amp; P)</t>
        </is>
      </c>
      <c r="E119" s="111" t="inlineStr">
        <is>
          <t>Arusha (Loliondo)</t>
        </is>
      </c>
      <c r="F119" s="111" t="inlineStr">
        <is>
          <t>civil</t>
        </is>
      </c>
      <c r="G119" s="115" t="n">
        <v>46323.58333333334</v>
      </c>
      <c r="H119" s="111" t="inlineStr">
        <is>
          <t>Auto (Small Works / Tender): Remote civil works</t>
        </is>
      </c>
      <c r="I119" s="111" t="inlineStr">
        <is>
          <t>ba20aa35-0526-4632-b501-9b97c5d77dcd</t>
        </is>
      </c>
      <c r="J119" s="111" t="inlineStr">
        <is>
          <t>NeST</t>
        </is>
      </c>
      <c r="K119" s="111" t="inlineStr">
        <is>
          <t>https://nest.go.tz/tenders/published-tenders</t>
        </is>
      </c>
    </row>
    <row r="120">
      <c r="A120" s="114" t="n">
        <v>46316</v>
      </c>
      <c r="B120" s="111" t="inlineStr">
        <is>
          <t>82N7/2026/2027/W/25</t>
        </is>
      </c>
      <c r="C120" s="111" t="inlineStr">
        <is>
          <t>Mbinga Town Council</t>
        </is>
      </c>
      <c r="D120" s="111" t="inlineStr">
        <is>
          <t>COMPLETION, RENOVATION AND IMPROVEMENT OF THE COUNCIL DIRECTOR'S RESIDENCE</t>
        </is>
      </c>
      <c r="E120" s="111" t="inlineStr">
        <is>
          <t>Ruvuma (Mbinga) (from client's office – confirm site)</t>
        </is>
      </c>
      <c r="F120" s="111" t="inlineStr">
        <is>
          <t>renovation</t>
        </is>
      </c>
      <c r="G120" s="115" t="n">
        <v>46322.58333333334</v>
      </c>
      <c r="H120" s="111" t="inlineStr">
        <is>
          <t>Auto (Small Works / Tender): Remote and closing soon</t>
        </is>
      </c>
      <c r="I120" s="111" t="inlineStr">
        <is>
          <t>eed2c14e-3602-412c-91fd-164445eefb3a</t>
        </is>
      </c>
      <c r="J120" s="111" t="inlineStr">
        <is>
          <t>NeST</t>
        </is>
      </c>
      <c r="K120" s="111" t="inlineStr">
        <is>
          <t>https://nest.go.tz/tenders/published-tenders</t>
        </is>
      </c>
    </row>
    <row r="121">
      <c r="A121" s="114" t="n">
        <v>46316</v>
      </c>
      <c r="B121" s="111" t="inlineStr">
        <is>
          <t>82/2026/2027/W/17</t>
        </is>
      </c>
      <c r="C121" s="111" t="inlineStr">
        <is>
          <t>Ruvuma Regional Secretariat</t>
        </is>
      </c>
      <c r="D121" s="111" t="inlineStr">
        <is>
          <t>The Rehabilitation and Renovation of the Nyasa District Commissioner's office at Nyasa District Council</t>
        </is>
      </c>
      <c r="E121" s="111" t="inlineStr">
        <is>
          <t>Ruvuma (Songea) (from client's office – confirm site)</t>
        </is>
      </c>
      <c r="F121" s="111" t="inlineStr">
        <is>
          <t>renovation</t>
        </is>
      </c>
      <c r="G121" s="115" t="n">
        <v>46322.58333333334</v>
      </c>
      <c r="H121" s="111" t="inlineStr">
        <is>
          <t>Auto (Small Works / Tender): Remote and closing soon</t>
        </is>
      </c>
      <c r="I121" s="111" t="inlineStr">
        <is>
          <t>0a35eb01-9381-4443-a3e7-da7ff9a4ffd0</t>
        </is>
      </c>
      <c r="J121" s="111" t="inlineStr">
        <is>
          <t>NeST</t>
        </is>
      </c>
      <c r="K121"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2026-10-21T02:54:46Z</dcterms:modified>
  <cp:revision>0</cp:revision>
</cp:coreProperties>
</file>