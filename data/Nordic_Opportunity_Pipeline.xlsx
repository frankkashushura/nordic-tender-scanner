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46300.52083333334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46297.58333333334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60" t="n"/>
      <c r="C49" s="61" t="n"/>
      <c r="D49" s="60" t="n"/>
      <c r="E49" s="60" t="n"/>
      <c r="F49" s="60" t="n"/>
      <c r="G49" s="60" t="n"/>
      <c r="H49" s="60" t="n"/>
      <c r="I49" s="60" t="n"/>
      <c r="J49" s="60" t="n"/>
      <c r="K49" s="60" t="n"/>
      <c r="L49" s="60" t="n"/>
      <c r="M49" s="62" t="n"/>
      <c r="N49" s="60" t="n"/>
      <c r="O49" s="61" t="n"/>
      <c r="P49" s="61" t="n"/>
      <c r="Q49" s="63" t="n"/>
      <c r="R49" s="60" t="n"/>
      <c r="S49" s="60" t="n"/>
      <c r="T49" s="64">
        <f>IF(A49="","",IFERROR(INDEX('Bid-NoBid'!$T:$T,MATCH(A49,'Bid-NoBid'!$A:$A,0)),""))</f>
        <v/>
      </c>
      <c r="U49" s="59">
        <f>IF(A49="","",IFERROR(IF(OR(INDEX('Bid-NoBid'!$U:$U,MATCH(A49,'Bid-NoBid'!$A:$A,0))="",LEFT(INDEX('Bid-NoBid'!$U:$U,MATCH(A49,'Bid-NoBid'!$A:$A,0)),10)="Incomplete"),"Screen: "&amp;AC49,INDEX('Bid-NoBid'!$U:$U,MATCH(A49,'Bid-NoBid'!$A:$A,0))),"Screen: "&amp;AC49))</f>
        <v/>
      </c>
      <c r="V49" s="60" t="n"/>
      <c r="W49" s="60" t="n"/>
      <c r="X49" s="60" t="n"/>
      <c r="Y49" s="60" t="n"/>
      <c r="Z49" s="60" t="n"/>
      <c r="AA49" s="65" t="n"/>
      <c r="AB49" s="66" t="n"/>
      <c r="AC49" s="66" t="n"/>
      <c r="AD49" s="66" t="n"/>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66" t="n"/>
      <c r="AJ49" s="66" t="n"/>
      <c r="AK49" s="66" t="n"/>
      <c r="AL49" s="59">
        <f>IF(AND(OR(W49="Watching",W49="Preparing"),ISNUMBER(Q49)),IF(AND(Q49&gt;='Friday Summary'!$C$4,Q49&lt;='Friday Summary'!$C$4+14),Q49+ROW()/1000000,""),"")</f>
        <v/>
      </c>
    </row>
    <row r="50" ht="15" customHeight="1" s="51">
      <c r="A50" s="59">
        <f>IF(B50="","","OP-"&amp;TEXT(ROW()-4,"000"))</f>
        <v/>
      </c>
      <c r="B50" s="60" t="n"/>
      <c r="C50" s="61" t="n"/>
      <c r="D50" s="60" t="n"/>
      <c r="E50" s="60" t="n"/>
      <c r="F50" s="60" t="n"/>
      <c r="G50" s="60" t="n"/>
      <c r="H50" s="60" t="n"/>
      <c r="I50" s="60" t="n"/>
      <c r="J50" s="60" t="n"/>
      <c r="K50" s="60" t="n"/>
      <c r="L50" s="60" t="n"/>
      <c r="M50" s="62" t="n"/>
      <c r="N50" s="60" t="n"/>
      <c r="O50" s="61" t="n"/>
      <c r="P50" s="61" t="n"/>
      <c r="Q50" s="63" t="n"/>
      <c r="R50" s="60" t="n"/>
      <c r="S50" s="60" t="n"/>
      <c r="T50" s="64">
        <f>IF(A50="","",IFERROR(INDEX('Bid-NoBid'!$T:$T,MATCH(A50,'Bid-NoBid'!$A:$A,0)),""))</f>
        <v/>
      </c>
      <c r="U50" s="59">
        <f>IF(A50="","",IFERROR(IF(OR(INDEX('Bid-NoBid'!$U:$U,MATCH(A50,'Bid-NoBid'!$A:$A,0))="",LEFT(INDEX('Bid-NoBid'!$U:$U,MATCH(A50,'Bid-NoBid'!$A:$A,0)),10)="Incomplete"),"Screen: "&amp;AC50,INDEX('Bid-NoBid'!$U:$U,MATCH(A50,'Bid-NoBid'!$A:$A,0))),"Screen: "&amp;AC50))</f>
        <v/>
      </c>
      <c r="V50" s="60" t="n"/>
      <c r="W50" s="60" t="n"/>
      <c r="X50" s="60" t="n"/>
      <c r="Y50" s="60" t="n"/>
      <c r="Z50" s="60" t="n"/>
      <c r="AA50" s="65" t="n"/>
      <c r="AB50" s="66" t="n"/>
      <c r="AC50" s="66" t="n"/>
      <c r="AD50" s="66" t="n"/>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66" t="n"/>
      <c r="AJ50" s="66" t="n"/>
      <c r="AK50" s="66" t="n"/>
      <c r="AL50" s="59">
        <f>IF(AND(OR(W50="Watching",W50="Preparing"),ISNUMBER(Q50)),IF(AND(Q50&gt;='Friday Summary'!$C$4,Q50&lt;='Friday Summary'!$C$4+14),Q50+ROW()/1000000,""),"")</f>
        <v/>
      </c>
    </row>
    <row r="51" ht="15" customHeight="1" s="51">
      <c r="A51" s="59">
        <f>IF(B51="","","OP-"&amp;TEXT(ROW()-4,"000"))</f>
        <v/>
      </c>
      <c r="B51" s="60" t="n"/>
      <c r="C51" s="61" t="n"/>
      <c r="D51" s="60" t="n"/>
      <c r="E51" s="60" t="n"/>
      <c r="F51" s="60" t="n"/>
      <c r="G51" s="60" t="n"/>
      <c r="H51" s="60" t="n"/>
      <c r="I51" s="60" t="n"/>
      <c r="J51" s="60" t="n"/>
      <c r="K51" s="60" t="n"/>
      <c r="L51" s="60" t="n"/>
      <c r="M51" s="62" t="n"/>
      <c r="N51" s="60" t="n"/>
      <c r="O51" s="61" t="n"/>
      <c r="P51" s="61" t="n"/>
      <c r="Q51" s="63" t="n"/>
      <c r="R51" s="60" t="n"/>
      <c r="S51" s="60" t="n"/>
      <c r="T51" s="64">
        <f>IF(A51="","",IFERROR(INDEX('Bid-NoBid'!$T:$T,MATCH(A51,'Bid-NoBid'!$A:$A,0)),""))</f>
        <v/>
      </c>
      <c r="U51" s="59">
        <f>IF(A51="","",IFERROR(IF(OR(INDEX('Bid-NoBid'!$U:$U,MATCH(A51,'Bid-NoBid'!$A:$A,0))="",LEFT(INDEX('Bid-NoBid'!$U:$U,MATCH(A51,'Bid-NoBid'!$A:$A,0)),10)="Incomplete"),"Screen: "&amp;AC51,INDEX('Bid-NoBid'!$U:$U,MATCH(A51,'Bid-NoBid'!$A:$A,0))),"Screen: "&amp;AC51))</f>
        <v/>
      </c>
      <c r="V51" s="60" t="n"/>
      <c r="W51" s="60" t="n"/>
      <c r="X51" s="60" t="n"/>
      <c r="Y51" s="60" t="n"/>
      <c r="Z51" s="60" t="n"/>
      <c r="AA51" s="65" t="n"/>
      <c r="AB51" s="66" t="n"/>
      <c r="AC51" s="66" t="n"/>
      <c r="AD51" s="66" t="n"/>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66" t="n"/>
      <c r="AJ51" s="66" t="n"/>
      <c r="AK51" s="66" t="n"/>
      <c r="AL51" s="59">
        <f>IF(AND(OR(W51="Watching",W51="Preparing"),ISNUMBER(Q51)),IF(AND(Q51&gt;='Friday Summary'!$C$4,Q51&lt;='Friday Summary'!$C$4+14),Q51+ROW()/1000000,""),"")</f>
        <v/>
      </c>
    </row>
    <row r="52" ht="15" customHeight="1" s="51">
      <c r="A52" s="59">
        <f>IF(B52="","","OP-"&amp;TEXT(ROW()-4,"000"))</f>
        <v/>
      </c>
      <c r="B52" s="60" t="n"/>
      <c r="C52" s="61" t="n"/>
      <c r="D52" s="60" t="n"/>
      <c r="E52" s="60" t="n"/>
      <c r="F52" s="60" t="n"/>
      <c r="G52" s="60" t="n"/>
      <c r="H52" s="60" t="n"/>
      <c r="I52" s="60" t="n"/>
      <c r="J52" s="60" t="n"/>
      <c r="K52" s="60" t="n"/>
      <c r="L52" s="60" t="n"/>
      <c r="M52" s="62" t="n"/>
      <c r="N52" s="60" t="n"/>
      <c r="O52" s="61" t="n"/>
      <c r="P52" s="61" t="n"/>
      <c r="Q52" s="63" t="n"/>
      <c r="R52" s="60" t="n"/>
      <c r="S52" s="60" t="n"/>
      <c r="T52" s="64">
        <f>IF(A52="","",IFERROR(INDEX('Bid-NoBid'!$T:$T,MATCH(A52,'Bid-NoBid'!$A:$A,0)),""))</f>
        <v/>
      </c>
      <c r="U52" s="59">
        <f>IF(A52="","",IFERROR(IF(OR(INDEX('Bid-NoBid'!$U:$U,MATCH(A52,'Bid-NoBid'!$A:$A,0))="",LEFT(INDEX('Bid-NoBid'!$U:$U,MATCH(A52,'Bid-NoBid'!$A:$A,0)),10)="Incomplete"),"Screen: "&amp;AC52,INDEX('Bid-NoBid'!$U:$U,MATCH(A52,'Bid-NoBid'!$A:$A,0))),"Screen: "&amp;AC52))</f>
        <v/>
      </c>
      <c r="V52" s="60" t="n"/>
      <c r="W52" s="60" t="n"/>
      <c r="X52" s="60" t="n"/>
      <c r="Y52" s="60" t="n"/>
      <c r="Z52" s="60" t="n"/>
      <c r="AA52" s="65" t="n"/>
      <c r="AB52" s="66" t="n"/>
      <c r="AC52" s="66" t="n"/>
      <c r="AD52" s="66" t="n"/>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66" t="n"/>
      <c r="AJ52" s="66" t="n"/>
      <c r="AK52" s="66" t="n"/>
      <c r="AL52" s="59">
        <f>IF(AND(OR(W52="Watching",W52="Preparing"),ISNUMBER(Q52)),IF(AND(Q52&gt;='Friday Summary'!$C$4,Q52&lt;='Friday Summary'!$C$4+14),Q52+ROW()/1000000,""),"")</f>
        <v/>
      </c>
    </row>
    <row r="53" ht="15" customHeight="1" s="51">
      <c r="A53" s="59">
        <f>IF(B53="","","OP-"&amp;TEXT(ROW()-4,"000"))</f>
        <v/>
      </c>
      <c r="B53" s="60" t="n"/>
      <c r="C53" s="61" t="n"/>
      <c r="D53" s="60" t="n"/>
      <c r="E53" s="60" t="n"/>
      <c r="F53" s="60" t="n"/>
      <c r="G53" s="60" t="n"/>
      <c r="H53" s="60" t="n"/>
      <c r="I53" s="60" t="n"/>
      <c r="J53" s="60" t="n"/>
      <c r="K53" s="60" t="n"/>
      <c r="L53" s="60" t="n"/>
      <c r="M53" s="62" t="n"/>
      <c r="N53" s="60" t="n"/>
      <c r="O53" s="61" t="n"/>
      <c r="P53" s="61" t="n"/>
      <c r="Q53" s="63" t="n"/>
      <c r="R53" s="60" t="n"/>
      <c r="S53" s="60" t="n"/>
      <c r="T53" s="64">
        <f>IF(A53="","",IFERROR(INDEX('Bid-NoBid'!$T:$T,MATCH(A53,'Bid-NoBid'!$A:$A,0)),""))</f>
        <v/>
      </c>
      <c r="U53" s="59">
        <f>IF(A53="","",IFERROR(IF(OR(INDEX('Bid-NoBid'!$U:$U,MATCH(A53,'Bid-NoBid'!$A:$A,0))="",LEFT(INDEX('Bid-NoBid'!$U:$U,MATCH(A53,'Bid-NoBid'!$A:$A,0)),10)="Incomplete"),"Screen: "&amp;AC53,INDEX('Bid-NoBid'!$U:$U,MATCH(A53,'Bid-NoBid'!$A:$A,0))),"Screen: "&amp;AC53))</f>
        <v/>
      </c>
      <c r="V53" s="60" t="n"/>
      <c r="W53" s="60" t="n"/>
      <c r="X53" s="60" t="n"/>
      <c r="Y53" s="60" t="n"/>
      <c r="Z53" s="60" t="n"/>
      <c r="AA53" s="65" t="n"/>
      <c r="AB53" s="66" t="n"/>
      <c r="AC53" s="66" t="n"/>
      <c r="AD53" s="66" t="n"/>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66" t="n"/>
      <c r="AJ53" s="66" t="n"/>
      <c r="AK53" s="66" t="n"/>
      <c r="AL53" s="59">
        <f>IF(AND(OR(W53="Watching",W53="Preparing"),ISNUMBER(Q53)),IF(AND(Q53&gt;='Friday Summary'!$C$4,Q53&lt;='Friday Summary'!$C$4+14),Q53+ROW()/1000000,""),"")</f>
        <v/>
      </c>
    </row>
    <row r="54" ht="15" customHeight="1" s="51">
      <c r="A54" s="59">
        <f>IF(B54="","","OP-"&amp;TEXT(ROW()-4,"000"))</f>
        <v/>
      </c>
      <c r="B54" s="60" t="n"/>
      <c r="C54" s="61" t="n"/>
      <c r="D54" s="60" t="n"/>
      <c r="E54" s="60" t="n"/>
      <c r="F54" s="60" t="n"/>
      <c r="G54" s="60" t="n"/>
      <c r="H54" s="60" t="n"/>
      <c r="I54" s="60" t="n"/>
      <c r="J54" s="60" t="n"/>
      <c r="K54" s="60" t="n"/>
      <c r="L54" s="60" t="n"/>
      <c r="M54" s="62" t="n"/>
      <c r="N54" s="60" t="n"/>
      <c r="O54" s="61" t="n"/>
      <c r="P54" s="61" t="n"/>
      <c r="Q54" s="63" t="n"/>
      <c r="R54" s="60" t="n"/>
      <c r="S54" s="60" t="n"/>
      <c r="T54" s="64">
        <f>IF(A54="","",IFERROR(INDEX('Bid-NoBid'!$T:$T,MATCH(A54,'Bid-NoBid'!$A:$A,0)),""))</f>
        <v/>
      </c>
      <c r="U54" s="59">
        <f>IF(A54="","",IFERROR(IF(OR(INDEX('Bid-NoBid'!$U:$U,MATCH(A54,'Bid-NoBid'!$A:$A,0))="",LEFT(INDEX('Bid-NoBid'!$U:$U,MATCH(A54,'Bid-NoBid'!$A:$A,0)),10)="Incomplete"),"Screen: "&amp;AC54,INDEX('Bid-NoBid'!$U:$U,MATCH(A54,'Bid-NoBid'!$A:$A,0))),"Screen: "&amp;AC54))</f>
        <v/>
      </c>
      <c r="V54" s="60" t="n"/>
      <c r="W54" s="60" t="n"/>
      <c r="X54" s="60" t="n"/>
      <c r="Y54" s="60" t="n"/>
      <c r="Z54" s="60" t="n"/>
      <c r="AA54" s="65" t="n"/>
      <c r="AB54" s="66" t="n"/>
      <c r="AC54" s="66" t="n"/>
      <c r="AD54" s="66" t="n"/>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66" t="n"/>
      <c r="AJ54" s="66" t="n"/>
      <c r="AK54" s="66" t="n"/>
      <c r="AL54" s="59">
        <f>IF(AND(OR(W54="Watching",W54="Preparing"),ISNUMBER(Q54)),IF(AND(Q54&gt;='Friday Summary'!$C$4,Q54&lt;='Friday Summary'!$C$4+14),Q54+ROW()/1000000,""),"")</f>
        <v/>
      </c>
    </row>
    <row r="55" ht="15" customHeight="1" s="51">
      <c r="A55" s="59">
        <f>IF(B55="","","OP-"&amp;TEXT(ROW()-4,"000"))</f>
        <v/>
      </c>
      <c r="B55" s="60" t="n"/>
      <c r="C55" s="61" t="n"/>
      <c r="D55" s="60" t="n"/>
      <c r="E55" s="60" t="n"/>
      <c r="F55" s="60" t="n"/>
      <c r="G55" s="60" t="n"/>
      <c r="H55" s="60" t="n"/>
      <c r="I55" s="60" t="n"/>
      <c r="J55" s="60" t="n"/>
      <c r="K55" s="60" t="n"/>
      <c r="L55" s="60" t="n"/>
      <c r="M55" s="62" t="n"/>
      <c r="N55" s="60" t="n"/>
      <c r="O55" s="61" t="n"/>
      <c r="P55" s="61" t="n"/>
      <c r="Q55" s="63" t="n"/>
      <c r="R55" s="60" t="n"/>
      <c r="S55" s="60" t="n"/>
      <c r="T55" s="64">
        <f>IF(A55="","",IFERROR(INDEX('Bid-NoBid'!$T:$T,MATCH(A55,'Bid-NoBid'!$A:$A,0)),""))</f>
        <v/>
      </c>
      <c r="U55" s="59">
        <f>IF(A55="","",IFERROR(IF(OR(INDEX('Bid-NoBid'!$U:$U,MATCH(A55,'Bid-NoBid'!$A:$A,0))="",LEFT(INDEX('Bid-NoBid'!$U:$U,MATCH(A55,'Bid-NoBid'!$A:$A,0)),10)="Incomplete"),"Screen: "&amp;AC55,INDEX('Bid-NoBid'!$U:$U,MATCH(A55,'Bid-NoBid'!$A:$A,0))),"Screen: "&amp;AC55))</f>
        <v/>
      </c>
      <c r="V55" s="60" t="n"/>
      <c r="W55" s="60" t="n"/>
      <c r="X55" s="60" t="n"/>
      <c r="Y55" s="60" t="n"/>
      <c r="Z55" s="60" t="n"/>
      <c r="AA55" s="65" t="n"/>
      <c r="AB55" s="66" t="n"/>
      <c r="AC55" s="66" t="n"/>
      <c r="AD55" s="66" t="n"/>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66" t="n"/>
      <c r="AJ55" s="66" t="n"/>
      <c r="AK55" s="66" t="n"/>
      <c r="AL55" s="59">
        <f>IF(AND(OR(W55="Watching",W55="Preparing"),ISNUMBER(Q55)),IF(AND(Q55&gt;='Friday Summary'!$C$4,Q55&lt;='Friday Summary'!$C$4+14),Q55+ROW()/1000000,""),"")</f>
        <v/>
      </c>
    </row>
    <row r="56" ht="15" customHeight="1" s="51">
      <c r="A56" s="59">
        <f>IF(B56="","","OP-"&amp;TEXT(ROW()-4,"000"))</f>
        <v/>
      </c>
      <c r="B56" s="60" t="n"/>
      <c r="C56" s="61" t="n"/>
      <c r="D56" s="60" t="n"/>
      <c r="E56" s="60" t="n"/>
      <c r="F56" s="60" t="n"/>
      <c r="G56" s="60" t="n"/>
      <c r="H56" s="60" t="n"/>
      <c r="I56" s="60" t="n"/>
      <c r="J56" s="60" t="n"/>
      <c r="K56" s="60" t="n"/>
      <c r="L56" s="60" t="n"/>
      <c r="M56" s="62" t="n"/>
      <c r="N56" s="60" t="n"/>
      <c r="O56" s="61" t="n"/>
      <c r="P56" s="61" t="n"/>
      <c r="Q56" s="63" t="n"/>
      <c r="R56" s="60" t="n"/>
      <c r="S56" s="60" t="n"/>
      <c r="T56" s="64">
        <f>IF(A56="","",IFERROR(INDEX('Bid-NoBid'!$T:$T,MATCH(A56,'Bid-NoBid'!$A:$A,0)),""))</f>
        <v/>
      </c>
      <c r="U56" s="59">
        <f>IF(A56="","",IFERROR(IF(OR(INDEX('Bid-NoBid'!$U:$U,MATCH(A56,'Bid-NoBid'!$A:$A,0))="",LEFT(INDEX('Bid-NoBid'!$U:$U,MATCH(A56,'Bid-NoBid'!$A:$A,0)),10)="Incomplete"),"Screen: "&amp;AC56,INDEX('Bid-NoBid'!$U:$U,MATCH(A56,'Bid-NoBid'!$A:$A,0))),"Screen: "&amp;AC56))</f>
        <v/>
      </c>
      <c r="V56" s="60" t="n"/>
      <c r="W56" s="60" t="n"/>
      <c r="X56" s="60" t="n"/>
      <c r="Y56" s="60" t="n"/>
      <c r="Z56" s="60" t="n"/>
      <c r="AA56" s="65" t="n"/>
      <c r="AB56" s="66" t="n"/>
      <c r="AC56" s="66" t="n"/>
      <c r="AD56" s="66" t="n"/>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66" t="n"/>
      <c r="AJ56" s="66" t="n"/>
      <c r="AK56" s="66" t="n"/>
      <c r="AL56" s="59">
        <f>IF(AND(OR(W56="Watching",W56="Preparing"),ISNUMBER(Q56)),IF(AND(Q56&gt;='Friday Summary'!$C$4,Q56&lt;='Friday Summary'!$C$4+14),Q56+ROW()/1000000,""),"")</f>
        <v/>
      </c>
    </row>
    <row r="57" ht="15" customHeight="1" s="51">
      <c r="A57" s="59">
        <f>IF(B57="","","OP-"&amp;TEXT(ROW()-4,"000"))</f>
        <v/>
      </c>
      <c r="B57" s="60" t="n"/>
      <c r="C57" s="61" t="n"/>
      <c r="D57" s="60" t="n"/>
      <c r="E57" s="60" t="n"/>
      <c r="F57" s="60" t="n"/>
      <c r="G57" s="60" t="n"/>
      <c r="H57" s="60" t="n"/>
      <c r="I57" s="60" t="n"/>
      <c r="J57" s="60" t="n"/>
      <c r="K57" s="60" t="n"/>
      <c r="L57" s="60" t="n"/>
      <c r="M57" s="62" t="n"/>
      <c r="N57" s="60" t="n"/>
      <c r="O57" s="61" t="n"/>
      <c r="P57" s="61" t="n"/>
      <c r="Q57" s="63" t="n"/>
      <c r="R57" s="60" t="n"/>
      <c r="S57" s="60" t="n"/>
      <c r="T57" s="64">
        <f>IF(A57="","",IFERROR(INDEX('Bid-NoBid'!$T:$T,MATCH(A57,'Bid-NoBid'!$A:$A,0)),""))</f>
        <v/>
      </c>
      <c r="U57" s="59">
        <f>IF(A57="","",IFERROR(IF(OR(INDEX('Bid-NoBid'!$U:$U,MATCH(A57,'Bid-NoBid'!$A:$A,0))="",LEFT(INDEX('Bid-NoBid'!$U:$U,MATCH(A57,'Bid-NoBid'!$A:$A,0)),10)="Incomplete"),"Screen: "&amp;AC57,INDEX('Bid-NoBid'!$U:$U,MATCH(A57,'Bid-NoBid'!$A:$A,0))),"Screen: "&amp;AC57))</f>
        <v/>
      </c>
      <c r="V57" s="60" t="n"/>
      <c r="W57" s="60" t="n"/>
      <c r="X57" s="60" t="n"/>
      <c r="Y57" s="60" t="n"/>
      <c r="Z57" s="60" t="n"/>
      <c r="AA57" s="65" t="n"/>
      <c r="AB57" s="66" t="n"/>
      <c r="AC57" s="66" t="n"/>
      <c r="AD57" s="66" t="n"/>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66" t="n"/>
      <c r="AJ57" s="66" t="n"/>
      <c r="AK57" s="66" t="n"/>
      <c r="AL57" s="59">
        <f>IF(AND(OR(W57="Watching",W57="Preparing"),ISNUMBER(Q57)),IF(AND(Q57&gt;='Friday Summary'!$C$4,Q57&lt;='Friday Summary'!$C$4+14),Q57+ROW()/1000000,""),"")</f>
        <v/>
      </c>
    </row>
    <row r="58" ht="15" customHeight="1" s="51">
      <c r="A58" s="59">
        <f>IF(B58="","","OP-"&amp;TEXT(ROW()-4,"000"))</f>
        <v/>
      </c>
      <c r="B58" s="60" t="n"/>
      <c r="C58" s="61" t="n"/>
      <c r="D58" s="60" t="n"/>
      <c r="E58" s="60" t="n"/>
      <c r="F58" s="60" t="n"/>
      <c r="G58" s="60" t="n"/>
      <c r="H58" s="60" t="n"/>
      <c r="I58" s="60" t="n"/>
      <c r="J58" s="60" t="n"/>
      <c r="K58" s="60" t="n"/>
      <c r="L58" s="60" t="n"/>
      <c r="M58" s="62" t="n"/>
      <c r="N58" s="60" t="n"/>
      <c r="O58" s="61" t="n"/>
      <c r="P58" s="61" t="n"/>
      <c r="Q58" s="63" t="n"/>
      <c r="R58" s="60" t="n"/>
      <c r="S58" s="60" t="n"/>
      <c r="T58" s="64">
        <f>IF(A58="","",IFERROR(INDEX('Bid-NoBid'!$T:$T,MATCH(A58,'Bid-NoBid'!$A:$A,0)),""))</f>
        <v/>
      </c>
      <c r="U58" s="59">
        <f>IF(A58="","",IFERROR(IF(OR(INDEX('Bid-NoBid'!$U:$U,MATCH(A58,'Bid-NoBid'!$A:$A,0))="",LEFT(INDEX('Bid-NoBid'!$U:$U,MATCH(A58,'Bid-NoBid'!$A:$A,0)),10)="Incomplete"),"Screen: "&amp;AC58,INDEX('Bid-NoBid'!$U:$U,MATCH(A58,'Bid-NoBid'!$A:$A,0))),"Screen: "&amp;AC58))</f>
        <v/>
      </c>
      <c r="V58" s="60" t="n"/>
      <c r="W58" s="60" t="n"/>
      <c r="X58" s="60" t="n"/>
      <c r="Y58" s="60" t="n"/>
      <c r="Z58" s="60" t="n"/>
      <c r="AA58" s="65" t="n"/>
      <c r="AB58" s="66" t="n"/>
      <c r="AC58" s="66" t="n"/>
      <c r="AD58" s="66" t="n"/>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66" t="n"/>
      <c r="AJ58" s="66" t="n"/>
      <c r="AK58" s="66" t="n"/>
      <c r="AL58" s="59">
        <f>IF(AND(OR(W58="Watching",W58="Preparing"),ISNUMBER(Q58)),IF(AND(Q58&gt;='Friday Summary'!$C$4,Q58&lt;='Friday Summary'!$C$4+14),Q58+ROW()/1000000,""),"")</f>
        <v/>
      </c>
    </row>
    <row r="59" ht="15" customHeight="1" s="51">
      <c r="A59" s="59">
        <f>IF(B59="","","OP-"&amp;TEXT(ROW()-4,"000"))</f>
        <v/>
      </c>
      <c r="B59" s="60" t="n"/>
      <c r="C59" s="61" t="n"/>
      <c r="D59" s="60" t="n"/>
      <c r="E59" s="60" t="n"/>
      <c r="F59" s="60" t="n"/>
      <c r="G59" s="60" t="n"/>
      <c r="H59" s="60" t="n"/>
      <c r="I59" s="60" t="n"/>
      <c r="J59" s="60" t="n"/>
      <c r="K59" s="60" t="n"/>
      <c r="L59" s="60" t="n"/>
      <c r="M59" s="62" t="n"/>
      <c r="N59" s="60" t="n"/>
      <c r="O59" s="61" t="n"/>
      <c r="P59" s="61" t="n"/>
      <c r="Q59" s="63" t="n"/>
      <c r="R59" s="60" t="n"/>
      <c r="S59" s="60" t="n"/>
      <c r="T59" s="64">
        <f>IF(A59="","",IFERROR(INDEX('Bid-NoBid'!$T:$T,MATCH(A59,'Bid-NoBid'!$A:$A,0)),""))</f>
        <v/>
      </c>
      <c r="U59" s="59">
        <f>IF(A59="","",IFERROR(IF(OR(INDEX('Bid-NoBid'!$U:$U,MATCH(A59,'Bid-NoBid'!$A:$A,0))="",LEFT(INDEX('Bid-NoBid'!$U:$U,MATCH(A59,'Bid-NoBid'!$A:$A,0)),10)="Incomplete"),"Screen: "&amp;AC59,INDEX('Bid-NoBid'!$U:$U,MATCH(A59,'Bid-NoBid'!$A:$A,0))),"Screen: "&amp;AC59))</f>
        <v/>
      </c>
      <c r="V59" s="60" t="n"/>
      <c r="W59" s="60" t="n"/>
      <c r="X59" s="60" t="n"/>
      <c r="Y59" s="60" t="n"/>
      <c r="Z59" s="60" t="n"/>
      <c r="AA59" s="65" t="n"/>
      <c r="AB59" s="66" t="n"/>
      <c r="AC59" s="66" t="n"/>
      <c r="AD59" s="66" t="n"/>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66" t="n"/>
      <c r="AJ59" s="66" t="n"/>
      <c r="AK59" s="66" t="n"/>
      <c r="AL59" s="59">
        <f>IF(AND(OR(W59="Watching",W59="Preparing"),ISNUMBER(Q59)),IF(AND(Q59&gt;='Friday Summary'!$C$4,Q59&lt;='Friday Summary'!$C$4+14),Q59+ROW()/1000000,""),"")</f>
        <v/>
      </c>
    </row>
    <row r="60" ht="15" customHeight="1" s="51">
      <c r="A60" s="59">
        <f>IF(B60="","","OP-"&amp;TEXT(ROW()-4,"000"))</f>
        <v/>
      </c>
      <c r="B60" s="60" t="n"/>
      <c r="C60" s="61" t="n"/>
      <c r="D60" s="60" t="n"/>
      <c r="E60" s="60" t="n"/>
      <c r="F60" s="60" t="n"/>
      <c r="G60" s="60" t="n"/>
      <c r="H60" s="60" t="n"/>
      <c r="I60" s="60" t="n"/>
      <c r="J60" s="60" t="n"/>
      <c r="K60" s="60" t="n"/>
      <c r="L60" s="60" t="n"/>
      <c r="M60" s="62" t="n"/>
      <c r="N60" s="60" t="n"/>
      <c r="O60" s="61" t="n"/>
      <c r="P60" s="61" t="n"/>
      <c r="Q60" s="63" t="n"/>
      <c r="R60" s="60" t="n"/>
      <c r="S60" s="60" t="n"/>
      <c r="T60" s="64">
        <f>IF(A60="","",IFERROR(INDEX('Bid-NoBid'!$T:$T,MATCH(A60,'Bid-NoBid'!$A:$A,0)),""))</f>
        <v/>
      </c>
      <c r="U60" s="59">
        <f>IF(A60="","",IFERROR(IF(OR(INDEX('Bid-NoBid'!$U:$U,MATCH(A60,'Bid-NoBid'!$A:$A,0))="",LEFT(INDEX('Bid-NoBid'!$U:$U,MATCH(A60,'Bid-NoBid'!$A:$A,0)),10)="Incomplete"),"Screen: "&amp;AC60,INDEX('Bid-NoBid'!$U:$U,MATCH(A60,'Bid-NoBid'!$A:$A,0))),"Screen: "&amp;AC60))</f>
        <v/>
      </c>
      <c r="V60" s="60" t="n"/>
      <c r="W60" s="60" t="n"/>
      <c r="X60" s="60" t="n"/>
      <c r="Y60" s="60" t="n"/>
      <c r="Z60" s="60" t="n"/>
      <c r="AA60" s="65" t="n"/>
      <c r="AB60" s="66" t="n"/>
      <c r="AC60" s="66" t="n"/>
      <c r="AD60" s="66" t="n"/>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66" t="n"/>
      <c r="AJ60" s="66" t="n"/>
      <c r="AK60" s="66" t="n"/>
      <c r="AL60" s="59">
        <f>IF(AND(OR(W60="Watching",W60="Preparing"),ISNUMBER(Q60)),IF(AND(Q60&gt;='Friday Summary'!$C$4,Q60&lt;='Friday Summary'!$C$4+14),Q60+ROW()/1000000,""),"")</f>
        <v/>
      </c>
    </row>
    <row r="61" ht="15" customHeight="1" s="51">
      <c r="A61" s="59">
        <f>IF(B61="","","OP-"&amp;TEXT(ROW()-4,"000"))</f>
        <v/>
      </c>
      <c r="B61" s="60" t="n"/>
      <c r="C61" s="61" t="n"/>
      <c r="D61" s="60" t="n"/>
      <c r="E61" s="60" t="n"/>
      <c r="F61" s="60" t="n"/>
      <c r="G61" s="60" t="n"/>
      <c r="H61" s="60" t="n"/>
      <c r="I61" s="60" t="n"/>
      <c r="J61" s="60" t="n"/>
      <c r="K61" s="60" t="n"/>
      <c r="L61" s="60" t="n"/>
      <c r="M61" s="62" t="n"/>
      <c r="N61" s="60" t="n"/>
      <c r="O61" s="61" t="n"/>
      <c r="P61" s="61" t="n"/>
      <c r="Q61" s="63" t="n"/>
      <c r="R61" s="60" t="n"/>
      <c r="S61" s="60" t="n"/>
      <c r="T61" s="64">
        <f>IF(A61="","",IFERROR(INDEX('Bid-NoBid'!$T:$T,MATCH(A61,'Bid-NoBid'!$A:$A,0)),""))</f>
        <v/>
      </c>
      <c r="U61" s="59">
        <f>IF(A61="","",IFERROR(IF(OR(INDEX('Bid-NoBid'!$U:$U,MATCH(A61,'Bid-NoBid'!$A:$A,0))="",LEFT(INDEX('Bid-NoBid'!$U:$U,MATCH(A61,'Bid-NoBid'!$A:$A,0)),10)="Incomplete"),"Screen: "&amp;AC61,INDEX('Bid-NoBid'!$U:$U,MATCH(A61,'Bid-NoBid'!$A:$A,0))),"Screen: "&amp;AC61))</f>
        <v/>
      </c>
      <c r="V61" s="60" t="n"/>
      <c r="W61" s="60" t="n"/>
      <c r="X61" s="60" t="n"/>
      <c r="Y61" s="60" t="n"/>
      <c r="Z61" s="60" t="n"/>
      <c r="AA61" s="65" t="n"/>
      <c r="AB61" s="66" t="n"/>
      <c r="AC61" s="66" t="n"/>
      <c r="AD61" s="66" t="n"/>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66" t="n"/>
      <c r="AJ61" s="66" t="n"/>
      <c r="AK61" s="66" t="n"/>
      <c r="AL61" s="59">
        <f>IF(AND(OR(W61="Watching",W61="Preparing"),ISNUMBER(Q61)),IF(AND(Q61&gt;='Friday Summary'!$C$4,Q61&lt;='Friday Summary'!$C$4+14),Q61+ROW()/1000000,""),"")</f>
        <v/>
      </c>
    </row>
    <row r="62" ht="15" customHeight="1" s="51">
      <c r="A62" s="59">
        <f>IF(B62="","","OP-"&amp;TEXT(ROW()-4,"000"))</f>
        <v/>
      </c>
      <c r="B62" s="60" t="n"/>
      <c r="C62" s="61" t="n"/>
      <c r="D62" s="60" t="n"/>
      <c r="E62" s="60" t="n"/>
      <c r="F62" s="60" t="n"/>
      <c r="G62" s="60" t="n"/>
      <c r="H62" s="60" t="n"/>
      <c r="I62" s="60" t="n"/>
      <c r="J62" s="60" t="n"/>
      <c r="K62" s="60" t="n"/>
      <c r="L62" s="60" t="n"/>
      <c r="M62" s="62" t="n"/>
      <c r="N62" s="60" t="n"/>
      <c r="O62" s="61" t="n"/>
      <c r="P62" s="61" t="n"/>
      <c r="Q62" s="63" t="n"/>
      <c r="R62" s="60" t="n"/>
      <c r="S62" s="60" t="n"/>
      <c r="T62" s="64">
        <f>IF(A62="","",IFERROR(INDEX('Bid-NoBid'!$T:$T,MATCH(A62,'Bid-NoBid'!$A:$A,0)),""))</f>
        <v/>
      </c>
      <c r="U62" s="59">
        <f>IF(A62="","",IFERROR(IF(OR(INDEX('Bid-NoBid'!$U:$U,MATCH(A62,'Bid-NoBid'!$A:$A,0))="",LEFT(INDEX('Bid-NoBid'!$U:$U,MATCH(A62,'Bid-NoBid'!$A:$A,0)),10)="Incomplete"),"Screen: "&amp;AC62,INDEX('Bid-NoBid'!$U:$U,MATCH(A62,'Bid-NoBid'!$A:$A,0))),"Screen: "&amp;AC62))</f>
        <v/>
      </c>
      <c r="V62" s="60" t="n"/>
      <c r="W62" s="60" t="n"/>
      <c r="X62" s="60" t="n"/>
      <c r="Y62" s="60" t="n"/>
      <c r="Z62" s="60" t="n"/>
      <c r="AA62" s="65" t="n"/>
      <c r="AB62" s="66" t="n"/>
      <c r="AC62" s="66" t="n"/>
      <c r="AD62" s="66" t="n"/>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66" t="n"/>
      <c r="AJ62" s="66" t="n"/>
      <c r="AK62" s="66" t="n"/>
      <c r="AL62" s="59">
        <f>IF(AND(OR(W62="Watching",W62="Preparing"),ISNUMBER(Q62)),IF(AND(Q62&gt;='Friday Summary'!$C$4,Q62&lt;='Friday Summary'!$C$4+14),Q62+ROW()/1000000,""),"")</f>
        <v/>
      </c>
    </row>
    <row r="63" ht="15" customHeight="1" s="51">
      <c r="A63" s="59">
        <f>IF(B63="","","OP-"&amp;TEXT(ROW()-4,"000"))</f>
        <v/>
      </c>
      <c r="B63" s="60" t="n"/>
      <c r="C63" s="61" t="n"/>
      <c r="D63" s="60" t="n"/>
      <c r="E63" s="60" t="n"/>
      <c r="F63" s="60" t="n"/>
      <c r="G63" s="60" t="n"/>
      <c r="H63" s="60" t="n"/>
      <c r="I63" s="60" t="n"/>
      <c r="J63" s="60" t="n"/>
      <c r="K63" s="60" t="n"/>
      <c r="L63" s="60" t="n"/>
      <c r="M63" s="62" t="n"/>
      <c r="N63" s="60" t="n"/>
      <c r="O63" s="61" t="n"/>
      <c r="P63" s="61" t="n"/>
      <c r="Q63" s="63" t="n"/>
      <c r="R63" s="60" t="n"/>
      <c r="S63" s="60" t="n"/>
      <c r="T63" s="64">
        <f>IF(A63="","",IFERROR(INDEX('Bid-NoBid'!$T:$T,MATCH(A63,'Bid-NoBid'!$A:$A,0)),""))</f>
        <v/>
      </c>
      <c r="U63" s="59">
        <f>IF(A63="","",IFERROR(IF(OR(INDEX('Bid-NoBid'!$U:$U,MATCH(A63,'Bid-NoBid'!$A:$A,0))="",LEFT(INDEX('Bid-NoBid'!$U:$U,MATCH(A63,'Bid-NoBid'!$A:$A,0)),10)="Incomplete"),"Screen: "&amp;AC63,INDEX('Bid-NoBid'!$U:$U,MATCH(A63,'Bid-NoBid'!$A:$A,0))),"Screen: "&amp;AC63))</f>
        <v/>
      </c>
      <c r="V63" s="60" t="n"/>
      <c r="W63" s="60" t="n"/>
      <c r="X63" s="60" t="n"/>
      <c r="Y63" s="60" t="n"/>
      <c r="Z63" s="60" t="n"/>
      <c r="AA63" s="65" t="n"/>
      <c r="AB63" s="66" t="n"/>
      <c r="AC63" s="66" t="n"/>
      <c r="AD63" s="66" t="n"/>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66" t="n"/>
      <c r="AJ63" s="66" t="n"/>
      <c r="AK63" s="66" t="n"/>
      <c r="AL63" s="59">
        <f>IF(AND(OR(W63="Watching",W63="Preparing"),ISNUMBER(Q63)),IF(AND(Q63&gt;='Friday Summary'!$C$4,Q63&lt;='Friday Summary'!$C$4+14),Q63+ROW()/1000000,""),"")</f>
        <v/>
      </c>
    </row>
    <row r="64" ht="15" customHeight="1" s="51">
      <c r="A64" s="59">
        <f>IF(B64="","","OP-"&amp;TEXT(ROW()-4,"000"))</f>
        <v/>
      </c>
      <c r="B64" s="60" t="n"/>
      <c r="C64" s="61" t="n"/>
      <c r="D64" s="60" t="n"/>
      <c r="E64" s="60" t="n"/>
      <c r="F64" s="60" t="n"/>
      <c r="G64" s="60" t="n"/>
      <c r="H64" s="60" t="n"/>
      <c r="I64" s="60" t="n"/>
      <c r="J64" s="60" t="n"/>
      <c r="K64" s="60" t="n"/>
      <c r="L64" s="60" t="n"/>
      <c r="M64" s="62" t="n"/>
      <c r="N64" s="60" t="n"/>
      <c r="O64" s="61" t="n"/>
      <c r="P64" s="61" t="n"/>
      <c r="Q64" s="63" t="n"/>
      <c r="R64" s="60" t="n"/>
      <c r="S64" s="60" t="n"/>
      <c r="T64" s="64">
        <f>IF(A64="","",IFERROR(INDEX('Bid-NoBid'!$T:$T,MATCH(A64,'Bid-NoBid'!$A:$A,0)),""))</f>
        <v/>
      </c>
      <c r="U64" s="59">
        <f>IF(A64="","",IFERROR(IF(OR(INDEX('Bid-NoBid'!$U:$U,MATCH(A64,'Bid-NoBid'!$A:$A,0))="",LEFT(INDEX('Bid-NoBid'!$U:$U,MATCH(A64,'Bid-NoBid'!$A:$A,0)),10)="Incomplete"),"Screen: "&amp;AC64,INDEX('Bid-NoBid'!$U:$U,MATCH(A64,'Bid-NoBid'!$A:$A,0))),"Screen: "&amp;AC64))</f>
        <v/>
      </c>
      <c r="V64" s="60" t="n"/>
      <c r="W64" s="60" t="n"/>
      <c r="X64" s="60" t="n"/>
      <c r="Y64" s="60" t="n"/>
      <c r="Z64" s="60" t="n"/>
      <c r="AA64" s="65" t="n"/>
      <c r="AB64" s="66" t="n"/>
      <c r="AC64" s="66" t="n"/>
      <c r="AD64" s="66" t="n"/>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66" t="n"/>
      <c r="AJ64" s="66" t="n"/>
      <c r="AK64" s="66" t="n"/>
      <c r="AL64" s="59">
        <f>IF(AND(OR(W64="Watching",W64="Preparing"),ISNUMBER(Q64)),IF(AND(Q64&gt;='Friday Summary'!$C$4,Q64&lt;='Friday Summary'!$C$4+14),Q64+ROW()/1000000,""),"")</f>
        <v/>
      </c>
    </row>
    <row r="65" ht="15" customHeight="1" s="51">
      <c r="A65" s="59">
        <f>IF(B65="","","OP-"&amp;TEXT(ROW()-4,"000"))</f>
        <v/>
      </c>
      <c r="B65" s="60" t="n"/>
      <c r="C65" s="61" t="n"/>
      <c r="D65" s="60" t="n"/>
      <c r="E65" s="60" t="n"/>
      <c r="F65" s="60" t="n"/>
      <c r="G65" s="60" t="n"/>
      <c r="H65" s="60" t="n"/>
      <c r="I65" s="60" t="n"/>
      <c r="J65" s="60" t="n"/>
      <c r="K65" s="60" t="n"/>
      <c r="L65" s="60" t="n"/>
      <c r="M65" s="62" t="n"/>
      <c r="N65" s="60" t="n"/>
      <c r="O65" s="61" t="n"/>
      <c r="P65" s="61" t="n"/>
      <c r="Q65" s="63" t="n"/>
      <c r="R65" s="60" t="n"/>
      <c r="S65" s="60" t="n"/>
      <c r="T65" s="64">
        <f>IF(A65="","",IFERROR(INDEX('Bid-NoBid'!$T:$T,MATCH(A65,'Bid-NoBid'!$A:$A,0)),""))</f>
        <v/>
      </c>
      <c r="U65" s="59">
        <f>IF(A65="","",IFERROR(IF(OR(INDEX('Bid-NoBid'!$U:$U,MATCH(A65,'Bid-NoBid'!$A:$A,0))="",LEFT(INDEX('Bid-NoBid'!$U:$U,MATCH(A65,'Bid-NoBid'!$A:$A,0)),10)="Incomplete"),"Screen: "&amp;AC65,INDEX('Bid-NoBid'!$U:$U,MATCH(A65,'Bid-NoBid'!$A:$A,0))),"Screen: "&amp;AC65))</f>
        <v/>
      </c>
      <c r="V65" s="60" t="n"/>
      <c r="W65" s="60" t="n"/>
      <c r="X65" s="60" t="n"/>
      <c r="Y65" s="60" t="n"/>
      <c r="Z65" s="60" t="n"/>
      <c r="AA65" s="65" t="n"/>
      <c r="AB65" s="66" t="n"/>
      <c r="AC65" s="66" t="n"/>
      <c r="AD65" s="66" t="n"/>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66" t="n"/>
      <c r="AJ65" s="66" t="n"/>
      <c r="AK65" s="66" t="n"/>
      <c r="AL65" s="59">
        <f>IF(AND(OR(W65="Watching",W65="Preparing"),ISNUMBER(Q65)),IF(AND(Q65&gt;='Friday Summary'!$C$4,Q65&lt;='Friday Summary'!$C$4+14),Q65+ROW()/1000000,""),"")</f>
        <v/>
      </c>
    </row>
    <row r="66" ht="15" customHeight="1" s="51">
      <c r="A66" s="59">
        <f>IF(B66="","","OP-"&amp;TEXT(ROW()-4,"000"))</f>
        <v/>
      </c>
      <c r="B66" s="60" t="n"/>
      <c r="C66" s="61" t="n"/>
      <c r="D66" s="60" t="n"/>
      <c r="E66" s="60" t="n"/>
      <c r="F66" s="60" t="n"/>
      <c r="G66" s="60" t="n"/>
      <c r="H66" s="60" t="n"/>
      <c r="I66" s="60" t="n"/>
      <c r="J66" s="60" t="n"/>
      <c r="K66" s="60" t="n"/>
      <c r="L66" s="60" t="n"/>
      <c r="M66" s="62" t="n"/>
      <c r="N66" s="60" t="n"/>
      <c r="O66" s="61" t="n"/>
      <c r="P66" s="61" t="n"/>
      <c r="Q66" s="63" t="n"/>
      <c r="R66" s="60" t="n"/>
      <c r="S66" s="60" t="n"/>
      <c r="T66" s="64">
        <f>IF(A66="","",IFERROR(INDEX('Bid-NoBid'!$T:$T,MATCH(A66,'Bid-NoBid'!$A:$A,0)),""))</f>
        <v/>
      </c>
      <c r="U66" s="59">
        <f>IF(A66="","",IFERROR(IF(OR(INDEX('Bid-NoBid'!$U:$U,MATCH(A66,'Bid-NoBid'!$A:$A,0))="",LEFT(INDEX('Bid-NoBid'!$U:$U,MATCH(A66,'Bid-NoBid'!$A:$A,0)),10)="Incomplete"),"Screen: "&amp;AC66,INDEX('Bid-NoBid'!$U:$U,MATCH(A66,'Bid-NoBid'!$A:$A,0))),"Screen: "&amp;AC66))</f>
        <v/>
      </c>
      <c r="V66" s="60" t="n"/>
      <c r="W66" s="60" t="n"/>
      <c r="X66" s="60" t="n"/>
      <c r="Y66" s="60" t="n"/>
      <c r="Z66" s="60" t="n"/>
      <c r="AA66" s="65" t="n"/>
      <c r="AB66" s="66" t="n"/>
      <c r="AC66" s="66" t="n"/>
      <c r="AD66" s="66" t="n"/>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66" t="n"/>
      <c r="AJ66" s="66" t="n"/>
      <c r="AK66" s="66" t="n"/>
      <c r="AL66" s="59">
        <f>IF(AND(OR(W66="Watching",W66="Preparing"),ISNUMBER(Q66)),IF(AND(Q66&gt;='Friday Summary'!$C$4,Q66&lt;='Friday Summary'!$C$4+14),Q66+ROW()/1000000,""),"")</f>
        <v/>
      </c>
    </row>
    <row r="67" ht="15" customHeight="1" s="51">
      <c r="A67" s="59">
        <f>IF(B67="","","OP-"&amp;TEXT(ROW()-4,"000"))</f>
        <v/>
      </c>
      <c r="B67" s="60" t="n"/>
      <c r="C67" s="61" t="n"/>
      <c r="D67" s="60" t="n"/>
      <c r="E67" s="60" t="n"/>
      <c r="F67" s="60" t="n"/>
      <c r="G67" s="60" t="n"/>
      <c r="H67" s="60" t="n"/>
      <c r="I67" s="60" t="n"/>
      <c r="J67" s="60" t="n"/>
      <c r="K67" s="60" t="n"/>
      <c r="L67" s="60" t="n"/>
      <c r="M67" s="62" t="n"/>
      <c r="N67" s="60" t="n"/>
      <c r="O67" s="61" t="n"/>
      <c r="P67" s="61" t="n"/>
      <c r="Q67" s="63" t="n"/>
      <c r="R67" s="60" t="n"/>
      <c r="S67" s="60" t="n"/>
      <c r="T67" s="64">
        <f>IF(A67="","",IFERROR(INDEX('Bid-NoBid'!$T:$T,MATCH(A67,'Bid-NoBid'!$A:$A,0)),""))</f>
        <v/>
      </c>
      <c r="U67" s="59">
        <f>IF(A67="","",IFERROR(IF(OR(INDEX('Bid-NoBid'!$U:$U,MATCH(A67,'Bid-NoBid'!$A:$A,0))="",LEFT(INDEX('Bid-NoBid'!$U:$U,MATCH(A67,'Bid-NoBid'!$A:$A,0)),10)="Incomplete"),"Screen: "&amp;AC67,INDEX('Bid-NoBid'!$U:$U,MATCH(A67,'Bid-NoBid'!$A:$A,0))),"Screen: "&amp;AC67))</f>
        <v/>
      </c>
      <c r="V67" s="60" t="n"/>
      <c r="W67" s="60" t="n"/>
      <c r="X67" s="60" t="n"/>
      <c r="Y67" s="60" t="n"/>
      <c r="Z67" s="60" t="n"/>
      <c r="AA67" s="65" t="n"/>
      <c r="AB67" s="66" t="n"/>
      <c r="AC67" s="66" t="n"/>
      <c r="AD67" s="66" t="n"/>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66" t="n"/>
      <c r="AJ67" s="66" t="n"/>
      <c r="AK67" s="66" t="n"/>
      <c r="AL67" s="59">
        <f>IF(AND(OR(W67="Watching",W67="Preparing"),ISNUMBER(Q67)),IF(AND(Q67&gt;='Friday Summary'!$C$4,Q67&lt;='Friday Summary'!$C$4+14),Q67+ROW()/1000000,""),"")</f>
        <v/>
      </c>
    </row>
    <row r="68" ht="15" customHeight="1" s="51">
      <c r="A68" s="59">
        <f>IF(B68="","","OP-"&amp;TEXT(ROW()-4,"000"))</f>
        <v/>
      </c>
      <c r="B68" s="60" t="n"/>
      <c r="C68" s="61" t="n"/>
      <c r="D68" s="60" t="n"/>
      <c r="E68" s="60" t="n"/>
      <c r="F68" s="60" t="n"/>
      <c r="G68" s="60" t="n"/>
      <c r="H68" s="60" t="n"/>
      <c r="I68" s="60" t="n"/>
      <c r="J68" s="60" t="n"/>
      <c r="K68" s="60" t="n"/>
      <c r="L68" s="60" t="n"/>
      <c r="M68" s="62" t="n"/>
      <c r="N68" s="60" t="n"/>
      <c r="O68" s="61" t="n"/>
      <c r="P68" s="61" t="n"/>
      <c r="Q68" s="63" t="n"/>
      <c r="R68" s="60" t="n"/>
      <c r="S68" s="60" t="n"/>
      <c r="T68" s="64">
        <f>IF(A68="","",IFERROR(INDEX('Bid-NoBid'!$T:$T,MATCH(A68,'Bid-NoBid'!$A:$A,0)),""))</f>
        <v/>
      </c>
      <c r="U68" s="59">
        <f>IF(A68="","",IFERROR(IF(OR(INDEX('Bid-NoBid'!$U:$U,MATCH(A68,'Bid-NoBid'!$A:$A,0))="",LEFT(INDEX('Bid-NoBid'!$U:$U,MATCH(A68,'Bid-NoBid'!$A:$A,0)),10)="Incomplete"),"Screen: "&amp;AC68,INDEX('Bid-NoBid'!$U:$U,MATCH(A68,'Bid-NoBid'!$A:$A,0))),"Screen: "&amp;AC68))</f>
        <v/>
      </c>
      <c r="V68" s="60" t="n"/>
      <c r="W68" s="60" t="n"/>
      <c r="X68" s="60" t="n"/>
      <c r="Y68" s="60" t="n"/>
      <c r="Z68" s="60" t="n"/>
      <c r="AA68" s="65" t="n"/>
      <c r="AB68" s="66" t="n"/>
      <c r="AC68" s="66" t="n"/>
      <c r="AD68" s="66" t="n"/>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66" t="n"/>
      <c r="AJ68" s="66" t="n"/>
      <c r="AK68" s="66" t="n"/>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4"/>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2026-09-27T15:52:36Z</dcterms:modified>
  <cp:revision>0</cp:revision>
</cp:coreProperties>
</file>