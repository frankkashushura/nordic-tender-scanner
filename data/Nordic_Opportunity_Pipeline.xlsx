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60" t="n"/>
      <c r="C53" s="61" t="n"/>
      <c r="D53" s="60" t="n"/>
      <c r="E53" s="60" t="n"/>
      <c r="F53" s="60" t="n"/>
      <c r="G53" s="60" t="n"/>
      <c r="H53" s="60" t="n"/>
      <c r="I53" s="60" t="n"/>
      <c r="J53" s="60" t="n"/>
      <c r="K53" s="60" t="n"/>
      <c r="L53" s="60" t="n"/>
      <c r="M53" s="62" t="n"/>
      <c r="N53" s="60" t="n"/>
      <c r="O53" s="61" t="n"/>
      <c r="P53" s="61" t="n"/>
      <c r="Q53" s="63" t="n"/>
      <c r="R53" s="60" t="n"/>
      <c r="S53" s="60" t="n"/>
      <c r="T53" s="64">
        <f>IF(A53="","",IFERROR(INDEX('Bid-NoBid'!$T:$T,MATCH(A53,'Bid-NoBid'!$A:$A,0)),""))</f>
        <v/>
      </c>
      <c r="U53" s="59">
        <f>IF(A53="","",IFERROR(IF(OR(INDEX('Bid-NoBid'!$U:$U,MATCH(A53,'Bid-NoBid'!$A:$A,0))="",LEFT(INDEX('Bid-NoBid'!$U:$U,MATCH(A53,'Bid-NoBid'!$A:$A,0)),10)="Incomplete"),"Screen: "&amp;AC53,INDEX('Bid-NoBid'!$U:$U,MATCH(A53,'Bid-NoBid'!$A:$A,0))),"Screen: "&amp;AC53))</f>
        <v/>
      </c>
      <c r="V53" s="60" t="n"/>
      <c r="W53" s="60" t="n"/>
      <c r="X53" s="60" t="n"/>
      <c r="Y53" s="60" t="n"/>
      <c r="Z53" s="60" t="n"/>
      <c r="AA53" s="65" t="n"/>
      <c r="AB53" s="66" t="n"/>
      <c r="AC53" s="66" t="n"/>
      <c r="AD53" s="66" t="n"/>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66" t="n"/>
      <c r="AJ53" s="66" t="n"/>
      <c r="AK53" s="66" t="n"/>
      <c r="AL53" s="59">
        <f>IF(AND(OR(W53="Watching",W53="Preparing"),ISNUMBER(Q53)),IF(AND(Q53&gt;='Friday Summary'!$C$4,Q53&lt;='Friday Summary'!$C$4+14),Q53+ROW()/1000000,""),"")</f>
        <v/>
      </c>
    </row>
    <row r="54" ht="15" customHeight="1" s="51">
      <c r="A54" s="59">
        <f>IF(B54="","","OP-"&amp;TEXT(ROW()-4,"000"))</f>
        <v/>
      </c>
      <c r="B54" s="60" t="n"/>
      <c r="C54" s="61" t="n"/>
      <c r="D54" s="60" t="n"/>
      <c r="E54" s="60" t="n"/>
      <c r="F54" s="60" t="n"/>
      <c r="G54" s="60" t="n"/>
      <c r="H54" s="60" t="n"/>
      <c r="I54" s="60" t="n"/>
      <c r="J54" s="60" t="n"/>
      <c r="K54" s="60" t="n"/>
      <c r="L54" s="60" t="n"/>
      <c r="M54" s="62" t="n"/>
      <c r="N54" s="60" t="n"/>
      <c r="O54" s="61" t="n"/>
      <c r="P54" s="61" t="n"/>
      <c r="Q54" s="63" t="n"/>
      <c r="R54" s="60" t="n"/>
      <c r="S54" s="60" t="n"/>
      <c r="T54" s="64">
        <f>IF(A54="","",IFERROR(INDEX('Bid-NoBid'!$T:$T,MATCH(A54,'Bid-NoBid'!$A:$A,0)),""))</f>
        <v/>
      </c>
      <c r="U54" s="59">
        <f>IF(A54="","",IFERROR(IF(OR(INDEX('Bid-NoBid'!$U:$U,MATCH(A54,'Bid-NoBid'!$A:$A,0))="",LEFT(INDEX('Bid-NoBid'!$U:$U,MATCH(A54,'Bid-NoBid'!$A:$A,0)),10)="Incomplete"),"Screen: "&amp;AC54,INDEX('Bid-NoBid'!$U:$U,MATCH(A54,'Bid-NoBid'!$A:$A,0))),"Screen: "&amp;AC54))</f>
        <v/>
      </c>
      <c r="V54" s="60" t="n"/>
      <c r="W54" s="60" t="n"/>
      <c r="X54" s="60" t="n"/>
      <c r="Y54" s="60" t="n"/>
      <c r="Z54" s="60" t="n"/>
      <c r="AA54" s="65" t="n"/>
      <c r="AB54" s="66" t="n"/>
      <c r="AC54" s="66" t="n"/>
      <c r="AD54" s="66" t="n"/>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66" t="n"/>
      <c r="AJ54" s="66" t="n"/>
      <c r="AK54" s="66" t="n"/>
      <c r="AL54" s="59">
        <f>IF(AND(OR(W54="Watching",W54="Preparing"),ISNUMBER(Q54)),IF(AND(Q54&gt;='Friday Summary'!$C$4,Q54&lt;='Friday Summary'!$C$4+14),Q54+ROW()/1000000,""),"")</f>
        <v/>
      </c>
    </row>
    <row r="55" ht="15" customHeight="1" s="51">
      <c r="A55" s="59">
        <f>IF(B55="","","OP-"&amp;TEXT(ROW()-4,"000"))</f>
        <v/>
      </c>
      <c r="B55" s="60" t="n"/>
      <c r="C55" s="61" t="n"/>
      <c r="D55" s="60" t="n"/>
      <c r="E55" s="60" t="n"/>
      <c r="F55" s="60" t="n"/>
      <c r="G55" s="60" t="n"/>
      <c r="H55" s="60" t="n"/>
      <c r="I55" s="60" t="n"/>
      <c r="J55" s="60" t="n"/>
      <c r="K55" s="60" t="n"/>
      <c r="L55" s="60" t="n"/>
      <c r="M55" s="62" t="n"/>
      <c r="N55" s="60" t="n"/>
      <c r="O55" s="61" t="n"/>
      <c r="P55" s="61" t="n"/>
      <c r="Q55" s="63" t="n"/>
      <c r="R55" s="60" t="n"/>
      <c r="S55" s="60" t="n"/>
      <c r="T55" s="64">
        <f>IF(A55="","",IFERROR(INDEX('Bid-NoBid'!$T:$T,MATCH(A55,'Bid-NoBid'!$A:$A,0)),""))</f>
        <v/>
      </c>
      <c r="U55" s="59">
        <f>IF(A55="","",IFERROR(IF(OR(INDEX('Bid-NoBid'!$U:$U,MATCH(A55,'Bid-NoBid'!$A:$A,0))="",LEFT(INDEX('Bid-NoBid'!$U:$U,MATCH(A55,'Bid-NoBid'!$A:$A,0)),10)="Incomplete"),"Screen: "&amp;AC55,INDEX('Bid-NoBid'!$U:$U,MATCH(A55,'Bid-NoBid'!$A:$A,0))),"Screen: "&amp;AC55))</f>
        <v/>
      </c>
      <c r="V55" s="60" t="n"/>
      <c r="W55" s="60" t="n"/>
      <c r="X55" s="60" t="n"/>
      <c r="Y55" s="60" t="n"/>
      <c r="Z55" s="60" t="n"/>
      <c r="AA55" s="65" t="n"/>
      <c r="AB55" s="66" t="n"/>
      <c r="AC55" s="66" t="n"/>
      <c r="AD55" s="66" t="n"/>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66" t="n"/>
      <c r="AJ55" s="66" t="n"/>
      <c r="AK55" s="66" t="n"/>
      <c r="AL55" s="59">
        <f>IF(AND(OR(W55="Watching",W55="Preparing"),ISNUMBER(Q55)),IF(AND(Q55&gt;='Friday Summary'!$C$4,Q55&lt;='Friday Summary'!$C$4+14),Q55+ROW()/1000000,""),"")</f>
        <v/>
      </c>
    </row>
    <row r="56" ht="15" customHeight="1" s="51">
      <c r="A56" s="59">
        <f>IF(B56="","","OP-"&amp;TEXT(ROW()-4,"000"))</f>
        <v/>
      </c>
      <c r="B56" s="60" t="n"/>
      <c r="C56" s="61" t="n"/>
      <c r="D56" s="60" t="n"/>
      <c r="E56" s="60" t="n"/>
      <c r="F56" s="60" t="n"/>
      <c r="G56" s="60" t="n"/>
      <c r="H56" s="60" t="n"/>
      <c r="I56" s="60" t="n"/>
      <c r="J56" s="60" t="n"/>
      <c r="K56" s="60" t="n"/>
      <c r="L56" s="60" t="n"/>
      <c r="M56" s="62" t="n"/>
      <c r="N56" s="60" t="n"/>
      <c r="O56" s="61" t="n"/>
      <c r="P56" s="61" t="n"/>
      <c r="Q56" s="63" t="n"/>
      <c r="R56" s="60" t="n"/>
      <c r="S56" s="60" t="n"/>
      <c r="T56" s="64">
        <f>IF(A56="","",IFERROR(INDEX('Bid-NoBid'!$T:$T,MATCH(A56,'Bid-NoBid'!$A:$A,0)),""))</f>
        <v/>
      </c>
      <c r="U56" s="59">
        <f>IF(A56="","",IFERROR(IF(OR(INDEX('Bid-NoBid'!$U:$U,MATCH(A56,'Bid-NoBid'!$A:$A,0))="",LEFT(INDEX('Bid-NoBid'!$U:$U,MATCH(A56,'Bid-NoBid'!$A:$A,0)),10)="Incomplete"),"Screen: "&amp;AC56,INDEX('Bid-NoBid'!$U:$U,MATCH(A56,'Bid-NoBid'!$A:$A,0))),"Screen: "&amp;AC56))</f>
        <v/>
      </c>
      <c r="V56" s="60" t="n"/>
      <c r="W56" s="60" t="n"/>
      <c r="X56" s="60" t="n"/>
      <c r="Y56" s="60" t="n"/>
      <c r="Z56" s="60" t="n"/>
      <c r="AA56" s="65" t="n"/>
      <c r="AB56" s="66" t="n"/>
      <c r="AC56" s="66" t="n"/>
      <c r="AD56" s="66" t="n"/>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66" t="n"/>
      <c r="AJ56" s="66" t="n"/>
      <c r="AK56" s="66" t="n"/>
      <c r="AL56" s="59">
        <f>IF(AND(OR(W56="Watching",W56="Preparing"),ISNUMBER(Q56)),IF(AND(Q56&gt;='Friday Summary'!$C$4,Q56&lt;='Friday Summary'!$C$4+14),Q56+ROW()/1000000,""),"")</f>
        <v/>
      </c>
    </row>
    <row r="57" ht="15" customHeight="1" s="51">
      <c r="A57" s="59">
        <f>IF(B57="","","OP-"&amp;TEXT(ROW()-4,"000"))</f>
        <v/>
      </c>
      <c r="B57" s="60" t="n"/>
      <c r="C57" s="61" t="n"/>
      <c r="D57" s="60" t="n"/>
      <c r="E57" s="60" t="n"/>
      <c r="F57" s="60" t="n"/>
      <c r="G57" s="60" t="n"/>
      <c r="H57" s="60" t="n"/>
      <c r="I57" s="60" t="n"/>
      <c r="J57" s="60" t="n"/>
      <c r="K57" s="60" t="n"/>
      <c r="L57" s="60" t="n"/>
      <c r="M57" s="62" t="n"/>
      <c r="N57" s="60" t="n"/>
      <c r="O57" s="61" t="n"/>
      <c r="P57" s="61" t="n"/>
      <c r="Q57" s="63" t="n"/>
      <c r="R57" s="60" t="n"/>
      <c r="S57" s="60" t="n"/>
      <c r="T57" s="64">
        <f>IF(A57="","",IFERROR(INDEX('Bid-NoBid'!$T:$T,MATCH(A57,'Bid-NoBid'!$A:$A,0)),""))</f>
        <v/>
      </c>
      <c r="U57" s="59">
        <f>IF(A57="","",IFERROR(IF(OR(INDEX('Bid-NoBid'!$U:$U,MATCH(A57,'Bid-NoBid'!$A:$A,0))="",LEFT(INDEX('Bid-NoBid'!$U:$U,MATCH(A57,'Bid-NoBid'!$A:$A,0)),10)="Incomplete"),"Screen: "&amp;AC57,INDEX('Bid-NoBid'!$U:$U,MATCH(A57,'Bid-NoBid'!$A:$A,0))),"Screen: "&amp;AC57))</f>
        <v/>
      </c>
      <c r="V57" s="60" t="n"/>
      <c r="W57" s="60" t="n"/>
      <c r="X57" s="60" t="n"/>
      <c r="Y57" s="60" t="n"/>
      <c r="Z57" s="60" t="n"/>
      <c r="AA57" s="65" t="n"/>
      <c r="AB57" s="66" t="n"/>
      <c r="AC57" s="66" t="n"/>
      <c r="AD57" s="66" t="n"/>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66" t="n"/>
      <c r="AJ57" s="66" t="n"/>
      <c r="AK57" s="66" t="n"/>
      <c r="AL57" s="59">
        <f>IF(AND(OR(W57="Watching",W57="Preparing"),ISNUMBER(Q57)),IF(AND(Q57&gt;='Friday Summary'!$C$4,Q57&lt;='Friday Summary'!$C$4+14),Q57+ROW()/1000000,""),"")</f>
        <v/>
      </c>
    </row>
    <row r="58" ht="15" customHeight="1" s="51">
      <c r="A58" s="59">
        <f>IF(B58="","","OP-"&amp;TEXT(ROW()-4,"000"))</f>
        <v/>
      </c>
      <c r="B58" s="60" t="n"/>
      <c r="C58" s="61" t="n"/>
      <c r="D58" s="60" t="n"/>
      <c r="E58" s="60" t="n"/>
      <c r="F58" s="60" t="n"/>
      <c r="G58" s="60" t="n"/>
      <c r="H58" s="60" t="n"/>
      <c r="I58" s="60" t="n"/>
      <c r="J58" s="60" t="n"/>
      <c r="K58" s="60" t="n"/>
      <c r="L58" s="60" t="n"/>
      <c r="M58" s="62" t="n"/>
      <c r="N58" s="60" t="n"/>
      <c r="O58" s="61" t="n"/>
      <c r="P58" s="61" t="n"/>
      <c r="Q58" s="63" t="n"/>
      <c r="R58" s="60" t="n"/>
      <c r="S58" s="60" t="n"/>
      <c r="T58" s="64">
        <f>IF(A58="","",IFERROR(INDEX('Bid-NoBid'!$T:$T,MATCH(A58,'Bid-NoBid'!$A:$A,0)),""))</f>
        <v/>
      </c>
      <c r="U58" s="59">
        <f>IF(A58="","",IFERROR(IF(OR(INDEX('Bid-NoBid'!$U:$U,MATCH(A58,'Bid-NoBid'!$A:$A,0))="",LEFT(INDEX('Bid-NoBid'!$U:$U,MATCH(A58,'Bid-NoBid'!$A:$A,0)),10)="Incomplete"),"Screen: "&amp;AC58,INDEX('Bid-NoBid'!$U:$U,MATCH(A58,'Bid-NoBid'!$A:$A,0))),"Screen: "&amp;AC58))</f>
        <v/>
      </c>
      <c r="V58" s="60" t="n"/>
      <c r="W58" s="60" t="n"/>
      <c r="X58" s="60" t="n"/>
      <c r="Y58" s="60" t="n"/>
      <c r="Z58" s="60" t="n"/>
      <c r="AA58" s="65" t="n"/>
      <c r="AB58" s="66" t="n"/>
      <c r="AC58" s="66" t="n"/>
      <c r="AD58" s="66" t="n"/>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66" t="n"/>
      <c r="AJ58" s="66" t="n"/>
      <c r="AK58" s="66" t="n"/>
      <c r="AL58" s="59">
        <f>IF(AND(OR(W58="Watching",W58="Preparing"),ISNUMBER(Q58)),IF(AND(Q58&gt;='Friday Summary'!$C$4,Q58&lt;='Friday Summary'!$C$4+14),Q58+ROW()/1000000,""),"")</f>
        <v/>
      </c>
    </row>
    <row r="59" ht="15" customHeight="1" s="51">
      <c r="A59" s="59">
        <f>IF(B59="","","OP-"&amp;TEXT(ROW()-4,"000"))</f>
        <v/>
      </c>
      <c r="B59" s="60" t="n"/>
      <c r="C59" s="61" t="n"/>
      <c r="D59" s="60" t="n"/>
      <c r="E59" s="60" t="n"/>
      <c r="F59" s="60" t="n"/>
      <c r="G59" s="60" t="n"/>
      <c r="H59" s="60" t="n"/>
      <c r="I59" s="60" t="n"/>
      <c r="J59" s="60" t="n"/>
      <c r="K59" s="60" t="n"/>
      <c r="L59" s="60" t="n"/>
      <c r="M59" s="62" t="n"/>
      <c r="N59" s="60" t="n"/>
      <c r="O59" s="61" t="n"/>
      <c r="P59" s="61" t="n"/>
      <c r="Q59" s="63" t="n"/>
      <c r="R59" s="60" t="n"/>
      <c r="S59" s="60" t="n"/>
      <c r="T59" s="64">
        <f>IF(A59="","",IFERROR(INDEX('Bid-NoBid'!$T:$T,MATCH(A59,'Bid-NoBid'!$A:$A,0)),""))</f>
        <v/>
      </c>
      <c r="U59" s="59">
        <f>IF(A59="","",IFERROR(IF(OR(INDEX('Bid-NoBid'!$U:$U,MATCH(A59,'Bid-NoBid'!$A:$A,0))="",LEFT(INDEX('Bid-NoBid'!$U:$U,MATCH(A59,'Bid-NoBid'!$A:$A,0)),10)="Incomplete"),"Screen: "&amp;AC59,INDEX('Bid-NoBid'!$U:$U,MATCH(A59,'Bid-NoBid'!$A:$A,0))),"Screen: "&amp;AC59))</f>
        <v/>
      </c>
      <c r="V59" s="60" t="n"/>
      <c r="W59" s="60" t="n"/>
      <c r="X59" s="60" t="n"/>
      <c r="Y59" s="60" t="n"/>
      <c r="Z59" s="60" t="n"/>
      <c r="AA59" s="65" t="n"/>
      <c r="AB59" s="66" t="n"/>
      <c r="AC59" s="66" t="n"/>
      <c r="AD59" s="66" t="n"/>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66" t="n"/>
      <c r="AJ59" s="66" t="n"/>
      <c r="AK59" s="66" t="n"/>
      <c r="AL59" s="59">
        <f>IF(AND(OR(W59="Watching",W59="Preparing"),ISNUMBER(Q59)),IF(AND(Q59&gt;='Friday Summary'!$C$4,Q59&lt;='Friday Summary'!$C$4+14),Q59+ROW()/1000000,""),"")</f>
        <v/>
      </c>
    </row>
    <row r="60" ht="15" customHeight="1" s="51">
      <c r="A60" s="59">
        <f>IF(B60="","","OP-"&amp;TEXT(ROW()-4,"000"))</f>
        <v/>
      </c>
      <c r="B60" s="60" t="n"/>
      <c r="C60" s="61" t="n"/>
      <c r="D60" s="60" t="n"/>
      <c r="E60" s="60" t="n"/>
      <c r="F60" s="60" t="n"/>
      <c r="G60" s="60" t="n"/>
      <c r="H60" s="60" t="n"/>
      <c r="I60" s="60" t="n"/>
      <c r="J60" s="60" t="n"/>
      <c r="K60" s="60" t="n"/>
      <c r="L60" s="60" t="n"/>
      <c r="M60" s="62" t="n"/>
      <c r="N60" s="60" t="n"/>
      <c r="O60" s="61" t="n"/>
      <c r="P60" s="61" t="n"/>
      <c r="Q60" s="63" t="n"/>
      <c r="R60" s="60" t="n"/>
      <c r="S60" s="60" t="n"/>
      <c r="T60" s="64">
        <f>IF(A60="","",IFERROR(INDEX('Bid-NoBid'!$T:$T,MATCH(A60,'Bid-NoBid'!$A:$A,0)),""))</f>
        <v/>
      </c>
      <c r="U60" s="59">
        <f>IF(A60="","",IFERROR(IF(OR(INDEX('Bid-NoBid'!$U:$U,MATCH(A60,'Bid-NoBid'!$A:$A,0))="",LEFT(INDEX('Bid-NoBid'!$U:$U,MATCH(A60,'Bid-NoBid'!$A:$A,0)),10)="Incomplete"),"Screen: "&amp;AC60,INDEX('Bid-NoBid'!$U:$U,MATCH(A60,'Bid-NoBid'!$A:$A,0))),"Screen: "&amp;AC60))</f>
        <v/>
      </c>
      <c r="V60" s="60" t="n"/>
      <c r="W60" s="60" t="n"/>
      <c r="X60" s="60" t="n"/>
      <c r="Y60" s="60" t="n"/>
      <c r="Z60" s="60" t="n"/>
      <c r="AA60" s="65" t="n"/>
      <c r="AB60" s="66" t="n"/>
      <c r="AC60" s="66" t="n"/>
      <c r="AD60" s="66" t="n"/>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66" t="n"/>
      <c r="AJ60" s="66" t="n"/>
      <c r="AK60" s="66" t="n"/>
      <c r="AL60" s="59">
        <f>IF(AND(OR(W60="Watching",W60="Preparing"),ISNUMBER(Q60)),IF(AND(Q60&gt;='Friday Summary'!$C$4,Q60&lt;='Friday Summary'!$C$4+14),Q60+ROW()/1000000,""),"")</f>
        <v/>
      </c>
    </row>
    <row r="61" ht="15" customHeight="1" s="51">
      <c r="A61" s="59">
        <f>IF(B61="","","OP-"&amp;TEXT(ROW()-4,"000"))</f>
        <v/>
      </c>
      <c r="B61" s="60" t="n"/>
      <c r="C61" s="61" t="n"/>
      <c r="D61" s="60" t="n"/>
      <c r="E61" s="60" t="n"/>
      <c r="F61" s="60" t="n"/>
      <c r="G61" s="60" t="n"/>
      <c r="H61" s="60" t="n"/>
      <c r="I61" s="60" t="n"/>
      <c r="J61" s="60" t="n"/>
      <c r="K61" s="60" t="n"/>
      <c r="L61" s="60" t="n"/>
      <c r="M61" s="62" t="n"/>
      <c r="N61" s="60" t="n"/>
      <c r="O61" s="61" t="n"/>
      <c r="P61" s="61" t="n"/>
      <c r="Q61" s="63" t="n"/>
      <c r="R61" s="60" t="n"/>
      <c r="S61" s="60" t="n"/>
      <c r="T61" s="64">
        <f>IF(A61="","",IFERROR(INDEX('Bid-NoBid'!$T:$T,MATCH(A61,'Bid-NoBid'!$A:$A,0)),""))</f>
        <v/>
      </c>
      <c r="U61" s="59">
        <f>IF(A61="","",IFERROR(IF(OR(INDEX('Bid-NoBid'!$U:$U,MATCH(A61,'Bid-NoBid'!$A:$A,0))="",LEFT(INDEX('Bid-NoBid'!$U:$U,MATCH(A61,'Bid-NoBid'!$A:$A,0)),10)="Incomplete"),"Screen: "&amp;AC61,INDEX('Bid-NoBid'!$U:$U,MATCH(A61,'Bid-NoBid'!$A:$A,0))),"Screen: "&amp;AC61))</f>
        <v/>
      </c>
      <c r="V61" s="60" t="n"/>
      <c r="W61" s="60" t="n"/>
      <c r="X61" s="60" t="n"/>
      <c r="Y61" s="60" t="n"/>
      <c r="Z61" s="60" t="n"/>
      <c r="AA61" s="65" t="n"/>
      <c r="AB61" s="66" t="n"/>
      <c r="AC61" s="66" t="n"/>
      <c r="AD61" s="66" t="n"/>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66" t="n"/>
      <c r="AJ61" s="66" t="n"/>
      <c r="AK61" s="66" t="n"/>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6"/>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2026-09-29T11:21:18Z</dcterms:modified>
  <cp:revision>0</cp:revision>
</cp:coreProperties>
</file>