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46301.58333333334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Deadline changed at source 03-Oct (was 02-Oct 14:00). 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46311.66666666666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70" t="inlineStr">
        <is>
          <t>(not shown)</t>
        </is>
      </c>
      <c r="C69" s="71" t="n">
        <v>46298</v>
      </c>
      <c r="D69" s="70" t="inlineStr">
        <is>
          <t>press</t>
        </is>
      </c>
      <c r="E69" s="70" t="inlineStr">
        <is>
          <t>https://www.tanzaniatenders.com/tender/bdi25003-10004-public-work-contract-construction-perimeter-fence-and-site-development-works-nsu-8f6414e.php</t>
        </is>
      </c>
      <c r="F69" s="70" t="inlineStr">
        <is>
          <t>See advert</t>
        </is>
      </c>
      <c r="G69" s="70" t="inlineStr">
        <is>
          <t>government</t>
        </is>
      </c>
      <c r="H69" s="70" t="inlineStr">
        <is>
          <t>Bdi25003-10004 - Public Work Contract for “Construction of Perimeter Fence and Site Development Works at Nsumbu Environmental and Climatic Monitoring Center and at the Lake Tanganyika Research Unit”</t>
        </is>
      </c>
      <c r="I69" s="70" t="inlineStr">
        <is>
          <t>From press notice (1 lot) – read the tender document</t>
        </is>
      </c>
      <c r="J69" s="70" t="inlineStr">
        <is>
          <t>Not stated – read the notice</t>
        </is>
      </c>
      <c r="K69" s="70" t="inlineStr">
        <is>
          <t>building</t>
        </is>
      </c>
      <c r="L69" s="70" t="inlineStr">
        <is>
          <t>See tender document</t>
        </is>
      </c>
      <c r="M69" s="62" t="n"/>
      <c r="N69" s="70" t="inlineStr">
        <is>
          <t>unknown</t>
        </is>
      </c>
      <c r="O69" s="71" t="inlineStr">
        <is>
          <t>See tender document</t>
        </is>
      </c>
      <c r="P69" s="71" t="inlineStr">
        <is>
          <t>See tender document</t>
        </is>
      </c>
      <c r="Q69" s="72" t="n">
        <v>46318.41666666666</v>
      </c>
      <c r="R69" s="70" t="inlineStr">
        <is>
          <t>See tender document</t>
        </is>
      </c>
      <c r="S69" s="70" t="inlineStr">
        <is>
          <t>N</t>
        </is>
      </c>
      <c r="T69" s="64">
        <f>IF(A69="","",IFERROR(INDEX('Bid-NoBid'!$T:$T,MATCH(A69,'Bid-NoBid'!$A:$A,0)),""))</f>
        <v/>
      </c>
      <c r="U69" s="59">
        <f>IF(A69="","",IFERROR(IF(OR(INDEX('Bid-NoBid'!$U:$U,MATCH(A69,'Bid-NoBid'!$A:$A,0))="",LEFT(INDEX('Bid-NoBid'!$U:$U,MATCH(A69,'Bid-NoBid'!$A:$A,0)),10)="Incomplete"),"Screen: "&amp;AC69,INDEX('Bid-NoBid'!$U:$U,MATCH(A69,'Bid-NoBid'!$A:$A,0))),"Screen: "&amp;AC69))</f>
        <v/>
      </c>
      <c r="V69" s="60" t="n"/>
      <c r="W69" s="70" t="inlineStr">
        <is>
          <t>Watching</t>
        </is>
      </c>
      <c r="X69" s="70" t="inlineStr">
        <is>
          <t>Frank</t>
        </is>
      </c>
      <c r="Y69" s="60" t="n"/>
      <c r="Z69" s="60" t="n"/>
      <c r="AA69" s="73" t="n"/>
      <c r="AB69" s="74" t="inlineStr">
        <is>
          <t>TanzaniaTenders.com (newspapers / portals / private)</t>
        </is>
      </c>
      <c r="AC69" s="74" t="inlineStr">
        <is>
          <t>Check</t>
        </is>
      </c>
      <c r="AD69" s="74" t="inlineStr">
        <is>
          <t>Auto (TanzaniaTenders.com): Site not stated in the listing – read the notice · deadline read from the web page – confirm</t>
        </is>
      </c>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74" t="inlineStr">
        <is>
          <t>Read the notice and decide with the QS Director whether to pursue</t>
        </is>
      </c>
      <c r="AJ69" s="74" t="inlineStr">
        <is>
          <t>Auto-scan</t>
        </is>
      </c>
      <c r="AK69" s="74" t="inlineStr">
        <is>
          <t>TZT:150356302</t>
        </is>
      </c>
      <c r="AL69" s="59">
        <f>IF(AND(OR(W69="Watching",W69="Preparing"),ISNUMBER(Q69)),IF(AND(Q69&gt;='Friday Summary'!$C$4,Q69&lt;='Friday Summary'!$C$4+14),Q69+ROW()/1000000,""),"")</f>
        <v/>
      </c>
    </row>
    <row r="70" ht="15" customHeight="1" s="51">
      <c r="A70" s="59">
        <f>IF(B70="","","OP-"&amp;TEXT(ROW()-4,"000"))</f>
        <v/>
      </c>
      <c r="B70" s="70" t="inlineStr">
        <is>
          <t>(not shown)</t>
        </is>
      </c>
      <c r="C70" s="71" t="n">
        <v>46298</v>
      </c>
      <c r="D70" s="70" t="inlineStr">
        <is>
          <t>press</t>
        </is>
      </c>
      <c r="E70" s="70" t="inlineStr">
        <is>
          <t>https://www.tanzaniatenders.com/tender/provision-hiring-civil-works-equipments-excavator-and-dumper-truck-8f64b24.php</t>
        </is>
      </c>
      <c r="F70" s="70" t="inlineStr">
        <is>
          <t>See advert</t>
        </is>
      </c>
      <c r="G70" s="70" t="inlineStr">
        <is>
          <t>government</t>
        </is>
      </c>
      <c r="H70" s="70" t="inlineStr">
        <is>
          <t>Provision of Hiring of Civil Works Equipments (Excavator and Dumper Truck)</t>
        </is>
      </c>
      <c r="I70" s="70" t="inlineStr">
        <is>
          <t>From press notice (1 lot) – read the tender document</t>
        </is>
      </c>
      <c r="J70" s="70" t="inlineStr">
        <is>
          <t>Not stated – read the notice</t>
        </is>
      </c>
      <c r="K70" s="70" t="inlineStr">
        <is>
          <t>civil</t>
        </is>
      </c>
      <c r="L70" s="70" t="inlineStr">
        <is>
          <t>See tender document</t>
        </is>
      </c>
      <c r="M70" s="62" t="n"/>
      <c r="N70" s="70" t="inlineStr">
        <is>
          <t>unknown</t>
        </is>
      </c>
      <c r="O70" s="71" t="inlineStr">
        <is>
          <t>See tender document</t>
        </is>
      </c>
      <c r="P70" s="71" t="inlineStr">
        <is>
          <t>See tender document</t>
        </is>
      </c>
      <c r="Q70" s="72" t="n">
        <v>46304.41666666666</v>
      </c>
      <c r="R70" s="70" t="inlineStr">
        <is>
          <t>See tender document</t>
        </is>
      </c>
      <c r="S70" s="70" t="inlineStr">
        <is>
          <t>N</t>
        </is>
      </c>
      <c r="T70" s="64">
        <f>IF(A70="","",IFERROR(INDEX('Bid-NoBid'!$T:$T,MATCH(A70,'Bid-NoBid'!$A:$A,0)),""))</f>
        <v/>
      </c>
      <c r="U70" s="59">
        <f>IF(A70="","",IFERROR(IF(OR(INDEX('Bid-NoBid'!$U:$U,MATCH(A70,'Bid-NoBid'!$A:$A,0))="",LEFT(INDEX('Bid-NoBid'!$U:$U,MATCH(A70,'Bid-NoBid'!$A:$A,0)),10)="Incomplete"),"Screen: "&amp;AC70,INDEX('Bid-NoBid'!$U:$U,MATCH(A70,'Bid-NoBid'!$A:$A,0))),"Screen: "&amp;AC70))</f>
        <v/>
      </c>
      <c r="V70" s="60" t="n"/>
      <c r="W70" s="70" t="inlineStr">
        <is>
          <t>Watching</t>
        </is>
      </c>
      <c r="X70" s="70" t="inlineStr">
        <is>
          <t>Frank</t>
        </is>
      </c>
      <c r="Y70" s="60" t="n"/>
      <c r="Z70" s="60" t="n"/>
      <c r="AA70" s="73" t="n"/>
      <c r="AB70" s="74" t="inlineStr">
        <is>
          <t>TanzaniaTenders.com (newspapers / portals / private)</t>
        </is>
      </c>
      <c r="AC70" s="74" t="inlineStr">
        <is>
          <t>Check</t>
        </is>
      </c>
      <c r="AD70" s="74" t="inlineStr">
        <is>
          <t>Auto (TanzaniaTenders.com): Civil works – confirm site, CRB class and margin · deadline read from the web page – confirm</t>
        </is>
      </c>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74" t="inlineStr">
        <is>
          <t>Read the notice and decide with the QS Director whether to pursue</t>
        </is>
      </c>
      <c r="AJ70" s="74" t="inlineStr">
        <is>
          <t>Auto-scan</t>
        </is>
      </c>
      <c r="AK70" s="74" t="inlineStr">
        <is>
          <t>TZT:150358820</t>
        </is>
      </c>
      <c r="AL70" s="59">
        <f>IF(AND(OR(W70="Watching",W70="Preparing"),ISNUMBER(Q70)),IF(AND(Q70&gt;='Friday Summary'!$C$4,Q70&lt;='Friday Summary'!$C$4+14),Q70+ROW()/1000000,""),"")</f>
        <v/>
      </c>
    </row>
    <row r="71" ht="15" customHeight="1" s="51">
      <c r="A71" s="59">
        <f>IF(B71="","","OP-"&amp;TEXT(ROW()-4,"000"))</f>
        <v/>
      </c>
      <c r="B71" s="70" t="inlineStr">
        <is>
          <t>(not shown)</t>
        </is>
      </c>
      <c r="C71" s="71" t="n">
        <v>46298</v>
      </c>
      <c r="D71" s="70" t="inlineStr">
        <is>
          <t>press</t>
        </is>
      </c>
      <c r="E71" s="70" t="inlineStr">
        <is>
          <t>https://www.tanzaniatenders.com/tender/replacement-regional-offices-internet-routers-8f64b1c.php</t>
        </is>
      </c>
      <c r="F71" s="70" t="inlineStr">
        <is>
          <t>See advert</t>
        </is>
      </c>
      <c r="G71" s="70" t="inlineStr">
        <is>
          <t>government</t>
        </is>
      </c>
      <c r="H71" s="70" t="inlineStr">
        <is>
          <t>Replacement of Regional Offices Internet Routers</t>
        </is>
      </c>
      <c r="I71" s="70" t="inlineStr">
        <is>
          <t>From press notice (1 lot) – read the tender document</t>
        </is>
      </c>
      <c r="J71" s="70" t="inlineStr">
        <is>
          <t>Not stated – read the notice</t>
        </is>
      </c>
      <c r="K71" s="70" t="inlineStr">
        <is>
          <t>building</t>
        </is>
      </c>
      <c r="L71" s="70" t="inlineStr">
        <is>
          <t>See tender document</t>
        </is>
      </c>
      <c r="M71" s="62" t="n"/>
      <c r="N71" s="70" t="inlineStr">
        <is>
          <t>unknown</t>
        </is>
      </c>
      <c r="O71" s="71" t="inlineStr">
        <is>
          <t>See tender document</t>
        </is>
      </c>
      <c r="P71" s="71" t="inlineStr">
        <is>
          <t>See tender document</t>
        </is>
      </c>
      <c r="Q71" s="72" t="n">
        <v>46304.41666666666</v>
      </c>
      <c r="R71" s="70" t="inlineStr">
        <is>
          <t>See tender document</t>
        </is>
      </c>
      <c r="S71" s="70" t="inlineStr">
        <is>
          <t>N</t>
        </is>
      </c>
      <c r="T71" s="64">
        <f>IF(A71="","",IFERROR(INDEX('Bid-NoBid'!$T:$T,MATCH(A71,'Bid-NoBid'!$A:$A,0)),""))</f>
        <v/>
      </c>
      <c r="U71" s="59">
        <f>IF(A71="","",IFERROR(IF(OR(INDEX('Bid-NoBid'!$U:$U,MATCH(A71,'Bid-NoBid'!$A:$A,0))="",LEFT(INDEX('Bid-NoBid'!$U:$U,MATCH(A71,'Bid-NoBid'!$A:$A,0)),10)="Incomplete"),"Screen: "&amp;AC71,INDEX('Bid-NoBid'!$U:$U,MATCH(A71,'Bid-NoBid'!$A:$A,0))),"Screen: "&amp;AC71))</f>
        <v/>
      </c>
      <c r="V71" s="60" t="n"/>
      <c r="W71" s="70" t="inlineStr">
        <is>
          <t>Watching</t>
        </is>
      </c>
      <c r="X71" s="70" t="inlineStr">
        <is>
          <t>Frank</t>
        </is>
      </c>
      <c r="Y71" s="60" t="n"/>
      <c r="Z71" s="60" t="n"/>
      <c r="AA71" s="73" t="n"/>
      <c r="AB71" s="74" t="inlineStr">
        <is>
          <t>TanzaniaTenders.com (newspapers / portals / private)</t>
        </is>
      </c>
      <c r="AC71" s="74" t="inlineStr">
        <is>
          <t>Check</t>
        </is>
      </c>
      <c r="AD71" s="74" t="inlineStr">
        <is>
          <t>Auto (TanzaniaTenders.com): Site not stated in the listing – read the notice · deadline read from the web page – confirm</t>
        </is>
      </c>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74" t="inlineStr">
        <is>
          <t>Read the notice and decide with the QS Director whether to pursue</t>
        </is>
      </c>
      <c r="AJ71" s="74" t="inlineStr">
        <is>
          <t>Auto-scan</t>
        </is>
      </c>
      <c r="AK71" s="74" t="inlineStr">
        <is>
          <t>TZT:150358812</t>
        </is>
      </c>
      <c r="AL71" s="59">
        <f>IF(AND(OR(W71="Watching",W71="Preparing"),ISNUMBER(Q71)),IF(AND(Q71&gt;='Friday Summary'!$C$4,Q71&lt;='Friday Summary'!$C$4+14),Q71+ROW()/1000000,""),"")</f>
        <v/>
      </c>
    </row>
    <row r="72" ht="15" customHeight="1" s="51">
      <c r="A72" s="59">
        <f>IF(B72="","","OP-"&amp;TEXT(ROW()-4,"000"))</f>
        <v/>
      </c>
      <c r="B72" s="70" t="inlineStr">
        <is>
          <t>77H2/2026/2027/W/26</t>
        </is>
      </c>
      <c r="C72" s="71" t="n">
        <v>46300</v>
      </c>
      <c r="D72" s="70" t="inlineStr">
        <is>
          <t>NeST</t>
        </is>
      </c>
      <c r="E72" s="70" t="inlineStr">
        <is>
          <t>https://nest.go.tz/tenders/published-tenders</t>
        </is>
      </c>
      <c r="F72" s="70" t="inlineStr">
        <is>
          <t>Tarime District Council</t>
        </is>
      </c>
      <c r="G72" s="70" t="inlineStr">
        <is>
          <t>government</t>
        </is>
      </c>
      <c r="H72" s="70" t="inlineStr">
        <is>
          <t>MAINTENANCE OF NYANGOTO VILLAGE ROADS, CONSTRUCTION OF COMPOSITE CULVERTS (5NOs) AND 3160m LINED STONE PITCHING SIDE DRAIN.</t>
        </is>
      </c>
      <c r="I72" s="70" t="inlineStr">
        <is>
          <t>From NeST notice (1 lot) – read the tender document</t>
        </is>
      </c>
      <c r="J72" s="70" t="inlineStr">
        <is>
          <t>Mara (from client's office – confirm site)</t>
        </is>
      </c>
      <c r="K72" s="70" t="inlineStr">
        <is>
          <t>civil</t>
        </is>
      </c>
      <c r="L72" s="70" t="inlineStr">
        <is>
          <t>NeST login needed</t>
        </is>
      </c>
      <c r="M72" s="62" t="n"/>
      <c r="N72" s="70" t="inlineStr">
        <is>
          <t>unknown</t>
        </is>
      </c>
      <c r="O72" s="71" t="inlineStr">
        <is>
          <t>NeST login needed</t>
        </is>
      </c>
      <c r="P72" s="71" t="inlineStr">
        <is>
          <t>NeST login needed</t>
        </is>
      </c>
      <c r="Q72" s="72" t="n">
        <v>46307.58333333334</v>
      </c>
      <c r="R72" s="70" t="inlineStr">
        <is>
          <t>NeST login needed</t>
        </is>
      </c>
      <c r="S72" s="70" t="inlineStr">
        <is>
          <t>N</t>
        </is>
      </c>
      <c r="T72" s="64">
        <f>IF(A72="","",IFERROR(INDEX('Bid-NoBid'!$T:$T,MATCH(A72,'Bid-NoBid'!$A:$A,0)),""))</f>
        <v/>
      </c>
      <c r="U72" s="59">
        <f>IF(A72="","",IFERROR(IF(OR(INDEX('Bid-NoBid'!$U:$U,MATCH(A72,'Bid-NoBid'!$A:$A,0))="",LEFT(INDEX('Bid-NoBid'!$U:$U,MATCH(A72,'Bid-NoBid'!$A:$A,0)),10)="Incomplete"),"Screen: "&amp;AC72,INDEX('Bid-NoBid'!$U:$U,MATCH(A72,'Bid-NoBid'!$A:$A,0))),"Screen: "&amp;AC72))</f>
        <v/>
      </c>
      <c r="V72" s="60" t="n"/>
      <c r="W72" s="70" t="inlineStr">
        <is>
          <t>Watching</t>
        </is>
      </c>
      <c r="X72" s="70" t="inlineStr">
        <is>
          <t>Frank</t>
        </is>
      </c>
      <c r="Y72" s="60" t="n"/>
      <c r="Z72" s="60" t="n"/>
      <c r="AA72" s="73" t="n">
        <v>46300</v>
      </c>
      <c r="AB72" s="74" t="inlineStr">
        <is>
          <t>Small Works / Planned Tender</t>
        </is>
      </c>
      <c r="AC72" s="74" t="inlineStr">
        <is>
          <t>Check</t>
        </is>
      </c>
      <c r="AD72" s="74" t="inlineStr">
        <is>
          <t>Auto (Small Works / Planned Tender): Construction tender kept for review (would have been dropped: Remote civil works)</t>
        </is>
      </c>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74" t="inlineStr">
        <is>
          <t>Read the notice and decide with the QS Director whether to pursue</t>
        </is>
      </c>
      <c r="AJ72" s="74" t="inlineStr">
        <is>
          <t>Auto-scan</t>
        </is>
      </c>
      <c r="AK72" s="74" t="inlineStr">
        <is>
          <t>36497a17-ca65-4da6-9604-17124a4cfd84</t>
        </is>
      </c>
      <c r="AL72" s="59">
        <f>IF(AND(OR(W72="Watching",W72="Preparing"),ISNUMBER(Q72)),IF(AND(Q72&gt;='Friday Summary'!$C$4,Q72&lt;='Friday Summary'!$C$4+14),Q72+ROW()/1000000,""),"")</f>
        <v/>
      </c>
    </row>
    <row r="73" ht="15" customHeight="1" s="51">
      <c r="A73" s="59">
        <f>IF(B73="","","OP-"&amp;TEXT(ROW()-4,"000"))</f>
        <v/>
      </c>
      <c r="B73" s="70" t="inlineStr">
        <is>
          <t>S10/023/2026/2027/W/85</t>
        </is>
      </c>
      <c r="C73" s="71" t="n">
        <v>46300</v>
      </c>
      <c r="D73" s="70" t="inlineStr">
        <is>
          <t>NeST</t>
        </is>
      </c>
      <c r="E73" s="70" t="inlineStr">
        <is>
          <t>https://nest.go.tz/tenders/published-tenders</t>
        </is>
      </c>
      <c r="F73" s="70" t="inlineStr">
        <is>
          <t>TARURA - Singida Regional Office</t>
        </is>
      </c>
      <c r="G73" s="70" t="inlineStr">
        <is>
          <t>government</t>
        </is>
      </c>
      <c r="H73" s="70" t="inlineStr">
        <is>
          <t>UPGRADING OF SOKOINE ROAD 14 TO STONE PAVEMENT SURFACE AND SPOT IMPROVEMENT AND CONSTRUCTION OF CULVERTS ALONG MINYUGHE, UNYAMIKUMBI AND UNYAMBWA ROADS IN SINGIDA MC</t>
        </is>
      </c>
      <c r="I73" s="70" t="inlineStr">
        <is>
          <t>From NeST notice (1 lot) – read the tender document</t>
        </is>
      </c>
      <c r="J73" s="70" t="inlineStr">
        <is>
          <t>Singida</t>
        </is>
      </c>
      <c r="K73" s="70" t="inlineStr">
        <is>
          <t>civil</t>
        </is>
      </c>
      <c r="L73" s="70" t="inlineStr">
        <is>
          <t>NeST login needed</t>
        </is>
      </c>
      <c r="M73" s="62" t="n"/>
      <c r="N73" s="70" t="inlineStr">
        <is>
          <t>unknown</t>
        </is>
      </c>
      <c r="O73" s="71" t="inlineStr">
        <is>
          <t>NeST login needed</t>
        </is>
      </c>
      <c r="P73" s="71" t="inlineStr">
        <is>
          <t>NeST login needed</t>
        </is>
      </c>
      <c r="Q73" s="72" t="n">
        <v>46307.58333333334</v>
      </c>
      <c r="R73" s="70" t="inlineStr">
        <is>
          <t>NeST login needed</t>
        </is>
      </c>
      <c r="S73" s="70" t="inlineStr">
        <is>
          <t>N</t>
        </is>
      </c>
      <c r="T73" s="64">
        <f>IF(A73="","",IFERROR(INDEX('Bid-NoBid'!$T:$T,MATCH(A73,'Bid-NoBid'!$A:$A,0)),""))</f>
        <v/>
      </c>
      <c r="U73" s="59">
        <f>IF(A73="","",IFERROR(IF(OR(INDEX('Bid-NoBid'!$U:$U,MATCH(A73,'Bid-NoBid'!$A:$A,0))="",LEFT(INDEX('Bid-NoBid'!$U:$U,MATCH(A73,'Bid-NoBid'!$A:$A,0)),10)="Incomplete"),"Screen: "&amp;AC73,INDEX('Bid-NoBid'!$U:$U,MATCH(A73,'Bid-NoBid'!$A:$A,0))),"Screen: "&amp;AC73))</f>
        <v/>
      </c>
      <c r="V73" s="60" t="n"/>
      <c r="W73" s="70" t="inlineStr">
        <is>
          <t>Watching</t>
        </is>
      </c>
      <c r="X73" s="70" t="inlineStr">
        <is>
          <t>Frank</t>
        </is>
      </c>
      <c r="Y73" s="60" t="n"/>
      <c r="Z73" s="60" t="n"/>
      <c r="AA73" s="73" t="n">
        <v>46300</v>
      </c>
      <c r="AB73" s="74" t="inlineStr">
        <is>
          <t>Small Works / Tender</t>
        </is>
      </c>
      <c r="AC73" s="74" t="inlineStr">
        <is>
          <t>Check</t>
        </is>
      </c>
      <c r="AD73" s="74" t="inlineStr">
        <is>
          <t>Auto (Small Works / Tender): Construction tender kept for review (would have been dropped: Remote civil works)</t>
        </is>
      </c>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74" t="inlineStr">
        <is>
          <t>Read the notice and decide with the QS Director whether to pursue</t>
        </is>
      </c>
      <c r="AJ73" s="74" t="inlineStr">
        <is>
          <t>Auto-scan</t>
        </is>
      </c>
      <c r="AK73" s="74" t="inlineStr">
        <is>
          <t>8025c8bf-013d-4f83-8975-822e05cdc3d0</t>
        </is>
      </c>
      <c r="AL73" s="59">
        <f>IF(AND(OR(W73="Watching",W73="Preparing"),ISNUMBER(Q73)),IF(AND(Q73&gt;='Friday Summary'!$C$4,Q73&lt;='Friday Summary'!$C$4+14),Q73+ROW()/1000000,""),"")</f>
        <v/>
      </c>
    </row>
    <row r="74" ht="15" customHeight="1" s="51">
      <c r="A74" s="59">
        <f>IF(B74="","","OP-"&amp;TEXT(ROW()-4,"000"))</f>
        <v/>
      </c>
      <c r="B74" s="70" t="inlineStr">
        <is>
          <t>(not shown)</t>
        </is>
      </c>
      <c r="C74" s="71" t="n">
        <v>46300</v>
      </c>
      <c r="D74" s="70" t="inlineStr">
        <is>
          <t>press</t>
        </is>
      </c>
      <c r="E74" s="70" t="inlineStr">
        <is>
          <t>https://www.tanzaniatenders.com/tender/renting-warehouse-geita-region-8f74e5f.php</t>
        </is>
      </c>
      <c r="F74" s="70" t="inlineStr">
        <is>
          <t>See advert</t>
        </is>
      </c>
      <c r="G74" s="70" t="inlineStr">
        <is>
          <t>government</t>
        </is>
      </c>
      <c r="H74" s="70" t="inlineStr">
        <is>
          <t>Renting Warehouse in Geita Region</t>
        </is>
      </c>
      <c r="I74" s="70" t="inlineStr">
        <is>
          <t>From press notice (1 lot) – read the tender document</t>
        </is>
      </c>
      <c r="J74" s="70" t="inlineStr">
        <is>
          <t>Geita</t>
        </is>
      </c>
      <c r="K74" s="70" t="inlineStr">
        <is>
          <t>building</t>
        </is>
      </c>
      <c r="L74" s="70" t="inlineStr">
        <is>
          <t>See tender document</t>
        </is>
      </c>
      <c r="M74" s="62" t="n"/>
      <c r="N74" s="70" t="inlineStr">
        <is>
          <t>unknown</t>
        </is>
      </c>
      <c r="O74" s="71" t="inlineStr">
        <is>
          <t>See tender document</t>
        </is>
      </c>
      <c r="P74" s="71" t="inlineStr">
        <is>
          <t>See tender document</t>
        </is>
      </c>
      <c r="Q74" s="72" t="n">
        <v>46307.41666666666</v>
      </c>
      <c r="R74" s="70" t="inlineStr">
        <is>
          <t>See tender document</t>
        </is>
      </c>
      <c r="S74" s="70" t="inlineStr">
        <is>
          <t>N</t>
        </is>
      </c>
      <c r="T74" s="64">
        <f>IF(A74="","",IFERROR(INDEX('Bid-NoBid'!$T:$T,MATCH(A74,'Bid-NoBid'!$A:$A,0)),""))</f>
        <v/>
      </c>
      <c r="U74" s="59">
        <f>IF(A74="","",IFERROR(IF(OR(INDEX('Bid-NoBid'!$U:$U,MATCH(A74,'Bid-NoBid'!$A:$A,0))="",LEFT(INDEX('Bid-NoBid'!$U:$U,MATCH(A74,'Bid-NoBid'!$A:$A,0)),10)="Incomplete"),"Screen: "&amp;AC74,INDEX('Bid-NoBid'!$U:$U,MATCH(A74,'Bid-NoBid'!$A:$A,0))),"Screen: "&amp;AC74))</f>
        <v/>
      </c>
      <c r="V74" s="60" t="n"/>
      <c r="W74" s="70" t="inlineStr">
        <is>
          <t>Watching</t>
        </is>
      </c>
      <c r="X74" s="70" t="inlineStr">
        <is>
          <t>Frank</t>
        </is>
      </c>
      <c r="Y74" s="60" t="n"/>
      <c r="Z74" s="60" t="n"/>
      <c r="AA74" s="73" t="n"/>
      <c r="AB74" s="74" t="inlineStr">
        <is>
          <t>TanzaniaTenders.com (newspapers / portals / private)</t>
        </is>
      </c>
      <c r="AC74" s="74" t="inlineStr">
        <is>
          <t>Check</t>
        </is>
      </c>
      <c r="AD74" s="74" t="inlineStr">
        <is>
          <t>Auto (TanzaniaTenders.com): Building works but remote from Dar · deadline read from the web page – confirm</t>
        </is>
      </c>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74" t="inlineStr">
        <is>
          <t>Read the notice and decide with the QS Director whether to pursue</t>
        </is>
      </c>
      <c r="AJ74" s="74" t="inlineStr">
        <is>
          <t>Auto-scan</t>
        </is>
      </c>
      <c r="AK74" s="74" t="inlineStr">
        <is>
          <t>TZT:150425183</t>
        </is>
      </c>
      <c r="AL74" s="59">
        <f>IF(AND(OR(W74="Watching",W74="Preparing"),ISNUMBER(Q74)),IF(AND(Q74&gt;='Friday Summary'!$C$4,Q74&lt;='Friday Summary'!$C$4+14),Q74+ROW()/1000000,""),"")</f>
        <v/>
      </c>
    </row>
    <row r="75" ht="15" customHeight="1" s="51">
      <c r="A75" s="59">
        <f>IF(B75="","","OP-"&amp;TEXT(ROW()-4,"000"))</f>
        <v/>
      </c>
      <c r="B75" s="70" t="inlineStr">
        <is>
          <t>(not shown)</t>
        </is>
      </c>
      <c r="C75" s="71" t="n">
        <v>46300</v>
      </c>
      <c r="D75" s="70" t="inlineStr">
        <is>
          <t>press</t>
        </is>
      </c>
      <c r="E75" s="70" t="inlineStr">
        <is>
          <t>https://www.ddotenders.co.tz/tender.php?page=home</t>
        </is>
      </c>
      <c r="F75" s="70" t="inlineStr">
        <is>
          <t>Geita Greenfields Mineral Exploration Limited</t>
        </is>
      </c>
      <c r="G75" s="70" t="inlineStr">
        <is>
          <t>parastatal (verify)</t>
        </is>
      </c>
      <c r="H75" s="70" t="inlineStr">
        <is>
          <t>Renovation for offices</t>
        </is>
      </c>
      <c r="I75" s="70" t="inlineStr">
        <is>
          <t>From press notice (1 lot) – read the tender document</t>
        </is>
      </c>
      <c r="J75" s="70" t="inlineStr">
        <is>
          <t>Dodoma</t>
        </is>
      </c>
      <c r="K75" s="70" t="inlineStr">
        <is>
          <t>renovation</t>
        </is>
      </c>
      <c r="L75" s="70" t="inlineStr">
        <is>
          <t>See tender document</t>
        </is>
      </c>
      <c r="M75" s="62" t="n"/>
      <c r="N75" s="70" t="inlineStr">
        <is>
          <t>unknown</t>
        </is>
      </c>
      <c r="O75" s="71" t="inlineStr">
        <is>
          <t>See tender document</t>
        </is>
      </c>
      <c r="P75" s="71" t="inlineStr">
        <is>
          <t>See tender document</t>
        </is>
      </c>
      <c r="Q75" s="72" t="n">
        <v>46303.41666666666</v>
      </c>
      <c r="R75" s="70" t="inlineStr">
        <is>
          <t>See tender document</t>
        </is>
      </c>
      <c r="S75" s="70" t="inlineStr">
        <is>
          <t>N</t>
        </is>
      </c>
      <c r="T75" s="64">
        <f>IF(A75="","",IFERROR(INDEX('Bid-NoBid'!$T:$T,MATCH(A75,'Bid-NoBid'!$A:$A,0)),""))</f>
        <v/>
      </c>
      <c r="U75" s="59">
        <f>IF(A75="","",IFERROR(IF(OR(INDEX('Bid-NoBid'!$U:$U,MATCH(A75,'Bid-NoBid'!$A:$A,0))="",LEFT(INDEX('Bid-NoBid'!$U:$U,MATCH(A75,'Bid-NoBid'!$A:$A,0)),10)="Incomplete"),"Screen: "&amp;AC75,INDEX('Bid-NoBid'!$U:$U,MATCH(A75,'Bid-NoBid'!$A:$A,0))),"Screen: "&amp;AC75))</f>
        <v/>
      </c>
      <c r="V75" s="60" t="n"/>
      <c r="W75" s="70" t="inlineStr">
        <is>
          <t>Watching</t>
        </is>
      </c>
      <c r="X75" s="70" t="inlineStr">
        <is>
          <t>Frank</t>
        </is>
      </c>
      <c r="Y75" s="60" t="n"/>
      <c r="Z75" s="60" t="n"/>
      <c r="AA75" s="73" t="n">
        <v>46300</v>
      </c>
      <c r="AB75" s="74" t="inlineStr">
        <is>
          <t>DDO Tenders (newspaper / private / donor)</t>
        </is>
      </c>
      <c r="AC75" s="74" t="inlineStr">
        <is>
          <t>Check</t>
        </is>
      </c>
      <c r="AD75" s="74" t="inlineStr">
        <is>
          <t>Auto (DDO Tenders): Good fit but little time left · deadline read from the web page – confirm</t>
        </is>
      </c>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74" t="inlineStr">
        <is>
          <t>Read the notice and decide with the QS Director whether to pursue</t>
        </is>
      </c>
      <c r="AJ75" s="74" t="inlineStr">
        <is>
          <t>Auto-scan</t>
        </is>
      </c>
      <c r="AK75" s="74" t="inlineStr">
        <is>
          <t>DDO:3067</t>
        </is>
      </c>
      <c r="AL75" s="59">
        <f>IF(AND(OR(W75="Watching",W75="Preparing"),ISNUMBER(Q75)),IF(AND(Q75&gt;='Friday Summary'!$C$4,Q75&lt;='Friday Summary'!$C$4+14),Q75+ROW()/1000000,""),"")</f>
        <v/>
      </c>
    </row>
    <row r="76" ht="15" customHeight="1" s="51">
      <c r="A76" s="59">
        <f>IF(B76="","","OP-"&amp;TEXT(ROW()-4,"000"))</f>
        <v/>
      </c>
      <c r="B76" s="70" t="inlineStr">
        <is>
          <t>2026TZAWAT5023</t>
        </is>
      </c>
      <c r="C76" s="71" t="n">
        <v>46300</v>
      </c>
      <c r="D76" s="70" t="inlineStr">
        <is>
          <t>press</t>
        </is>
      </c>
      <c r="E76" s="70" t="inlineStr">
        <is>
          <t>https://www.ddotenders.co.tz/tender.php?page=home</t>
        </is>
      </c>
      <c r="F76" s="70" t="inlineStr">
        <is>
          <t>DIRECT AID SOCIETY</t>
        </is>
      </c>
      <c r="G76" s="70" t="inlineStr">
        <is>
          <t>government</t>
        </is>
      </c>
      <c r="H76" s="70" t="inlineStr">
        <is>
          <t>Maintenance Works at School</t>
        </is>
      </c>
      <c r="I76" s="70" t="inlineStr">
        <is>
          <t>From press notice (1 lot) – read the tender document</t>
        </is>
      </c>
      <c r="J76" s="70" t="inlineStr">
        <is>
          <t>Kilimanjaro (Moshi)</t>
        </is>
      </c>
      <c r="K76" s="70" t="inlineStr">
        <is>
          <t>building</t>
        </is>
      </c>
      <c r="L76" s="70" t="inlineStr">
        <is>
          <t>See tender document</t>
        </is>
      </c>
      <c r="M76" s="62" t="n"/>
      <c r="N76" s="70" t="inlineStr">
        <is>
          <t>unknown</t>
        </is>
      </c>
      <c r="O76" s="71" t="inlineStr">
        <is>
          <t>See tender document</t>
        </is>
      </c>
      <c r="P76" s="71" t="inlineStr">
        <is>
          <t>See tender document</t>
        </is>
      </c>
      <c r="Q76" s="72" t="n">
        <v>46311.41666666666</v>
      </c>
      <c r="R76" s="70" t="inlineStr">
        <is>
          <t>See tender document</t>
        </is>
      </c>
      <c r="S76" s="70" t="inlineStr">
        <is>
          <t>N</t>
        </is>
      </c>
      <c r="T76" s="64">
        <f>IF(A76="","",IFERROR(INDEX('Bid-NoBid'!$T:$T,MATCH(A76,'Bid-NoBid'!$A:$A,0)),""))</f>
        <v/>
      </c>
      <c r="U76" s="59">
        <f>IF(A76="","",IFERROR(IF(OR(INDEX('Bid-NoBid'!$U:$U,MATCH(A76,'Bid-NoBid'!$A:$A,0))="",LEFT(INDEX('Bid-NoBid'!$U:$U,MATCH(A76,'Bid-NoBid'!$A:$A,0)),10)="Incomplete"),"Screen: "&amp;AC76,INDEX('Bid-NoBid'!$U:$U,MATCH(A76,'Bid-NoBid'!$A:$A,0))),"Screen: "&amp;AC76))</f>
        <v/>
      </c>
      <c r="V76" s="60" t="n"/>
      <c r="W76" s="70" t="inlineStr">
        <is>
          <t>Watching</t>
        </is>
      </c>
      <c r="X76" s="70" t="inlineStr">
        <is>
          <t>Frank</t>
        </is>
      </c>
      <c r="Y76" s="60" t="n"/>
      <c r="Z76" s="60" t="n"/>
      <c r="AA76" s="73" t="n">
        <v>46300</v>
      </c>
      <c r="AB76" s="74" t="inlineStr">
        <is>
          <t>DDO Tenders (newspaper / private / donor)</t>
        </is>
      </c>
      <c r="AC76" s="74" t="inlineStr">
        <is>
          <t>Check</t>
        </is>
      </c>
      <c r="AD76" s="74" t="inlineStr">
        <is>
          <t>Auto (DDO Tenders): Building works but remote from Dar · deadline read from the web page – confirm</t>
        </is>
      </c>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74" t="inlineStr">
        <is>
          <t>Read the notice and decide with the QS Director whether to pursue</t>
        </is>
      </c>
      <c r="AJ76" s="74" t="inlineStr">
        <is>
          <t>Auto-scan</t>
        </is>
      </c>
      <c r="AK76" s="74" t="inlineStr">
        <is>
          <t>DDO:3071</t>
        </is>
      </c>
      <c r="AL76" s="59">
        <f>IF(AND(OR(W76="Watching",W76="Preparing"),ISNUMBER(Q76)),IF(AND(Q76&gt;='Friday Summary'!$C$4,Q76&lt;='Friday Summary'!$C$4+14),Q76+ROW()/1000000,""),"")</f>
        <v/>
      </c>
    </row>
    <row r="77" ht="15" customHeight="1" s="51">
      <c r="A77" s="59">
        <f>IF(B77="","","OP-"&amp;TEXT(ROW()-4,"000"))</f>
        <v/>
      </c>
      <c r="B77" s="70" t="inlineStr">
        <is>
          <t>87V4/2026/2027/W/11</t>
        </is>
      </c>
      <c r="C77" s="71" t="n">
        <v>46301</v>
      </c>
      <c r="D77" s="70" t="inlineStr">
        <is>
          <t>NeST</t>
        </is>
      </c>
      <c r="E77" s="70" t="inlineStr">
        <is>
          <t>https://nest.go.tz/tenders/published-tenders</t>
        </is>
      </c>
      <c r="F77" s="70" t="inlineStr">
        <is>
          <t>Muleba District Council</t>
        </is>
      </c>
      <c r="G77" s="70" t="inlineStr">
        <is>
          <t>government</t>
        </is>
      </c>
      <c r="H77" s="70" t="inlineStr">
        <is>
          <t>CONSTRUCTION OF THE EXECUTIVE DIRECTOR'S RESIDENTIAL HOUSE AT MULEBA DISTRICT COUNCIL</t>
        </is>
      </c>
      <c r="I77" s="70" t="inlineStr">
        <is>
          <t>From NeST notice (1 lot) – read the tender document</t>
        </is>
      </c>
      <c r="J77" s="70" t="inlineStr">
        <is>
          <t>Kagera (from client's office – confirm site)</t>
        </is>
      </c>
      <c r="K77" s="70" t="inlineStr">
        <is>
          <t>building</t>
        </is>
      </c>
      <c r="L77" s="70" t="inlineStr">
        <is>
          <t>NeST login needed</t>
        </is>
      </c>
      <c r="M77" s="62" t="n"/>
      <c r="N77" s="70" t="inlineStr">
        <is>
          <t>unknown</t>
        </is>
      </c>
      <c r="O77" s="71" t="inlineStr">
        <is>
          <t>NeST login needed</t>
        </is>
      </c>
      <c r="P77" s="71" t="inlineStr">
        <is>
          <t>NeST login needed</t>
        </is>
      </c>
      <c r="Q77" s="72" t="n">
        <v>46307.41666666666</v>
      </c>
      <c r="R77" s="70" t="inlineStr">
        <is>
          <t>NeST login needed</t>
        </is>
      </c>
      <c r="S77" s="70" t="inlineStr">
        <is>
          <t>N</t>
        </is>
      </c>
      <c r="T77" s="64">
        <f>IF(A77="","",IFERROR(INDEX('Bid-NoBid'!$T:$T,MATCH(A77,'Bid-NoBid'!$A:$A,0)),""))</f>
        <v/>
      </c>
      <c r="U77" s="59">
        <f>IF(A77="","",IFERROR(IF(OR(INDEX('Bid-NoBid'!$U:$U,MATCH(A77,'Bid-NoBid'!$A:$A,0))="",LEFT(INDEX('Bid-NoBid'!$U:$U,MATCH(A77,'Bid-NoBid'!$A:$A,0)),10)="Incomplete"),"Screen: "&amp;AC77,INDEX('Bid-NoBid'!$U:$U,MATCH(A77,'Bid-NoBid'!$A:$A,0))),"Screen: "&amp;AC77))</f>
        <v/>
      </c>
      <c r="V77" s="60" t="n"/>
      <c r="W77" s="70" t="inlineStr">
        <is>
          <t>Watching</t>
        </is>
      </c>
      <c r="X77" s="70" t="inlineStr">
        <is>
          <t>Frank</t>
        </is>
      </c>
      <c r="Y77" s="60" t="n"/>
      <c r="Z77" s="60" t="n"/>
      <c r="AA77" s="73" t="n">
        <v>46300</v>
      </c>
      <c r="AB77" s="74" t="inlineStr">
        <is>
          <t>Small Works / Tender</t>
        </is>
      </c>
      <c r="AC77" s="74" t="inlineStr">
        <is>
          <t>Check</t>
        </is>
      </c>
      <c r="AD77" s="74" t="inlineStr">
        <is>
          <t>Auto (Small Works / Tender): Construction tender kept for review (would have been dropped: Remote and closing soon)</t>
        </is>
      </c>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74" t="inlineStr">
        <is>
          <t>Read the notice and decide with the QS Director whether to pursue</t>
        </is>
      </c>
      <c r="AJ77" s="74" t="inlineStr">
        <is>
          <t>Auto-scan</t>
        </is>
      </c>
      <c r="AK77" s="74" t="inlineStr">
        <is>
          <t>f07667a1-2f4d-4022-aab2-3012d0645bb0</t>
        </is>
      </c>
      <c r="AL77" s="59">
        <f>IF(AND(OR(W77="Watching",W77="Preparing"),ISNUMBER(Q77)),IF(AND(Q77&gt;='Friday Summary'!$C$4,Q77&lt;='Friday Summary'!$C$4+14),Q77+ROW()/1000000,""),"")</f>
        <v/>
      </c>
    </row>
    <row r="78" ht="15" customHeight="1" s="51">
      <c r="A78" s="59">
        <f>IF(B78="","","OP-"&amp;TEXT(ROW()-4,"000"))</f>
        <v/>
      </c>
      <c r="B78" s="70" t="inlineStr">
        <is>
          <t>S10/020/2026/2027/W/51</t>
        </is>
      </c>
      <c r="C78" s="71" t="n">
        <v>46301</v>
      </c>
      <c r="D78" s="70" t="inlineStr">
        <is>
          <t>NeST</t>
        </is>
      </c>
      <c r="E78" s="70" t="inlineStr">
        <is>
          <t>https://nest.go.tz/tenders/published-tenders</t>
        </is>
      </c>
      <c r="F78" s="70" t="inlineStr">
        <is>
          <t>TARURA - Ruvuma Regional Office</t>
        </is>
      </c>
      <c r="G78" s="70" t="inlineStr">
        <is>
          <t>government</t>
        </is>
      </c>
      <c r="H78" s="70" t="inlineStr">
        <is>
          <t>Construction of Three Cell Box Culvert (5.0m x 2.5m) and Single Cell (2.5m x 2.0m) Box Culvert along Ligunga - Kindamba Road</t>
        </is>
      </c>
      <c r="I78" s="70" t="inlineStr">
        <is>
          <t>From NeST notice (1 lot) – read the tender document</t>
        </is>
      </c>
      <c r="J78" s="70" t="inlineStr">
        <is>
          <t>Ruvuma (Songea) (from client's office – confirm site)</t>
        </is>
      </c>
      <c r="K78" s="70" t="inlineStr">
        <is>
          <t>civil</t>
        </is>
      </c>
      <c r="L78" s="70" t="inlineStr">
        <is>
          <t>NeST login needed</t>
        </is>
      </c>
      <c r="M78" s="62" t="n"/>
      <c r="N78" s="70" t="inlineStr">
        <is>
          <t>unknown</t>
        </is>
      </c>
      <c r="O78" s="71" t="inlineStr">
        <is>
          <t>NeST login needed</t>
        </is>
      </c>
      <c r="P78" s="71" t="inlineStr">
        <is>
          <t>NeST login needed</t>
        </is>
      </c>
      <c r="Q78" s="72" t="n">
        <v>46307.5</v>
      </c>
      <c r="R78" s="70" t="inlineStr">
        <is>
          <t>NeST login needed</t>
        </is>
      </c>
      <c r="S78" s="70" t="inlineStr">
        <is>
          <t>N</t>
        </is>
      </c>
      <c r="T78" s="64">
        <f>IF(A78="","",IFERROR(INDEX('Bid-NoBid'!$T:$T,MATCH(A78,'Bid-NoBid'!$A:$A,0)),""))</f>
        <v/>
      </c>
      <c r="U78" s="59">
        <f>IF(A78="","",IFERROR(IF(OR(INDEX('Bid-NoBid'!$U:$U,MATCH(A78,'Bid-NoBid'!$A:$A,0))="",LEFT(INDEX('Bid-NoBid'!$U:$U,MATCH(A78,'Bid-NoBid'!$A:$A,0)),10)="Incomplete"),"Screen: "&amp;AC78,INDEX('Bid-NoBid'!$U:$U,MATCH(A78,'Bid-NoBid'!$A:$A,0))),"Screen: "&amp;AC78))</f>
        <v/>
      </c>
      <c r="V78" s="60" t="n"/>
      <c r="W78" s="70" t="inlineStr">
        <is>
          <t>Watching</t>
        </is>
      </c>
      <c r="X78" s="70" t="inlineStr">
        <is>
          <t>Frank</t>
        </is>
      </c>
      <c r="Y78" s="60" t="n"/>
      <c r="Z78" s="60" t="n"/>
      <c r="AA78" s="73" t="n">
        <v>46300</v>
      </c>
      <c r="AB78" s="74" t="inlineStr">
        <is>
          <t>Small Works / Tender</t>
        </is>
      </c>
      <c r="AC78" s="74" t="inlineStr">
        <is>
          <t>Check</t>
        </is>
      </c>
      <c r="AD78" s="74" t="inlineStr">
        <is>
          <t>Auto (Small Works / Tender): Construction tender kept for review (would have been dropped: Remote civil works)</t>
        </is>
      </c>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74" t="inlineStr">
        <is>
          <t>Read the notice and decide with the QS Director whether to pursue</t>
        </is>
      </c>
      <c r="AJ78" s="74" t="inlineStr">
        <is>
          <t>Auto-scan</t>
        </is>
      </c>
      <c r="AK78" s="74" t="inlineStr">
        <is>
          <t>cf3c3d0f-9a71-40a5-b4f2-51e041a3e270</t>
        </is>
      </c>
      <c r="AL78" s="59">
        <f>IF(AND(OR(W78="Watching",W78="Preparing"),ISNUMBER(Q78)),IF(AND(Q78&gt;='Friday Summary'!$C$4,Q78&lt;='Friday Summary'!$C$4+14),Q78+ROW()/1000000,""),"")</f>
        <v/>
      </c>
    </row>
    <row r="79" ht="15" customHeight="1" s="51">
      <c r="A79" s="59">
        <f>IF(B79="","","OP-"&amp;TEXT(ROW()-4,"000"))</f>
        <v/>
      </c>
      <c r="B79" s="70" t="inlineStr">
        <is>
          <t>AE/001/2026/27/HQ/W/18 (TZ-TANROADS-564086-CW-RFB)</t>
        </is>
      </c>
      <c r="C79" s="71" t="n">
        <v>46301</v>
      </c>
      <c r="D79" s="70" t="inlineStr">
        <is>
          <t>client site</t>
        </is>
      </c>
      <c r="E79" s="70" t="inlineStr">
        <is>
          <t>https://www.tanroads.go.tz/view/200</t>
        </is>
      </c>
      <c r="F79" s="70" t="inlineStr">
        <is>
          <t>TANROADS</t>
        </is>
      </c>
      <c r="G79" s="70" t="inlineStr">
        <is>
          <t>government</t>
        </is>
      </c>
      <c r="H79" s="70" t="inlineStr">
        <is>
          <t>CONSTRUCTION OF LWANJI I BRIDGE (200M) SPAN ALONG MTOWISA – ILEMBA ROAD SECTION</t>
        </is>
      </c>
      <c r="I79" s="70" t="inlineStr">
        <is>
          <t>From client site notice (1 lot) – read the tender document</t>
        </is>
      </c>
      <c r="J79" s="70" t="inlineStr">
        <is>
          <t>Headquarters (from client's office – confirm site)</t>
        </is>
      </c>
      <c r="K79" s="70" t="inlineStr">
        <is>
          <t>civil</t>
        </is>
      </c>
      <c r="L79" s="70" t="inlineStr">
        <is>
          <t>See tender document</t>
        </is>
      </c>
      <c r="M79" s="62" t="n"/>
      <c r="N79" s="70" t="inlineStr">
        <is>
          <t>unknown</t>
        </is>
      </c>
      <c r="O79" s="71" t="inlineStr">
        <is>
          <t>See tender document</t>
        </is>
      </c>
      <c r="P79" s="71" t="inlineStr">
        <is>
          <t>See tender document</t>
        </is>
      </c>
      <c r="Q79" s="72" t="n">
        <v>46328.41666666666</v>
      </c>
      <c r="R79" s="70" t="inlineStr">
        <is>
          <t>See tender document</t>
        </is>
      </c>
      <c r="S79" s="70" t="inlineStr">
        <is>
          <t>N</t>
        </is>
      </c>
      <c r="T79" s="64">
        <f>IF(A79="","",IFERROR(INDEX('Bid-NoBid'!$T:$T,MATCH(A79,'Bid-NoBid'!$A:$A,0)),""))</f>
        <v/>
      </c>
      <c r="U79" s="59">
        <f>IF(A79="","",IFERROR(IF(OR(INDEX('Bid-NoBid'!$U:$U,MATCH(A79,'Bid-NoBid'!$A:$A,0))="",LEFT(INDEX('Bid-NoBid'!$U:$U,MATCH(A79,'Bid-NoBid'!$A:$A,0)),10)="Incomplete"),"Screen: "&amp;AC79,INDEX('Bid-NoBid'!$U:$U,MATCH(A79,'Bid-NoBid'!$A:$A,0))),"Screen: "&amp;AC79))</f>
        <v/>
      </c>
      <c r="V79" s="60" t="n"/>
      <c r="W79" s="70" t="inlineStr">
        <is>
          <t>Watching</t>
        </is>
      </c>
      <c r="X79" s="70" t="inlineStr">
        <is>
          <t>Frank</t>
        </is>
      </c>
      <c r="Y79" s="60" t="n"/>
      <c r="Z79" s="60" t="n"/>
      <c r="AA79" s="73" t="n"/>
      <c r="AB79" s="74" t="inlineStr">
        <is>
          <t>TANROADS website</t>
        </is>
      </c>
      <c r="AC79" s="74" t="inlineStr">
        <is>
          <t>Check</t>
        </is>
      </c>
      <c r="AD79" s="74" t="inlineStr">
        <is>
          <t>Auto (TANROADS website): Construction tender kept for review (would have been dropped: Remote civil works)</t>
        </is>
      </c>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74" t="inlineStr">
        <is>
          <t>Read the notice and decide with the QS Director whether to pursue</t>
        </is>
      </c>
      <c r="AJ79" s="74" t="inlineStr">
        <is>
          <t>Auto-scan</t>
        </is>
      </c>
      <c r="AK79" s="74" t="inlineStr">
        <is>
          <t>TANROADS:ae001202627hqw18tztanroads564086cwrfb</t>
        </is>
      </c>
      <c r="AL79" s="59">
        <f>IF(AND(OR(W79="Watching",W79="Preparing"),ISNUMBER(Q79)),IF(AND(Q79&gt;='Friday Summary'!$C$4,Q79&lt;='Friday Summary'!$C$4+14),Q79+ROW()/1000000,""),"")</f>
        <v/>
      </c>
    </row>
    <row r="80" ht="15" customHeight="1" s="51">
      <c r="A80" s="59">
        <f>IF(B80="","","OP-"&amp;TEXT(ROW()-4,"000"))</f>
        <v/>
      </c>
      <c r="B80" s="70" t="inlineStr">
        <is>
          <t>2165A/2026/2027/W/01</t>
        </is>
      </c>
      <c r="C80" s="71" t="n">
        <v>46302</v>
      </c>
      <c r="D80" s="70" t="inlineStr">
        <is>
          <t>NeST</t>
        </is>
      </c>
      <c r="E80" s="70" t="inlineStr">
        <is>
          <t>https://nest.go.tz/tenders/published-tenders</t>
        </is>
      </c>
      <c r="F80" s="70" t="inlineStr">
        <is>
          <t>Forestry and Wood Industries Training Centre (fwitc)</t>
        </is>
      </c>
      <c r="G80" s="70" t="inlineStr">
        <is>
          <t>government</t>
        </is>
      </c>
      <c r="H80" s="70" t="inlineStr">
        <is>
          <t>Construction of Dormitory</t>
        </is>
      </c>
      <c r="I80" s="70" t="inlineStr">
        <is>
          <t>From NeST notice (1 lot) – read the tender document</t>
        </is>
      </c>
      <c r="J80" s="70" t="inlineStr">
        <is>
          <t>Iringa (Mufindi) (from client's office – confirm site)</t>
        </is>
      </c>
      <c r="K80" s="70" t="inlineStr">
        <is>
          <t>building</t>
        </is>
      </c>
      <c r="L80" s="70" t="inlineStr">
        <is>
          <t>NeST login needed</t>
        </is>
      </c>
      <c r="M80" s="62" t="n"/>
      <c r="N80" s="70" t="inlineStr">
        <is>
          <t>unknown</t>
        </is>
      </c>
      <c r="O80" s="71" t="inlineStr">
        <is>
          <t>NeST login needed</t>
        </is>
      </c>
      <c r="P80" s="71" t="inlineStr">
        <is>
          <t>NeST login needed</t>
        </is>
      </c>
      <c r="Q80" s="72" t="n">
        <v>46308.58333333334</v>
      </c>
      <c r="R80" s="70" t="inlineStr">
        <is>
          <t>NeST login needed</t>
        </is>
      </c>
      <c r="S80" s="70" t="inlineStr">
        <is>
          <t>N</t>
        </is>
      </c>
      <c r="T80" s="64">
        <f>IF(A80="","",IFERROR(INDEX('Bid-NoBid'!$T:$T,MATCH(A80,'Bid-NoBid'!$A:$A,0)),""))</f>
        <v/>
      </c>
      <c r="U80" s="59">
        <f>IF(A80="","",IFERROR(IF(OR(INDEX('Bid-NoBid'!$U:$U,MATCH(A80,'Bid-NoBid'!$A:$A,0))="",LEFT(INDEX('Bid-NoBid'!$U:$U,MATCH(A80,'Bid-NoBid'!$A:$A,0)),10)="Incomplete"),"Screen: "&amp;AC80,INDEX('Bid-NoBid'!$U:$U,MATCH(A80,'Bid-NoBid'!$A:$A,0))),"Screen: "&amp;AC80))</f>
        <v/>
      </c>
      <c r="V80" s="60" t="n"/>
      <c r="W80" s="70" t="inlineStr">
        <is>
          <t>Watching</t>
        </is>
      </c>
      <c r="X80" s="70" t="inlineStr">
        <is>
          <t>Frank</t>
        </is>
      </c>
      <c r="Y80" s="60" t="n"/>
      <c r="Z80" s="60" t="n"/>
      <c r="AA80" s="73" t="n">
        <v>46301</v>
      </c>
      <c r="AB80" s="74" t="inlineStr">
        <is>
          <t>Small Works / Tender</t>
        </is>
      </c>
      <c r="AC80" s="74" t="inlineStr">
        <is>
          <t>Check</t>
        </is>
      </c>
      <c r="AD80" s="74" t="inlineStr">
        <is>
          <t>Auto (Small Works / Tender): Construction tender kept for review (would have been dropped: Remote and closing soon)</t>
        </is>
      </c>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74" t="inlineStr">
        <is>
          <t>Read the notice and decide with the QS Director whether to pursue</t>
        </is>
      </c>
      <c r="AJ80" s="74" t="inlineStr">
        <is>
          <t>Auto-scan</t>
        </is>
      </c>
      <c r="AK80" s="74" t="inlineStr">
        <is>
          <t>ce68c688-8de4-46a2-80bc-c2261f265b0e</t>
        </is>
      </c>
      <c r="AL80" s="59">
        <f>IF(AND(OR(W80="Watching",W80="Preparing"),ISNUMBER(Q80)),IF(AND(Q80&gt;='Friday Summary'!$C$4,Q80&lt;='Friday Summary'!$C$4+14),Q80+ROW()/1000000,""),"")</f>
        <v/>
      </c>
    </row>
    <row r="81" ht="15" customHeight="1" s="51">
      <c r="A81" s="59">
        <f>IF(B81="","","OP-"&amp;TEXT(ROW()-4,"000"))</f>
        <v/>
      </c>
      <c r="B81" s="70" t="inlineStr">
        <is>
          <t>44/002/2026/2027/W/17</t>
        </is>
      </c>
      <c r="C81" s="71" t="n">
        <v>46302</v>
      </c>
      <c r="D81" s="70" t="inlineStr">
        <is>
          <t>NeST</t>
        </is>
      </c>
      <c r="E81" s="70" t="inlineStr">
        <is>
          <t>https://nest.go.tz/tenders/published-tenders</t>
        </is>
      </c>
      <c r="F81" s="70" t="inlineStr">
        <is>
          <t>Tanzania Investment and Special Economic Zones</t>
        </is>
      </c>
      <c r="G81" s="70" t="inlineStr">
        <is>
          <t>government</t>
        </is>
      </c>
      <c r="H81" s="70" t="inlineStr">
        <is>
          <t>Rehabilitation and Construction of fence Wall at TISEZA Office Mabibo</t>
        </is>
      </c>
      <c r="I81" s="70" t="inlineStr">
        <is>
          <t>From NeST notice (1 lot) – read the tender document</t>
        </is>
      </c>
      <c r="J81" s="70" t="inlineStr">
        <is>
          <t>Dar es Salaam (Ilala) (from client's office – confirm site)</t>
        </is>
      </c>
      <c r="K81" s="70" t="inlineStr">
        <is>
          <t>renovation</t>
        </is>
      </c>
      <c r="L81" s="70" t="inlineStr">
        <is>
          <t>NeST login needed</t>
        </is>
      </c>
      <c r="M81" s="62" t="n"/>
      <c r="N81" s="70" t="inlineStr">
        <is>
          <t>unknown</t>
        </is>
      </c>
      <c r="O81" s="71" t="inlineStr">
        <is>
          <t>NeST login needed</t>
        </is>
      </c>
      <c r="P81" s="71" t="inlineStr">
        <is>
          <t>NeST login needed</t>
        </is>
      </c>
      <c r="Q81" s="72" t="n">
        <v>46308.58333333334</v>
      </c>
      <c r="R81" s="70" t="inlineStr">
        <is>
          <t>NeST login needed</t>
        </is>
      </c>
      <c r="S81" s="70" t="inlineStr">
        <is>
          <t>N</t>
        </is>
      </c>
      <c r="T81" s="64">
        <f>IF(A81="","",IFERROR(INDEX('Bid-NoBid'!$T:$T,MATCH(A81,'Bid-NoBid'!$A:$A,0)),""))</f>
        <v/>
      </c>
      <c r="U81" s="59">
        <f>IF(A81="","",IFERROR(IF(OR(INDEX('Bid-NoBid'!$U:$U,MATCH(A81,'Bid-NoBid'!$A:$A,0))="",LEFT(INDEX('Bid-NoBid'!$U:$U,MATCH(A81,'Bid-NoBid'!$A:$A,0)),10)="Incomplete"),"Screen: "&amp;AC81,INDEX('Bid-NoBid'!$U:$U,MATCH(A81,'Bid-NoBid'!$A:$A,0))),"Screen: "&amp;AC81))</f>
        <v/>
      </c>
      <c r="V81" s="60" t="n"/>
      <c r="W81" s="70" t="inlineStr">
        <is>
          <t>Watching</t>
        </is>
      </c>
      <c r="X81" s="70" t="inlineStr">
        <is>
          <t>Frank</t>
        </is>
      </c>
      <c r="Y81" s="60" t="n"/>
      <c r="Z81" s="60" t="n"/>
      <c r="AA81" s="73" t="n">
        <v>46301</v>
      </c>
      <c r="AB81" s="74" t="inlineStr">
        <is>
          <t>Standard Invitation for Quotations -Works / Planned Tender</t>
        </is>
      </c>
      <c r="AC81" s="74" t="inlineStr">
        <is>
          <t>Check</t>
        </is>
      </c>
      <c r="AD81" s="74" t="inlineStr">
        <is>
          <t>Auto (Standard Invitation for Quotations -Works / Planned Tender): Quotation route – value may be below TZS 200m</t>
        </is>
      </c>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74" t="inlineStr">
        <is>
          <t>Read the notice and decide with the QS Director whether to pursue</t>
        </is>
      </c>
      <c r="AJ81" s="74" t="inlineStr">
        <is>
          <t>Auto-scan</t>
        </is>
      </c>
      <c r="AK81" s="74" t="inlineStr">
        <is>
          <t>dbec7a25-c9a5-48dd-88bb-663f1f3ac036</t>
        </is>
      </c>
      <c r="AL81" s="59">
        <f>IF(AND(OR(W81="Watching",W81="Preparing"),ISNUMBER(Q81)),IF(AND(Q81&gt;='Friday Summary'!$C$4,Q81&lt;='Friday Summary'!$C$4+14),Q81+ROW()/1000000,""),"")</f>
        <v/>
      </c>
    </row>
    <row r="82" ht="15" customHeight="1" s="51">
      <c r="A82" s="59">
        <f>IF(B82="","","OP-"&amp;TEXT(ROW()-4,"000"))</f>
        <v/>
      </c>
      <c r="B82" s="70" t="inlineStr">
        <is>
          <t>TR72/2026/2027/W/06</t>
        </is>
      </c>
      <c r="C82" s="71" t="n">
        <v>46302</v>
      </c>
      <c r="D82" s="70" t="inlineStr">
        <is>
          <t>NeST</t>
        </is>
      </c>
      <c r="E82" s="70" t="inlineStr">
        <is>
          <t>https://nest.go.tz/tenders/published-tenders</t>
        </is>
      </c>
      <c r="F82" s="70" t="inlineStr">
        <is>
          <t>National Museum of Tanzania</t>
        </is>
      </c>
      <c r="G82" s="70" t="inlineStr">
        <is>
          <t>government</t>
        </is>
      </c>
      <c r="H82" s="70" t="inlineStr">
        <is>
          <t>Construction and installation of tourism facilities (inc. reception point, exhibition gallery, pedestal, walkways, information panel) at Mbuamaji information Centre</t>
        </is>
      </c>
      <c r="I82" s="70" t="inlineStr">
        <is>
          <t>From NeST notice (1 lot) – read the tender document</t>
        </is>
      </c>
      <c r="J82" s="70" t="inlineStr">
        <is>
          <t>Dar es Salaam (Ilala) (from client's office – confirm site)</t>
        </is>
      </c>
      <c r="K82" s="70" t="inlineStr">
        <is>
          <t>building</t>
        </is>
      </c>
      <c r="L82" s="70" t="inlineStr">
        <is>
          <t>NeST login needed</t>
        </is>
      </c>
      <c r="M82" s="62" t="n"/>
      <c r="N82" s="70" t="inlineStr">
        <is>
          <t>unknown</t>
        </is>
      </c>
      <c r="O82" s="71" t="inlineStr">
        <is>
          <t>NeST login needed</t>
        </is>
      </c>
      <c r="P82" s="71" t="inlineStr">
        <is>
          <t>NeST login needed</t>
        </is>
      </c>
      <c r="Q82" s="72" t="n">
        <v>46308.58333333334</v>
      </c>
      <c r="R82" s="70" t="inlineStr">
        <is>
          <t>NeST login needed</t>
        </is>
      </c>
      <c r="S82" s="70" t="inlineStr">
        <is>
          <t>N</t>
        </is>
      </c>
      <c r="T82" s="64">
        <f>IF(A82="","",IFERROR(INDEX('Bid-NoBid'!$T:$T,MATCH(A82,'Bid-NoBid'!$A:$A,0)),""))</f>
        <v/>
      </c>
      <c r="U82" s="59">
        <f>IF(A82="","",IFERROR(IF(OR(INDEX('Bid-NoBid'!$U:$U,MATCH(A82,'Bid-NoBid'!$A:$A,0))="",LEFT(INDEX('Bid-NoBid'!$U:$U,MATCH(A82,'Bid-NoBid'!$A:$A,0)),10)="Incomplete"),"Screen: "&amp;AC82,INDEX('Bid-NoBid'!$U:$U,MATCH(A82,'Bid-NoBid'!$A:$A,0))),"Screen: "&amp;AC82))</f>
        <v/>
      </c>
      <c r="V82" s="60" t="n"/>
      <c r="W82" s="70" t="inlineStr">
        <is>
          <t>Watching</t>
        </is>
      </c>
      <c r="X82" s="70" t="inlineStr">
        <is>
          <t>Frank</t>
        </is>
      </c>
      <c r="Y82" s="60" t="n"/>
      <c r="Z82" s="60" t="n"/>
      <c r="AA82" s="73" t="n">
        <v>46301</v>
      </c>
      <c r="AB82" s="74" t="inlineStr">
        <is>
          <t>Small Works / Tender</t>
        </is>
      </c>
      <c r="AC82" s="74" t="inlineStr">
        <is>
          <t>Pursue</t>
        </is>
      </c>
      <c r="AD82" s="74" t="inlineStr">
        <is>
          <t>Auto (Small Works / Tender): Building works within reach of Dar</t>
        </is>
      </c>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74" t="inlineStr">
        <is>
          <t>Get the tender document, confirm value, CRB class, site visit and bid security; brief the MD</t>
        </is>
      </c>
      <c r="AJ82" s="74" t="inlineStr">
        <is>
          <t>Auto-scan</t>
        </is>
      </c>
      <c r="AK82" s="74" t="inlineStr">
        <is>
          <t>99f4eb7a-9c4e-46e4-96e2-268bccd3f027</t>
        </is>
      </c>
      <c r="AL82" s="59">
        <f>IF(AND(OR(W82="Watching",W82="Preparing"),ISNUMBER(Q82)),IF(AND(Q82&gt;='Friday Summary'!$C$4,Q82&lt;='Friday Summary'!$C$4+14),Q82+ROW()/1000000,""),"")</f>
        <v/>
      </c>
    </row>
    <row r="83" ht="15" customHeight="1" s="51">
      <c r="A83" s="59">
        <f>IF(B83="","","OP-"&amp;TEXT(ROW()-4,"000"))</f>
        <v/>
      </c>
      <c r="B83" s="70" t="inlineStr">
        <is>
          <t>83P9/2026/2027/W/03</t>
        </is>
      </c>
      <c r="C83" s="71" t="n">
        <v>46302</v>
      </c>
      <c r="D83" s="70" t="inlineStr">
        <is>
          <t>NeST</t>
        </is>
      </c>
      <c r="E83" s="70" t="inlineStr">
        <is>
          <t>https://nest.go.tz/tenders/published-tenders</t>
        </is>
      </c>
      <c r="F83" s="70" t="inlineStr">
        <is>
          <t>Ushetu District Council</t>
        </is>
      </c>
      <c r="G83" s="70" t="inlineStr">
        <is>
          <t>government</t>
        </is>
      </c>
      <c r="H83" s="70" t="inlineStr">
        <is>
          <t>CONSTRUCTION OF ISANGA SECONDARY SCHOOL, USHETU DC- PRIMARY EDUCATION</t>
        </is>
      </c>
      <c r="I83" s="70" t="inlineStr">
        <is>
          <t>From NeST notice (1 lot) – read the tender document</t>
        </is>
      </c>
      <c r="J83" s="70" t="inlineStr">
        <is>
          <t>Shinyanga (Kahama) (from client's office – confirm site)</t>
        </is>
      </c>
      <c r="K83" s="70" t="inlineStr">
        <is>
          <t>building</t>
        </is>
      </c>
      <c r="L83" s="70" t="inlineStr">
        <is>
          <t>NeST login needed</t>
        </is>
      </c>
      <c r="M83" s="62" t="n"/>
      <c r="N83" s="70" t="inlineStr">
        <is>
          <t>unknown</t>
        </is>
      </c>
      <c r="O83" s="71" t="inlineStr">
        <is>
          <t>NeST login needed</t>
        </is>
      </c>
      <c r="P83" s="71" t="inlineStr">
        <is>
          <t>NeST login needed</t>
        </is>
      </c>
      <c r="Q83" s="72" t="n">
        <v>46308.58333333334</v>
      </c>
      <c r="R83" s="70" t="inlineStr">
        <is>
          <t>NeST login needed</t>
        </is>
      </c>
      <c r="S83" s="70" t="inlineStr">
        <is>
          <t>N</t>
        </is>
      </c>
      <c r="T83" s="64">
        <f>IF(A83="","",IFERROR(INDEX('Bid-NoBid'!$T:$T,MATCH(A83,'Bid-NoBid'!$A:$A,0)),""))</f>
        <v/>
      </c>
      <c r="U83" s="59">
        <f>IF(A83="","",IFERROR(IF(OR(INDEX('Bid-NoBid'!$U:$U,MATCH(A83,'Bid-NoBid'!$A:$A,0))="",LEFT(INDEX('Bid-NoBid'!$U:$U,MATCH(A83,'Bid-NoBid'!$A:$A,0)),10)="Incomplete"),"Screen: "&amp;AC83,INDEX('Bid-NoBid'!$U:$U,MATCH(A83,'Bid-NoBid'!$A:$A,0))),"Screen: "&amp;AC83))</f>
        <v/>
      </c>
      <c r="V83" s="60" t="n"/>
      <c r="W83" s="70" t="inlineStr">
        <is>
          <t>Watching</t>
        </is>
      </c>
      <c r="X83" s="70" t="inlineStr">
        <is>
          <t>Frank</t>
        </is>
      </c>
      <c r="Y83" s="60" t="n"/>
      <c r="Z83" s="60" t="n"/>
      <c r="AA83" s="73" t="n">
        <v>46301</v>
      </c>
      <c r="AB83" s="74" t="inlineStr">
        <is>
          <t>Small Works / Tender</t>
        </is>
      </c>
      <c r="AC83" s="74" t="inlineStr">
        <is>
          <t>Check</t>
        </is>
      </c>
      <c r="AD83" s="74" t="inlineStr">
        <is>
          <t>Auto (Small Works / Tender): Construction tender kept for review (would have been dropped: Remote and closing soon)</t>
        </is>
      </c>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74" t="inlineStr">
        <is>
          <t>Read the notice and decide with the QS Director whether to pursue</t>
        </is>
      </c>
      <c r="AJ83" s="74" t="inlineStr">
        <is>
          <t>Auto-scan</t>
        </is>
      </c>
      <c r="AK83" s="74" t="inlineStr">
        <is>
          <t>d92c4de5-ae51-4854-9cdd-6a549d3c83c0</t>
        </is>
      </c>
      <c r="AL83" s="59">
        <f>IF(AND(OR(W83="Watching",W83="Preparing"),ISNUMBER(Q83)),IF(AND(Q83&gt;='Friday Summary'!$C$4,Q83&lt;='Friday Summary'!$C$4+14),Q83+ROW()/1000000,""),"")</f>
        <v/>
      </c>
    </row>
    <row r="84" ht="15" customHeight="1" s="51">
      <c r="A84" s="59">
        <f>IF(B84="","","OP-"&amp;TEXT(ROW()-4,"000"))</f>
        <v/>
      </c>
      <c r="B84" s="70" t="inlineStr">
        <is>
          <t>8626/2026/2027/W/16</t>
        </is>
      </c>
      <c r="C84" s="71" t="n">
        <v>46302</v>
      </c>
      <c r="D84" s="70" t="inlineStr">
        <is>
          <t>NeST</t>
        </is>
      </c>
      <c r="E84" s="70" t="inlineStr">
        <is>
          <t>https://nest.go.tz/tenders/published-tenders</t>
        </is>
      </c>
      <c r="F84" s="70" t="inlineStr">
        <is>
          <t>Tanga City Council</t>
        </is>
      </c>
      <c r="G84" s="70" t="inlineStr">
        <is>
          <t>government</t>
        </is>
      </c>
      <c r="H84" s="70" t="inlineStr">
        <is>
          <t>To facilitate completion of dormitory at usagara secondary school</t>
        </is>
      </c>
      <c r="I84" s="70" t="inlineStr">
        <is>
          <t>From NeST notice (1 lot) – read the tender document</t>
        </is>
      </c>
      <c r="J84" s="70" t="inlineStr">
        <is>
          <t>Tanga (from client's office – confirm site)</t>
        </is>
      </c>
      <c r="K84" s="70" t="inlineStr">
        <is>
          <t>building</t>
        </is>
      </c>
      <c r="L84" s="70" t="inlineStr">
        <is>
          <t>NeST login needed</t>
        </is>
      </c>
      <c r="M84" s="62" t="n"/>
      <c r="N84" s="70" t="inlineStr">
        <is>
          <t>unknown</t>
        </is>
      </c>
      <c r="O84" s="71" t="inlineStr">
        <is>
          <t>NeST login needed</t>
        </is>
      </c>
      <c r="P84" s="71" t="inlineStr">
        <is>
          <t>NeST login needed</t>
        </is>
      </c>
      <c r="Q84" s="72" t="n">
        <v>46310.58333333334</v>
      </c>
      <c r="R84" s="70" t="inlineStr">
        <is>
          <t>NeST login needed</t>
        </is>
      </c>
      <c r="S84" s="70" t="inlineStr">
        <is>
          <t>N</t>
        </is>
      </c>
      <c r="T84" s="64">
        <f>IF(A84="","",IFERROR(INDEX('Bid-NoBid'!$T:$T,MATCH(A84,'Bid-NoBid'!$A:$A,0)),""))</f>
        <v/>
      </c>
      <c r="U84" s="59">
        <f>IF(A84="","",IFERROR(IF(OR(INDEX('Bid-NoBid'!$U:$U,MATCH(A84,'Bid-NoBid'!$A:$A,0))="",LEFT(INDEX('Bid-NoBid'!$U:$U,MATCH(A84,'Bid-NoBid'!$A:$A,0)),10)="Incomplete"),"Screen: "&amp;AC84,INDEX('Bid-NoBid'!$U:$U,MATCH(A84,'Bid-NoBid'!$A:$A,0))),"Screen: "&amp;AC84))</f>
        <v/>
      </c>
      <c r="V84" s="60" t="n"/>
      <c r="W84" s="70" t="inlineStr">
        <is>
          <t>Watching</t>
        </is>
      </c>
      <c r="X84" s="70" t="inlineStr">
        <is>
          <t>Frank</t>
        </is>
      </c>
      <c r="Y84" s="60" t="n"/>
      <c r="Z84" s="60" t="n"/>
      <c r="AA84" s="73" t="n">
        <v>46302</v>
      </c>
      <c r="AB84" s="74" t="inlineStr">
        <is>
          <t>Small Works / Tender</t>
        </is>
      </c>
      <c r="AC84" s="74" t="inlineStr">
        <is>
          <t>Pursue</t>
        </is>
      </c>
      <c r="AD84" s="74" t="inlineStr">
        <is>
          <t>Auto (Small Works / Tender): Building works within reach of Dar</t>
        </is>
      </c>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74" t="inlineStr">
        <is>
          <t>Get the tender document, confirm value, CRB class, site visit and bid security; brief the MD</t>
        </is>
      </c>
      <c r="AJ84" s="74" t="inlineStr">
        <is>
          <t>Auto-scan</t>
        </is>
      </c>
      <c r="AK84" s="74" t="inlineStr">
        <is>
          <t>75403178-54dc-4701-b739-7d0ba2e7b630</t>
        </is>
      </c>
      <c r="AL84" s="59">
        <f>IF(AND(OR(W84="Watching",W84="Preparing"),ISNUMBER(Q84)),IF(AND(Q84&gt;='Friday Summary'!$C$4,Q84&lt;='Friday Summary'!$C$4+14),Q84+ROW()/1000000,""),"")</f>
        <v/>
      </c>
    </row>
    <row r="85" ht="15" customHeight="1" s="51">
      <c r="A85" s="59">
        <f>IF(B85="","","OP-"&amp;TEXT(ROW()-4,"000"))</f>
        <v/>
      </c>
      <c r="B85" s="60" t="n"/>
      <c r="C85" s="61" t="n"/>
      <c r="D85" s="60" t="n"/>
      <c r="E85" s="60" t="n"/>
      <c r="F85" s="60" t="n"/>
      <c r="G85" s="60" t="n"/>
      <c r="H85" s="60" t="n"/>
      <c r="I85" s="60" t="n"/>
      <c r="J85" s="60" t="n"/>
      <c r="K85" s="60" t="n"/>
      <c r="L85" s="60" t="n"/>
      <c r="M85" s="62" t="n"/>
      <c r="N85" s="60" t="n"/>
      <c r="O85" s="61" t="n"/>
      <c r="P85" s="61" t="n"/>
      <c r="Q85" s="63" t="n"/>
      <c r="R85" s="60" t="n"/>
      <c r="S85" s="60" t="n"/>
      <c r="T85" s="64">
        <f>IF(A85="","",IFERROR(INDEX('Bid-NoBid'!$T:$T,MATCH(A85,'Bid-NoBid'!$A:$A,0)),""))</f>
        <v/>
      </c>
      <c r="U85" s="59">
        <f>IF(A85="","",IFERROR(IF(OR(INDEX('Bid-NoBid'!$U:$U,MATCH(A85,'Bid-NoBid'!$A:$A,0))="",LEFT(INDEX('Bid-NoBid'!$U:$U,MATCH(A85,'Bid-NoBid'!$A:$A,0)),10)="Incomplete"),"Screen: "&amp;AC85,INDEX('Bid-NoBid'!$U:$U,MATCH(A85,'Bid-NoBid'!$A:$A,0))),"Screen: "&amp;AC85))</f>
        <v/>
      </c>
      <c r="V85" s="60" t="n"/>
      <c r="W85" s="60" t="n"/>
      <c r="X85" s="60" t="n"/>
      <c r="Y85" s="60" t="n"/>
      <c r="Z85" s="60" t="n"/>
      <c r="AA85" s="65" t="n"/>
      <c r="AB85" s="66" t="n"/>
      <c r="AC85" s="66" t="n"/>
      <c r="AD85" s="66" t="n"/>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66" t="n"/>
      <c r="AJ85" s="66" t="n"/>
      <c r="AK85" s="66" t="n"/>
      <c r="AL85" s="59">
        <f>IF(AND(OR(W85="Watching",W85="Preparing"),ISNUMBER(Q85)),IF(AND(Q85&gt;='Friday Summary'!$C$4,Q85&lt;='Friday Summary'!$C$4+14),Q85+ROW()/1000000,""),"")</f>
        <v/>
      </c>
    </row>
    <row r="86" ht="15" customHeight="1" s="51">
      <c r="A86" s="59">
        <f>IF(B86="","","OP-"&amp;TEXT(ROW()-4,"000"))</f>
        <v/>
      </c>
      <c r="B86" s="60" t="n"/>
      <c r="C86" s="61" t="n"/>
      <c r="D86" s="60" t="n"/>
      <c r="E86" s="60" t="n"/>
      <c r="F86" s="60" t="n"/>
      <c r="G86" s="60" t="n"/>
      <c r="H86" s="60" t="n"/>
      <c r="I86" s="60" t="n"/>
      <c r="J86" s="60" t="n"/>
      <c r="K86" s="60" t="n"/>
      <c r="L86" s="60" t="n"/>
      <c r="M86" s="62" t="n"/>
      <c r="N86" s="60" t="n"/>
      <c r="O86" s="61" t="n"/>
      <c r="P86" s="61" t="n"/>
      <c r="Q86" s="63" t="n"/>
      <c r="R86" s="60" t="n"/>
      <c r="S86" s="60" t="n"/>
      <c r="T86" s="64">
        <f>IF(A86="","",IFERROR(INDEX('Bid-NoBid'!$T:$T,MATCH(A86,'Bid-NoBid'!$A:$A,0)),""))</f>
        <v/>
      </c>
      <c r="U86" s="59">
        <f>IF(A86="","",IFERROR(IF(OR(INDEX('Bid-NoBid'!$U:$U,MATCH(A86,'Bid-NoBid'!$A:$A,0))="",LEFT(INDEX('Bid-NoBid'!$U:$U,MATCH(A86,'Bid-NoBid'!$A:$A,0)),10)="Incomplete"),"Screen: "&amp;AC86,INDEX('Bid-NoBid'!$U:$U,MATCH(A86,'Bid-NoBid'!$A:$A,0))),"Screen: "&amp;AC86))</f>
        <v/>
      </c>
      <c r="V86" s="60" t="n"/>
      <c r="W86" s="60" t="n"/>
      <c r="X86" s="60" t="n"/>
      <c r="Y86" s="60" t="n"/>
      <c r="Z86" s="60" t="n"/>
      <c r="AA86" s="65" t="n"/>
      <c r="AB86" s="66" t="n"/>
      <c r="AC86" s="66" t="n"/>
      <c r="AD86" s="66" t="n"/>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66" t="n"/>
      <c r="AJ86" s="66" t="n"/>
      <c r="AK86" s="66" t="n"/>
      <c r="AL86" s="59">
        <f>IF(AND(OR(W86="Watching",W86="Preparing"),ISNUMBER(Q86)),IF(AND(Q86&gt;='Friday Summary'!$C$4,Q86&lt;='Friday Summary'!$C$4+14),Q86+ROW()/1000000,""),"")</f>
        <v/>
      </c>
    </row>
    <row r="87" ht="15" customHeight="1" s="51">
      <c r="A87" s="59">
        <f>IF(B87="","","OP-"&amp;TEXT(ROW()-4,"000"))</f>
        <v/>
      </c>
      <c r="B87" s="60" t="n"/>
      <c r="C87" s="61" t="n"/>
      <c r="D87" s="60" t="n"/>
      <c r="E87" s="60" t="n"/>
      <c r="F87" s="60" t="n"/>
      <c r="G87" s="60" t="n"/>
      <c r="H87" s="60" t="n"/>
      <c r="I87" s="60" t="n"/>
      <c r="J87" s="60" t="n"/>
      <c r="K87" s="60" t="n"/>
      <c r="L87" s="60" t="n"/>
      <c r="M87" s="62" t="n"/>
      <c r="N87" s="60" t="n"/>
      <c r="O87" s="61" t="n"/>
      <c r="P87" s="61" t="n"/>
      <c r="Q87" s="63" t="n"/>
      <c r="R87" s="60" t="n"/>
      <c r="S87" s="60" t="n"/>
      <c r="T87" s="64">
        <f>IF(A87="","",IFERROR(INDEX('Bid-NoBid'!$T:$T,MATCH(A87,'Bid-NoBid'!$A:$A,0)),""))</f>
        <v/>
      </c>
      <c r="U87" s="59">
        <f>IF(A87="","",IFERROR(IF(OR(INDEX('Bid-NoBid'!$U:$U,MATCH(A87,'Bid-NoBid'!$A:$A,0))="",LEFT(INDEX('Bid-NoBid'!$U:$U,MATCH(A87,'Bid-NoBid'!$A:$A,0)),10)="Incomplete"),"Screen: "&amp;AC87,INDEX('Bid-NoBid'!$U:$U,MATCH(A87,'Bid-NoBid'!$A:$A,0))),"Screen: "&amp;AC87))</f>
        <v/>
      </c>
      <c r="V87" s="60" t="n"/>
      <c r="W87" s="60" t="n"/>
      <c r="X87" s="60" t="n"/>
      <c r="Y87" s="60" t="n"/>
      <c r="Z87" s="60" t="n"/>
      <c r="AA87" s="65" t="n"/>
      <c r="AB87" s="66" t="n"/>
      <c r="AC87" s="66" t="n"/>
      <c r="AD87" s="66" t="n"/>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66" t="n"/>
      <c r="AJ87" s="66" t="n"/>
      <c r="AK87" s="66" t="n"/>
      <c r="AL87" s="59">
        <f>IF(AND(OR(W87="Watching",W87="Preparing"),ISNUMBER(Q87)),IF(AND(Q87&gt;='Friday Summary'!$C$4,Q87&lt;='Friday Summary'!$C$4+14),Q87+ROW()/1000000,""),"")</f>
        <v/>
      </c>
    </row>
    <row r="88" ht="15" customHeight="1" s="51">
      <c r="A88" s="59">
        <f>IF(B88="","","OP-"&amp;TEXT(ROW()-4,"000"))</f>
        <v/>
      </c>
      <c r="B88" s="60" t="n"/>
      <c r="C88" s="61" t="n"/>
      <c r="D88" s="60" t="n"/>
      <c r="E88" s="60" t="n"/>
      <c r="F88" s="60" t="n"/>
      <c r="G88" s="60" t="n"/>
      <c r="H88" s="60" t="n"/>
      <c r="I88" s="60" t="n"/>
      <c r="J88" s="60" t="n"/>
      <c r="K88" s="60" t="n"/>
      <c r="L88" s="60" t="n"/>
      <c r="M88" s="62" t="n"/>
      <c r="N88" s="60" t="n"/>
      <c r="O88" s="61" t="n"/>
      <c r="P88" s="61" t="n"/>
      <c r="Q88" s="63" t="n"/>
      <c r="R88" s="60" t="n"/>
      <c r="S88" s="60" t="n"/>
      <c r="T88" s="64">
        <f>IF(A88="","",IFERROR(INDEX('Bid-NoBid'!$T:$T,MATCH(A88,'Bid-NoBid'!$A:$A,0)),""))</f>
        <v/>
      </c>
      <c r="U88" s="59">
        <f>IF(A88="","",IFERROR(IF(OR(INDEX('Bid-NoBid'!$U:$U,MATCH(A88,'Bid-NoBid'!$A:$A,0))="",LEFT(INDEX('Bid-NoBid'!$U:$U,MATCH(A88,'Bid-NoBid'!$A:$A,0)),10)="Incomplete"),"Screen: "&amp;AC88,INDEX('Bid-NoBid'!$U:$U,MATCH(A88,'Bid-NoBid'!$A:$A,0))),"Screen: "&amp;AC88))</f>
        <v/>
      </c>
      <c r="V88" s="60" t="n"/>
      <c r="W88" s="60" t="n"/>
      <c r="X88" s="60" t="n"/>
      <c r="Y88" s="60" t="n"/>
      <c r="Z88" s="60" t="n"/>
      <c r="AA88" s="65" t="n"/>
      <c r="AB88" s="66" t="n"/>
      <c r="AC88" s="66" t="n"/>
      <c r="AD88" s="66" t="n"/>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66" t="n"/>
      <c r="AJ88" s="66" t="n"/>
      <c r="AK88" s="66" t="n"/>
      <c r="AL88" s="59">
        <f>IF(AND(OR(W88="Watching",W88="Preparing"),ISNUMBER(Q88)),IF(AND(Q88&gt;='Friday Summary'!$C$4,Q88&lt;='Friday Summary'!$C$4+14),Q88+ROW()/1000000,""),"")</f>
        <v/>
      </c>
    </row>
    <row r="89" ht="15" customHeight="1" s="51">
      <c r="A89" s="59">
        <f>IF(B89="","","OP-"&amp;TEXT(ROW()-4,"000"))</f>
        <v/>
      </c>
      <c r="B89" s="60" t="n"/>
      <c r="C89" s="61" t="n"/>
      <c r="D89" s="60" t="n"/>
      <c r="E89" s="60" t="n"/>
      <c r="F89" s="60" t="n"/>
      <c r="G89" s="60" t="n"/>
      <c r="H89" s="60" t="n"/>
      <c r="I89" s="60" t="n"/>
      <c r="J89" s="60" t="n"/>
      <c r="K89" s="60" t="n"/>
      <c r="L89" s="60" t="n"/>
      <c r="M89" s="62" t="n"/>
      <c r="N89" s="60" t="n"/>
      <c r="O89" s="61" t="n"/>
      <c r="P89" s="61" t="n"/>
      <c r="Q89" s="63" t="n"/>
      <c r="R89" s="60" t="n"/>
      <c r="S89" s="60" t="n"/>
      <c r="T89" s="64">
        <f>IF(A89="","",IFERROR(INDEX('Bid-NoBid'!$T:$T,MATCH(A89,'Bid-NoBid'!$A:$A,0)),""))</f>
        <v/>
      </c>
      <c r="U89" s="59">
        <f>IF(A89="","",IFERROR(IF(OR(INDEX('Bid-NoBid'!$U:$U,MATCH(A89,'Bid-NoBid'!$A:$A,0))="",LEFT(INDEX('Bid-NoBid'!$U:$U,MATCH(A89,'Bid-NoBid'!$A:$A,0)),10)="Incomplete"),"Screen: "&amp;AC89,INDEX('Bid-NoBid'!$U:$U,MATCH(A89,'Bid-NoBid'!$A:$A,0))),"Screen: "&amp;AC89))</f>
        <v/>
      </c>
      <c r="V89" s="60" t="n"/>
      <c r="W89" s="60" t="n"/>
      <c r="X89" s="60" t="n"/>
      <c r="Y89" s="60" t="n"/>
      <c r="Z89" s="60" t="n"/>
      <c r="AA89" s="65" t="n"/>
      <c r="AB89" s="66" t="n"/>
      <c r="AC89" s="66" t="n"/>
      <c r="AD89" s="66" t="n"/>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66" t="n"/>
      <c r="AJ89" s="66" t="n"/>
      <c r="AK89" s="66" t="n"/>
      <c r="AL89" s="59">
        <f>IF(AND(OR(W89="Watching",W89="Preparing"),ISNUMBER(Q89)),IF(AND(Q89&gt;='Friday Summary'!$C$4,Q89&lt;='Friday Summary'!$C$4+14),Q89+ROW()/1000000,""),"")</f>
        <v/>
      </c>
    </row>
    <row r="90" ht="15" customHeight="1" s="51">
      <c r="A90" s="59">
        <f>IF(B90="","","OP-"&amp;TEXT(ROW()-4,"000"))</f>
        <v/>
      </c>
      <c r="B90" s="60" t="n"/>
      <c r="C90" s="61" t="n"/>
      <c r="D90" s="60" t="n"/>
      <c r="E90" s="60" t="n"/>
      <c r="F90" s="60" t="n"/>
      <c r="G90" s="60" t="n"/>
      <c r="H90" s="60" t="n"/>
      <c r="I90" s="60" t="n"/>
      <c r="J90" s="60" t="n"/>
      <c r="K90" s="60" t="n"/>
      <c r="L90" s="60" t="n"/>
      <c r="M90" s="62" t="n"/>
      <c r="N90" s="60" t="n"/>
      <c r="O90" s="61" t="n"/>
      <c r="P90" s="61" t="n"/>
      <c r="Q90" s="63" t="n"/>
      <c r="R90" s="60" t="n"/>
      <c r="S90" s="60" t="n"/>
      <c r="T90" s="64">
        <f>IF(A90="","",IFERROR(INDEX('Bid-NoBid'!$T:$T,MATCH(A90,'Bid-NoBid'!$A:$A,0)),""))</f>
        <v/>
      </c>
      <c r="U90" s="59">
        <f>IF(A90="","",IFERROR(IF(OR(INDEX('Bid-NoBid'!$U:$U,MATCH(A90,'Bid-NoBid'!$A:$A,0))="",LEFT(INDEX('Bid-NoBid'!$U:$U,MATCH(A90,'Bid-NoBid'!$A:$A,0)),10)="Incomplete"),"Screen: "&amp;AC90,INDEX('Bid-NoBid'!$U:$U,MATCH(A90,'Bid-NoBid'!$A:$A,0))),"Screen: "&amp;AC90))</f>
        <v/>
      </c>
      <c r="V90" s="60" t="n"/>
      <c r="W90" s="60" t="n"/>
      <c r="X90" s="60" t="n"/>
      <c r="Y90" s="60" t="n"/>
      <c r="Z90" s="60" t="n"/>
      <c r="AA90" s="65" t="n"/>
      <c r="AB90" s="66" t="n"/>
      <c r="AC90" s="66" t="n"/>
      <c r="AD90" s="66" t="n"/>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66" t="n"/>
      <c r="AJ90" s="66" t="n"/>
      <c r="AK90" s="66" t="n"/>
      <c r="AL90" s="59">
        <f>IF(AND(OR(W90="Watching",W90="Preparing"),ISNUMBER(Q90)),IF(AND(Q90&gt;='Friday Summary'!$C$4,Q90&lt;='Friday Summary'!$C$4+14),Q90+ROW()/1000000,""),"")</f>
        <v/>
      </c>
    </row>
    <row r="91" ht="15" customHeight="1" s="51">
      <c r="A91" s="59">
        <f>IF(B91="","","OP-"&amp;TEXT(ROW()-4,"000"))</f>
        <v/>
      </c>
      <c r="B91" s="60" t="n"/>
      <c r="C91" s="61" t="n"/>
      <c r="D91" s="60" t="n"/>
      <c r="E91" s="60" t="n"/>
      <c r="F91" s="60" t="n"/>
      <c r="G91" s="60" t="n"/>
      <c r="H91" s="60" t="n"/>
      <c r="I91" s="60" t="n"/>
      <c r="J91" s="60" t="n"/>
      <c r="K91" s="60" t="n"/>
      <c r="L91" s="60" t="n"/>
      <c r="M91" s="62" t="n"/>
      <c r="N91" s="60" t="n"/>
      <c r="O91" s="61" t="n"/>
      <c r="P91" s="61" t="n"/>
      <c r="Q91" s="63" t="n"/>
      <c r="R91" s="60" t="n"/>
      <c r="S91" s="60" t="n"/>
      <c r="T91" s="64">
        <f>IF(A91="","",IFERROR(INDEX('Bid-NoBid'!$T:$T,MATCH(A91,'Bid-NoBid'!$A:$A,0)),""))</f>
        <v/>
      </c>
      <c r="U91" s="59">
        <f>IF(A91="","",IFERROR(IF(OR(INDEX('Bid-NoBid'!$U:$U,MATCH(A91,'Bid-NoBid'!$A:$A,0))="",LEFT(INDEX('Bid-NoBid'!$U:$U,MATCH(A91,'Bid-NoBid'!$A:$A,0)),10)="Incomplete"),"Screen: "&amp;AC91,INDEX('Bid-NoBid'!$U:$U,MATCH(A91,'Bid-NoBid'!$A:$A,0))),"Screen: "&amp;AC91))</f>
        <v/>
      </c>
      <c r="V91" s="60" t="n"/>
      <c r="W91" s="60" t="n"/>
      <c r="X91" s="60" t="n"/>
      <c r="Y91" s="60" t="n"/>
      <c r="Z91" s="60" t="n"/>
      <c r="AA91" s="65" t="n"/>
      <c r="AB91" s="66" t="n"/>
      <c r="AC91" s="66" t="n"/>
      <c r="AD91" s="66" t="n"/>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66" t="n"/>
      <c r="AJ91" s="66" t="n"/>
      <c r="AK91" s="66" t="n"/>
      <c r="AL91" s="59">
        <f>IF(AND(OR(W91="Watching",W91="Preparing"),ISNUMBER(Q91)),IF(AND(Q91&gt;='Friday Summary'!$C$4,Q91&lt;='Friday Summary'!$C$4+14),Q91+ROW()/1000000,""),"")</f>
        <v/>
      </c>
    </row>
    <row r="92" ht="15" customHeight="1" s="51">
      <c r="A92" s="59">
        <f>IF(B92="","","OP-"&amp;TEXT(ROW()-4,"000"))</f>
        <v/>
      </c>
      <c r="B92" s="60" t="n"/>
      <c r="C92" s="61" t="n"/>
      <c r="D92" s="60" t="n"/>
      <c r="E92" s="60" t="n"/>
      <c r="F92" s="60" t="n"/>
      <c r="G92" s="60" t="n"/>
      <c r="H92" s="60" t="n"/>
      <c r="I92" s="60" t="n"/>
      <c r="J92" s="60" t="n"/>
      <c r="K92" s="60" t="n"/>
      <c r="L92" s="60" t="n"/>
      <c r="M92" s="62" t="n"/>
      <c r="N92" s="60" t="n"/>
      <c r="O92" s="61" t="n"/>
      <c r="P92" s="61" t="n"/>
      <c r="Q92" s="63" t="n"/>
      <c r="R92" s="60" t="n"/>
      <c r="S92" s="60" t="n"/>
      <c r="T92" s="64">
        <f>IF(A92="","",IFERROR(INDEX('Bid-NoBid'!$T:$T,MATCH(A92,'Bid-NoBid'!$A:$A,0)),""))</f>
        <v/>
      </c>
      <c r="U92" s="59">
        <f>IF(A92="","",IFERROR(IF(OR(INDEX('Bid-NoBid'!$U:$U,MATCH(A92,'Bid-NoBid'!$A:$A,0))="",LEFT(INDEX('Bid-NoBid'!$U:$U,MATCH(A92,'Bid-NoBid'!$A:$A,0)),10)="Incomplete"),"Screen: "&amp;AC92,INDEX('Bid-NoBid'!$U:$U,MATCH(A92,'Bid-NoBid'!$A:$A,0))),"Screen: "&amp;AC92))</f>
        <v/>
      </c>
      <c r="V92" s="60" t="n"/>
      <c r="W92" s="60" t="n"/>
      <c r="X92" s="60" t="n"/>
      <c r="Y92" s="60" t="n"/>
      <c r="Z92" s="60" t="n"/>
      <c r="AA92" s="65" t="n"/>
      <c r="AB92" s="66" t="n"/>
      <c r="AC92" s="66" t="n"/>
      <c r="AD92" s="66" t="n"/>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66" t="n"/>
      <c r="AJ92" s="66" t="n"/>
      <c r="AK92" s="66" t="n"/>
      <c r="AL92" s="59">
        <f>IF(AND(OR(W92="Watching",W92="Preparing"),ISNUMBER(Q92)),IF(AND(Q92&gt;='Friday Summary'!$C$4,Q92&lt;='Friday Summary'!$C$4+14),Q92+ROW()/1000000,""),"")</f>
        <v/>
      </c>
    </row>
    <row r="93" ht="15" customHeight="1" s="51">
      <c r="A93" s="59">
        <f>IF(B93="","","OP-"&amp;TEXT(ROW()-4,"000"))</f>
        <v/>
      </c>
      <c r="B93" s="60" t="n"/>
      <c r="C93" s="61" t="n"/>
      <c r="D93" s="60" t="n"/>
      <c r="E93" s="60" t="n"/>
      <c r="F93" s="60" t="n"/>
      <c r="G93" s="60" t="n"/>
      <c r="H93" s="60" t="n"/>
      <c r="I93" s="60" t="n"/>
      <c r="J93" s="60" t="n"/>
      <c r="K93" s="60" t="n"/>
      <c r="L93" s="60" t="n"/>
      <c r="M93" s="62" t="n"/>
      <c r="N93" s="60" t="n"/>
      <c r="O93" s="61" t="n"/>
      <c r="P93" s="61" t="n"/>
      <c r="Q93" s="63" t="n"/>
      <c r="R93" s="60" t="n"/>
      <c r="S93" s="60" t="n"/>
      <c r="T93" s="64">
        <f>IF(A93="","",IFERROR(INDEX('Bid-NoBid'!$T:$T,MATCH(A93,'Bid-NoBid'!$A:$A,0)),""))</f>
        <v/>
      </c>
      <c r="U93" s="59">
        <f>IF(A93="","",IFERROR(IF(OR(INDEX('Bid-NoBid'!$U:$U,MATCH(A93,'Bid-NoBid'!$A:$A,0))="",LEFT(INDEX('Bid-NoBid'!$U:$U,MATCH(A93,'Bid-NoBid'!$A:$A,0)),10)="Incomplete"),"Screen: "&amp;AC93,INDEX('Bid-NoBid'!$U:$U,MATCH(A93,'Bid-NoBid'!$A:$A,0))),"Screen: "&amp;AC93))</f>
        <v/>
      </c>
      <c r="V93" s="60" t="n"/>
      <c r="W93" s="60" t="n"/>
      <c r="X93" s="60" t="n"/>
      <c r="Y93" s="60" t="n"/>
      <c r="Z93" s="60" t="n"/>
      <c r="AA93" s="65" t="n"/>
      <c r="AB93" s="66" t="n"/>
      <c r="AC93" s="66" t="n"/>
      <c r="AD93" s="66" t="n"/>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66" t="n"/>
      <c r="AJ93" s="66" t="n"/>
      <c r="AK93" s="66" t="n"/>
      <c r="AL93" s="59">
        <f>IF(AND(OR(W93="Watching",W93="Preparing"),ISNUMBER(Q93)),IF(AND(Q93&gt;='Friday Summary'!$C$4,Q93&lt;='Friday Summary'!$C$4+14),Q93+ROW()/1000000,""),"")</f>
        <v/>
      </c>
    </row>
    <row r="94" ht="15" customHeight="1" s="51">
      <c r="A94" s="59">
        <f>IF(B94="","","OP-"&amp;TEXT(ROW()-4,"000"))</f>
        <v/>
      </c>
      <c r="B94" s="60" t="n"/>
      <c r="C94" s="61" t="n"/>
      <c r="D94" s="60" t="n"/>
      <c r="E94" s="60" t="n"/>
      <c r="F94" s="60" t="n"/>
      <c r="G94" s="60" t="n"/>
      <c r="H94" s="60" t="n"/>
      <c r="I94" s="60" t="n"/>
      <c r="J94" s="60" t="n"/>
      <c r="K94" s="60" t="n"/>
      <c r="L94" s="60" t="n"/>
      <c r="M94" s="62" t="n"/>
      <c r="N94" s="60" t="n"/>
      <c r="O94" s="61" t="n"/>
      <c r="P94" s="61" t="n"/>
      <c r="Q94" s="63" t="n"/>
      <c r="R94" s="60" t="n"/>
      <c r="S94" s="60" t="n"/>
      <c r="T94" s="64">
        <f>IF(A94="","",IFERROR(INDEX('Bid-NoBid'!$T:$T,MATCH(A94,'Bid-NoBid'!$A:$A,0)),""))</f>
        <v/>
      </c>
      <c r="U94" s="59">
        <f>IF(A94="","",IFERROR(IF(OR(INDEX('Bid-NoBid'!$U:$U,MATCH(A94,'Bid-NoBid'!$A:$A,0))="",LEFT(INDEX('Bid-NoBid'!$U:$U,MATCH(A94,'Bid-NoBid'!$A:$A,0)),10)="Incomplete"),"Screen: "&amp;AC94,INDEX('Bid-NoBid'!$U:$U,MATCH(A94,'Bid-NoBid'!$A:$A,0))),"Screen: "&amp;AC94))</f>
        <v/>
      </c>
      <c r="V94" s="60" t="n"/>
      <c r="W94" s="60" t="n"/>
      <c r="X94" s="60" t="n"/>
      <c r="Y94" s="60" t="n"/>
      <c r="Z94" s="60" t="n"/>
      <c r="AA94" s="65" t="n"/>
      <c r="AB94" s="66" t="n"/>
      <c r="AC94" s="66" t="n"/>
      <c r="AD94" s="66" t="n"/>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66" t="n"/>
      <c r="AJ94" s="66" t="n"/>
      <c r="AK94" s="66" t="n"/>
      <c r="AL94" s="59">
        <f>IF(AND(OR(W94="Watching",W94="Preparing"),ISNUMBER(Q94)),IF(AND(Q94&gt;='Friday Summary'!$C$4,Q94&lt;='Friday Summary'!$C$4+14),Q94+ROW()/1000000,""),"")</f>
        <v/>
      </c>
    </row>
    <row r="95" ht="15" customHeight="1" s="51">
      <c r="A95" s="59">
        <f>IF(B95="","","OP-"&amp;TEXT(ROW()-4,"000"))</f>
        <v/>
      </c>
      <c r="B95" s="60" t="n"/>
      <c r="C95" s="61" t="n"/>
      <c r="D95" s="60" t="n"/>
      <c r="E95" s="60" t="n"/>
      <c r="F95" s="60" t="n"/>
      <c r="G95" s="60" t="n"/>
      <c r="H95" s="60" t="n"/>
      <c r="I95" s="60" t="n"/>
      <c r="J95" s="60" t="n"/>
      <c r="K95" s="60" t="n"/>
      <c r="L95" s="60" t="n"/>
      <c r="M95" s="62" t="n"/>
      <c r="N95" s="60" t="n"/>
      <c r="O95" s="61" t="n"/>
      <c r="P95" s="61" t="n"/>
      <c r="Q95" s="63" t="n"/>
      <c r="R95" s="60" t="n"/>
      <c r="S95" s="60" t="n"/>
      <c r="T95" s="64">
        <f>IF(A95="","",IFERROR(INDEX('Bid-NoBid'!$T:$T,MATCH(A95,'Bid-NoBid'!$A:$A,0)),""))</f>
        <v/>
      </c>
      <c r="U95" s="59">
        <f>IF(A95="","",IFERROR(IF(OR(INDEX('Bid-NoBid'!$U:$U,MATCH(A95,'Bid-NoBid'!$A:$A,0))="",LEFT(INDEX('Bid-NoBid'!$U:$U,MATCH(A95,'Bid-NoBid'!$A:$A,0)),10)="Incomplete"),"Screen: "&amp;AC95,INDEX('Bid-NoBid'!$U:$U,MATCH(A95,'Bid-NoBid'!$A:$A,0))),"Screen: "&amp;AC95))</f>
        <v/>
      </c>
      <c r="V95" s="60" t="n"/>
      <c r="W95" s="60" t="n"/>
      <c r="X95" s="60" t="n"/>
      <c r="Y95" s="60" t="n"/>
      <c r="Z95" s="60" t="n"/>
      <c r="AA95" s="65" t="n"/>
      <c r="AB95" s="66" t="n"/>
      <c r="AC95" s="66" t="n"/>
      <c r="AD95" s="66" t="n"/>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66" t="n"/>
      <c r="AJ95" s="66" t="n"/>
      <c r="AK95" s="66" t="n"/>
      <c r="AL95" s="59">
        <f>IF(AND(OR(W95="Watching",W95="Preparing"),ISNUMBER(Q95)),IF(AND(Q95&gt;='Friday Summary'!$C$4,Q95&lt;='Friday Summary'!$C$4+14),Q95+ROW()/1000000,""),"")</f>
        <v/>
      </c>
    </row>
    <row r="96" ht="15" customHeight="1" s="51">
      <c r="A96" s="59">
        <f>IF(B96="","","OP-"&amp;TEXT(ROW()-4,"000"))</f>
        <v/>
      </c>
      <c r="B96" s="60" t="n"/>
      <c r="C96" s="61" t="n"/>
      <c r="D96" s="60" t="n"/>
      <c r="E96" s="60" t="n"/>
      <c r="F96" s="60" t="n"/>
      <c r="G96" s="60" t="n"/>
      <c r="H96" s="60" t="n"/>
      <c r="I96" s="60" t="n"/>
      <c r="J96" s="60" t="n"/>
      <c r="K96" s="60" t="n"/>
      <c r="L96" s="60" t="n"/>
      <c r="M96" s="62" t="n"/>
      <c r="N96" s="60" t="n"/>
      <c r="O96" s="61" t="n"/>
      <c r="P96" s="61" t="n"/>
      <c r="Q96" s="63" t="n"/>
      <c r="R96" s="60" t="n"/>
      <c r="S96" s="60" t="n"/>
      <c r="T96" s="64">
        <f>IF(A96="","",IFERROR(INDEX('Bid-NoBid'!$T:$T,MATCH(A96,'Bid-NoBid'!$A:$A,0)),""))</f>
        <v/>
      </c>
      <c r="U96" s="59">
        <f>IF(A96="","",IFERROR(IF(OR(INDEX('Bid-NoBid'!$U:$U,MATCH(A96,'Bid-NoBid'!$A:$A,0))="",LEFT(INDEX('Bid-NoBid'!$U:$U,MATCH(A96,'Bid-NoBid'!$A:$A,0)),10)="Incomplete"),"Screen: "&amp;AC96,INDEX('Bid-NoBid'!$U:$U,MATCH(A96,'Bid-NoBid'!$A:$A,0))),"Screen: "&amp;AC96))</f>
        <v/>
      </c>
      <c r="V96" s="60" t="n"/>
      <c r="W96" s="60" t="n"/>
      <c r="X96" s="60" t="n"/>
      <c r="Y96" s="60" t="n"/>
      <c r="Z96" s="60" t="n"/>
      <c r="AA96" s="65" t="n"/>
      <c r="AB96" s="66" t="n"/>
      <c r="AC96" s="66" t="n"/>
      <c r="AD96" s="66" t="n"/>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66" t="n"/>
      <c r="AJ96" s="66" t="n"/>
      <c r="AK96" s="66" t="n"/>
      <c r="AL96" s="59">
        <f>IF(AND(OR(W96="Watching",W96="Preparing"),ISNUMBER(Q96)),IF(AND(Q96&gt;='Friday Summary'!$C$4,Q96&lt;='Friday Summary'!$C$4+14),Q96+ROW()/1000000,""),"")</f>
        <v/>
      </c>
    </row>
    <row r="97" ht="15" customHeight="1" s="51">
      <c r="A97" s="59">
        <f>IF(B97="","","OP-"&amp;TEXT(ROW()-4,"000"))</f>
        <v/>
      </c>
      <c r="B97" s="60" t="n"/>
      <c r="C97" s="61" t="n"/>
      <c r="D97" s="60" t="n"/>
      <c r="E97" s="60" t="n"/>
      <c r="F97" s="60" t="n"/>
      <c r="G97" s="60" t="n"/>
      <c r="H97" s="60" t="n"/>
      <c r="I97" s="60" t="n"/>
      <c r="J97" s="60" t="n"/>
      <c r="K97" s="60" t="n"/>
      <c r="L97" s="60" t="n"/>
      <c r="M97" s="62" t="n"/>
      <c r="N97" s="60" t="n"/>
      <c r="O97" s="61" t="n"/>
      <c r="P97" s="61" t="n"/>
      <c r="Q97" s="63" t="n"/>
      <c r="R97" s="60" t="n"/>
      <c r="S97" s="60" t="n"/>
      <c r="T97" s="64">
        <f>IF(A97="","",IFERROR(INDEX('Bid-NoBid'!$T:$T,MATCH(A97,'Bid-NoBid'!$A:$A,0)),""))</f>
        <v/>
      </c>
      <c r="U97" s="59">
        <f>IF(A97="","",IFERROR(IF(OR(INDEX('Bid-NoBid'!$U:$U,MATCH(A97,'Bid-NoBid'!$A:$A,0))="",LEFT(INDEX('Bid-NoBid'!$U:$U,MATCH(A97,'Bid-NoBid'!$A:$A,0)),10)="Incomplete"),"Screen: "&amp;AC97,INDEX('Bid-NoBid'!$U:$U,MATCH(A97,'Bid-NoBid'!$A:$A,0))),"Screen: "&amp;AC97))</f>
        <v/>
      </c>
      <c r="V97" s="60" t="n"/>
      <c r="W97" s="60" t="n"/>
      <c r="X97" s="60" t="n"/>
      <c r="Y97" s="60" t="n"/>
      <c r="Z97" s="60" t="n"/>
      <c r="AA97" s="65" t="n"/>
      <c r="AB97" s="66" t="n"/>
      <c r="AC97" s="66" t="n"/>
      <c r="AD97" s="66" t="n"/>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66" t="n"/>
      <c r="AJ97" s="66" t="n"/>
      <c r="AK97" s="66" t="n"/>
      <c r="AL97" s="59">
        <f>IF(AND(OR(W97="Watching",W97="Preparing"),ISNUMBER(Q97)),IF(AND(Q97&gt;='Friday Summary'!$C$4,Q97&lt;='Friday Summary'!$C$4+14),Q97+ROW()/1000000,""),"")</f>
        <v/>
      </c>
    </row>
    <row r="98" ht="15" customHeight="1" s="51">
      <c r="A98" s="59">
        <f>IF(B98="","","OP-"&amp;TEXT(ROW()-4,"000"))</f>
        <v/>
      </c>
      <c r="B98" s="60" t="n"/>
      <c r="C98" s="61" t="n"/>
      <c r="D98" s="60" t="n"/>
      <c r="E98" s="60" t="n"/>
      <c r="F98" s="60" t="n"/>
      <c r="G98" s="60" t="n"/>
      <c r="H98" s="60" t="n"/>
      <c r="I98" s="60" t="n"/>
      <c r="J98" s="60" t="n"/>
      <c r="K98" s="60" t="n"/>
      <c r="L98" s="60" t="n"/>
      <c r="M98" s="62" t="n"/>
      <c r="N98" s="60" t="n"/>
      <c r="O98" s="61" t="n"/>
      <c r="P98" s="61" t="n"/>
      <c r="Q98" s="63" t="n"/>
      <c r="R98" s="60" t="n"/>
      <c r="S98" s="60" t="n"/>
      <c r="T98" s="64">
        <f>IF(A98="","",IFERROR(INDEX('Bid-NoBid'!$T:$T,MATCH(A98,'Bid-NoBid'!$A:$A,0)),""))</f>
        <v/>
      </c>
      <c r="U98" s="59">
        <f>IF(A98="","",IFERROR(IF(OR(INDEX('Bid-NoBid'!$U:$U,MATCH(A98,'Bid-NoBid'!$A:$A,0))="",LEFT(INDEX('Bid-NoBid'!$U:$U,MATCH(A98,'Bid-NoBid'!$A:$A,0)),10)="Incomplete"),"Screen: "&amp;AC98,INDEX('Bid-NoBid'!$U:$U,MATCH(A98,'Bid-NoBid'!$A:$A,0))),"Screen: "&amp;AC98))</f>
        <v/>
      </c>
      <c r="V98" s="60" t="n"/>
      <c r="W98" s="60" t="n"/>
      <c r="X98" s="60" t="n"/>
      <c r="Y98" s="60" t="n"/>
      <c r="Z98" s="60" t="n"/>
      <c r="AA98" s="65" t="n"/>
      <c r="AB98" s="66" t="n"/>
      <c r="AC98" s="66" t="n"/>
      <c r="AD98" s="66" t="n"/>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66" t="n"/>
      <c r="AJ98" s="66" t="n"/>
      <c r="AK98" s="66" t="n"/>
      <c r="AL98" s="59">
        <f>IF(AND(OR(W98="Watching",W98="Preparing"),ISNUMBER(Q98)),IF(AND(Q98&gt;='Friday Summary'!$C$4,Q98&lt;='Friday Summary'!$C$4+14),Q98+ROW()/1000000,""),"")</f>
        <v/>
      </c>
    </row>
    <row r="99" ht="15" customHeight="1" s="51">
      <c r="A99" s="59">
        <f>IF(B99="","","OP-"&amp;TEXT(ROW()-4,"000"))</f>
        <v/>
      </c>
      <c r="B99" s="60" t="n"/>
      <c r="C99" s="61" t="n"/>
      <c r="D99" s="60" t="n"/>
      <c r="E99" s="60" t="n"/>
      <c r="F99" s="60" t="n"/>
      <c r="G99" s="60" t="n"/>
      <c r="H99" s="60" t="n"/>
      <c r="I99" s="60" t="n"/>
      <c r="J99" s="60" t="n"/>
      <c r="K99" s="60" t="n"/>
      <c r="L99" s="60" t="n"/>
      <c r="M99" s="62" t="n"/>
      <c r="N99" s="60" t="n"/>
      <c r="O99" s="61" t="n"/>
      <c r="P99" s="61" t="n"/>
      <c r="Q99" s="63" t="n"/>
      <c r="R99" s="60" t="n"/>
      <c r="S99" s="60" t="n"/>
      <c r="T99" s="64">
        <f>IF(A99="","",IFERROR(INDEX('Bid-NoBid'!$T:$T,MATCH(A99,'Bid-NoBid'!$A:$A,0)),""))</f>
        <v/>
      </c>
      <c r="U99" s="59">
        <f>IF(A99="","",IFERROR(IF(OR(INDEX('Bid-NoBid'!$U:$U,MATCH(A99,'Bid-NoBid'!$A:$A,0))="",LEFT(INDEX('Bid-NoBid'!$U:$U,MATCH(A99,'Bid-NoBid'!$A:$A,0)),10)="Incomplete"),"Screen: "&amp;AC99,INDEX('Bid-NoBid'!$U:$U,MATCH(A99,'Bid-NoBid'!$A:$A,0))),"Screen: "&amp;AC99))</f>
        <v/>
      </c>
      <c r="V99" s="60" t="n"/>
      <c r="W99" s="60" t="n"/>
      <c r="X99" s="60" t="n"/>
      <c r="Y99" s="60" t="n"/>
      <c r="Z99" s="60" t="n"/>
      <c r="AA99" s="65" t="n"/>
      <c r="AB99" s="66" t="n"/>
      <c r="AC99" s="66" t="n"/>
      <c r="AD99" s="66" t="n"/>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66" t="n"/>
      <c r="AJ99" s="66" t="n"/>
      <c r="AK99" s="66" t="n"/>
      <c r="AL99" s="59">
        <f>IF(AND(OR(W99="Watching",W99="Preparing"),ISNUMBER(Q99)),IF(AND(Q99&gt;='Friday Summary'!$C$4,Q99&lt;='Friday Summary'!$C$4+14),Q99+ROW()/1000000,""),"")</f>
        <v/>
      </c>
    </row>
    <row r="100" ht="15" customHeight="1" s="51">
      <c r="A100" s="59">
        <f>IF(B100="","","OP-"&amp;TEXT(ROW()-4,"000"))</f>
        <v/>
      </c>
      <c r="B100" s="60" t="n"/>
      <c r="C100" s="61" t="n"/>
      <c r="D100" s="60" t="n"/>
      <c r="E100" s="60" t="n"/>
      <c r="F100" s="60" t="n"/>
      <c r="G100" s="60" t="n"/>
      <c r="H100" s="60" t="n"/>
      <c r="I100" s="60" t="n"/>
      <c r="J100" s="60" t="n"/>
      <c r="K100" s="60" t="n"/>
      <c r="L100" s="60" t="n"/>
      <c r="M100" s="62" t="n"/>
      <c r="N100" s="60" t="n"/>
      <c r="O100" s="61" t="n"/>
      <c r="P100" s="61" t="n"/>
      <c r="Q100" s="63" t="n"/>
      <c r="R100" s="60" t="n"/>
      <c r="S100" s="60" t="n"/>
      <c r="T100" s="64">
        <f>IF(A100="","",IFERROR(INDEX('Bid-NoBid'!$T:$T,MATCH(A100,'Bid-NoBid'!$A:$A,0)),""))</f>
        <v/>
      </c>
      <c r="U100" s="59">
        <f>IF(A100="","",IFERROR(IF(OR(INDEX('Bid-NoBid'!$U:$U,MATCH(A100,'Bid-NoBid'!$A:$A,0))="",LEFT(INDEX('Bid-NoBid'!$U:$U,MATCH(A100,'Bid-NoBid'!$A:$A,0)),10)="Incomplete"),"Screen: "&amp;AC100,INDEX('Bid-NoBid'!$U:$U,MATCH(A100,'Bid-NoBid'!$A:$A,0))),"Screen: "&amp;AC100))</f>
        <v/>
      </c>
      <c r="V100" s="60" t="n"/>
      <c r="W100" s="60" t="n"/>
      <c r="X100" s="60" t="n"/>
      <c r="Y100" s="60" t="n"/>
      <c r="Z100" s="60" t="n"/>
      <c r="AA100" s="65" t="n"/>
      <c r="AB100" s="66" t="n"/>
      <c r="AC100" s="66" t="n"/>
      <c r="AD100" s="66" t="n"/>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66" t="n"/>
      <c r="AJ100" s="66" t="n"/>
      <c r="AK100" s="66" t="n"/>
      <c r="AL100" s="59">
        <f>IF(AND(OR(W100="Watching",W100="Preparing"),ISNUMBER(Q100)),IF(AND(Q100&gt;='Friday Summary'!$C$4,Q100&lt;='Friday Summary'!$C$4+14),Q100+ROW()/1000000,""),"")</f>
        <v/>
      </c>
    </row>
    <row r="101" ht="15" customHeight="1" s="51">
      <c r="A101" s="59">
        <f>IF(B101="","","OP-"&amp;TEXT(ROW()-4,"000"))</f>
        <v/>
      </c>
      <c r="B101" s="60" t="n"/>
      <c r="C101" s="61" t="n"/>
      <c r="D101" s="60" t="n"/>
      <c r="E101" s="60" t="n"/>
      <c r="F101" s="60" t="n"/>
      <c r="G101" s="60" t="n"/>
      <c r="H101" s="60" t="n"/>
      <c r="I101" s="60" t="n"/>
      <c r="J101" s="60" t="n"/>
      <c r="K101" s="60" t="n"/>
      <c r="L101" s="60" t="n"/>
      <c r="M101" s="62" t="n"/>
      <c r="N101" s="60" t="n"/>
      <c r="O101" s="61" t="n"/>
      <c r="P101" s="61" t="n"/>
      <c r="Q101" s="63" t="n"/>
      <c r="R101" s="60" t="n"/>
      <c r="S101" s="60" t="n"/>
      <c r="T101" s="64">
        <f>IF(A101="","",IFERROR(INDEX('Bid-NoBid'!$T:$T,MATCH(A101,'Bid-NoBid'!$A:$A,0)),""))</f>
        <v/>
      </c>
      <c r="U101" s="59">
        <f>IF(A101="","",IFERROR(IF(OR(INDEX('Bid-NoBid'!$U:$U,MATCH(A101,'Bid-NoBid'!$A:$A,0))="",LEFT(INDEX('Bid-NoBid'!$U:$U,MATCH(A101,'Bid-NoBid'!$A:$A,0)),10)="Incomplete"),"Screen: "&amp;AC101,INDEX('Bid-NoBid'!$U:$U,MATCH(A101,'Bid-NoBid'!$A:$A,0))),"Screen: "&amp;AC101))</f>
        <v/>
      </c>
      <c r="V101" s="60" t="n"/>
      <c r="W101" s="60" t="n"/>
      <c r="X101" s="60" t="n"/>
      <c r="Y101" s="60" t="n"/>
      <c r="Z101" s="60" t="n"/>
      <c r="AA101" s="65" t="n"/>
      <c r="AB101" s="66" t="n"/>
      <c r="AC101" s="66" t="n"/>
      <c r="AD101" s="66" t="n"/>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66" t="n"/>
      <c r="AJ101" s="66" t="n"/>
      <c r="AK101" s="66" t="n"/>
      <c r="AL101" s="59">
        <f>IF(AND(OR(W101="Watching",W101="Preparing"),ISNUMBER(Q101)),IF(AND(Q101&gt;='Friday Summary'!$C$4,Q101&lt;='Friday Summary'!$C$4+14),Q101+ROW()/1000000,""),"")</f>
        <v/>
      </c>
    </row>
    <row r="102" ht="15" customHeight="1" s="51">
      <c r="A102" s="59">
        <f>IF(B102="","","OP-"&amp;TEXT(ROW()-4,"000"))</f>
        <v/>
      </c>
      <c r="B102" s="60" t="n"/>
      <c r="C102" s="61" t="n"/>
      <c r="D102" s="60" t="n"/>
      <c r="E102" s="60" t="n"/>
      <c r="F102" s="60" t="n"/>
      <c r="G102" s="60" t="n"/>
      <c r="H102" s="60" t="n"/>
      <c r="I102" s="60" t="n"/>
      <c r="J102" s="60" t="n"/>
      <c r="K102" s="60" t="n"/>
      <c r="L102" s="60" t="n"/>
      <c r="M102" s="62" t="n"/>
      <c r="N102" s="60" t="n"/>
      <c r="O102" s="61" t="n"/>
      <c r="P102" s="61" t="n"/>
      <c r="Q102" s="63" t="n"/>
      <c r="R102" s="60" t="n"/>
      <c r="S102" s="60" t="n"/>
      <c r="T102" s="64">
        <f>IF(A102="","",IFERROR(INDEX('Bid-NoBid'!$T:$T,MATCH(A102,'Bid-NoBid'!$A:$A,0)),""))</f>
        <v/>
      </c>
      <c r="U102" s="59">
        <f>IF(A102="","",IFERROR(IF(OR(INDEX('Bid-NoBid'!$U:$U,MATCH(A102,'Bid-NoBid'!$A:$A,0))="",LEFT(INDEX('Bid-NoBid'!$U:$U,MATCH(A102,'Bid-NoBid'!$A:$A,0)),10)="Incomplete"),"Screen: "&amp;AC102,INDEX('Bid-NoBid'!$U:$U,MATCH(A102,'Bid-NoBid'!$A:$A,0))),"Screen: "&amp;AC102))</f>
        <v/>
      </c>
      <c r="V102" s="60" t="n"/>
      <c r="W102" s="60" t="n"/>
      <c r="X102" s="60" t="n"/>
      <c r="Y102" s="60" t="n"/>
      <c r="Z102" s="60" t="n"/>
      <c r="AA102" s="65" t="n"/>
      <c r="AB102" s="66" t="n"/>
      <c r="AC102" s="66" t="n"/>
      <c r="AD102" s="66" t="n"/>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66" t="n"/>
      <c r="AJ102" s="66" t="n"/>
      <c r="AK102" s="66" t="n"/>
      <c r="AL102" s="59">
        <f>IF(AND(OR(W102="Watching",W102="Preparing"),ISNUMBER(Q102)),IF(AND(Q102&gt;='Friday Summary'!$C$4,Q102&lt;='Friday Summary'!$C$4+14),Q102+ROW()/1000000,""),"")</f>
        <v/>
      </c>
    </row>
    <row r="103" ht="15" customHeight="1" s="51">
      <c r="A103" s="59">
        <f>IF(B103="","","OP-"&amp;TEXT(ROW()-4,"000"))</f>
        <v/>
      </c>
      <c r="B103" s="60" t="n"/>
      <c r="C103" s="61" t="n"/>
      <c r="D103" s="60" t="n"/>
      <c r="E103" s="60" t="n"/>
      <c r="F103" s="60" t="n"/>
      <c r="G103" s="60" t="n"/>
      <c r="H103" s="60" t="n"/>
      <c r="I103" s="60" t="n"/>
      <c r="J103" s="60" t="n"/>
      <c r="K103" s="60" t="n"/>
      <c r="L103" s="60" t="n"/>
      <c r="M103" s="62" t="n"/>
      <c r="N103" s="60" t="n"/>
      <c r="O103" s="61" t="n"/>
      <c r="P103" s="61" t="n"/>
      <c r="Q103" s="63" t="n"/>
      <c r="R103" s="60" t="n"/>
      <c r="S103" s="60" t="n"/>
      <c r="T103" s="64">
        <f>IF(A103="","",IFERROR(INDEX('Bid-NoBid'!$T:$T,MATCH(A103,'Bid-NoBid'!$A:$A,0)),""))</f>
        <v/>
      </c>
      <c r="U103" s="59">
        <f>IF(A103="","",IFERROR(IF(OR(INDEX('Bid-NoBid'!$U:$U,MATCH(A103,'Bid-NoBid'!$A:$A,0))="",LEFT(INDEX('Bid-NoBid'!$U:$U,MATCH(A103,'Bid-NoBid'!$A:$A,0)),10)="Incomplete"),"Screen: "&amp;AC103,INDEX('Bid-NoBid'!$U:$U,MATCH(A103,'Bid-NoBid'!$A:$A,0))),"Screen: "&amp;AC103))</f>
        <v/>
      </c>
      <c r="V103" s="60" t="n"/>
      <c r="W103" s="60" t="n"/>
      <c r="X103" s="60" t="n"/>
      <c r="Y103" s="60" t="n"/>
      <c r="Z103" s="60" t="n"/>
      <c r="AA103" s="65" t="n"/>
      <c r="AB103" s="66" t="n"/>
      <c r="AC103" s="66" t="n"/>
      <c r="AD103" s="66" t="n"/>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66" t="n"/>
      <c r="AJ103" s="66" t="n"/>
      <c r="AK103" s="66" t="n"/>
      <c r="AL103" s="59">
        <f>IF(AND(OR(W103="Watching",W103="Preparing"),ISNUMBER(Q103)),IF(AND(Q103&gt;='Friday Summary'!$C$4,Q103&lt;='Friday Summary'!$C$4+14),Q103+ROW()/1000000,""),"")</f>
        <v/>
      </c>
    </row>
    <row r="104" ht="15" customHeight="1" s="51">
      <c r="A104" s="59">
        <f>IF(B104="","","OP-"&amp;TEXT(ROW()-4,"000"))</f>
        <v/>
      </c>
      <c r="B104" s="60" t="n"/>
      <c r="C104" s="61" t="n"/>
      <c r="D104" s="60" t="n"/>
      <c r="E104" s="60" t="n"/>
      <c r="F104" s="60" t="n"/>
      <c r="G104" s="60" t="n"/>
      <c r="H104" s="60" t="n"/>
      <c r="I104" s="60" t="n"/>
      <c r="J104" s="60" t="n"/>
      <c r="K104" s="60" t="n"/>
      <c r="L104" s="60" t="n"/>
      <c r="M104" s="62" t="n"/>
      <c r="N104" s="60" t="n"/>
      <c r="O104" s="61" t="n"/>
      <c r="P104" s="61" t="n"/>
      <c r="Q104" s="63" t="n"/>
      <c r="R104" s="60" t="n"/>
      <c r="S104" s="60" t="n"/>
      <c r="T104" s="64">
        <f>IF(A104="","",IFERROR(INDEX('Bid-NoBid'!$T:$T,MATCH(A104,'Bid-NoBid'!$A:$A,0)),""))</f>
        <v/>
      </c>
      <c r="U104" s="59">
        <f>IF(A104="","",IFERROR(IF(OR(INDEX('Bid-NoBid'!$U:$U,MATCH(A104,'Bid-NoBid'!$A:$A,0))="",LEFT(INDEX('Bid-NoBid'!$U:$U,MATCH(A104,'Bid-NoBid'!$A:$A,0)),10)="Incomplete"),"Screen: "&amp;AC104,INDEX('Bid-NoBid'!$U:$U,MATCH(A104,'Bid-NoBid'!$A:$A,0))),"Screen: "&amp;AC104))</f>
        <v/>
      </c>
      <c r="V104" s="60" t="n"/>
      <c r="W104" s="60" t="n"/>
      <c r="X104" s="60" t="n"/>
      <c r="Y104" s="60" t="n"/>
      <c r="Z104" s="60" t="n"/>
      <c r="AA104" s="65" t="n"/>
      <c r="AB104" s="66" t="n"/>
      <c r="AC104" s="66" t="n"/>
      <c r="AD104" s="66" t="n"/>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66" t="n"/>
      <c r="AJ104" s="66" t="n"/>
      <c r="AK104" s="66" t="n"/>
      <c r="AL104" s="59">
        <f>IF(AND(OR(W104="Watching",W104="Preparing"),ISNUMBER(Q104)),IF(AND(Q104&gt;='Friday Summary'!$C$4,Q104&lt;='Friday Summary'!$C$4+14),Q104+ROW()/1000000,""),"")</f>
        <v/>
      </c>
    </row>
    <row r="105" ht="15" customHeight="1" s="51">
      <c r="A105" s="59">
        <f>IF(B105="","","OP-"&amp;TEXT(ROW()-4,"000"))</f>
        <v/>
      </c>
      <c r="B105" s="60" t="n"/>
      <c r="C105" s="61" t="n"/>
      <c r="D105" s="60" t="n"/>
      <c r="E105" s="60" t="n"/>
      <c r="F105" s="60" t="n"/>
      <c r="G105" s="60" t="n"/>
      <c r="H105" s="60" t="n"/>
      <c r="I105" s="60" t="n"/>
      <c r="J105" s="60" t="n"/>
      <c r="K105" s="60" t="n"/>
      <c r="L105" s="60" t="n"/>
      <c r="M105" s="62" t="n"/>
      <c r="N105" s="60" t="n"/>
      <c r="O105" s="61" t="n"/>
      <c r="P105" s="61" t="n"/>
      <c r="Q105" s="63" t="n"/>
      <c r="R105" s="60" t="n"/>
      <c r="S105" s="60" t="n"/>
      <c r="T105" s="64">
        <f>IF(A105="","",IFERROR(INDEX('Bid-NoBid'!$T:$T,MATCH(A105,'Bid-NoBid'!$A:$A,0)),""))</f>
        <v/>
      </c>
      <c r="U105" s="59">
        <f>IF(A105="","",IFERROR(IF(OR(INDEX('Bid-NoBid'!$U:$U,MATCH(A105,'Bid-NoBid'!$A:$A,0))="",LEFT(INDEX('Bid-NoBid'!$U:$U,MATCH(A105,'Bid-NoBid'!$A:$A,0)),10)="Incomplete"),"Screen: "&amp;AC105,INDEX('Bid-NoBid'!$U:$U,MATCH(A105,'Bid-NoBid'!$A:$A,0))),"Screen: "&amp;AC105))</f>
        <v/>
      </c>
      <c r="V105" s="60" t="n"/>
      <c r="W105" s="60" t="n"/>
      <c r="X105" s="60" t="n"/>
      <c r="Y105" s="60" t="n"/>
      <c r="Z105" s="60" t="n"/>
      <c r="AA105" s="65" t="n"/>
      <c r="AB105" s="66" t="n"/>
      <c r="AC105" s="66" t="n"/>
      <c r="AD105" s="66" t="n"/>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66" t="n"/>
      <c r="AJ105" s="66" t="n"/>
      <c r="AK105" s="66" t="n"/>
      <c r="AL105" s="59">
        <f>IF(AND(OR(W105="Watching",W105="Preparing"),ISNUMBER(Q105)),IF(AND(Q105&gt;='Friday Summary'!$C$4,Q105&lt;='Friday Summary'!$C$4+14),Q105+ROW()/1000000,""),"")</f>
        <v/>
      </c>
    </row>
    <row r="106" ht="15" customHeight="1" s="51">
      <c r="A106" s="59">
        <f>IF(B106="","","OP-"&amp;TEXT(ROW()-4,"000"))</f>
        <v/>
      </c>
      <c r="B106" s="60" t="n"/>
      <c r="C106" s="61" t="n"/>
      <c r="D106" s="60" t="n"/>
      <c r="E106" s="60" t="n"/>
      <c r="F106" s="60" t="n"/>
      <c r="G106" s="60" t="n"/>
      <c r="H106" s="60" t="n"/>
      <c r="I106" s="60" t="n"/>
      <c r="J106" s="60" t="n"/>
      <c r="K106" s="60" t="n"/>
      <c r="L106" s="60" t="n"/>
      <c r="M106" s="62" t="n"/>
      <c r="N106" s="60" t="n"/>
      <c r="O106" s="61" t="n"/>
      <c r="P106" s="61" t="n"/>
      <c r="Q106" s="63" t="n"/>
      <c r="R106" s="60" t="n"/>
      <c r="S106" s="60" t="n"/>
      <c r="T106" s="64">
        <f>IF(A106="","",IFERROR(INDEX('Bid-NoBid'!$T:$T,MATCH(A106,'Bid-NoBid'!$A:$A,0)),""))</f>
        <v/>
      </c>
      <c r="U106" s="59">
        <f>IF(A106="","",IFERROR(IF(OR(INDEX('Bid-NoBid'!$U:$U,MATCH(A106,'Bid-NoBid'!$A:$A,0))="",LEFT(INDEX('Bid-NoBid'!$U:$U,MATCH(A106,'Bid-NoBid'!$A:$A,0)),10)="Incomplete"),"Screen: "&amp;AC106,INDEX('Bid-NoBid'!$U:$U,MATCH(A106,'Bid-NoBid'!$A:$A,0))),"Screen: "&amp;AC106))</f>
        <v/>
      </c>
      <c r="V106" s="60" t="n"/>
      <c r="W106" s="60" t="n"/>
      <c r="X106" s="60" t="n"/>
      <c r="Y106" s="60" t="n"/>
      <c r="Z106" s="60" t="n"/>
      <c r="AA106" s="65" t="n"/>
      <c r="AB106" s="66" t="n"/>
      <c r="AC106" s="66" t="n"/>
      <c r="AD106" s="66" t="n"/>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66" t="n"/>
      <c r="AJ106" s="66" t="n"/>
      <c r="AK106" s="66" t="n"/>
      <c r="AL106" s="59">
        <f>IF(AND(OR(W106="Watching",W106="Preparing"),ISNUMBER(Q106)),IF(AND(Q106&gt;='Friday Summary'!$C$4,Q106&lt;='Friday Summary'!$C$4+14),Q106+ROW()/1000000,""),"")</f>
        <v/>
      </c>
    </row>
    <row r="107" ht="15" customHeight="1" s="51">
      <c r="A107" s="59">
        <f>IF(B107="","","OP-"&amp;TEXT(ROW()-4,"000"))</f>
        <v/>
      </c>
      <c r="B107" s="60" t="n"/>
      <c r="C107" s="61" t="n"/>
      <c r="D107" s="60" t="n"/>
      <c r="E107" s="60" t="n"/>
      <c r="F107" s="60" t="n"/>
      <c r="G107" s="60" t="n"/>
      <c r="H107" s="60" t="n"/>
      <c r="I107" s="60" t="n"/>
      <c r="J107" s="60" t="n"/>
      <c r="K107" s="60" t="n"/>
      <c r="L107" s="60" t="n"/>
      <c r="M107" s="62" t="n"/>
      <c r="N107" s="60" t="n"/>
      <c r="O107" s="61" t="n"/>
      <c r="P107" s="61" t="n"/>
      <c r="Q107" s="63" t="n"/>
      <c r="R107" s="60" t="n"/>
      <c r="S107" s="60" t="n"/>
      <c r="T107" s="64">
        <f>IF(A107="","",IFERROR(INDEX('Bid-NoBid'!$T:$T,MATCH(A107,'Bid-NoBid'!$A:$A,0)),""))</f>
        <v/>
      </c>
      <c r="U107" s="59">
        <f>IF(A107="","",IFERROR(IF(OR(INDEX('Bid-NoBid'!$U:$U,MATCH(A107,'Bid-NoBid'!$A:$A,0))="",LEFT(INDEX('Bid-NoBid'!$U:$U,MATCH(A107,'Bid-NoBid'!$A:$A,0)),10)="Incomplete"),"Screen: "&amp;AC107,INDEX('Bid-NoBid'!$U:$U,MATCH(A107,'Bid-NoBid'!$A:$A,0))),"Screen: "&amp;AC107))</f>
        <v/>
      </c>
      <c r="V107" s="60" t="n"/>
      <c r="W107" s="60" t="n"/>
      <c r="X107" s="60" t="n"/>
      <c r="Y107" s="60" t="n"/>
      <c r="Z107" s="60" t="n"/>
      <c r="AA107" s="65" t="n"/>
      <c r="AB107" s="66" t="n"/>
      <c r="AC107" s="66" t="n"/>
      <c r="AD107" s="66" t="n"/>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66" t="n"/>
      <c r="AJ107" s="66" t="n"/>
      <c r="AK107" s="66" t="n"/>
      <c r="AL107" s="59">
        <f>IF(AND(OR(W107="Watching",W107="Preparing"),ISNUMBER(Q107)),IF(AND(Q107&gt;='Friday Summary'!$C$4,Q107&lt;='Friday Summary'!$C$4+14),Q107+ROW()/1000000,""),"")</f>
        <v/>
      </c>
    </row>
    <row r="108" ht="15" customHeight="1" s="51">
      <c r="A108" s="59">
        <f>IF(B108="","","OP-"&amp;TEXT(ROW()-4,"000"))</f>
        <v/>
      </c>
      <c r="B108" s="60" t="n"/>
      <c r="C108" s="61" t="n"/>
      <c r="D108" s="60" t="n"/>
      <c r="E108" s="60" t="n"/>
      <c r="F108" s="60" t="n"/>
      <c r="G108" s="60" t="n"/>
      <c r="H108" s="60" t="n"/>
      <c r="I108" s="60" t="n"/>
      <c r="J108" s="60" t="n"/>
      <c r="K108" s="60" t="n"/>
      <c r="L108" s="60" t="n"/>
      <c r="M108" s="62" t="n"/>
      <c r="N108" s="60" t="n"/>
      <c r="O108" s="61" t="n"/>
      <c r="P108" s="61" t="n"/>
      <c r="Q108" s="63" t="n"/>
      <c r="R108" s="60" t="n"/>
      <c r="S108" s="60" t="n"/>
      <c r="T108" s="64">
        <f>IF(A108="","",IFERROR(INDEX('Bid-NoBid'!$T:$T,MATCH(A108,'Bid-NoBid'!$A:$A,0)),""))</f>
        <v/>
      </c>
      <c r="U108" s="59">
        <f>IF(A108="","",IFERROR(IF(OR(INDEX('Bid-NoBid'!$U:$U,MATCH(A108,'Bid-NoBid'!$A:$A,0))="",LEFT(INDEX('Bid-NoBid'!$U:$U,MATCH(A108,'Bid-NoBid'!$A:$A,0)),10)="Incomplete"),"Screen: "&amp;AC108,INDEX('Bid-NoBid'!$U:$U,MATCH(A108,'Bid-NoBid'!$A:$A,0))),"Screen: "&amp;AC108))</f>
        <v/>
      </c>
      <c r="V108" s="60" t="n"/>
      <c r="W108" s="60" t="n"/>
      <c r="X108" s="60" t="n"/>
      <c r="Y108" s="60" t="n"/>
      <c r="Z108" s="60" t="n"/>
      <c r="AA108" s="65" t="n"/>
      <c r="AB108" s="66" t="n"/>
      <c r="AC108" s="66" t="n"/>
      <c r="AD108" s="66" t="n"/>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66" t="n"/>
      <c r="AJ108" s="66" t="n"/>
      <c r="AK108" s="66" t="n"/>
      <c r="AL108" s="59">
        <f>IF(AND(OR(W108="Watching",W108="Preparing"),ISNUMBER(Q108)),IF(AND(Q108&gt;='Friday Summary'!$C$4,Q108&lt;='Friday Summary'!$C$4+14),Q108+ROW()/1000000,""),"")</f>
        <v/>
      </c>
    </row>
    <row r="109" ht="15" customHeight="1" s="51">
      <c r="A109" s="59">
        <f>IF(B109="","","OP-"&amp;TEXT(ROW()-4,"000"))</f>
        <v/>
      </c>
      <c r="B109" s="60" t="n"/>
      <c r="C109" s="61" t="n"/>
      <c r="D109" s="60" t="n"/>
      <c r="E109" s="60" t="n"/>
      <c r="F109" s="60" t="n"/>
      <c r="G109" s="60" t="n"/>
      <c r="H109" s="60" t="n"/>
      <c r="I109" s="60" t="n"/>
      <c r="J109" s="60" t="n"/>
      <c r="K109" s="60" t="n"/>
      <c r="L109" s="60" t="n"/>
      <c r="M109" s="62" t="n"/>
      <c r="N109" s="60" t="n"/>
      <c r="O109" s="61" t="n"/>
      <c r="P109" s="61" t="n"/>
      <c r="Q109" s="63" t="n"/>
      <c r="R109" s="60" t="n"/>
      <c r="S109" s="60" t="n"/>
      <c r="T109" s="64">
        <f>IF(A109="","",IFERROR(INDEX('Bid-NoBid'!$T:$T,MATCH(A109,'Bid-NoBid'!$A:$A,0)),""))</f>
        <v/>
      </c>
      <c r="U109" s="59">
        <f>IF(A109="","",IFERROR(IF(OR(INDEX('Bid-NoBid'!$U:$U,MATCH(A109,'Bid-NoBid'!$A:$A,0))="",LEFT(INDEX('Bid-NoBid'!$U:$U,MATCH(A109,'Bid-NoBid'!$A:$A,0)),10)="Incomplete"),"Screen: "&amp;AC109,INDEX('Bid-NoBid'!$U:$U,MATCH(A109,'Bid-NoBid'!$A:$A,0))),"Screen: "&amp;AC109))</f>
        <v/>
      </c>
      <c r="V109" s="60" t="n"/>
      <c r="W109" s="60" t="n"/>
      <c r="X109" s="60" t="n"/>
      <c r="Y109" s="60" t="n"/>
      <c r="Z109" s="60" t="n"/>
      <c r="AA109" s="65" t="n"/>
      <c r="AB109" s="66" t="n"/>
      <c r="AC109" s="66" t="n"/>
      <c r="AD109" s="66" t="n"/>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66" t="n"/>
      <c r="AJ109" s="66" t="n"/>
      <c r="AK109" s="66" t="n"/>
      <c r="AL109" s="59">
        <f>IF(AND(OR(W109="Watching",W109="Preparing"),ISNUMBER(Q109)),IF(AND(Q109&gt;='Friday Summary'!$C$4,Q109&lt;='Friday Summary'!$C$4+14),Q109+ROW()/1000000,""),"")</f>
        <v/>
      </c>
    </row>
    <row r="110" ht="15" customHeight="1" s="51">
      <c r="A110" s="59">
        <f>IF(B110="","","OP-"&amp;TEXT(ROW()-4,"000"))</f>
        <v/>
      </c>
      <c r="B110" s="60" t="n"/>
      <c r="C110" s="61" t="n"/>
      <c r="D110" s="60" t="n"/>
      <c r="E110" s="60" t="n"/>
      <c r="F110" s="60" t="n"/>
      <c r="G110" s="60" t="n"/>
      <c r="H110" s="60" t="n"/>
      <c r="I110" s="60" t="n"/>
      <c r="J110" s="60" t="n"/>
      <c r="K110" s="60" t="n"/>
      <c r="L110" s="60" t="n"/>
      <c r="M110" s="62" t="n"/>
      <c r="N110" s="60" t="n"/>
      <c r="O110" s="61" t="n"/>
      <c r="P110" s="61" t="n"/>
      <c r="Q110" s="63" t="n"/>
      <c r="R110" s="60" t="n"/>
      <c r="S110" s="60" t="n"/>
      <c r="T110" s="64">
        <f>IF(A110="","",IFERROR(INDEX('Bid-NoBid'!$T:$T,MATCH(A110,'Bid-NoBid'!$A:$A,0)),""))</f>
        <v/>
      </c>
      <c r="U110" s="59">
        <f>IF(A110="","",IFERROR(IF(OR(INDEX('Bid-NoBid'!$U:$U,MATCH(A110,'Bid-NoBid'!$A:$A,0))="",LEFT(INDEX('Bid-NoBid'!$U:$U,MATCH(A110,'Bid-NoBid'!$A:$A,0)),10)="Incomplete"),"Screen: "&amp;AC110,INDEX('Bid-NoBid'!$U:$U,MATCH(A110,'Bid-NoBid'!$A:$A,0))),"Screen: "&amp;AC110))</f>
        <v/>
      </c>
      <c r="V110" s="60" t="n"/>
      <c r="W110" s="60" t="n"/>
      <c r="X110" s="60" t="n"/>
      <c r="Y110" s="60" t="n"/>
      <c r="Z110" s="60" t="n"/>
      <c r="AA110" s="65" t="n"/>
      <c r="AB110" s="66" t="n"/>
      <c r="AC110" s="66" t="n"/>
      <c r="AD110" s="66" t="n"/>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66" t="n"/>
      <c r="AJ110" s="66" t="n"/>
      <c r="AK110" s="66" t="n"/>
      <c r="AL110" s="59">
        <f>IF(AND(OR(W110="Watching",W110="Preparing"),ISNUMBER(Q110)),IF(AND(Q110&gt;='Friday Summary'!$C$4,Q110&lt;='Friday Summary'!$C$4+14),Q110+ROW()/1000000,""),"")</f>
        <v/>
      </c>
    </row>
    <row r="111" ht="15" customHeight="1" s="51">
      <c r="A111" s="59">
        <f>IF(B111="","","OP-"&amp;TEXT(ROW()-4,"000"))</f>
        <v/>
      </c>
      <c r="B111" s="60" t="n"/>
      <c r="C111" s="61" t="n"/>
      <c r="D111" s="60" t="n"/>
      <c r="E111" s="60" t="n"/>
      <c r="F111" s="60" t="n"/>
      <c r="G111" s="60" t="n"/>
      <c r="H111" s="60" t="n"/>
      <c r="I111" s="60" t="n"/>
      <c r="J111" s="60" t="n"/>
      <c r="K111" s="60" t="n"/>
      <c r="L111" s="60" t="n"/>
      <c r="M111" s="62" t="n"/>
      <c r="N111" s="60" t="n"/>
      <c r="O111" s="61" t="n"/>
      <c r="P111" s="61" t="n"/>
      <c r="Q111" s="63" t="n"/>
      <c r="R111" s="60" t="n"/>
      <c r="S111" s="60" t="n"/>
      <c r="T111" s="64">
        <f>IF(A111="","",IFERROR(INDEX('Bid-NoBid'!$T:$T,MATCH(A111,'Bid-NoBid'!$A:$A,0)),""))</f>
        <v/>
      </c>
      <c r="U111" s="59">
        <f>IF(A111="","",IFERROR(IF(OR(INDEX('Bid-NoBid'!$U:$U,MATCH(A111,'Bid-NoBid'!$A:$A,0))="",LEFT(INDEX('Bid-NoBid'!$U:$U,MATCH(A111,'Bid-NoBid'!$A:$A,0)),10)="Incomplete"),"Screen: "&amp;AC111,INDEX('Bid-NoBid'!$U:$U,MATCH(A111,'Bid-NoBid'!$A:$A,0))),"Screen: "&amp;AC111))</f>
        <v/>
      </c>
      <c r="V111" s="60" t="n"/>
      <c r="W111" s="60" t="n"/>
      <c r="X111" s="60" t="n"/>
      <c r="Y111" s="60" t="n"/>
      <c r="Z111" s="60" t="n"/>
      <c r="AA111" s="65" t="n"/>
      <c r="AB111" s="66" t="n"/>
      <c r="AC111" s="66" t="n"/>
      <c r="AD111" s="66" t="n"/>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66" t="n"/>
      <c r="AJ111" s="66" t="n"/>
      <c r="AK111" s="66" t="n"/>
      <c r="AL111" s="59">
        <f>IF(AND(OR(W111="Watching",W111="Preparing"),ISNUMBER(Q111)),IF(AND(Q111&gt;='Friday Summary'!$C$4,Q111&lt;='Friday Summary'!$C$4+14),Q111+ROW()/1000000,""),"")</f>
        <v/>
      </c>
    </row>
    <row r="112" ht="15" customHeight="1" s="51">
      <c r="A112" s="59">
        <f>IF(B112="","","OP-"&amp;TEXT(ROW()-4,"000"))</f>
        <v/>
      </c>
      <c r="B112" s="60" t="n"/>
      <c r="C112" s="61" t="n"/>
      <c r="D112" s="60" t="n"/>
      <c r="E112" s="60" t="n"/>
      <c r="F112" s="60" t="n"/>
      <c r="G112" s="60" t="n"/>
      <c r="H112" s="60" t="n"/>
      <c r="I112" s="60" t="n"/>
      <c r="J112" s="60" t="n"/>
      <c r="K112" s="60" t="n"/>
      <c r="L112" s="60" t="n"/>
      <c r="M112" s="62" t="n"/>
      <c r="N112" s="60" t="n"/>
      <c r="O112" s="61" t="n"/>
      <c r="P112" s="61" t="n"/>
      <c r="Q112" s="63" t="n"/>
      <c r="R112" s="60" t="n"/>
      <c r="S112" s="60" t="n"/>
      <c r="T112" s="64">
        <f>IF(A112="","",IFERROR(INDEX('Bid-NoBid'!$T:$T,MATCH(A112,'Bid-NoBid'!$A:$A,0)),""))</f>
        <v/>
      </c>
      <c r="U112" s="59">
        <f>IF(A112="","",IFERROR(IF(OR(INDEX('Bid-NoBid'!$U:$U,MATCH(A112,'Bid-NoBid'!$A:$A,0))="",LEFT(INDEX('Bid-NoBid'!$U:$U,MATCH(A112,'Bid-NoBid'!$A:$A,0)),10)="Incomplete"),"Screen: "&amp;AC112,INDEX('Bid-NoBid'!$U:$U,MATCH(A112,'Bid-NoBid'!$A:$A,0))),"Screen: "&amp;AC112))</f>
        <v/>
      </c>
      <c r="V112" s="60" t="n"/>
      <c r="W112" s="60" t="n"/>
      <c r="X112" s="60" t="n"/>
      <c r="Y112" s="60" t="n"/>
      <c r="Z112" s="60" t="n"/>
      <c r="AA112" s="65" t="n"/>
      <c r="AB112" s="66" t="n"/>
      <c r="AC112" s="66" t="n"/>
      <c r="AD112" s="66" t="n"/>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66" t="n"/>
      <c r="AJ112" s="66" t="n"/>
      <c r="AK112" s="66" t="n"/>
      <c r="AL112" s="59">
        <f>IF(AND(OR(W112="Watching",W112="Preparing"),ISNUMBER(Q112)),IF(AND(Q112&gt;='Friday Summary'!$C$4,Q112&lt;='Friday Summary'!$C$4+14),Q112+ROW()/1000000,""),"")</f>
        <v/>
      </c>
    </row>
    <row r="113" ht="15" customHeight="1" s="51">
      <c r="A113" s="59">
        <f>IF(B113="","","OP-"&amp;TEXT(ROW()-4,"000"))</f>
        <v/>
      </c>
      <c r="B113" s="60" t="n"/>
      <c r="C113" s="61" t="n"/>
      <c r="D113" s="60" t="n"/>
      <c r="E113" s="60" t="n"/>
      <c r="F113" s="60" t="n"/>
      <c r="G113" s="60" t="n"/>
      <c r="H113" s="60" t="n"/>
      <c r="I113" s="60" t="n"/>
      <c r="J113" s="60" t="n"/>
      <c r="K113" s="60" t="n"/>
      <c r="L113" s="60" t="n"/>
      <c r="M113" s="62" t="n"/>
      <c r="N113" s="60" t="n"/>
      <c r="O113" s="61" t="n"/>
      <c r="P113" s="61" t="n"/>
      <c r="Q113" s="63" t="n"/>
      <c r="R113" s="60" t="n"/>
      <c r="S113" s="60" t="n"/>
      <c r="T113" s="64">
        <f>IF(A113="","",IFERROR(INDEX('Bid-NoBid'!$T:$T,MATCH(A113,'Bid-NoBid'!$A:$A,0)),""))</f>
        <v/>
      </c>
      <c r="U113" s="59">
        <f>IF(A113="","",IFERROR(IF(OR(INDEX('Bid-NoBid'!$U:$U,MATCH(A113,'Bid-NoBid'!$A:$A,0))="",LEFT(INDEX('Bid-NoBid'!$U:$U,MATCH(A113,'Bid-NoBid'!$A:$A,0)),10)="Incomplete"),"Screen: "&amp;AC113,INDEX('Bid-NoBid'!$U:$U,MATCH(A113,'Bid-NoBid'!$A:$A,0))),"Screen: "&amp;AC113))</f>
        <v/>
      </c>
      <c r="V113" s="60" t="n"/>
      <c r="W113" s="60" t="n"/>
      <c r="X113" s="60" t="n"/>
      <c r="Y113" s="60" t="n"/>
      <c r="Z113" s="60" t="n"/>
      <c r="AA113" s="65" t="n"/>
      <c r="AB113" s="66" t="n"/>
      <c r="AC113" s="66" t="n"/>
      <c r="AD113" s="66" t="n"/>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66" t="n"/>
      <c r="AJ113" s="66" t="n"/>
      <c r="AK113" s="66" t="n"/>
      <c r="AL113" s="59">
        <f>IF(AND(OR(W113="Watching",W113="Preparing"),ISNUMBER(Q113)),IF(AND(Q113&gt;='Friday Summary'!$C$4,Q113&lt;='Friday Summary'!$C$4+14),Q113+ROW()/1000000,""),"")</f>
        <v/>
      </c>
    </row>
    <row r="114" ht="15" customHeight="1" s="51">
      <c r="A114" s="59">
        <f>IF(B114="","","OP-"&amp;TEXT(ROW()-4,"000"))</f>
        <v/>
      </c>
      <c r="B114" s="60" t="n"/>
      <c r="C114" s="61" t="n"/>
      <c r="D114" s="60" t="n"/>
      <c r="E114" s="60" t="n"/>
      <c r="F114" s="60" t="n"/>
      <c r="G114" s="60" t="n"/>
      <c r="H114" s="60" t="n"/>
      <c r="I114" s="60" t="n"/>
      <c r="J114" s="60" t="n"/>
      <c r="K114" s="60" t="n"/>
      <c r="L114" s="60" t="n"/>
      <c r="M114" s="62" t="n"/>
      <c r="N114" s="60" t="n"/>
      <c r="O114" s="61" t="n"/>
      <c r="P114" s="61" t="n"/>
      <c r="Q114" s="63" t="n"/>
      <c r="R114" s="60" t="n"/>
      <c r="S114" s="60" t="n"/>
      <c r="T114" s="64">
        <f>IF(A114="","",IFERROR(INDEX('Bid-NoBid'!$T:$T,MATCH(A114,'Bid-NoBid'!$A:$A,0)),""))</f>
        <v/>
      </c>
      <c r="U114" s="59">
        <f>IF(A114="","",IFERROR(IF(OR(INDEX('Bid-NoBid'!$U:$U,MATCH(A114,'Bid-NoBid'!$A:$A,0))="",LEFT(INDEX('Bid-NoBid'!$U:$U,MATCH(A114,'Bid-NoBid'!$A:$A,0)),10)="Incomplete"),"Screen: "&amp;AC114,INDEX('Bid-NoBid'!$U:$U,MATCH(A114,'Bid-NoBid'!$A:$A,0))),"Screen: "&amp;AC114))</f>
        <v/>
      </c>
      <c r="V114" s="60" t="n"/>
      <c r="W114" s="60" t="n"/>
      <c r="X114" s="60" t="n"/>
      <c r="Y114" s="60" t="n"/>
      <c r="Z114" s="60" t="n"/>
      <c r="AA114" s="65" t="n"/>
      <c r="AB114" s="66" t="n"/>
      <c r="AC114" s="66" t="n"/>
      <c r="AD114" s="66" t="n"/>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66" t="n"/>
      <c r="AJ114" s="66" t="n"/>
      <c r="AK114" s="66" t="n"/>
      <c r="AL114" s="59">
        <f>IF(AND(OR(W114="Watching",W114="Preparing"),ISNUMBER(Q114)),IF(AND(Q114&gt;='Friday Summary'!$C$4,Q114&lt;='Friday Summary'!$C$4+14),Q114+ROW()/1000000,""),"")</f>
        <v/>
      </c>
    </row>
    <row r="115" ht="15" customHeight="1" s="51">
      <c r="A115" s="59">
        <f>IF(B115="","","OP-"&amp;TEXT(ROW()-4,"000"))</f>
        <v/>
      </c>
      <c r="B115" s="60" t="n"/>
      <c r="C115" s="61" t="n"/>
      <c r="D115" s="60" t="n"/>
      <c r="E115" s="60" t="n"/>
      <c r="F115" s="60" t="n"/>
      <c r="G115" s="60" t="n"/>
      <c r="H115" s="60" t="n"/>
      <c r="I115" s="60" t="n"/>
      <c r="J115" s="60" t="n"/>
      <c r="K115" s="60" t="n"/>
      <c r="L115" s="60" t="n"/>
      <c r="M115" s="62" t="n"/>
      <c r="N115" s="60" t="n"/>
      <c r="O115" s="61" t="n"/>
      <c r="P115" s="61" t="n"/>
      <c r="Q115" s="63" t="n"/>
      <c r="R115" s="60" t="n"/>
      <c r="S115" s="60" t="n"/>
      <c r="T115" s="64">
        <f>IF(A115="","",IFERROR(INDEX('Bid-NoBid'!$T:$T,MATCH(A115,'Bid-NoBid'!$A:$A,0)),""))</f>
        <v/>
      </c>
      <c r="U115" s="59">
        <f>IF(A115="","",IFERROR(IF(OR(INDEX('Bid-NoBid'!$U:$U,MATCH(A115,'Bid-NoBid'!$A:$A,0))="",LEFT(INDEX('Bid-NoBid'!$U:$U,MATCH(A115,'Bid-NoBid'!$A:$A,0)),10)="Incomplete"),"Screen: "&amp;AC115,INDEX('Bid-NoBid'!$U:$U,MATCH(A115,'Bid-NoBid'!$A:$A,0))),"Screen: "&amp;AC115))</f>
        <v/>
      </c>
      <c r="V115" s="60" t="n"/>
      <c r="W115" s="60" t="n"/>
      <c r="X115" s="60" t="n"/>
      <c r="Y115" s="60" t="n"/>
      <c r="Z115" s="60" t="n"/>
      <c r="AA115" s="65" t="n"/>
      <c r="AB115" s="66" t="n"/>
      <c r="AC115" s="66" t="n"/>
      <c r="AD115" s="66" t="n"/>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66" t="n"/>
      <c r="AJ115" s="66" t="n"/>
      <c r="AK115" s="66" t="n"/>
      <c r="AL115" s="59">
        <f>IF(AND(OR(W115="Watching",W115="Preparing"),ISNUMBER(Q115)),IF(AND(Q115&gt;='Friday Summary'!$C$4,Q115&lt;='Friday Summary'!$C$4+14),Q115+ROW()/1000000,""),"")</f>
        <v/>
      </c>
    </row>
    <row r="116" ht="15" customHeight="1" s="51">
      <c r="A116" s="59">
        <f>IF(B116="","","OP-"&amp;TEXT(ROW()-4,"000"))</f>
        <v/>
      </c>
      <c r="B116" s="60" t="n"/>
      <c r="C116" s="61" t="n"/>
      <c r="D116" s="60" t="n"/>
      <c r="E116" s="60" t="n"/>
      <c r="F116" s="60" t="n"/>
      <c r="G116" s="60" t="n"/>
      <c r="H116" s="60" t="n"/>
      <c r="I116" s="60" t="n"/>
      <c r="J116" s="60" t="n"/>
      <c r="K116" s="60" t="n"/>
      <c r="L116" s="60" t="n"/>
      <c r="M116" s="62" t="n"/>
      <c r="N116" s="60" t="n"/>
      <c r="O116" s="61" t="n"/>
      <c r="P116" s="61" t="n"/>
      <c r="Q116" s="63" t="n"/>
      <c r="R116" s="60" t="n"/>
      <c r="S116" s="60" t="n"/>
      <c r="T116" s="64">
        <f>IF(A116="","",IFERROR(INDEX('Bid-NoBid'!$T:$T,MATCH(A116,'Bid-NoBid'!$A:$A,0)),""))</f>
        <v/>
      </c>
      <c r="U116" s="59">
        <f>IF(A116="","",IFERROR(IF(OR(INDEX('Bid-NoBid'!$U:$U,MATCH(A116,'Bid-NoBid'!$A:$A,0))="",LEFT(INDEX('Bid-NoBid'!$U:$U,MATCH(A116,'Bid-NoBid'!$A:$A,0)),10)="Incomplete"),"Screen: "&amp;AC116,INDEX('Bid-NoBid'!$U:$U,MATCH(A116,'Bid-NoBid'!$A:$A,0))),"Screen: "&amp;AC116))</f>
        <v/>
      </c>
      <c r="V116" s="60" t="n"/>
      <c r="W116" s="60" t="n"/>
      <c r="X116" s="60" t="n"/>
      <c r="Y116" s="60" t="n"/>
      <c r="Z116" s="60" t="n"/>
      <c r="AA116" s="65" t="n"/>
      <c r="AB116" s="66" t="n"/>
      <c r="AC116" s="66" t="n"/>
      <c r="AD116" s="66" t="n"/>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66" t="n"/>
      <c r="AJ116" s="66" t="n"/>
      <c r="AK116" s="66" t="n"/>
      <c r="AL116" s="59">
        <f>IF(AND(OR(W116="Watching",W116="Preparing"),ISNUMBER(Q116)),IF(AND(Q116&gt;='Friday Summary'!$C$4,Q116&lt;='Friday Summary'!$C$4+14),Q116+ROW()/1000000,""),"")</f>
        <v/>
      </c>
    </row>
    <row r="117" ht="15" customHeight="1" s="51">
      <c r="A117" s="59">
        <f>IF(B117="","","OP-"&amp;TEXT(ROW()-4,"000"))</f>
        <v/>
      </c>
      <c r="B117" s="60" t="n"/>
      <c r="C117" s="61" t="n"/>
      <c r="D117" s="60" t="n"/>
      <c r="E117" s="60" t="n"/>
      <c r="F117" s="60" t="n"/>
      <c r="G117" s="60" t="n"/>
      <c r="H117" s="60" t="n"/>
      <c r="I117" s="60" t="n"/>
      <c r="J117" s="60" t="n"/>
      <c r="K117" s="60" t="n"/>
      <c r="L117" s="60" t="n"/>
      <c r="M117" s="62" t="n"/>
      <c r="N117" s="60" t="n"/>
      <c r="O117" s="61" t="n"/>
      <c r="P117" s="61" t="n"/>
      <c r="Q117" s="63" t="n"/>
      <c r="R117" s="60" t="n"/>
      <c r="S117" s="60" t="n"/>
      <c r="T117" s="64">
        <f>IF(A117="","",IFERROR(INDEX('Bid-NoBid'!$T:$T,MATCH(A117,'Bid-NoBid'!$A:$A,0)),""))</f>
        <v/>
      </c>
      <c r="U117" s="59">
        <f>IF(A117="","",IFERROR(IF(OR(INDEX('Bid-NoBid'!$U:$U,MATCH(A117,'Bid-NoBid'!$A:$A,0))="",LEFT(INDEX('Bid-NoBid'!$U:$U,MATCH(A117,'Bid-NoBid'!$A:$A,0)),10)="Incomplete"),"Screen: "&amp;AC117,INDEX('Bid-NoBid'!$U:$U,MATCH(A117,'Bid-NoBid'!$A:$A,0))),"Screen: "&amp;AC117))</f>
        <v/>
      </c>
      <c r="V117" s="60" t="n"/>
      <c r="W117" s="60" t="n"/>
      <c r="X117" s="60" t="n"/>
      <c r="Y117" s="60" t="n"/>
      <c r="Z117" s="60" t="n"/>
      <c r="AA117" s="65" t="n"/>
      <c r="AB117" s="66" t="n"/>
      <c r="AC117" s="66" t="n"/>
      <c r="AD117" s="66" t="n"/>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66" t="n"/>
      <c r="AJ117" s="66" t="n"/>
      <c r="AK117" s="66" t="n"/>
      <c r="AL117" s="59">
        <f>IF(AND(OR(W117="Watching",W117="Preparing"),ISNUMBER(Q117)),IF(AND(Q117&gt;='Friday Summary'!$C$4,Q117&lt;='Friday Summary'!$C$4+14),Q117+ROW()/1000000,""),"")</f>
        <v/>
      </c>
    </row>
    <row r="118" ht="15" customHeight="1" s="51">
      <c r="A118" s="59">
        <f>IF(B118="","","OP-"&amp;TEXT(ROW()-4,"000"))</f>
        <v/>
      </c>
      <c r="B118" s="60" t="n"/>
      <c r="C118" s="61" t="n"/>
      <c r="D118" s="60" t="n"/>
      <c r="E118" s="60" t="n"/>
      <c r="F118" s="60" t="n"/>
      <c r="G118" s="60" t="n"/>
      <c r="H118" s="60" t="n"/>
      <c r="I118" s="60" t="n"/>
      <c r="J118" s="60" t="n"/>
      <c r="K118" s="60" t="n"/>
      <c r="L118" s="60" t="n"/>
      <c r="M118" s="62" t="n"/>
      <c r="N118" s="60" t="n"/>
      <c r="O118" s="61" t="n"/>
      <c r="P118" s="61" t="n"/>
      <c r="Q118" s="63" t="n"/>
      <c r="R118" s="60" t="n"/>
      <c r="S118" s="60" t="n"/>
      <c r="T118" s="64">
        <f>IF(A118="","",IFERROR(INDEX('Bid-NoBid'!$T:$T,MATCH(A118,'Bid-NoBid'!$A:$A,0)),""))</f>
        <v/>
      </c>
      <c r="U118" s="59">
        <f>IF(A118="","",IFERROR(IF(OR(INDEX('Bid-NoBid'!$U:$U,MATCH(A118,'Bid-NoBid'!$A:$A,0))="",LEFT(INDEX('Bid-NoBid'!$U:$U,MATCH(A118,'Bid-NoBid'!$A:$A,0)),10)="Incomplete"),"Screen: "&amp;AC118,INDEX('Bid-NoBid'!$U:$U,MATCH(A118,'Bid-NoBid'!$A:$A,0))),"Screen: "&amp;AC118))</f>
        <v/>
      </c>
      <c r="V118" s="60" t="n"/>
      <c r="W118" s="60" t="n"/>
      <c r="X118" s="60" t="n"/>
      <c r="Y118" s="60" t="n"/>
      <c r="Z118" s="60" t="n"/>
      <c r="AA118" s="65" t="n"/>
      <c r="AB118" s="66" t="n"/>
      <c r="AC118" s="66" t="n"/>
      <c r="AD118" s="66" t="n"/>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66" t="n"/>
      <c r="AJ118" s="66" t="n"/>
      <c r="AK118" s="66" t="n"/>
      <c r="AL118" s="59">
        <f>IF(AND(OR(W118="Watching",W118="Preparing"),ISNUMBER(Q118)),IF(AND(Q118&gt;='Friday Summary'!$C$4,Q118&lt;='Friday Summary'!$C$4+14),Q118+ROW()/1000000,""),"")</f>
        <v/>
      </c>
    </row>
    <row r="119" ht="15" customHeight="1" s="51">
      <c r="A119" s="59">
        <f>IF(B119="","","OP-"&amp;TEXT(ROW()-4,"000"))</f>
        <v/>
      </c>
      <c r="B119" s="60" t="n"/>
      <c r="C119" s="61" t="n"/>
      <c r="D119" s="60" t="n"/>
      <c r="E119" s="60" t="n"/>
      <c r="F119" s="60" t="n"/>
      <c r="G119" s="60" t="n"/>
      <c r="H119" s="60" t="n"/>
      <c r="I119" s="60" t="n"/>
      <c r="J119" s="60" t="n"/>
      <c r="K119" s="60" t="n"/>
      <c r="L119" s="60" t="n"/>
      <c r="M119" s="62" t="n"/>
      <c r="N119" s="60" t="n"/>
      <c r="O119" s="61" t="n"/>
      <c r="P119" s="61" t="n"/>
      <c r="Q119" s="63" t="n"/>
      <c r="R119" s="60" t="n"/>
      <c r="S119" s="60" t="n"/>
      <c r="T119" s="64">
        <f>IF(A119="","",IFERROR(INDEX('Bid-NoBid'!$T:$T,MATCH(A119,'Bid-NoBid'!$A:$A,0)),""))</f>
        <v/>
      </c>
      <c r="U119" s="59">
        <f>IF(A119="","",IFERROR(IF(OR(INDEX('Bid-NoBid'!$U:$U,MATCH(A119,'Bid-NoBid'!$A:$A,0))="",LEFT(INDEX('Bid-NoBid'!$U:$U,MATCH(A119,'Bid-NoBid'!$A:$A,0)),10)="Incomplete"),"Screen: "&amp;AC119,INDEX('Bid-NoBid'!$U:$U,MATCH(A119,'Bid-NoBid'!$A:$A,0))),"Screen: "&amp;AC119))</f>
        <v/>
      </c>
      <c r="V119" s="60" t="n"/>
      <c r="W119" s="60" t="n"/>
      <c r="X119" s="60" t="n"/>
      <c r="Y119" s="60" t="n"/>
      <c r="Z119" s="60" t="n"/>
      <c r="AA119" s="65" t="n"/>
      <c r="AB119" s="66" t="n"/>
      <c r="AC119" s="66" t="n"/>
      <c r="AD119" s="66" t="n"/>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66" t="n"/>
      <c r="AJ119" s="66" t="n"/>
      <c r="AK119" s="66" t="n"/>
      <c r="AL119" s="59">
        <f>IF(AND(OR(W119="Watching",W119="Preparing"),ISNUMBER(Q119)),IF(AND(Q119&gt;='Friday Summary'!$C$4,Q119&lt;='Friday Summary'!$C$4+14),Q119+ROW()/1000000,""),"")</f>
        <v/>
      </c>
    </row>
    <row r="120" ht="15" customHeight="1" s="51">
      <c r="A120" s="59">
        <f>IF(B120="","","OP-"&amp;TEXT(ROW()-4,"000"))</f>
        <v/>
      </c>
      <c r="B120" s="60" t="n"/>
      <c r="C120" s="61" t="n"/>
      <c r="D120" s="60" t="n"/>
      <c r="E120" s="60" t="n"/>
      <c r="F120" s="60" t="n"/>
      <c r="G120" s="60" t="n"/>
      <c r="H120" s="60" t="n"/>
      <c r="I120" s="60" t="n"/>
      <c r="J120" s="60" t="n"/>
      <c r="K120" s="60" t="n"/>
      <c r="L120" s="60" t="n"/>
      <c r="M120" s="62" t="n"/>
      <c r="N120" s="60" t="n"/>
      <c r="O120" s="61" t="n"/>
      <c r="P120" s="61" t="n"/>
      <c r="Q120" s="63" t="n"/>
      <c r="R120" s="60" t="n"/>
      <c r="S120" s="60" t="n"/>
      <c r="T120" s="64">
        <f>IF(A120="","",IFERROR(INDEX('Bid-NoBid'!$T:$T,MATCH(A120,'Bid-NoBid'!$A:$A,0)),""))</f>
        <v/>
      </c>
      <c r="U120" s="59">
        <f>IF(A120="","",IFERROR(IF(OR(INDEX('Bid-NoBid'!$U:$U,MATCH(A120,'Bid-NoBid'!$A:$A,0))="",LEFT(INDEX('Bid-NoBid'!$U:$U,MATCH(A120,'Bid-NoBid'!$A:$A,0)),10)="Incomplete"),"Screen: "&amp;AC120,INDEX('Bid-NoBid'!$U:$U,MATCH(A120,'Bid-NoBid'!$A:$A,0))),"Screen: "&amp;AC120))</f>
        <v/>
      </c>
      <c r="V120" s="60" t="n"/>
      <c r="W120" s="60" t="n"/>
      <c r="X120" s="60" t="n"/>
      <c r="Y120" s="60" t="n"/>
      <c r="Z120" s="60" t="n"/>
      <c r="AA120" s="65" t="n"/>
      <c r="AB120" s="66" t="n"/>
      <c r="AC120" s="66" t="n"/>
      <c r="AD120" s="66" t="n"/>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66" t="n"/>
      <c r="AJ120" s="66" t="n"/>
      <c r="AK120" s="66" t="n"/>
      <c r="AL120" s="59">
        <f>IF(AND(OR(W120="Watching",W120="Preparing"),ISNUMBER(Q120)),IF(AND(Q120&gt;='Friday Summary'!$C$4,Q120&lt;='Friday Summary'!$C$4+14),Q120+ROW()/1000000,""),"")</f>
        <v/>
      </c>
    </row>
    <row r="121" ht="15" customHeight="1" s="51">
      <c r="A121" s="59">
        <f>IF(B121="","","OP-"&amp;TEXT(ROW()-4,"000"))</f>
        <v/>
      </c>
      <c r="B121" s="60" t="n"/>
      <c r="C121" s="61" t="n"/>
      <c r="D121" s="60" t="n"/>
      <c r="E121" s="60" t="n"/>
      <c r="F121" s="60" t="n"/>
      <c r="G121" s="60" t="n"/>
      <c r="H121" s="60" t="n"/>
      <c r="I121" s="60" t="n"/>
      <c r="J121" s="60" t="n"/>
      <c r="K121" s="60" t="n"/>
      <c r="L121" s="60" t="n"/>
      <c r="M121" s="62" t="n"/>
      <c r="N121" s="60" t="n"/>
      <c r="O121" s="61" t="n"/>
      <c r="P121" s="61" t="n"/>
      <c r="Q121" s="63" t="n"/>
      <c r="R121" s="60" t="n"/>
      <c r="S121" s="60" t="n"/>
      <c r="T121" s="64">
        <f>IF(A121="","",IFERROR(INDEX('Bid-NoBid'!$T:$T,MATCH(A121,'Bid-NoBid'!$A:$A,0)),""))</f>
        <v/>
      </c>
      <c r="U121" s="59">
        <f>IF(A121="","",IFERROR(IF(OR(INDEX('Bid-NoBid'!$U:$U,MATCH(A121,'Bid-NoBid'!$A:$A,0))="",LEFT(INDEX('Bid-NoBid'!$U:$U,MATCH(A121,'Bid-NoBid'!$A:$A,0)),10)="Incomplete"),"Screen: "&amp;AC121,INDEX('Bid-NoBid'!$U:$U,MATCH(A121,'Bid-NoBid'!$A:$A,0))),"Screen: "&amp;AC121))</f>
        <v/>
      </c>
      <c r="V121" s="60" t="n"/>
      <c r="W121" s="60" t="n"/>
      <c r="X121" s="60" t="n"/>
      <c r="Y121" s="60" t="n"/>
      <c r="Z121" s="60" t="n"/>
      <c r="AA121" s="65" t="n"/>
      <c r="AB121" s="66" t="n"/>
      <c r="AC121" s="66" t="n"/>
      <c r="AD121" s="66" t="n"/>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66" t="n"/>
      <c r="AJ121" s="66" t="n"/>
      <c r="AK121" s="66" t="n"/>
      <c r="AL121" s="59">
        <f>IF(AND(OR(W121="Watching",W121="Preparing"),ISNUMBER(Q121)),IF(AND(Q121&gt;='Friday Summary'!$C$4,Q121&lt;='Friday Summary'!$C$4+14),Q121+ROW()/1000000,""),"")</f>
        <v/>
      </c>
    </row>
    <row r="122" ht="15" customHeight="1" s="51">
      <c r="A122" s="59">
        <f>IF(B122="","","OP-"&amp;TEXT(ROW()-4,"000"))</f>
        <v/>
      </c>
      <c r="B122" s="60" t="n"/>
      <c r="C122" s="61" t="n"/>
      <c r="D122" s="60" t="n"/>
      <c r="E122" s="60" t="n"/>
      <c r="F122" s="60" t="n"/>
      <c r="G122" s="60" t="n"/>
      <c r="H122" s="60" t="n"/>
      <c r="I122" s="60" t="n"/>
      <c r="J122" s="60" t="n"/>
      <c r="K122" s="60" t="n"/>
      <c r="L122" s="60" t="n"/>
      <c r="M122" s="62" t="n"/>
      <c r="N122" s="60" t="n"/>
      <c r="O122" s="61" t="n"/>
      <c r="P122" s="61" t="n"/>
      <c r="Q122" s="63" t="n"/>
      <c r="R122" s="60" t="n"/>
      <c r="S122" s="60" t="n"/>
      <c r="T122" s="64">
        <f>IF(A122="","",IFERROR(INDEX('Bid-NoBid'!$T:$T,MATCH(A122,'Bid-NoBid'!$A:$A,0)),""))</f>
        <v/>
      </c>
      <c r="U122" s="59">
        <f>IF(A122="","",IFERROR(IF(OR(INDEX('Bid-NoBid'!$U:$U,MATCH(A122,'Bid-NoBid'!$A:$A,0))="",LEFT(INDEX('Bid-NoBid'!$U:$U,MATCH(A122,'Bid-NoBid'!$A:$A,0)),10)="Incomplete"),"Screen: "&amp;AC122,INDEX('Bid-NoBid'!$U:$U,MATCH(A122,'Bid-NoBid'!$A:$A,0))),"Screen: "&amp;AC122))</f>
        <v/>
      </c>
      <c r="V122" s="60" t="n"/>
      <c r="W122" s="60" t="n"/>
      <c r="X122" s="60" t="n"/>
      <c r="Y122" s="60" t="n"/>
      <c r="Z122" s="60" t="n"/>
      <c r="AA122" s="65" t="n"/>
      <c r="AB122" s="66" t="n"/>
      <c r="AC122" s="66" t="n"/>
      <c r="AD122" s="66" t="n"/>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66" t="n"/>
      <c r="AJ122" s="66" t="n"/>
      <c r="AK122" s="66" t="n"/>
      <c r="AL122" s="59">
        <f>IF(AND(OR(W122="Watching",W122="Preparing"),ISNUMBER(Q122)),IF(AND(Q122&gt;='Friday Summary'!$C$4,Q122&lt;='Friday Summary'!$C$4+14),Q122+ROW()/1000000,""),"")</f>
        <v/>
      </c>
    </row>
    <row r="123" ht="15" customHeight="1" s="51">
      <c r="A123" s="59">
        <f>IF(B123="","","OP-"&amp;TEXT(ROW()-4,"000"))</f>
        <v/>
      </c>
      <c r="B123" s="60" t="n"/>
      <c r="C123" s="61" t="n"/>
      <c r="D123" s="60" t="n"/>
      <c r="E123" s="60" t="n"/>
      <c r="F123" s="60" t="n"/>
      <c r="G123" s="60" t="n"/>
      <c r="H123" s="60" t="n"/>
      <c r="I123" s="60" t="n"/>
      <c r="J123" s="60" t="n"/>
      <c r="K123" s="60" t="n"/>
      <c r="L123" s="60" t="n"/>
      <c r="M123" s="62" t="n"/>
      <c r="N123" s="60" t="n"/>
      <c r="O123" s="61" t="n"/>
      <c r="P123" s="61" t="n"/>
      <c r="Q123" s="63" t="n"/>
      <c r="R123" s="60" t="n"/>
      <c r="S123" s="60" t="n"/>
      <c r="T123" s="64">
        <f>IF(A123="","",IFERROR(INDEX('Bid-NoBid'!$T:$T,MATCH(A123,'Bid-NoBid'!$A:$A,0)),""))</f>
        <v/>
      </c>
      <c r="U123" s="59">
        <f>IF(A123="","",IFERROR(IF(OR(INDEX('Bid-NoBid'!$U:$U,MATCH(A123,'Bid-NoBid'!$A:$A,0))="",LEFT(INDEX('Bid-NoBid'!$U:$U,MATCH(A123,'Bid-NoBid'!$A:$A,0)),10)="Incomplete"),"Screen: "&amp;AC123,INDEX('Bid-NoBid'!$U:$U,MATCH(A123,'Bid-NoBid'!$A:$A,0))),"Screen: "&amp;AC123))</f>
        <v/>
      </c>
      <c r="V123" s="60" t="n"/>
      <c r="W123" s="60" t="n"/>
      <c r="X123" s="60" t="n"/>
      <c r="Y123" s="60" t="n"/>
      <c r="Z123" s="60" t="n"/>
      <c r="AA123" s="65" t="n"/>
      <c r="AB123" s="66" t="n"/>
      <c r="AC123" s="66" t="n"/>
      <c r="AD123" s="66" t="n"/>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66" t="n"/>
      <c r="AJ123" s="66" t="n"/>
      <c r="AK123" s="66" t="n"/>
      <c r="AL123" s="59">
        <f>IF(AND(OR(W123="Watching",W123="Preparing"),ISNUMBER(Q123)),IF(AND(Q123&gt;='Friday Summary'!$C$4,Q123&lt;='Friday Summary'!$C$4+14),Q123+ROW()/1000000,""),"")</f>
        <v/>
      </c>
    </row>
    <row r="124" ht="15" customHeight="1" s="51">
      <c r="A124" s="59">
        <f>IF(B124="","","OP-"&amp;TEXT(ROW()-4,"000"))</f>
        <v/>
      </c>
      <c r="B124" s="60" t="n"/>
      <c r="C124" s="61" t="n"/>
      <c r="D124" s="60" t="n"/>
      <c r="E124" s="60" t="n"/>
      <c r="F124" s="60" t="n"/>
      <c r="G124" s="60" t="n"/>
      <c r="H124" s="60" t="n"/>
      <c r="I124" s="60" t="n"/>
      <c r="J124" s="60" t="n"/>
      <c r="K124" s="60" t="n"/>
      <c r="L124" s="60" t="n"/>
      <c r="M124" s="62" t="n"/>
      <c r="N124" s="60" t="n"/>
      <c r="O124" s="61" t="n"/>
      <c r="P124" s="61" t="n"/>
      <c r="Q124" s="63" t="n"/>
      <c r="R124" s="60" t="n"/>
      <c r="S124" s="60" t="n"/>
      <c r="T124" s="64">
        <f>IF(A124="","",IFERROR(INDEX('Bid-NoBid'!$T:$T,MATCH(A124,'Bid-NoBid'!$A:$A,0)),""))</f>
        <v/>
      </c>
      <c r="U124" s="59">
        <f>IF(A124="","",IFERROR(IF(OR(INDEX('Bid-NoBid'!$U:$U,MATCH(A124,'Bid-NoBid'!$A:$A,0))="",LEFT(INDEX('Bid-NoBid'!$U:$U,MATCH(A124,'Bid-NoBid'!$A:$A,0)),10)="Incomplete"),"Screen: "&amp;AC124,INDEX('Bid-NoBid'!$U:$U,MATCH(A124,'Bid-NoBid'!$A:$A,0))),"Screen: "&amp;AC124))</f>
        <v/>
      </c>
      <c r="V124" s="60" t="n"/>
      <c r="W124" s="60" t="n"/>
      <c r="X124" s="60" t="n"/>
      <c r="Y124" s="60" t="n"/>
      <c r="Z124" s="60" t="n"/>
      <c r="AA124" s="65" t="n"/>
      <c r="AB124" s="66" t="n"/>
      <c r="AC124" s="66" t="n"/>
      <c r="AD124" s="66" t="n"/>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66" t="n"/>
      <c r="AJ124" s="66" t="n"/>
      <c r="AK124" s="66" t="n"/>
      <c r="AL124" s="59">
        <f>IF(AND(OR(W124="Watching",W124="Preparing"),ISNUMBER(Q124)),IF(AND(Q124&gt;='Friday Summary'!$C$4,Q124&lt;='Friday Summary'!$C$4+14),Q124+ROW()/1000000,""),"")</f>
        <v/>
      </c>
    </row>
    <row r="125" ht="15" customHeight="1" s="51">
      <c r="A125" s="59">
        <f>IF(B125="","","OP-"&amp;TEXT(ROW()-4,"000"))</f>
        <v/>
      </c>
      <c r="B125" s="60" t="n"/>
      <c r="C125" s="61" t="n"/>
      <c r="D125" s="60" t="n"/>
      <c r="E125" s="60" t="n"/>
      <c r="F125" s="60" t="n"/>
      <c r="G125" s="60" t="n"/>
      <c r="H125" s="60" t="n"/>
      <c r="I125" s="60" t="n"/>
      <c r="J125" s="60" t="n"/>
      <c r="K125" s="60" t="n"/>
      <c r="L125" s="60" t="n"/>
      <c r="M125" s="62" t="n"/>
      <c r="N125" s="60" t="n"/>
      <c r="O125" s="61" t="n"/>
      <c r="P125" s="61" t="n"/>
      <c r="Q125" s="63" t="n"/>
      <c r="R125" s="60" t="n"/>
      <c r="S125" s="60" t="n"/>
      <c r="T125" s="64">
        <f>IF(A125="","",IFERROR(INDEX('Bid-NoBid'!$T:$T,MATCH(A125,'Bid-NoBid'!$A:$A,0)),""))</f>
        <v/>
      </c>
      <c r="U125" s="59">
        <f>IF(A125="","",IFERROR(IF(OR(INDEX('Bid-NoBid'!$U:$U,MATCH(A125,'Bid-NoBid'!$A:$A,0))="",LEFT(INDEX('Bid-NoBid'!$U:$U,MATCH(A125,'Bid-NoBid'!$A:$A,0)),10)="Incomplete"),"Screen: "&amp;AC125,INDEX('Bid-NoBid'!$U:$U,MATCH(A125,'Bid-NoBid'!$A:$A,0))),"Screen: "&amp;AC125))</f>
        <v/>
      </c>
      <c r="V125" s="60" t="n"/>
      <c r="W125" s="60" t="n"/>
      <c r="X125" s="60" t="n"/>
      <c r="Y125" s="60" t="n"/>
      <c r="Z125" s="60" t="n"/>
      <c r="AA125" s="65" t="n"/>
      <c r="AB125" s="66" t="n"/>
      <c r="AC125" s="66" t="n"/>
      <c r="AD125" s="66" t="n"/>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66" t="n"/>
      <c r="AJ125" s="66" t="n"/>
      <c r="AK125" s="66" t="n"/>
      <c r="AL125" s="59">
        <f>IF(AND(OR(W125="Watching",W125="Preparing"),ISNUMBER(Q125)),IF(AND(Q125&gt;='Friday Summary'!$C$4,Q125&lt;='Friday Summary'!$C$4+14),Q125+ROW()/1000000,""),"")</f>
        <v/>
      </c>
    </row>
    <row r="126" ht="15" customHeight="1" s="51">
      <c r="A126" s="59">
        <f>IF(B126="","","OP-"&amp;TEXT(ROW()-4,"000"))</f>
        <v/>
      </c>
      <c r="B126" s="60" t="n"/>
      <c r="C126" s="61" t="n"/>
      <c r="D126" s="60" t="n"/>
      <c r="E126" s="60" t="n"/>
      <c r="F126" s="60" t="n"/>
      <c r="G126" s="60" t="n"/>
      <c r="H126" s="60" t="n"/>
      <c r="I126" s="60" t="n"/>
      <c r="J126" s="60" t="n"/>
      <c r="K126" s="60" t="n"/>
      <c r="L126" s="60" t="n"/>
      <c r="M126" s="62" t="n"/>
      <c r="N126" s="60" t="n"/>
      <c r="O126" s="61" t="n"/>
      <c r="P126" s="61" t="n"/>
      <c r="Q126" s="63" t="n"/>
      <c r="R126" s="60" t="n"/>
      <c r="S126" s="60" t="n"/>
      <c r="T126" s="64">
        <f>IF(A126="","",IFERROR(INDEX('Bid-NoBid'!$T:$T,MATCH(A126,'Bid-NoBid'!$A:$A,0)),""))</f>
        <v/>
      </c>
      <c r="U126" s="59">
        <f>IF(A126="","",IFERROR(IF(OR(INDEX('Bid-NoBid'!$U:$U,MATCH(A126,'Bid-NoBid'!$A:$A,0))="",LEFT(INDEX('Bid-NoBid'!$U:$U,MATCH(A126,'Bid-NoBid'!$A:$A,0)),10)="Incomplete"),"Screen: "&amp;AC126,INDEX('Bid-NoBid'!$U:$U,MATCH(A126,'Bid-NoBid'!$A:$A,0))),"Screen: "&amp;AC126))</f>
        <v/>
      </c>
      <c r="V126" s="60" t="n"/>
      <c r="W126" s="60" t="n"/>
      <c r="X126" s="60" t="n"/>
      <c r="Y126" s="60" t="n"/>
      <c r="Z126" s="60" t="n"/>
      <c r="AA126" s="65" t="n"/>
      <c r="AB126" s="66" t="n"/>
      <c r="AC126" s="66" t="n"/>
      <c r="AD126" s="66" t="n"/>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66" t="n"/>
      <c r="AJ126" s="66" t="n"/>
      <c r="AK126" s="66" t="n"/>
      <c r="AL126" s="59">
        <f>IF(AND(OR(W126="Watching",W126="Preparing"),ISNUMBER(Q126)),IF(AND(Q126&gt;='Friday Summary'!$C$4,Q126&lt;='Friday Summary'!$C$4+14),Q126+ROW()/1000000,""),"")</f>
        <v/>
      </c>
    </row>
    <row r="127" ht="15" customHeight="1" s="51">
      <c r="A127" s="59">
        <f>IF(B127="","","OP-"&amp;TEXT(ROW()-4,"000"))</f>
        <v/>
      </c>
      <c r="B127" s="60" t="n"/>
      <c r="C127" s="61" t="n"/>
      <c r="D127" s="60" t="n"/>
      <c r="E127" s="60" t="n"/>
      <c r="F127" s="60" t="n"/>
      <c r="G127" s="60" t="n"/>
      <c r="H127" s="60" t="n"/>
      <c r="I127" s="60" t="n"/>
      <c r="J127" s="60" t="n"/>
      <c r="K127" s="60" t="n"/>
      <c r="L127" s="60" t="n"/>
      <c r="M127" s="62" t="n"/>
      <c r="N127" s="60" t="n"/>
      <c r="O127" s="61" t="n"/>
      <c r="P127" s="61" t="n"/>
      <c r="Q127" s="63" t="n"/>
      <c r="R127" s="60" t="n"/>
      <c r="S127" s="60" t="n"/>
      <c r="T127" s="64">
        <f>IF(A127="","",IFERROR(INDEX('Bid-NoBid'!$T:$T,MATCH(A127,'Bid-NoBid'!$A:$A,0)),""))</f>
        <v/>
      </c>
      <c r="U127" s="59">
        <f>IF(A127="","",IFERROR(IF(OR(INDEX('Bid-NoBid'!$U:$U,MATCH(A127,'Bid-NoBid'!$A:$A,0))="",LEFT(INDEX('Bid-NoBid'!$U:$U,MATCH(A127,'Bid-NoBid'!$A:$A,0)),10)="Incomplete"),"Screen: "&amp;AC127,INDEX('Bid-NoBid'!$U:$U,MATCH(A127,'Bid-NoBid'!$A:$A,0))),"Screen: "&amp;AC127))</f>
        <v/>
      </c>
      <c r="V127" s="60" t="n"/>
      <c r="W127" s="60" t="n"/>
      <c r="X127" s="60" t="n"/>
      <c r="Y127" s="60" t="n"/>
      <c r="Z127" s="60" t="n"/>
      <c r="AA127" s="65" t="n"/>
      <c r="AB127" s="66" t="n"/>
      <c r="AC127" s="66" t="n"/>
      <c r="AD127" s="66" t="n"/>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66" t="n"/>
      <c r="AJ127" s="66" t="n"/>
      <c r="AK127" s="66" t="n"/>
      <c r="AL127" s="59">
        <f>IF(AND(OR(W127="Watching",W127="Preparing"),ISNUMBER(Q127)),IF(AND(Q127&gt;='Friday Summary'!$C$4,Q127&lt;='Friday Summary'!$C$4+14),Q127+ROW()/1000000,""),"")</f>
        <v/>
      </c>
    </row>
    <row r="128" ht="15" customHeight="1" s="51">
      <c r="A128" s="59">
        <f>IF(B128="","","OP-"&amp;TEXT(ROW()-4,"000"))</f>
        <v/>
      </c>
      <c r="B128" s="60" t="n"/>
      <c r="C128" s="61" t="n"/>
      <c r="D128" s="60" t="n"/>
      <c r="E128" s="60" t="n"/>
      <c r="F128" s="60" t="n"/>
      <c r="G128" s="60" t="n"/>
      <c r="H128" s="60" t="n"/>
      <c r="I128" s="60" t="n"/>
      <c r="J128" s="60" t="n"/>
      <c r="K128" s="60" t="n"/>
      <c r="L128" s="60" t="n"/>
      <c r="M128" s="62" t="n"/>
      <c r="N128" s="60" t="n"/>
      <c r="O128" s="61" t="n"/>
      <c r="P128" s="61" t="n"/>
      <c r="Q128" s="63" t="n"/>
      <c r="R128" s="60" t="n"/>
      <c r="S128" s="60" t="n"/>
      <c r="T128" s="64">
        <f>IF(A128="","",IFERROR(INDEX('Bid-NoBid'!$T:$T,MATCH(A128,'Bid-NoBid'!$A:$A,0)),""))</f>
        <v/>
      </c>
      <c r="U128" s="59">
        <f>IF(A128="","",IFERROR(IF(OR(INDEX('Bid-NoBid'!$U:$U,MATCH(A128,'Bid-NoBid'!$A:$A,0))="",LEFT(INDEX('Bid-NoBid'!$U:$U,MATCH(A128,'Bid-NoBid'!$A:$A,0)),10)="Incomplete"),"Screen: "&amp;AC128,INDEX('Bid-NoBid'!$U:$U,MATCH(A128,'Bid-NoBid'!$A:$A,0))),"Screen: "&amp;AC128))</f>
        <v/>
      </c>
      <c r="V128" s="60" t="n"/>
      <c r="W128" s="60" t="n"/>
      <c r="X128" s="60" t="n"/>
      <c r="Y128" s="60" t="n"/>
      <c r="Z128" s="60" t="n"/>
      <c r="AA128" s="65" t="n"/>
      <c r="AB128" s="66" t="n"/>
      <c r="AC128" s="66" t="n"/>
      <c r="AD128" s="66" t="n"/>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66" t="n"/>
      <c r="AJ128" s="66" t="n"/>
      <c r="AK128" s="66" t="n"/>
      <c r="AL128" s="59">
        <f>IF(AND(OR(W128="Watching",W128="Preparing"),ISNUMBER(Q128)),IF(AND(Q128&gt;='Friday Summary'!$C$4,Q128&lt;='Friday Summary'!$C$4+14),Q128+ROW()/1000000,""),"")</f>
        <v/>
      </c>
    </row>
    <row r="129" ht="15" customHeight="1" s="51">
      <c r="A129" s="59">
        <f>IF(B129="","","OP-"&amp;TEXT(ROW()-4,"000"))</f>
        <v/>
      </c>
      <c r="B129" s="60" t="n"/>
      <c r="C129" s="61" t="n"/>
      <c r="D129" s="60" t="n"/>
      <c r="E129" s="60" t="n"/>
      <c r="F129" s="60" t="n"/>
      <c r="G129" s="60" t="n"/>
      <c r="H129" s="60" t="n"/>
      <c r="I129" s="60" t="n"/>
      <c r="J129" s="60" t="n"/>
      <c r="K129" s="60" t="n"/>
      <c r="L129" s="60" t="n"/>
      <c r="M129" s="62" t="n"/>
      <c r="N129" s="60" t="n"/>
      <c r="O129" s="61" t="n"/>
      <c r="P129" s="61" t="n"/>
      <c r="Q129" s="63" t="n"/>
      <c r="R129" s="60" t="n"/>
      <c r="S129" s="60" t="n"/>
      <c r="T129" s="64">
        <f>IF(A129="","",IFERROR(INDEX('Bid-NoBid'!$T:$T,MATCH(A129,'Bid-NoBid'!$A:$A,0)),""))</f>
        <v/>
      </c>
      <c r="U129" s="59">
        <f>IF(A129="","",IFERROR(IF(OR(INDEX('Bid-NoBid'!$U:$U,MATCH(A129,'Bid-NoBid'!$A:$A,0))="",LEFT(INDEX('Bid-NoBid'!$U:$U,MATCH(A129,'Bid-NoBid'!$A:$A,0)),10)="Incomplete"),"Screen: "&amp;AC129,INDEX('Bid-NoBid'!$U:$U,MATCH(A129,'Bid-NoBid'!$A:$A,0))),"Screen: "&amp;AC129))</f>
        <v/>
      </c>
      <c r="V129" s="60" t="n"/>
      <c r="W129" s="60" t="n"/>
      <c r="X129" s="60" t="n"/>
      <c r="Y129" s="60" t="n"/>
      <c r="Z129" s="60" t="n"/>
      <c r="AA129" s="65" t="n"/>
      <c r="AB129" s="66" t="n"/>
      <c r="AC129" s="66" t="n"/>
      <c r="AD129" s="66" t="n"/>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66" t="n"/>
      <c r="AJ129" s="66" t="n"/>
      <c r="AK129" s="66" t="n"/>
      <c r="AL129" s="59">
        <f>IF(AND(OR(W129="Watching",W129="Preparing"),ISNUMBER(Q129)),IF(AND(Q129&gt;='Friday Summary'!$C$4,Q129&lt;='Friday Summary'!$C$4+14),Q129+ROW()/1000000,""),"")</f>
        <v/>
      </c>
    </row>
    <row r="130" ht="15" customHeight="1" s="51">
      <c r="A130" s="59">
        <f>IF(B130="","","OP-"&amp;TEXT(ROW()-4,"000"))</f>
        <v/>
      </c>
      <c r="B130" s="60" t="n"/>
      <c r="C130" s="61" t="n"/>
      <c r="D130" s="60" t="n"/>
      <c r="E130" s="60" t="n"/>
      <c r="F130" s="60" t="n"/>
      <c r="G130" s="60" t="n"/>
      <c r="H130" s="60" t="n"/>
      <c r="I130" s="60" t="n"/>
      <c r="J130" s="60" t="n"/>
      <c r="K130" s="60" t="n"/>
      <c r="L130" s="60" t="n"/>
      <c r="M130" s="62" t="n"/>
      <c r="N130" s="60" t="n"/>
      <c r="O130" s="61" t="n"/>
      <c r="P130" s="61" t="n"/>
      <c r="Q130" s="63" t="n"/>
      <c r="R130" s="60" t="n"/>
      <c r="S130" s="60" t="n"/>
      <c r="T130" s="64">
        <f>IF(A130="","",IFERROR(INDEX('Bid-NoBid'!$T:$T,MATCH(A130,'Bid-NoBid'!$A:$A,0)),""))</f>
        <v/>
      </c>
      <c r="U130" s="59">
        <f>IF(A130="","",IFERROR(IF(OR(INDEX('Bid-NoBid'!$U:$U,MATCH(A130,'Bid-NoBid'!$A:$A,0))="",LEFT(INDEX('Bid-NoBid'!$U:$U,MATCH(A130,'Bid-NoBid'!$A:$A,0)),10)="Incomplete"),"Screen: "&amp;AC130,INDEX('Bid-NoBid'!$U:$U,MATCH(A130,'Bid-NoBid'!$A:$A,0))),"Screen: "&amp;AC130))</f>
        <v/>
      </c>
      <c r="V130" s="60" t="n"/>
      <c r="W130" s="60" t="n"/>
      <c r="X130" s="60" t="n"/>
      <c r="Y130" s="60" t="n"/>
      <c r="Z130" s="60" t="n"/>
      <c r="AA130" s="65" t="n"/>
      <c r="AB130" s="66" t="n"/>
      <c r="AC130" s="66" t="n"/>
      <c r="AD130" s="66" t="n"/>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66" t="n"/>
      <c r="AJ130" s="66" t="n"/>
      <c r="AK130" s="66" t="n"/>
      <c r="AL130" s="59">
        <f>IF(AND(OR(W130="Watching",W130="Preparing"),ISNUMBER(Q130)),IF(AND(Q130&gt;='Friday Summary'!$C$4,Q130&lt;='Friday Summary'!$C$4+14),Q130+ROW()/1000000,""),"")</f>
        <v/>
      </c>
    </row>
    <row r="131" ht="15" customHeight="1" s="51">
      <c r="A131" s="59">
        <f>IF(B131="","","OP-"&amp;TEXT(ROW()-4,"000"))</f>
        <v/>
      </c>
      <c r="B131" s="60" t="n"/>
      <c r="C131" s="61" t="n"/>
      <c r="D131" s="60" t="n"/>
      <c r="E131" s="60" t="n"/>
      <c r="F131" s="60" t="n"/>
      <c r="G131" s="60" t="n"/>
      <c r="H131" s="60" t="n"/>
      <c r="I131" s="60" t="n"/>
      <c r="J131" s="60" t="n"/>
      <c r="K131" s="60" t="n"/>
      <c r="L131" s="60" t="n"/>
      <c r="M131" s="62" t="n"/>
      <c r="N131" s="60" t="n"/>
      <c r="O131" s="61" t="n"/>
      <c r="P131" s="61" t="n"/>
      <c r="Q131" s="63" t="n"/>
      <c r="R131" s="60" t="n"/>
      <c r="S131" s="60" t="n"/>
      <c r="T131" s="64">
        <f>IF(A131="","",IFERROR(INDEX('Bid-NoBid'!$T:$T,MATCH(A131,'Bid-NoBid'!$A:$A,0)),""))</f>
        <v/>
      </c>
      <c r="U131" s="59">
        <f>IF(A131="","",IFERROR(IF(OR(INDEX('Bid-NoBid'!$U:$U,MATCH(A131,'Bid-NoBid'!$A:$A,0))="",LEFT(INDEX('Bid-NoBid'!$U:$U,MATCH(A131,'Bid-NoBid'!$A:$A,0)),10)="Incomplete"),"Screen: "&amp;AC131,INDEX('Bid-NoBid'!$U:$U,MATCH(A131,'Bid-NoBid'!$A:$A,0))),"Screen: "&amp;AC131))</f>
        <v/>
      </c>
      <c r="V131" s="60" t="n"/>
      <c r="W131" s="60" t="n"/>
      <c r="X131" s="60" t="n"/>
      <c r="Y131" s="60" t="n"/>
      <c r="Z131" s="60" t="n"/>
      <c r="AA131" s="65" t="n"/>
      <c r="AB131" s="66" t="n"/>
      <c r="AC131" s="66" t="n"/>
      <c r="AD131" s="66" t="n"/>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66" t="n"/>
      <c r="AJ131" s="66" t="n"/>
      <c r="AK131" s="66" t="n"/>
      <c r="AL131" s="59">
        <f>IF(AND(OR(W131="Watching",W131="Preparing"),ISNUMBER(Q131)),IF(AND(Q131&gt;='Friday Summary'!$C$4,Q131&lt;='Friday Summary'!$C$4+14),Q131+ROW()/1000000,""),"")</f>
        <v/>
      </c>
    </row>
    <row r="132" ht="15" customHeight="1" s="51">
      <c r="A132" s="59">
        <f>IF(B132="","","OP-"&amp;TEXT(ROW()-4,"000"))</f>
        <v/>
      </c>
      <c r="B132" s="60" t="n"/>
      <c r="C132" s="61" t="n"/>
      <c r="D132" s="60" t="n"/>
      <c r="E132" s="60" t="n"/>
      <c r="F132" s="60" t="n"/>
      <c r="G132" s="60" t="n"/>
      <c r="H132" s="60" t="n"/>
      <c r="I132" s="60" t="n"/>
      <c r="J132" s="60" t="n"/>
      <c r="K132" s="60" t="n"/>
      <c r="L132" s="60" t="n"/>
      <c r="M132" s="62" t="n"/>
      <c r="N132" s="60" t="n"/>
      <c r="O132" s="61" t="n"/>
      <c r="P132" s="61" t="n"/>
      <c r="Q132" s="63" t="n"/>
      <c r="R132" s="60" t="n"/>
      <c r="S132" s="60" t="n"/>
      <c r="T132" s="64">
        <f>IF(A132="","",IFERROR(INDEX('Bid-NoBid'!$T:$T,MATCH(A132,'Bid-NoBid'!$A:$A,0)),""))</f>
        <v/>
      </c>
      <c r="U132" s="59">
        <f>IF(A132="","",IFERROR(IF(OR(INDEX('Bid-NoBid'!$U:$U,MATCH(A132,'Bid-NoBid'!$A:$A,0))="",LEFT(INDEX('Bid-NoBid'!$U:$U,MATCH(A132,'Bid-NoBid'!$A:$A,0)),10)="Incomplete"),"Screen: "&amp;AC132,INDEX('Bid-NoBid'!$U:$U,MATCH(A132,'Bid-NoBid'!$A:$A,0))),"Screen: "&amp;AC132))</f>
        <v/>
      </c>
      <c r="V132" s="60" t="n"/>
      <c r="W132" s="60" t="n"/>
      <c r="X132" s="60" t="n"/>
      <c r="Y132" s="60" t="n"/>
      <c r="Z132" s="60" t="n"/>
      <c r="AA132" s="65" t="n"/>
      <c r="AB132" s="66" t="n"/>
      <c r="AC132" s="66" t="n"/>
      <c r="AD132" s="66" t="n"/>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66" t="n"/>
      <c r="AJ132" s="66" t="n"/>
      <c r="AK132" s="66" t="n"/>
      <c r="AL132" s="59">
        <f>IF(AND(OR(W132="Watching",W132="Preparing"),ISNUMBER(Q132)),IF(AND(Q132&gt;='Friday Summary'!$C$4,Q132&lt;='Friday Summary'!$C$4+14),Q132+ROW()/1000000,""),"")</f>
        <v/>
      </c>
    </row>
    <row r="133" ht="15" customHeight="1" s="51">
      <c r="A133" s="59">
        <f>IF(B133="","","OP-"&amp;TEXT(ROW()-4,"000"))</f>
        <v/>
      </c>
      <c r="B133" s="60" t="n"/>
      <c r="C133" s="61" t="n"/>
      <c r="D133" s="60" t="n"/>
      <c r="E133" s="60" t="n"/>
      <c r="F133" s="60" t="n"/>
      <c r="G133" s="60" t="n"/>
      <c r="H133" s="60" t="n"/>
      <c r="I133" s="60" t="n"/>
      <c r="J133" s="60" t="n"/>
      <c r="K133" s="60" t="n"/>
      <c r="L133" s="60" t="n"/>
      <c r="M133" s="62" t="n"/>
      <c r="N133" s="60" t="n"/>
      <c r="O133" s="61" t="n"/>
      <c r="P133" s="61" t="n"/>
      <c r="Q133" s="63" t="n"/>
      <c r="R133" s="60" t="n"/>
      <c r="S133" s="60" t="n"/>
      <c r="T133" s="64">
        <f>IF(A133="","",IFERROR(INDEX('Bid-NoBid'!$T:$T,MATCH(A133,'Bid-NoBid'!$A:$A,0)),""))</f>
        <v/>
      </c>
      <c r="U133" s="59">
        <f>IF(A133="","",IFERROR(IF(OR(INDEX('Bid-NoBid'!$U:$U,MATCH(A133,'Bid-NoBid'!$A:$A,0))="",LEFT(INDEX('Bid-NoBid'!$U:$U,MATCH(A133,'Bid-NoBid'!$A:$A,0)),10)="Incomplete"),"Screen: "&amp;AC133,INDEX('Bid-NoBid'!$U:$U,MATCH(A133,'Bid-NoBid'!$A:$A,0))),"Screen: "&amp;AC133))</f>
        <v/>
      </c>
      <c r="V133" s="60" t="n"/>
      <c r="W133" s="60" t="n"/>
      <c r="X133" s="60" t="n"/>
      <c r="Y133" s="60" t="n"/>
      <c r="Z133" s="60" t="n"/>
      <c r="AA133" s="65" t="n"/>
      <c r="AB133" s="66" t="n"/>
      <c r="AC133" s="66" t="n"/>
      <c r="AD133" s="66" t="n"/>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66" t="n"/>
      <c r="AJ133" s="66" t="n"/>
      <c r="AK133" s="66" t="n"/>
      <c r="AL133" s="59">
        <f>IF(AND(OR(W133="Watching",W133="Preparing"),ISNUMBER(Q133)),IF(AND(Q133&gt;='Friday Summary'!$C$4,Q133&lt;='Friday Summary'!$C$4+14),Q133+ROW()/1000000,""),"")</f>
        <v/>
      </c>
    </row>
    <row r="134" ht="15" customHeight="1" s="51">
      <c r="A134" s="59">
        <f>IF(B134="","","OP-"&amp;TEXT(ROW()-4,"000"))</f>
        <v/>
      </c>
      <c r="B134" s="60" t="n"/>
      <c r="C134" s="61" t="n"/>
      <c r="D134" s="60" t="n"/>
      <c r="E134" s="60" t="n"/>
      <c r="F134" s="60" t="n"/>
      <c r="G134" s="60" t="n"/>
      <c r="H134" s="60" t="n"/>
      <c r="I134" s="60" t="n"/>
      <c r="J134" s="60" t="n"/>
      <c r="K134" s="60" t="n"/>
      <c r="L134" s="60" t="n"/>
      <c r="M134" s="62" t="n"/>
      <c r="N134" s="60" t="n"/>
      <c r="O134" s="61" t="n"/>
      <c r="P134" s="61" t="n"/>
      <c r="Q134" s="63" t="n"/>
      <c r="R134" s="60" t="n"/>
      <c r="S134" s="60" t="n"/>
      <c r="T134" s="64">
        <f>IF(A134="","",IFERROR(INDEX('Bid-NoBid'!$T:$T,MATCH(A134,'Bid-NoBid'!$A:$A,0)),""))</f>
        <v/>
      </c>
      <c r="U134" s="59">
        <f>IF(A134="","",IFERROR(IF(OR(INDEX('Bid-NoBid'!$U:$U,MATCH(A134,'Bid-NoBid'!$A:$A,0))="",LEFT(INDEX('Bid-NoBid'!$U:$U,MATCH(A134,'Bid-NoBid'!$A:$A,0)),10)="Incomplete"),"Screen: "&amp;AC134,INDEX('Bid-NoBid'!$U:$U,MATCH(A134,'Bid-NoBid'!$A:$A,0))),"Screen: "&amp;AC134))</f>
        <v/>
      </c>
      <c r="V134" s="60" t="n"/>
      <c r="W134" s="60" t="n"/>
      <c r="X134" s="60" t="n"/>
      <c r="Y134" s="60" t="n"/>
      <c r="Z134" s="60" t="n"/>
      <c r="AA134" s="65" t="n"/>
      <c r="AB134" s="66" t="n"/>
      <c r="AC134" s="66" t="n"/>
      <c r="AD134" s="66" t="n"/>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66" t="n"/>
      <c r="AJ134" s="66" t="n"/>
      <c r="AK134" s="66" t="n"/>
      <c r="AL134" s="59">
        <f>IF(AND(OR(W134="Watching",W134="Preparing"),ISNUMBER(Q134)),IF(AND(Q134&gt;='Friday Summary'!$C$4,Q134&lt;='Friday Summary'!$C$4+14),Q134+ROW()/1000000,""),"")</f>
        <v/>
      </c>
    </row>
    <row r="135" ht="15" customHeight="1" s="51">
      <c r="A135" s="59">
        <f>IF(B135="","","OP-"&amp;TEXT(ROW()-4,"000"))</f>
        <v/>
      </c>
      <c r="B135" s="60" t="n"/>
      <c r="C135" s="61" t="n"/>
      <c r="D135" s="60" t="n"/>
      <c r="E135" s="60" t="n"/>
      <c r="F135" s="60" t="n"/>
      <c r="G135" s="60" t="n"/>
      <c r="H135" s="60" t="n"/>
      <c r="I135" s="60" t="n"/>
      <c r="J135" s="60" t="n"/>
      <c r="K135" s="60" t="n"/>
      <c r="L135" s="60" t="n"/>
      <c r="M135" s="62" t="n"/>
      <c r="N135" s="60" t="n"/>
      <c r="O135" s="61" t="n"/>
      <c r="P135" s="61" t="n"/>
      <c r="Q135" s="63" t="n"/>
      <c r="R135" s="60" t="n"/>
      <c r="S135" s="60" t="n"/>
      <c r="T135" s="64">
        <f>IF(A135="","",IFERROR(INDEX('Bid-NoBid'!$T:$T,MATCH(A135,'Bid-NoBid'!$A:$A,0)),""))</f>
        <v/>
      </c>
      <c r="U135" s="59">
        <f>IF(A135="","",IFERROR(IF(OR(INDEX('Bid-NoBid'!$U:$U,MATCH(A135,'Bid-NoBid'!$A:$A,0))="",LEFT(INDEX('Bid-NoBid'!$U:$U,MATCH(A135,'Bid-NoBid'!$A:$A,0)),10)="Incomplete"),"Screen: "&amp;AC135,INDEX('Bid-NoBid'!$U:$U,MATCH(A135,'Bid-NoBid'!$A:$A,0))),"Screen: "&amp;AC135))</f>
        <v/>
      </c>
      <c r="V135" s="60" t="n"/>
      <c r="W135" s="60" t="n"/>
      <c r="X135" s="60" t="n"/>
      <c r="Y135" s="60" t="n"/>
      <c r="Z135" s="60" t="n"/>
      <c r="AA135" s="65" t="n"/>
      <c r="AB135" s="66" t="n"/>
      <c r="AC135" s="66" t="n"/>
      <c r="AD135" s="66" t="n"/>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66" t="n"/>
      <c r="AJ135" s="66" t="n"/>
      <c r="AK135" s="66" t="n"/>
      <c r="AL135" s="59">
        <f>IF(AND(OR(W135="Watching",W135="Preparing"),ISNUMBER(Q135)),IF(AND(Q135&gt;='Friday Summary'!$C$4,Q135&lt;='Friday Summary'!$C$4+14),Q135+ROW()/1000000,""),"")</f>
        <v/>
      </c>
    </row>
    <row r="136" ht="15" customHeight="1" s="51">
      <c r="A136" s="59">
        <f>IF(B136="","","OP-"&amp;TEXT(ROW()-4,"000"))</f>
        <v/>
      </c>
      <c r="B136" s="60" t="n"/>
      <c r="C136" s="61" t="n"/>
      <c r="D136" s="60" t="n"/>
      <c r="E136" s="60" t="n"/>
      <c r="F136" s="60" t="n"/>
      <c r="G136" s="60" t="n"/>
      <c r="H136" s="60" t="n"/>
      <c r="I136" s="60" t="n"/>
      <c r="J136" s="60" t="n"/>
      <c r="K136" s="60" t="n"/>
      <c r="L136" s="60" t="n"/>
      <c r="M136" s="62" t="n"/>
      <c r="N136" s="60" t="n"/>
      <c r="O136" s="61" t="n"/>
      <c r="P136" s="61" t="n"/>
      <c r="Q136" s="63" t="n"/>
      <c r="R136" s="60" t="n"/>
      <c r="S136" s="60" t="n"/>
      <c r="T136" s="64">
        <f>IF(A136="","",IFERROR(INDEX('Bid-NoBid'!$T:$T,MATCH(A136,'Bid-NoBid'!$A:$A,0)),""))</f>
        <v/>
      </c>
      <c r="U136" s="59">
        <f>IF(A136="","",IFERROR(IF(OR(INDEX('Bid-NoBid'!$U:$U,MATCH(A136,'Bid-NoBid'!$A:$A,0))="",LEFT(INDEX('Bid-NoBid'!$U:$U,MATCH(A136,'Bid-NoBid'!$A:$A,0)),10)="Incomplete"),"Screen: "&amp;AC136,INDEX('Bid-NoBid'!$U:$U,MATCH(A136,'Bid-NoBid'!$A:$A,0))),"Screen: "&amp;AC136))</f>
        <v/>
      </c>
      <c r="V136" s="60" t="n"/>
      <c r="W136" s="60" t="n"/>
      <c r="X136" s="60" t="n"/>
      <c r="Y136" s="60" t="n"/>
      <c r="Z136" s="60" t="n"/>
      <c r="AA136" s="65" t="n"/>
      <c r="AB136" s="66" t="n"/>
      <c r="AC136" s="66" t="n"/>
      <c r="AD136" s="66" t="n"/>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66" t="n"/>
      <c r="AJ136" s="66" t="n"/>
      <c r="AK136" s="66" t="n"/>
      <c r="AL136" s="59">
        <f>IF(AND(OR(W136="Watching",W136="Preparing"),ISNUMBER(Q136)),IF(AND(Q136&gt;='Friday Summary'!$C$4,Q136&lt;='Friday Summary'!$C$4+14),Q136+ROW()/1000000,""),"")</f>
        <v/>
      </c>
    </row>
    <row r="137" ht="15" customHeight="1" s="51">
      <c r="A137" s="59">
        <f>IF(B137="","","OP-"&amp;TEXT(ROW()-4,"000"))</f>
        <v/>
      </c>
      <c r="B137" s="60" t="n"/>
      <c r="C137" s="61" t="n"/>
      <c r="D137" s="60" t="n"/>
      <c r="E137" s="60" t="n"/>
      <c r="F137" s="60" t="n"/>
      <c r="G137" s="60" t="n"/>
      <c r="H137" s="60" t="n"/>
      <c r="I137" s="60" t="n"/>
      <c r="J137" s="60" t="n"/>
      <c r="K137" s="60" t="n"/>
      <c r="L137" s="60" t="n"/>
      <c r="M137" s="62" t="n"/>
      <c r="N137" s="60" t="n"/>
      <c r="O137" s="61" t="n"/>
      <c r="P137" s="61" t="n"/>
      <c r="Q137" s="63" t="n"/>
      <c r="R137" s="60" t="n"/>
      <c r="S137" s="60" t="n"/>
      <c r="T137" s="64">
        <f>IF(A137="","",IFERROR(INDEX('Bid-NoBid'!$T:$T,MATCH(A137,'Bid-NoBid'!$A:$A,0)),""))</f>
        <v/>
      </c>
      <c r="U137" s="59">
        <f>IF(A137="","",IFERROR(IF(OR(INDEX('Bid-NoBid'!$U:$U,MATCH(A137,'Bid-NoBid'!$A:$A,0))="",LEFT(INDEX('Bid-NoBid'!$U:$U,MATCH(A137,'Bid-NoBid'!$A:$A,0)),10)="Incomplete"),"Screen: "&amp;AC137,INDEX('Bid-NoBid'!$U:$U,MATCH(A137,'Bid-NoBid'!$A:$A,0))),"Screen: "&amp;AC137))</f>
        <v/>
      </c>
      <c r="V137" s="60" t="n"/>
      <c r="W137" s="60" t="n"/>
      <c r="X137" s="60" t="n"/>
      <c r="Y137" s="60" t="n"/>
      <c r="Z137" s="60" t="n"/>
      <c r="AA137" s="65" t="n"/>
      <c r="AB137" s="66" t="n"/>
      <c r="AC137" s="66" t="n"/>
      <c r="AD137" s="66" t="n"/>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66" t="n"/>
      <c r="AJ137" s="66" t="n"/>
      <c r="AK137" s="66" t="n"/>
      <c r="AL137" s="59">
        <f>IF(AND(OR(W137="Watching",W137="Preparing"),ISNUMBER(Q137)),IF(AND(Q137&gt;='Friday Summary'!$C$4,Q137&lt;='Friday Summary'!$C$4+14),Q137+ROW()/1000000,""),"")</f>
        <v/>
      </c>
    </row>
    <row r="138" ht="15" customHeight="1" s="51">
      <c r="A138" s="59">
        <f>IF(B138="","","OP-"&amp;TEXT(ROW()-4,"000"))</f>
        <v/>
      </c>
      <c r="B138" s="60" t="n"/>
      <c r="C138" s="61" t="n"/>
      <c r="D138" s="60" t="n"/>
      <c r="E138" s="60" t="n"/>
      <c r="F138" s="60" t="n"/>
      <c r="G138" s="60" t="n"/>
      <c r="H138" s="60" t="n"/>
      <c r="I138" s="60" t="n"/>
      <c r="J138" s="60" t="n"/>
      <c r="K138" s="60" t="n"/>
      <c r="L138" s="60" t="n"/>
      <c r="M138" s="62" t="n"/>
      <c r="N138" s="60" t="n"/>
      <c r="O138" s="61" t="n"/>
      <c r="P138" s="61" t="n"/>
      <c r="Q138" s="63" t="n"/>
      <c r="R138" s="60" t="n"/>
      <c r="S138" s="60" t="n"/>
      <c r="T138" s="64">
        <f>IF(A138="","",IFERROR(INDEX('Bid-NoBid'!$T:$T,MATCH(A138,'Bid-NoBid'!$A:$A,0)),""))</f>
        <v/>
      </c>
      <c r="U138" s="59">
        <f>IF(A138="","",IFERROR(IF(OR(INDEX('Bid-NoBid'!$U:$U,MATCH(A138,'Bid-NoBid'!$A:$A,0))="",LEFT(INDEX('Bid-NoBid'!$U:$U,MATCH(A138,'Bid-NoBid'!$A:$A,0)),10)="Incomplete"),"Screen: "&amp;AC138,INDEX('Bid-NoBid'!$U:$U,MATCH(A138,'Bid-NoBid'!$A:$A,0))),"Screen: "&amp;AC138))</f>
        <v/>
      </c>
      <c r="V138" s="60" t="n"/>
      <c r="W138" s="60" t="n"/>
      <c r="X138" s="60" t="n"/>
      <c r="Y138" s="60" t="n"/>
      <c r="Z138" s="60" t="n"/>
      <c r="AA138" s="65" t="n"/>
      <c r="AB138" s="66" t="n"/>
      <c r="AC138" s="66" t="n"/>
      <c r="AD138" s="66" t="n"/>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66" t="n"/>
      <c r="AJ138" s="66" t="n"/>
      <c r="AK138" s="66" t="n"/>
      <c r="AL138" s="59">
        <f>IF(AND(OR(W138="Watching",W138="Preparing"),ISNUMBER(Q138)),IF(AND(Q138&gt;='Friday Summary'!$C$4,Q138&lt;='Friday Summary'!$C$4+14),Q138+ROW()/1000000,""),"")</f>
        <v/>
      </c>
    </row>
    <row r="139" ht="15" customHeight="1" s="51">
      <c r="A139" s="59">
        <f>IF(B139="","","OP-"&amp;TEXT(ROW()-4,"000"))</f>
        <v/>
      </c>
      <c r="B139" s="60" t="n"/>
      <c r="C139" s="61" t="n"/>
      <c r="D139" s="60" t="n"/>
      <c r="E139" s="60" t="n"/>
      <c r="F139" s="60" t="n"/>
      <c r="G139" s="60" t="n"/>
      <c r="H139" s="60" t="n"/>
      <c r="I139" s="60" t="n"/>
      <c r="J139" s="60" t="n"/>
      <c r="K139" s="60" t="n"/>
      <c r="L139" s="60" t="n"/>
      <c r="M139" s="62" t="n"/>
      <c r="N139" s="60" t="n"/>
      <c r="O139" s="61" t="n"/>
      <c r="P139" s="61" t="n"/>
      <c r="Q139" s="63" t="n"/>
      <c r="R139" s="60" t="n"/>
      <c r="S139" s="60" t="n"/>
      <c r="T139" s="64">
        <f>IF(A139="","",IFERROR(INDEX('Bid-NoBid'!$T:$T,MATCH(A139,'Bid-NoBid'!$A:$A,0)),""))</f>
        <v/>
      </c>
      <c r="U139" s="59">
        <f>IF(A139="","",IFERROR(IF(OR(INDEX('Bid-NoBid'!$U:$U,MATCH(A139,'Bid-NoBid'!$A:$A,0))="",LEFT(INDEX('Bid-NoBid'!$U:$U,MATCH(A139,'Bid-NoBid'!$A:$A,0)),10)="Incomplete"),"Screen: "&amp;AC139,INDEX('Bid-NoBid'!$U:$U,MATCH(A139,'Bid-NoBid'!$A:$A,0))),"Screen: "&amp;AC139))</f>
        <v/>
      </c>
      <c r="V139" s="60" t="n"/>
      <c r="W139" s="60" t="n"/>
      <c r="X139" s="60" t="n"/>
      <c r="Y139" s="60" t="n"/>
      <c r="Z139" s="60" t="n"/>
      <c r="AA139" s="65" t="n"/>
      <c r="AB139" s="66" t="n"/>
      <c r="AC139" s="66" t="n"/>
      <c r="AD139" s="66" t="n"/>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66" t="n"/>
      <c r="AJ139" s="66" t="n"/>
      <c r="AK139" s="66" t="n"/>
      <c r="AL139" s="59">
        <f>IF(AND(OR(W139="Watching",W139="Preparing"),ISNUMBER(Q139)),IF(AND(Q139&gt;='Friday Summary'!$C$4,Q139&lt;='Friday Summary'!$C$4+14),Q139+ROW()/1000000,""),"")</f>
        <v/>
      </c>
    </row>
    <row r="140" ht="15" customHeight="1" s="51">
      <c r="A140" s="59">
        <f>IF(B140="","","OP-"&amp;TEXT(ROW()-4,"000"))</f>
        <v/>
      </c>
      <c r="B140" s="60" t="n"/>
      <c r="C140" s="61" t="n"/>
      <c r="D140" s="60" t="n"/>
      <c r="E140" s="60" t="n"/>
      <c r="F140" s="60" t="n"/>
      <c r="G140" s="60" t="n"/>
      <c r="H140" s="60" t="n"/>
      <c r="I140" s="60" t="n"/>
      <c r="J140" s="60" t="n"/>
      <c r="K140" s="60" t="n"/>
      <c r="L140" s="60" t="n"/>
      <c r="M140" s="62" t="n"/>
      <c r="N140" s="60" t="n"/>
      <c r="O140" s="61" t="n"/>
      <c r="P140" s="61" t="n"/>
      <c r="Q140" s="63" t="n"/>
      <c r="R140" s="60" t="n"/>
      <c r="S140" s="60" t="n"/>
      <c r="T140" s="64">
        <f>IF(A140="","",IFERROR(INDEX('Bid-NoBid'!$T:$T,MATCH(A140,'Bid-NoBid'!$A:$A,0)),""))</f>
        <v/>
      </c>
      <c r="U140" s="59">
        <f>IF(A140="","",IFERROR(IF(OR(INDEX('Bid-NoBid'!$U:$U,MATCH(A140,'Bid-NoBid'!$A:$A,0))="",LEFT(INDEX('Bid-NoBid'!$U:$U,MATCH(A140,'Bid-NoBid'!$A:$A,0)),10)="Incomplete"),"Screen: "&amp;AC140,INDEX('Bid-NoBid'!$U:$U,MATCH(A140,'Bid-NoBid'!$A:$A,0))),"Screen: "&amp;AC140))</f>
        <v/>
      </c>
      <c r="V140" s="60" t="n"/>
      <c r="W140" s="60" t="n"/>
      <c r="X140" s="60" t="n"/>
      <c r="Y140" s="60" t="n"/>
      <c r="Z140" s="60" t="n"/>
      <c r="AA140" s="65" t="n"/>
      <c r="AB140" s="66" t="n"/>
      <c r="AC140" s="66" t="n"/>
      <c r="AD140" s="66" t="n"/>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66" t="n"/>
      <c r="AJ140" s="66" t="n"/>
      <c r="AK140" s="66" t="n"/>
      <c r="AL140" s="59">
        <f>IF(AND(OR(W140="Watching",W140="Preparing"),ISNUMBER(Q140)),IF(AND(Q140&gt;='Friday Summary'!$C$4,Q140&lt;='Friday Summary'!$C$4+14),Q140+ROW()/1000000,""),"")</f>
        <v/>
      </c>
    </row>
    <row r="141" ht="15" customHeight="1" s="51">
      <c r="A141" s="59">
        <f>IF(B141="","","OP-"&amp;TEXT(ROW()-4,"000"))</f>
        <v/>
      </c>
      <c r="B141" s="60" t="n"/>
      <c r="C141" s="61" t="n"/>
      <c r="D141" s="60" t="n"/>
      <c r="E141" s="60" t="n"/>
      <c r="F141" s="60" t="n"/>
      <c r="G141" s="60" t="n"/>
      <c r="H141" s="60" t="n"/>
      <c r="I141" s="60" t="n"/>
      <c r="J141" s="60" t="n"/>
      <c r="K141" s="60" t="n"/>
      <c r="L141" s="60" t="n"/>
      <c r="M141" s="62" t="n"/>
      <c r="N141" s="60" t="n"/>
      <c r="O141" s="61" t="n"/>
      <c r="P141" s="61" t="n"/>
      <c r="Q141" s="63" t="n"/>
      <c r="R141" s="60" t="n"/>
      <c r="S141" s="60" t="n"/>
      <c r="T141" s="64">
        <f>IF(A141="","",IFERROR(INDEX('Bid-NoBid'!$T:$T,MATCH(A141,'Bid-NoBid'!$A:$A,0)),""))</f>
        <v/>
      </c>
      <c r="U141" s="59">
        <f>IF(A141="","",IFERROR(IF(OR(INDEX('Bid-NoBid'!$U:$U,MATCH(A141,'Bid-NoBid'!$A:$A,0))="",LEFT(INDEX('Bid-NoBid'!$U:$U,MATCH(A141,'Bid-NoBid'!$A:$A,0)),10)="Incomplete"),"Screen: "&amp;AC141,INDEX('Bid-NoBid'!$U:$U,MATCH(A141,'Bid-NoBid'!$A:$A,0))),"Screen: "&amp;AC141))</f>
        <v/>
      </c>
      <c r="V141" s="60" t="n"/>
      <c r="W141" s="60" t="n"/>
      <c r="X141" s="60" t="n"/>
      <c r="Y141" s="60" t="n"/>
      <c r="Z141" s="60" t="n"/>
      <c r="AA141" s="65" t="n"/>
      <c r="AB141" s="66" t="n"/>
      <c r="AC141" s="66" t="n"/>
      <c r="AD141" s="66" t="n"/>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66" t="n"/>
      <c r="AJ141" s="66" t="n"/>
      <c r="AK141" s="66" t="n"/>
      <c r="AL141" s="59">
        <f>IF(AND(OR(W141="Watching",W141="Preparing"),ISNUMBER(Q141)),IF(AND(Q141&gt;='Friday Summary'!$C$4,Q141&lt;='Friday Summary'!$C$4+14),Q141+ROW()/1000000,""),"")</f>
        <v/>
      </c>
    </row>
    <row r="142" ht="15" customHeight="1" s="51">
      <c r="A142" s="59">
        <f>IF(B142="","","OP-"&amp;TEXT(ROW()-4,"000"))</f>
        <v/>
      </c>
      <c r="B142" s="60" t="n"/>
      <c r="C142" s="61" t="n"/>
      <c r="D142" s="60" t="n"/>
      <c r="E142" s="60" t="n"/>
      <c r="F142" s="60" t="n"/>
      <c r="G142" s="60" t="n"/>
      <c r="H142" s="60" t="n"/>
      <c r="I142" s="60" t="n"/>
      <c r="J142" s="60" t="n"/>
      <c r="K142" s="60" t="n"/>
      <c r="L142" s="60" t="n"/>
      <c r="M142" s="62" t="n"/>
      <c r="N142" s="60" t="n"/>
      <c r="O142" s="61" t="n"/>
      <c r="P142" s="61" t="n"/>
      <c r="Q142" s="63" t="n"/>
      <c r="R142" s="60" t="n"/>
      <c r="S142" s="60" t="n"/>
      <c r="T142" s="64">
        <f>IF(A142="","",IFERROR(INDEX('Bid-NoBid'!$T:$T,MATCH(A142,'Bid-NoBid'!$A:$A,0)),""))</f>
        <v/>
      </c>
      <c r="U142" s="59">
        <f>IF(A142="","",IFERROR(IF(OR(INDEX('Bid-NoBid'!$U:$U,MATCH(A142,'Bid-NoBid'!$A:$A,0))="",LEFT(INDEX('Bid-NoBid'!$U:$U,MATCH(A142,'Bid-NoBid'!$A:$A,0)),10)="Incomplete"),"Screen: "&amp;AC142,INDEX('Bid-NoBid'!$U:$U,MATCH(A142,'Bid-NoBid'!$A:$A,0))),"Screen: "&amp;AC142))</f>
        <v/>
      </c>
      <c r="V142" s="60" t="n"/>
      <c r="W142" s="60" t="n"/>
      <c r="X142" s="60" t="n"/>
      <c r="Y142" s="60" t="n"/>
      <c r="Z142" s="60" t="n"/>
      <c r="AA142" s="65" t="n"/>
      <c r="AB142" s="66" t="n"/>
      <c r="AC142" s="66" t="n"/>
      <c r="AD142" s="66" t="n"/>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66" t="n"/>
      <c r="AJ142" s="66" t="n"/>
      <c r="AK142" s="66" t="n"/>
      <c r="AL142" s="59">
        <f>IF(AND(OR(W142="Watching",W142="Preparing"),ISNUMBER(Q142)),IF(AND(Q142&gt;='Friday Summary'!$C$4,Q142&lt;='Friday Summary'!$C$4+14),Q142+ROW()/1000000,""),"")</f>
        <v/>
      </c>
    </row>
    <row r="143" ht="15" customHeight="1" s="51">
      <c r="A143" s="59">
        <f>IF(B143="","","OP-"&amp;TEXT(ROW()-4,"000"))</f>
        <v/>
      </c>
      <c r="B143" s="60" t="n"/>
      <c r="C143" s="61" t="n"/>
      <c r="D143" s="60" t="n"/>
      <c r="E143" s="60" t="n"/>
      <c r="F143" s="60" t="n"/>
      <c r="G143" s="60" t="n"/>
      <c r="H143" s="60" t="n"/>
      <c r="I143" s="60" t="n"/>
      <c r="J143" s="60" t="n"/>
      <c r="K143" s="60" t="n"/>
      <c r="L143" s="60" t="n"/>
      <c r="M143" s="62" t="n"/>
      <c r="N143" s="60" t="n"/>
      <c r="O143" s="61" t="n"/>
      <c r="P143" s="61" t="n"/>
      <c r="Q143" s="63" t="n"/>
      <c r="R143" s="60" t="n"/>
      <c r="S143" s="60" t="n"/>
      <c r="T143" s="64">
        <f>IF(A143="","",IFERROR(INDEX('Bid-NoBid'!$T:$T,MATCH(A143,'Bid-NoBid'!$A:$A,0)),""))</f>
        <v/>
      </c>
      <c r="U143" s="59">
        <f>IF(A143="","",IFERROR(IF(OR(INDEX('Bid-NoBid'!$U:$U,MATCH(A143,'Bid-NoBid'!$A:$A,0))="",LEFT(INDEX('Bid-NoBid'!$U:$U,MATCH(A143,'Bid-NoBid'!$A:$A,0)),10)="Incomplete"),"Screen: "&amp;AC143,INDEX('Bid-NoBid'!$U:$U,MATCH(A143,'Bid-NoBid'!$A:$A,0))),"Screen: "&amp;AC143))</f>
        <v/>
      </c>
      <c r="V143" s="60" t="n"/>
      <c r="W143" s="60" t="n"/>
      <c r="X143" s="60" t="n"/>
      <c r="Y143" s="60" t="n"/>
      <c r="Z143" s="60" t="n"/>
      <c r="AA143" s="65" t="n"/>
      <c r="AB143" s="66" t="n"/>
      <c r="AC143" s="66" t="n"/>
      <c r="AD143" s="66" t="n"/>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66" t="n"/>
      <c r="AJ143" s="66" t="n"/>
      <c r="AK143" s="66" t="n"/>
      <c r="AL143" s="59">
        <f>IF(AND(OR(W143="Watching",W143="Preparing"),ISNUMBER(Q143)),IF(AND(Q143&gt;='Friday Summary'!$C$4,Q143&lt;='Friday Summary'!$C$4+14),Q143+ROW()/1000000,""),"")</f>
        <v/>
      </c>
    </row>
    <row r="144" ht="15" customHeight="1" s="51">
      <c r="A144" s="59">
        <f>IF(B144="","","OP-"&amp;TEXT(ROW()-4,"000"))</f>
        <v/>
      </c>
      <c r="B144" s="60" t="n"/>
      <c r="C144" s="61" t="n"/>
      <c r="D144" s="60" t="n"/>
      <c r="E144" s="60" t="n"/>
      <c r="F144" s="60" t="n"/>
      <c r="G144" s="60" t="n"/>
      <c r="H144" s="60" t="n"/>
      <c r="I144" s="60" t="n"/>
      <c r="J144" s="60" t="n"/>
      <c r="K144" s="60" t="n"/>
      <c r="L144" s="60" t="n"/>
      <c r="M144" s="62" t="n"/>
      <c r="N144" s="60" t="n"/>
      <c r="O144" s="61" t="n"/>
      <c r="P144" s="61" t="n"/>
      <c r="Q144" s="63" t="n"/>
      <c r="R144" s="60" t="n"/>
      <c r="S144" s="60" t="n"/>
      <c r="T144" s="64">
        <f>IF(A144="","",IFERROR(INDEX('Bid-NoBid'!$T:$T,MATCH(A144,'Bid-NoBid'!$A:$A,0)),""))</f>
        <v/>
      </c>
      <c r="U144" s="59">
        <f>IF(A144="","",IFERROR(IF(OR(INDEX('Bid-NoBid'!$U:$U,MATCH(A144,'Bid-NoBid'!$A:$A,0))="",LEFT(INDEX('Bid-NoBid'!$U:$U,MATCH(A144,'Bid-NoBid'!$A:$A,0)),10)="Incomplete"),"Screen: "&amp;AC144,INDEX('Bid-NoBid'!$U:$U,MATCH(A144,'Bid-NoBid'!$A:$A,0))),"Screen: "&amp;AC144))</f>
        <v/>
      </c>
      <c r="V144" s="60" t="n"/>
      <c r="W144" s="60" t="n"/>
      <c r="X144" s="60" t="n"/>
      <c r="Y144" s="60" t="n"/>
      <c r="Z144" s="60" t="n"/>
      <c r="AA144" s="65" t="n"/>
      <c r="AB144" s="66" t="n"/>
      <c r="AC144" s="66" t="n"/>
      <c r="AD144" s="66" t="n"/>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66" t="n"/>
      <c r="AJ144" s="66" t="n"/>
      <c r="AK144" s="66" t="n"/>
      <c r="AL144" s="59">
        <f>IF(AND(OR(W144="Watching",W144="Preparing"),ISNUMBER(Q144)),IF(AND(Q144&gt;='Friday Summary'!$C$4,Q144&lt;='Friday Summary'!$C$4+14),Q144+ROW()/1000000,""),"")</f>
        <v/>
      </c>
    </row>
    <row r="145" ht="15" customHeight="1" s="51">
      <c r="A145" s="59">
        <f>IF(B145="","","OP-"&amp;TEXT(ROW()-4,"000"))</f>
        <v/>
      </c>
      <c r="B145" s="60" t="n"/>
      <c r="C145" s="61" t="n"/>
      <c r="D145" s="60" t="n"/>
      <c r="E145" s="60" t="n"/>
      <c r="F145" s="60" t="n"/>
      <c r="G145" s="60" t="n"/>
      <c r="H145" s="60" t="n"/>
      <c r="I145" s="60" t="n"/>
      <c r="J145" s="60" t="n"/>
      <c r="K145" s="60" t="n"/>
      <c r="L145" s="60" t="n"/>
      <c r="M145" s="62" t="n"/>
      <c r="N145" s="60" t="n"/>
      <c r="O145" s="61" t="n"/>
      <c r="P145" s="61" t="n"/>
      <c r="Q145" s="63" t="n"/>
      <c r="R145" s="60" t="n"/>
      <c r="S145" s="60" t="n"/>
      <c r="T145" s="64">
        <f>IF(A145="","",IFERROR(INDEX('Bid-NoBid'!$T:$T,MATCH(A145,'Bid-NoBid'!$A:$A,0)),""))</f>
        <v/>
      </c>
      <c r="U145" s="59">
        <f>IF(A145="","",IFERROR(IF(OR(INDEX('Bid-NoBid'!$U:$U,MATCH(A145,'Bid-NoBid'!$A:$A,0))="",LEFT(INDEX('Bid-NoBid'!$U:$U,MATCH(A145,'Bid-NoBid'!$A:$A,0)),10)="Incomplete"),"Screen: "&amp;AC145,INDEX('Bid-NoBid'!$U:$U,MATCH(A145,'Bid-NoBid'!$A:$A,0))),"Screen: "&amp;AC145))</f>
        <v/>
      </c>
      <c r="V145" s="60" t="n"/>
      <c r="W145" s="60" t="n"/>
      <c r="X145" s="60" t="n"/>
      <c r="Y145" s="60" t="n"/>
      <c r="Z145" s="60" t="n"/>
      <c r="AA145" s="65" t="n"/>
      <c r="AB145" s="66" t="n"/>
      <c r="AC145" s="66" t="n"/>
      <c r="AD145" s="66" t="n"/>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66" t="n"/>
      <c r="AJ145" s="66" t="n"/>
      <c r="AK145" s="66" t="n"/>
      <c r="AL145" s="59">
        <f>IF(AND(OR(W145="Watching",W145="Preparing"),ISNUMBER(Q145)),IF(AND(Q145&gt;='Friday Summary'!$C$4,Q145&lt;='Friday Summary'!$C$4+14),Q145+ROW()/1000000,""),"")</f>
        <v/>
      </c>
    </row>
    <row r="146" ht="15" customHeight="1" s="51">
      <c r="A146" s="59">
        <f>IF(B146="","","OP-"&amp;TEXT(ROW()-4,"000"))</f>
        <v/>
      </c>
      <c r="B146" s="60" t="n"/>
      <c r="C146" s="61" t="n"/>
      <c r="D146" s="60" t="n"/>
      <c r="E146" s="60" t="n"/>
      <c r="F146" s="60" t="n"/>
      <c r="G146" s="60" t="n"/>
      <c r="H146" s="60" t="n"/>
      <c r="I146" s="60" t="n"/>
      <c r="J146" s="60" t="n"/>
      <c r="K146" s="60" t="n"/>
      <c r="L146" s="60" t="n"/>
      <c r="M146" s="62" t="n"/>
      <c r="N146" s="60" t="n"/>
      <c r="O146" s="61" t="n"/>
      <c r="P146" s="61" t="n"/>
      <c r="Q146" s="63" t="n"/>
      <c r="R146" s="60" t="n"/>
      <c r="S146" s="60" t="n"/>
      <c r="T146" s="64">
        <f>IF(A146="","",IFERROR(INDEX('Bid-NoBid'!$T:$T,MATCH(A146,'Bid-NoBid'!$A:$A,0)),""))</f>
        <v/>
      </c>
      <c r="U146" s="59">
        <f>IF(A146="","",IFERROR(IF(OR(INDEX('Bid-NoBid'!$U:$U,MATCH(A146,'Bid-NoBid'!$A:$A,0))="",LEFT(INDEX('Bid-NoBid'!$U:$U,MATCH(A146,'Bid-NoBid'!$A:$A,0)),10)="Incomplete"),"Screen: "&amp;AC146,INDEX('Bid-NoBid'!$U:$U,MATCH(A146,'Bid-NoBid'!$A:$A,0))),"Screen: "&amp;AC146))</f>
        <v/>
      </c>
      <c r="V146" s="60" t="n"/>
      <c r="W146" s="60" t="n"/>
      <c r="X146" s="60" t="n"/>
      <c r="Y146" s="60" t="n"/>
      <c r="Z146" s="60" t="n"/>
      <c r="AA146" s="65" t="n"/>
      <c r="AB146" s="66" t="n"/>
      <c r="AC146" s="66" t="n"/>
      <c r="AD146" s="66" t="n"/>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66" t="n"/>
      <c r="AJ146" s="66" t="n"/>
      <c r="AK146" s="66" t="n"/>
      <c r="AL146" s="59">
        <f>IF(AND(OR(W146="Watching",W146="Preparing"),ISNUMBER(Q146)),IF(AND(Q146&gt;='Friday Summary'!$C$4,Q146&lt;='Friday Summary'!$C$4+14),Q146+ROW()/1000000,""),"")</f>
        <v/>
      </c>
    </row>
    <row r="147" ht="15" customHeight="1" s="51">
      <c r="A147" s="59">
        <f>IF(B147="","","OP-"&amp;TEXT(ROW()-4,"000"))</f>
        <v/>
      </c>
      <c r="B147" s="60" t="n"/>
      <c r="C147" s="61" t="n"/>
      <c r="D147" s="60" t="n"/>
      <c r="E147" s="60" t="n"/>
      <c r="F147" s="60" t="n"/>
      <c r="G147" s="60" t="n"/>
      <c r="H147" s="60" t="n"/>
      <c r="I147" s="60" t="n"/>
      <c r="J147" s="60" t="n"/>
      <c r="K147" s="60" t="n"/>
      <c r="L147" s="60" t="n"/>
      <c r="M147" s="62" t="n"/>
      <c r="N147" s="60" t="n"/>
      <c r="O147" s="61" t="n"/>
      <c r="P147" s="61" t="n"/>
      <c r="Q147" s="63" t="n"/>
      <c r="R147" s="60" t="n"/>
      <c r="S147" s="60" t="n"/>
      <c r="T147" s="64">
        <f>IF(A147="","",IFERROR(INDEX('Bid-NoBid'!$T:$T,MATCH(A147,'Bid-NoBid'!$A:$A,0)),""))</f>
        <v/>
      </c>
      <c r="U147" s="59">
        <f>IF(A147="","",IFERROR(IF(OR(INDEX('Bid-NoBid'!$U:$U,MATCH(A147,'Bid-NoBid'!$A:$A,0))="",LEFT(INDEX('Bid-NoBid'!$U:$U,MATCH(A147,'Bid-NoBid'!$A:$A,0)),10)="Incomplete"),"Screen: "&amp;AC147,INDEX('Bid-NoBid'!$U:$U,MATCH(A147,'Bid-NoBid'!$A:$A,0))),"Screen: "&amp;AC147))</f>
        <v/>
      </c>
      <c r="V147" s="60" t="n"/>
      <c r="W147" s="60" t="n"/>
      <c r="X147" s="60" t="n"/>
      <c r="Y147" s="60" t="n"/>
      <c r="Z147" s="60" t="n"/>
      <c r="AA147" s="65" t="n"/>
      <c r="AB147" s="66" t="n"/>
      <c r="AC147" s="66" t="n"/>
      <c r="AD147" s="66" t="n"/>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66" t="n"/>
      <c r="AJ147" s="66" t="n"/>
      <c r="AK147" s="66" t="n"/>
      <c r="AL147" s="59">
        <f>IF(AND(OR(W147="Watching",W147="Preparing"),ISNUMBER(Q147)),IF(AND(Q147&gt;='Friday Summary'!$C$4,Q147&lt;='Friday Summary'!$C$4+14),Q147+ROW()/1000000,""),"")</f>
        <v/>
      </c>
    </row>
    <row r="148" ht="15" customHeight="1" s="51">
      <c r="A148" s="59">
        <f>IF(B148="","","OP-"&amp;TEXT(ROW()-4,"000"))</f>
        <v/>
      </c>
      <c r="B148" s="60" t="n"/>
      <c r="C148" s="61" t="n"/>
      <c r="D148" s="60" t="n"/>
      <c r="E148" s="60" t="n"/>
      <c r="F148" s="60" t="n"/>
      <c r="G148" s="60" t="n"/>
      <c r="H148" s="60" t="n"/>
      <c r="I148" s="60" t="n"/>
      <c r="J148" s="60" t="n"/>
      <c r="K148" s="60" t="n"/>
      <c r="L148" s="60" t="n"/>
      <c r="M148" s="62" t="n"/>
      <c r="N148" s="60" t="n"/>
      <c r="O148" s="61" t="n"/>
      <c r="P148" s="61" t="n"/>
      <c r="Q148" s="63" t="n"/>
      <c r="R148" s="60" t="n"/>
      <c r="S148" s="60" t="n"/>
      <c r="T148" s="64">
        <f>IF(A148="","",IFERROR(INDEX('Bid-NoBid'!$T:$T,MATCH(A148,'Bid-NoBid'!$A:$A,0)),""))</f>
        <v/>
      </c>
      <c r="U148" s="59">
        <f>IF(A148="","",IFERROR(IF(OR(INDEX('Bid-NoBid'!$U:$U,MATCH(A148,'Bid-NoBid'!$A:$A,0))="",LEFT(INDEX('Bid-NoBid'!$U:$U,MATCH(A148,'Bid-NoBid'!$A:$A,0)),10)="Incomplete"),"Screen: "&amp;AC148,INDEX('Bid-NoBid'!$U:$U,MATCH(A148,'Bid-NoBid'!$A:$A,0))),"Screen: "&amp;AC148))</f>
        <v/>
      </c>
      <c r="V148" s="60" t="n"/>
      <c r="W148" s="60" t="n"/>
      <c r="X148" s="60" t="n"/>
      <c r="Y148" s="60" t="n"/>
      <c r="Z148" s="60" t="n"/>
      <c r="AA148" s="65" t="n"/>
      <c r="AB148" s="66" t="n"/>
      <c r="AC148" s="66" t="n"/>
      <c r="AD148" s="66" t="n"/>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66" t="n"/>
      <c r="AJ148" s="66" t="n"/>
      <c r="AK148" s="66" t="n"/>
      <c r="AL148" s="59">
        <f>IF(AND(OR(W148="Watching",W148="Preparing"),ISNUMBER(Q148)),IF(AND(Q148&gt;='Friday Summary'!$C$4,Q148&lt;='Friday Summary'!$C$4+14),Q148+ROW()/1000000,""),"")</f>
        <v/>
      </c>
    </row>
    <row r="149" ht="15" customHeight="1" s="51">
      <c r="A149" s="59">
        <f>IF(B149="","","OP-"&amp;TEXT(ROW()-4,"000"))</f>
        <v/>
      </c>
      <c r="B149" s="60" t="n"/>
      <c r="C149" s="61" t="n"/>
      <c r="D149" s="60" t="n"/>
      <c r="E149" s="60" t="n"/>
      <c r="F149" s="60" t="n"/>
      <c r="G149" s="60" t="n"/>
      <c r="H149" s="60" t="n"/>
      <c r="I149" s="60" t="n"/>
      <c r="J149" s="60" t="n"/>
      <c r="K149" s="60" t="n"/>
      <c r="L149" s="60" t="n"/>
      <c r="M149" s="62" t="n"/>
      <c r="N149" s="60" t="n"/>
      <c r="O149" s="61" t="n"/>
      <c r="P149" s="61" t="n"/>
      <c r="Q149" s="63" t="n"/>
      <c r="R149" s="60" t="n"/>
      <c r="S149" s="60" t="n"/>
      <c r="T149" s="64">
        <f>IF(A149="","",IFERROR(INDEX('Bid-NoBid'!$T:$T,MATCH(A149,'Bid-NoBid'!$A:$A,0)),""))</f>
        <v/>
      </c>
      <c r="U149" s="59">
        <f>IF(A149="","",IFERROR(IF(OR(INDEX('Bid-NoBid'!$U:$U,MATCH(A149,'Bid-NoBid'!$A:$A,0))="",LEFT(INDEX('Bid-NoBid'!$U:$U,MATCH(A149,'Bid-NoBid'!$A:$A,0)),10)="Incomplete"),"Screen: "&amp;AC149,INDEX('Bid-NoBid'!$U:$U,MATCH(A149,'Bid-NoBid'!$A:$A,0))),"Screen: "&amp;AC149))</f>
        <v/>
      </c>
      <c r="V149" s="60" t="n"/>
      <c r="W149" s="60" t="n"/>
      <c r="X149" s="60" t="n"/>
      <c r="Y149" s="60" t="n"/>
      <c r="Z149" s="60" t="n"/>
      <c r="AA149" s="65" t="n"/>
      <c r="AB149" s="66" t="n"/>
      <c r="AC149" s="66" t="n"/>
      <c r="AD149" s="66" t="n"/>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66" t="n"/>
      <c r="AJ149" s="66" t="n"/>
      <c r="AK149" s="66" t="n"/>
      <c r="AL149" s="59">
        <f>IF(AND(OR(W149="Watching",W149="Preparing"),ISNUMBER(Q149)),IF(AND(Q149&gt;='Friday Summary'!$C$4,Q149&lt;='Friday Summary'!$C$4+14),Q149+ROW()/1000000,""),"")</f>
        <v/>
      </c>
    </row>
    <row r="150" ht="15" customHeight="1" s="51">
      <c r="A150" s="59">
        <f>IF(B150="","","OP-"&amp;TEXT(ROW()-4,"000"))</f>
        <v/>
      </c>
      <c r="B150" s="60" t="n"/>
      <c r="C150" s="61" t="n"/>
      <c r="D150" s="60" t="n"/>
      <c r="E150" s="60" t="n"/>
      <c r="F150" s="60" t="n"/>
      <c r="G150" s="60" t="n"/>
      <c r="H150" s="60" t="n"/>
      <c r="I150" s="60" t="n"/>
      <c r="J150" s="60" t="n"/>
      <c r="K150" s="60" t="n"/>
      <c r="L150" s="60" t="n"/>
      <c r="M150" s="62" t="n"/>
      <c r="N150" s="60" t="n"/>
      <c r="O150" s="61" t="n"/>
      <c r="P150" s="61" t="n"/>
      <c r="Q150" s="63" t="n"/>
      <c r="R150" s="60" t="n"/>
      <c r="S150" s="60" t="n"/>
      <c r="T150" s="64">
        <f>IF(A150="","",IFERROR(INDEX('Bid-NoBid'!$T:$T,MATCH(A150,'Bid-NoBid'!$A:$A,0)),""))</f>
        <v/>
      </c>
      <c r="U150" s="59">
        <f>IF(A150="","",IFERROR(IF(OR(INDEX('Bid-NoBid'!$U:$U,MATCH(A150,'Bid-NoBid'!$A:$A,0))="",LEFT(INDEX('Bid-NoBid'!$U:$U,MATCH(A150,'Bid-NoBid'!$A:$A,0)),10)="Incomplete"),"Screen: "&amp;AC150,INDEX('Bid-NoBid'!$U:$U,MATCH(A150,'Bid-NoBid'!$A:$A,0))),"Screen: "&amp;AC150))</f>
        <v/>
      </c>
      <c r="V150" s="60" t="n"/>
      <c r="W150" s="60" t="n"/>
      <c r="X150" s="60" t="n"/>
      <c r="Y150" s="60" t="n"/>
      <c r="Z150" s="60" t="n"/>
      <c r="AA150" s="65" t="n"/>
      <c r="AB150" s="66" t="n"/>
      <c r="AC150" s="66" t="n"/>
      <c r="AD150" s="66" t="n"/>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66" t="n"/>
      <c r="AJ150" s="66" t="n"/>
      <c r="AK150" s="66" t="n"/>
      <c r="AL150" s="59">
        <f>IF(AND(OR(W150="Watching",W150="Preparing"),ISNUMBER(Q150)),IF(AND(Q150&gt;='Friday Summary'!$C$4,Q150&lt;='Friday Summary'!$C$4+14),Q150+ROW()/1000000,""),"")</f>
        <v/>
      </c>
    </row>
    <row r="151" ht="15" customHeight="1" s="51">
      <c r="A151" s="59">
        <f>IF(B151="","","OP-"&amp;TEXT(ROW()-4,"000"))</f>
        <v/>
      </c>
      <c r="B151" s="60" t="n"/>
      <c r="C151" s="61" t="n"/>
      <c r="D151" s="60" t="n"/>
      <c r="E151" s="60" t="n"/>
      <c r="F151" s="60" t="n"/>
      <c r="G151" s="60" t="n"/>
      <c r="H151" s="60" t="n"/>
      <c r="I151" s="60" t="n"/>
      <c r="J151" s="60" t="n"/>
      <c r="K151" s="60" t="n"/>
      <c r="L151" s="60" t="n"/>
      <c r="M151" s="62" t="n"/>
      <c r="N151" s="60" t="n"/>
      <c r="O151" s="61" t="n"/>
      <c r="P151" s="61" t="n"/>
      <c r="Q151" s="63" t="n"/>
      <c r="R151" s="60" t="n"/>
      <c r="S151" s="60" t="n"/>
      <c r="T151" s="64">
        <f>IF(A151="","",IFERROR(INDEX('Bid-NoBid'!$T:$T,MATCH(A151,'Bid-NoBid'!$A:$A,0)),""))</f>
        <v/>
      </c>
      <c r="U151" s="59">
        <f>IF(A151="","",IFERROR(IF(OR(INDEX('Bid-NoBid'!$U:$U,MATCH(A151,'Bid-NoBid'!$A:$A,0))="",LEFT(INDEX('Bid-NoBid'!$U:$U,MATCH(A151,'Bid-NoBid'!$A:$A,0)),10)="Incomplete"),"Screen: "&amp;AC151,INDEX('Bid-NoBid'!$U:$U,MATCH(A151,'Bid-NoBid'!$A:$A,0))),"Screen: "&amp;AC151))</f>
        <v/>
      </c>
      <c r="V151" s="60" t="n"/>
      <c r="W151" s="60" t="n"/>
      <c r="X151" s="60" t="n"/>
      <c r="Y151" s="60" t="n"/>
      <c r="Z151" s="60" t="n"/>
      <c r="AA151" s="65" t="n"/>
      <c r="AB151" s="66" t="n"/>
      <c r="AC151" s="66" t="n"/>
      <c r="AD151" s="66" t="n"/>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66" t="n"/>
      <c r="AJ151" s="66" t="n"/>
      <c r="AK151" s="66" t="n"/>
      <c r="AL151" s="59">
        <f>IF(AND(OR(W151="Watching",W151="Preparing"),ISNUMBER(Q151)),IF(AND(Q151&gt;='Friday Summary'!$C$4,Q151&lt;='Friday Summary'!$C$4+14),Q151+ROW()/1000000,""),"")</f>
        <v/>
      </c>
    </row>
    <row r="152" ht="15" customHeight="1" s="51">
      <c r="A152" s="59">
        <f>IF(B152="","","OP-"&amp;TEXT(ROW()-4,"000"))</f>
        <v/>
      </c>
      <c r="B152" s="60" t="n"/>
      <c r="C152" s="61" t="n"/>
      <c r="D152" s="60" t="n"/>
      <c r="E152" s="60" t="n"/>
      <c r="F152" s="60" t="n"/>
      <c r="G152" s="60" t="n"/>
      <c r="H152" s="60" t="n"/>
      <c r="I152" s="60" t="n"/>
      <c r="J152" s="60" t="n"/>
      <c r="K152" s="60" t="n"/>
      <c r="L152" s="60" t="n"/>
      <c r="M152" s="62" t="n"/>
      <c r="N152" s="60" t="n"/>
      <c r="O152" s="61" t="n"/>
      <c r="P152" s="61" t="n"/>
      <c r="Q152" s="63" t="n"/>
      <c r="R152" s="60" t="n"/>
      <c r="S152" s="60" t="n"/>
      <c r="T152" s="64">
        <f>IF(A152="","",IFERROR(INDEX('Bid-NoBid'!$T:$T,MATCH(A152,'Bid-NoBid'!$A:$A,0)),""))</f>
        <v/>
      </c>
      <c r="U152" s="59">
        <f>IF(A152="","",IFERROR(IF(OR(INDEX('Bid-NoBid'!$U:$U,MATCH(A152,'Bid-NoBid'!$A:$A,0))="",LEFT(INDEX('Bid-NoBid'!$U:$U,MATCH(A152,'Bid-NoBid'!$A:$A,0)),10)="Incomplete"),"Screen: "&amp;AC152,INDEX('Bid-NoBid'!$U:$U,MATCH(A152,'Bid-NoBid'!$A:$A,0))),"Screen: "&amp;AC152))</f>
        <v/>
      </c>
      <c r="V152" s="60" t="n"/>
      <c r="W152" s="60" t="n"/>
      <c r="X152" s="60" t="n"/>
      <c r="Y152" s="60" t="n"/>
      <c r="Z152" s="60" t="n"/>
      <c r="AA152" s="65" t="n"/>
      <c r="AB152" s="66" t="n"/>
      <c r="AC152" s="66" t="n"/>
      <c r="AD152" s="66" t="n"/>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66" t="n"/>
      <c r="AJ152" s="66" t="n"/>
      <c r="AK152" s="66" t="n"/>
      <c r="AL152" s="59">
        <f>IF(AND(OR(W152="Watching",W152="Preparing"),ISNUMBER(Q152)),IF(AND(Q152&gt;='Friday Summary'!$C$4,Q152&lt;='Friday Summary'!$C$4+14),Q152+ROW()/1000000,""),"")</f>
        <v/>
      </c>
    </row>
    <row r="153" ht="15" customHeight="1" s="51">
      <c r="A153" s="59">
        <f>IF(B153="","","OP-"&amp;TEXT(ROW()-4,"000"))</f>
        <v/>
      </c>
      <c r="B153" s="60" t="n"/>
      <c r="C153" s="61" t="n"/>
      <c r="D153" s="60" t="n"/>
      <c r="E153" s="60" t="n"/>
      <c r="F153" s="60" t="n"/>
      <c r="G153" s="60" t="n"/>
      <c r="H153" s="60" t="n"/>
      <c r="I153" s="60" t="n"/>
      <c r="J153" s="60" t="n"/>
      <c r="K153" s="60" t="n"/>
      <c r="L153" s="60" t="n"/>
      <c r="M153" s="62" t="n"/>
      <c r="N153" s="60" t="n"/>
      <c r="O153" s="61" t="n"/>
      <c r="P153" s="61" t="n"/>
      <c r="Q153" s="63" t="n"/>
      <c r="R153" s="60" t="n"/>
      <c r="S153" s="60" t="n"/>
      <c r="T153" s="64">
        <f>IF(A153="","",IFERROR(INDEX('Bid-NoBid'!$T:$T,MATCH(A153,'Bid-NoBid'!$A:$A,0)),""))</f>
        <v/>
      </c>
      <c r="U153" s="59">
        <f>IF(A153="","",IFERROR(IF(OR(INDEX('Bid-NoBid'!$U:$U,MATCH(A153,'Bid-NoBid'!$A:$A,0))="",LEFT(INDEX('Bid-NoBid'!$U:$U,MATCH(A153,'Bid-NoBid'!$A:$A,0)),10)="Incomplete"),"Screen: "&amp;AC153,INDEX('Bid-NoBid'!$U:$U,MATCH(A153,'Bid-NoBid'!$A:$A,0))),"Screen: "&amp;AC153))</f>
        <v/>
      </c>
      <c r="V153" s="60" t="n"/>
      <c r="W153" s="60" t="n"/>
      <c r="X153" s="60" t="n"/>
      <c r="Y153" s="60" t="n"/>
      <c r="Z153" s="60" t="n"/>
      <c r="AA153" s="65" t="n"/>
      <c r="AB153" s="66" t="n"/>
      <c r="AC153" s="66" t="n"/>
      <c r="AD153" s="66" t="n"/>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66" t="n"/>
      <c r="AJ153" s="66" t="n"/>
      <c r="AK153" s="66" t="n"/>
      <c r="AL153" s="59">
        <f>IF(AND(OR(W153="Watching",W153="Preparing"),ISNUMBER(Q153)),IF(AND(Q153&gt;='Friday Summary'!$C$4,Q153&lt;='Friday Summary'!$C$4+14),Q153+ROW()/1000000,""),"")</f>
        <v/>
      </c>
    </row>
    <row r="154" ht="15" customHeight="1" s="51">
      <c r="A154" s="59">
        <f>IF(B154="","","OP-"&amp;TEXT(ROW()-4,"000"))</f>
        <v/>
      </c>
      <c r="B154" s="60" t="n"/>
      <c r="C154" s="61" t="n"/>
      <c r="D154" s="60" t="n"/>
      <c r="E154" s="60" t="n"/>
      <c r="F154" s="60" t="n"/>
      <c r="G154" s="60" t="n"/>
      <c r="H154" s="60" t="n"/>
      <c r="I154" s="60" t="n"/>
      <c r="J154" s="60" t="n"/>
      <c r="K154" s="60" t="n"/>
      <c r="L154" s="60" t="n"/>
      <c r="M154" s="62" t="n"/>
      <c r="N154" s="60" t="n"/>
      <c r="O154" s="61" t="n"/>
      <c r="P154" s="61" t="n"/>
      <c r="Q154" s="63" t="n"/>
      <c r="R154" s="60" t="n"/>
      <c r="S154" s="60" t="n"/>
      <c r="T154" s="64">
        <f>IF(A154="","",IFERROR(INDEX('Bid-NoBid'!$T:$T,MATCH(A154,'Bid-NoBid'!$A:$A,0)),""))</f>
        <v/>
      </c>
      <c r="U154" s="59">
        <f>IF(A154="","",IFERROR(IF(OR(INDEX('Bid-NoBid'!$U:$U,MATCH(A154,'Bid-NoBid'!$A:$A,0))="",LEFT(INDEX('Bid-NoBid'!$U:$U,MATCH(A154,'Bid-NoBid'!$A:$A,0)),10)="Incomplete"),"Screen: "&amp;AC154,INDEX('Bid-NoBid'!$U:$U,MATCH(A154,'Bid-NoBid'!$A:$A,0))),"Screen: "&amp;AC154))</f>
        <v/>
      </c>
      <c r="V154" s="60" t="n"/>
      <c r="W154" s="60" t="n"/>
      <c r="X154" s="60" t="n"/>
      <c r="Y154" s="60" t="n"/>
      <c r="Z154" s="60" t="n"/>
      <c r="AA154" s="65" t="n"/>
      <c r="AB154" s="66" t="n"/>
      <c r="AC154" s="66" t="n"/>
      <c r="AD154" s="66" t="n"/>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66" t="n"/>
      <c r="AJ154" s="66" t="n"/>
      <c r="AK154" s="66" t="n"/>
      <c r="AL154" s="59">
        <f>IF(AND(OR(W154="Watching",W154="Preparing"),ISNUMBER(Q154)),IF(AND(Q154&gt;='Friday Summary'!$C$4,Q154&lt;='Friday Summary'!$C$4+14),Q154+ROW()/1000000,""),"")</f>
        <v/>
      </c>
    </row>
    <row r="155" ht="15" customHeight="1" s="51">
      <c r="A155" s="59">
        <f>IF(B155="","","OP-"&amp;TEXT(ROW()-4,"000"))</f>
        <v/>
      </c>
      <c r="B155" s="60" t="n"/>
      <c r="C155" s="61" t="n"/>
      <c r="D155" s="60" t="n"/>
      <c r="E155" s="60" t="n"/>
      <c r="F155" s="60" t="n"/>
      <c r="G155" s="60" t="n"/>
      <c r="H155" s="60" t="n"/>
      <c r="I155" s="60" t="n"/>
      <c r="J155" s="60" t="n"/>
      <c r="K155" s="60" t="n"/>
      <c r="L155" s="60" t="n"/>
      <c r="M155" s="62" t="n"/>
      <c r="N155" s="60" t="n"/>
      <c r="O155" s="61" t="n"/>
      <c r="P155" s="61" t="n"/>
      <c r="Q155" s="63" t="n"/>
      <c r="R155" s="60" t="n"/>
      <c r="S155" s="60" t="n"/>
      <c r="T155" s="64">
        <f>IF(A155="","",IFERROR(INDEX('Bid-NoBid'!$T:$T,MATCH(A155,'Bid-NoBid'!$A:$A,0)),""))</f>
        <v/>
      </c>
      <c r="U155" s="59">
        <f>IF(A155="","",IFERROR(IF(OR(INDEX('Bid-NoBid'!$U:$U,MATCH(A155,'Bid-NoBid'!$A:$A,0))="",LEFT(INDEX('Bid-NoBid'!$U:$U,MATCH(A155,'Bid-NoBid'!$A:$A,0)),10)="Incomplete"),"Screen: "&amp;AC155,INDEX('Bid-NoBid'!$U:$U,MATCH(A155,'Bid-NoBid'!$A:$A,0))),"Screen: "&amp;AC155))</f>
        <v/>
      </c>
      <c r="V155" s="60" t="n"/>
      <c r="W155" s="60" t="n"/>
      <c r="X155" s="60" t="n"/>
      <c r="Y155" s="60" t="n"/>
      <c r="Z155" s="60" t="n"/>
      <c r="AA155" s="65" t="n"/>
      <c r="AB155" s="66" t="n"/>
      <c r="AC155" s="66" t="n"/>
      <c r="AD155" s="66" t="n"/>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66" t="n"/>
      <c r="AJ155" s="66" t="n"/>
      <c r="AK155" s="66" t="n"/>
      <c r="AL155" s="59">
        <f>IF(AND(OR(W155="Watching",W155="Preparing"),ISNUMBER(Q155)),IF(AND(Q155&gt;='Friday Summary'!$C$4,Q155&lt;='Friday Summary'!$C$4+14),Q155+ROW()/1000000,""),"")</f>
        <v/>
      </c>
    </row>
    <row r="156" ht="15" customHeight="1" s="51">
      <c r="A156" s="59">
        <f>IF(B156="","","OP-"&amp;TEXT(ROW()-4,"000"))</f>
        <v/>
      </c>
      <c r="B156" s="60" t="n"/>
      <c r="C156" s="61" t="n"/>
      <c r="D156" s="60" t="n"/>
      <c r="E156" s="60" t="n"/>
      <c r="F156" s="60" t="n"/>
      <c r="G156" s="60" t="n"/>
      <c r="H156" s="60" t="n"/>
      <c r="I156" s="60" t="n"/>
      <c r="J156" s="60" t="n"/>
      <c r="K156" s="60" t="n"/>
      <c r="L156" s="60" t="n"/>
      <c r="M156" s="62" t="n"/>
      <c r="N156" s="60" t="n"/>
      <c r="O156" s="61" t="n"/>
      <c r="P156" s="61" t="n"/>
      <c r="Q156" s="63" t="n"/>
      <c r="R156" s="60" t="n"/>
      <c r="S156" s="60" t="n"/>
      <c r="T156" s="64">
        <f>IF(A156="","",IFERROR(INDEX('Bid-NoBid'!$T:$T,MATCH(A156,'Bid-NoBid'!$A:$A,0)),""))</f>
        <v/>
      </c>
      <c r="U156" s="59">
        <f>IF(A156="","",IFERROR(IF(OR(INDEX('Bid-NoBid'!$U:$U,MATCH(A156,'Bid-NoBid'!$A:$A,0))="",LEFT(INDEX('Bid-NoBid'!$U:$U,MATCH(A156,'Bid-NoBid'!$A:$A,0)),10)="Incomplete"),"Screen: "&amp;AC156,INDEX('Bid-NoBid'!$U:$U,MATCH(A156,'Bid-NoBid'!$A:$A,0))),"Screen: "&amp;AC156))</f>
        <v/>
      </c>
      <c r="V156" s="60" t="n"/>
      <c r="W156" s="60" t="n"/>
      <c r="X156" s="60" t="n"/>
      <c r="Y156" s="60" t="n"/>
      <c r="Z156" s="60" t="n"/>
      <c r="AA156" s="65" t="n"/>
      <c r="AB156" s="66" t="n"/>
      <c r="AC156" s="66" t="n"/>
      <c r="AD156" s="66" t="n"/>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66" t="n"/>
      <c r="AJ156" s="66" t="n"/>
      <c r="AK156" s="66" t="n"/>
      <c r="AL156" s="59">
        <f>IF(AND(OR(W156="Watching",W156="Preparing"),ISNUMBER(Q156)),IF(AND(Q156&gt;='Friday Summary'!$C$4,Q156&lt;='Friday Summary'!$C$4+14),Q156+ROW()/1000000,""),"")</f>
        <v/>
      </c>
    </row>
    <row r="157" ht="15" customHeight="1" s="51">
      <c r="A157" s="59">
        <f>IF(B157="","","OP-"&amp;TEXT(ROW()-4,"000"))</f>
        <v/>
      </c>
      <c r="B157" s="60" t="n"/>
      <c r="C157" s="61" t="n"/>
      <c r="D157" s="60" t="n"/>
      <c r="E157" s="60" t="n"/>
      <c r="F157" s="60" t="n"/>
      <c r="G157" s="60" t="n"/>
      <c r="H157" s="60" t="n"/>
      <c r="I157" s="60" t="n"/>
      <c r="J157" s="60" t="n"/>
      <c r="K157" s="60" t="n"/>
      <c r="L157" s="60" t="n"/>
      <c r="M157" s="62" t="n"/>
      <c r="N157" s="60" t="n"/>
      <c r="O157" s="61" t="n"/>
      <c r="P157" s="61" t="n"/>
      <c r="Q157" s="63" t="n"/>
      <c r="R157" s="60" t="n"/>
      <c r="S157" s="60" t="n"/>
      <c r="T157" s="64">
        <f>IF(A157="","",IFERROR(INDEX('Bid-NoBid'!$T:$T,MATCH(A157,'Bid-NoBid'!$A:$A,0)),""))</f>
        <v/>
      </c>
      <c r="U157" s="59">
        <f>IF(A157="","",IFERROR(IF(OR(INDEX('Bid-NoBid'!$U:$U,MATCH(A157,'Bid-NoBid'!$A:$A,0))="",LEFT(INDEX('Bid-NoBid'!$U:$U,MATCH(A157,'Bid-NoBid'!$A:$A,0)),10)="Incomplete"),"Screen: "&amp;AC157,INDEX('Bid-NoBid'!$U:$U,MATCH(A157,'Bid-NoBid'!$A:$A,0))),"Screen: "&amp;AC157))</f>
        <v/>
      </c>
      <c r="V157" s="60" t="n"/>
      <c r="W157" s="60" t="n"/>
      <c r="X157" s="60" t="n"/>
      <c r="Y157" s="60" t="n"/>
      <c r="Z157" s="60" t="n"/>
      <c r="AA157" s="65" t="n"/>
      <c r="AB157" s="66" t="n"/>
      <c r="AC157" s="66" t="n"/>
      <c r="AD157" s="66" t="n"/>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66" t="n"/>
      <c r="AJ157" s="66" t="n"/>
      <c r="AK157" s="66" t="n"/>
      <c r="AL157" s="59">
        <f>IF(AND(OR(W157="Watching",W157="Preparing"),ISNUMBER(Q157)),IF(AND(Q157&gt;='Friday Summary'!$C$4,Q157&lt;='Friday Summary'!$C$4+14),Q157+ROW()/1000000,""),"")</f>
        <v/>
      </c>
    </row>
    <row r="158" ht="15" customHeight="1" s="51">
      <c r="A158" s="59">
        <f>IF(B158="","","OP-"&amp;TEXT(ROW()-4,"000"))</f>
        <v/>
      </c>
      <c r="B158" s="60" t="n"/>
      <c r="C158" s="61" t="n"/>
      <c r="D158" s="60" t="n"/>
      <c r="E158" s="60" t="n"/>
      <c r="F158" s="60" t="n"/>
      <c r="G158" s="60" t="n"/>
      <c r="H158" s="60" t="n"/>
      <c r="I158" s="60" t="n"/>
      <c r="J158" s="60" t="n"/>
      <c r="K158" s="60" t="n"/>
      <c r="L158" s="60" t="n"/>
      <c r="M158" s="62" t="n"/>
      <c r="N158" s="60" t="n"/>
      <c r="O158" s="61" t="n"/>
      <c r="P158" s="61" t="n"/>
      <c r="Q158" s="63" t="n"/>
      <c r="R158" s="60" t="n"/>
      <c r="S158" s="60" t="n"/>
      <c r="T158" s="64">
        <f>IF(A158="","",IFERROR(INDEX('Bid-NoBid'!$T:$T,MATCH(A158,'Bid-NoBid'!$A:$A,0)),""))</f>
        <v/>
      </c>
      <c r="U158" s="59">
        <f>IF(A158="","",IFERROR(IF(OR(INDEX('Bid-NoBid'!$U:$U,MATCH(A158,'Bid-NoBid'!$A:$A,0))="",LEFT(INDEX('Bid-NoBid'!$U:$U,MATCH(A158,'Bid-NoBid'!$A:$A,0)),10)="Incomplete"),"Screen: "&amp;AC158,INDEX('Bid-NoBid'!$U:$U,MATCH(A158,'Bid-NoBid'!$A:$A,0))),"Screen: "&amp;AC158))</f>
        <v/>
      </c>
      <c r="V158" s="60" t="n"/>
      <c r="W158" s="60" t="n"/>
      <c r="X158" s="60" t="n"/>
      <c r="Y158" s="60" t="n"/>
      <c r="Z158" s="60" t="n"/>
      <c r="AA158" s="65" t="n"/>
      <c r="AB158" s="66" t="n"/>
      <c r="AC158" s="66" t="n"/>
      <c r="AD158" s="66" t="n"/>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66" t="n"/>
      <c r="AJ158" s="66" t="n"/>
      <c r="AK158" s="66" t="n"/>
      <c r="AL158" s="59">
        <f>IF(AND(OR(W158="Watching",W158="Preparing"),ISNUMBER(Q158)),IF(AND(Q158&gt;='Friday Summary'!$C$4,Q158&lt;='Friday Summary'!$C$4+14),Q158+ROW()/1000000,""),"")</f>
        <v/>
      </c>
    </row>
    <row r="159" ht="15" customHeight="1" s="51">
      <c r="A159" s="59">
        <f>IF(B159="","","OP-"&amp;TEXT(ROW()-4,"000"))</f>
        <v/>
      </c>
      <c r="B159" s="60" t="n"/>
      <c r="C159" s="61" t="n"/>
      <c r="D159" s="60" t="n"/>
      <c r="E159" s="60" t="n"/>
      <c r="F159" s="60" t="n"/>
      <c r="G159" s="60" t="n"/>
      <c r="H159" s="60" t="n"/>
      <c r="I159" s="60" t="n"/>
      <c r="J159" s="60" t="n"/>
      <c r="K159" s="60" t="n"/>
      <c r="L159" s="60" t="n"/>
      <c r="M159" s="62" t="n"/>
      <c r="N159" s="60" t="n"/>
      <c r="O159" s="61" t="n"/>
      <c r="P159" s="61" t="n"/>
      <c r="Q159" s="63" t="n"/>
      <c r="R159" s="60" t="n"/>
      <c r="S159" s="60" t="n"/>
      <c r="T159" s="64">
        <f>IF(A159="","",IFERROR(INDEX('Bid-NoBid'!$T:$T,MATCH(A159,'Bid-NoBid'!$A:$A,0)),""))</f>
        <v/>
      </c>
      <c r="U159" s="59">
        <f>IF(A159="","",IFERROR(IF(OR(INDEX('Bid-NoBid'!$U:$U,MATCH(A159,'Bid-NoBid'!$A:$A,0))="",LEFT(INDEX('Bid-NoBid'!$U:$U,MATCH(A159,'Bid-NoBid'!$A:$A,0)),10)="Incomplete"),"Screen: "&amp;AC159,INDEX('Bid-NoBid'!$U:$U,MATCH(A159,'Bid-NoBid'!$A:$A,0))),"Screen: "&amp;AC159))</f>
        <v/>
      </c>
      <c r="V159" s="60" t="n"/>
      <c r="W159" s="60" t="n"/>
      <c r="X159" s="60" t="n"/>
      <c r="Y159" s="60" t="n"/>
      <c r="Z159" s="60" t="n"/>
      <c r="AA159" s="65" t="n"/>
      <c r="AB159" s="66" t="n"/>
      <c r="AC159" s="66" t="n"/>
      <c r="AD159" s="66" t="n"/>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66" t="n"/>
      <c r="AJ159" s="66" t="n"/>
      <c r="AK159" s="66" t="n"/>
      <c r="AL159" s="59">
        <f>IF(AND(OR(W159="Watching",W159="Preparing"),ISNUMBER(Q159)),IF(AND(Q159&gt;='Friday Summary'!$C$4,Q159&lt;='Friday Summary'!$C$4+14),Q159+ROW()/1000000,""),"")</f>
        <v/>
      </c>
    </row>
    <row r="160" ht="15" customHeight="1" s="51">
      <c r="A160" s="59">
        <f>IF(B160="","","OP-"&amp;TEXT(ROW()-4,"000"))</f>
        <v/>
      </c>
      <c r="B160" s="60" t="n"/>
      <c r="C160" s="61" t="n"/>
      <c r="D160" s="60" t="n"/>
      <c r="E160" s="60" t="n"/>
      <c r="F160" s="60" t="n"/>
      <c r="G160" s="60" t="n"/>
      <c r="H160" s="60" t="n"/>
      <c r="I160" s="60" t="n"/>
      <c r="J160" s="60" t="n"/>
      <c r="K160" s="60" t="n"/>
      <c r="L160" s="60" t="n"/>
      <c r="M160" s="62" t="n"/>
      <c r="N160" s="60" t="n"/>
      <c r="O160" s="61" t="n"/>
      <c r="P160" s="61" t="n"/>
      <c r="Q160" s="63" t="n"/>
      <c r="R160" s="60" t="n"/>
      <c r="S160" s="60" t="n"/>
      <c r="T160" s="64">
        <f>IF(A160="","",IFERROR(INDEX('Bid-NoBid'!$T:$T,MATCH(A160,'Bid-NoBid'!$A:$A,0)),""))</f>
        <v/>
      </c>
      <c r="U160" s="59">
        <f>IF(A160="","",IFERROR(IF(OR(INDEX('Bid-NoBid'!$U:$U,MATCH(A160,'Bid-NoBid'!$A:$A,0))="",LEFT(INDEX('Bid-NoBid'!$U:$U,MATCH(A160,'Bid-NoBid'!$A:$A,0)),10)="Incomplete"),"Screen: "&amp;AC160,INDEX('Bid-NoBid'!$U:$U,MATCH(A160,'Bid-NoBid'!$A:$A,0))),"Screen: "&amp;AC160))</f>
        <v/>
      </c>
      <c r="V160" s="60" t="n"/>
      <c r="W160" s="60" t="n"/>
      <c r="X160" s="60" t="n"/>
      <c r="Y160" s="60" t="n"/>
      <c r="Z160" s="60" t="n"/>
      <c r="AA160" s="65" t="n"/>
      <c r="AB160" s="66" t="n"/>
      <c r="AC160" s="66" t="n"/>
      <c r="AD160" s="66" t="n"/>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66" t="n"/>
      <c r="AJ160" s="66" t="n"/>
      <c r="AK160" s="66" t="n"/>
      <c r="AL160" s="59">
        <f>IF(AND(OR(W160="Watching",W160="Preparing"),ISNUMBER(Q160)),IF(AND(Q160&gt;='Friday Summary'!$C$4,Q160&lt;='Friday Summary'!$C$4+14),Q160+ROW()/1000000,""),"")</f>
        <v/>
      </c>
    </row>
    <row r="161" ht="15" customHeight="1" s="51">
      <c r="A161" s="59">
        <f>IF(B161="","","OP-"&amp;TEXT(ROW()-4,"000"))</f>
        <v/>
      </c>
      <c r="B161" s="60" t="n"/>
      <c r="C161" s="61" t="n"/>
      <c r="D161" s="60" t="n"/>
      <c r="E161" s="60" t="n"/>
      <c r="F161" s="60" t="n"/>
      <c r="G161" s="60" t="n"/>
      <c r="H161" s="60" t="n"/>
      <c r="I161" s="60" t="n"/>
      <c r="J161" s="60" t="n"/>
      <c r="K161" s="60" t="n"/>
      <c r="L161" s="60" t="n"/>
      <c r="M161" s="62" t="n"/>
      <c r="N161" s="60" t="n"/>
      <c r="O161" s="61" t="n"/>
      <c r="P161" s="61" t="n"/>
      <c r="Q161" s="63" t="n"/>
      <c r="R161" s="60" t="n"/>
      <c r="S161" s="60" t="n"/>
      <c r="T161" s="64">
        <f>IF(A161="","",IFERROR(INDEX('Bid-NoBid'!$T:$T,MATCH(A161,'Bid-NoBid'!$A:$A,0)),""))</f>
        <v/>
      </c>
      <c r="U161" s="59">
        <f>IF(A161="","",IFERROR(IF(OR(INDEX('Bid-NoBid'!$U:$U,MATCH(A161,'Bid-NoBid'!$A:$A,0))="",LEFT(INDEX('Bid-NoBid'!$U:$U,MATCH(A161,'Bid-NoBid'!$A:$A,0)),10)="Incomplete"),"Screen: "&amp;AC161,INDEX('Bid-NoBid'!$U:$U,MATCH(A161,'Bid-NoBid'!$A:$A,0))),"Screen: "&amp;AC161))</f>
        <v/>
      </c>
      <c r="V161" s="60" t="n"/>
      <c r="W161" s="60" t="n"/>
      <c r="X161" s="60" t="n"/>
      <c r="Y161" s="60" t="n"/>
      <c r="Z161" s="60" t="n"/>
      <c r="AA161" s="65" t="n"/>
      <c r="AB161" s="66" t="n"/>
      <c r="AC161" s="66" t="n"/>
      <c r="AD161" s="66" t="n"/>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66" t="n"/>
      <c r="AJ161" s="66" t="n"/>
      <c r="AK161" s="66" t="n"/>
      <c r="AL161" s="59">
        <f>IF(AND(OR(W161="Watching",W161="Preparing"),ISNUMBER(Q161)),IF(AND(Q161&gt;='Friday Summary'!$C$4,Q161&lt;='Friday Summary'!$C$4+14),Q161+ROW()/1000000,""),"")</f>
        <v/>
      </c>
    </row>
    <row r="162" ht="15" customHeight="1" s="51">
      <c r="A162" s="59">
        <f>IF(B162="","","OP-"&amp;TEXT(ROW()-4,"000"))</f>
        <v/>
      </c>
      <c r="B162" s="60" t="n"/>
      <c r="C162" s="61" t="n"/>
      <c r="D162" s="60" t="n"/>
      <c r="E162" s="60" t="n"/>
      <c r="F162" s="60" t="n"/>
      <c r="G162" s="60" t="n"/>
      <c r="H162" s="60" t="n"/>
      <c r="I162" s="60" t="n"/>
      <c r="J162" s="60" t="n"/>
      <c r="K162" s="60" t="n"/>
      <c r="L162" s="60" t="n"/>
      <c r="M162" s="62" t="n"/>
      <c r="N162" s="60" t="n"/>
      <c r="O162" s="61" t="n"/>
      <c r="P162" s="61" t="n"/>
      <c r="Q162" s="63" t="n"/>
      <c r="R162" s="60" t="n"/>
      <c r="S162" s="60" t="n"/>
      <c r="T162" s="64">
        <f>IF(A162="","",IFERROR(INDEX('Bid-NoBid'!$T:$T,MATCH(A162,'Bid-NoBid'!$A:$A,0)),""))</f>
        <v/>
      </c>
      <c r="U162" s="59">
        <f>IF(A162="","",IFERROR(IF(OR(INDEX('Bid-NoBid'!$U:$U,MATCH(A162,'Bid-NoBid'!$A:$A,0))="",LEFT(INDEX('Bid-NoBid'!$U:$U,MATCH(A162,'Bid-NoBid'!$A:$A,0)),10)="Incomplete"),"Screen: "&amp;AC162,INDEX('Bid-NoBid'!$U:$U,MATCH(A162,'Bid-NoBid'!$A:$A,0))),"Screen: "&amp;AC162))</f>
        <v/>
      </c>
      <c r="V162" s="60" t="n"/>
      <c r="W162" s="60" t="n"/>
      <c r="X162" s="60" t="n"/>
      <c r="Y162" s="60" t="n"/>
      <c r="Z162" s="60" t="n"/>
      <c r="AA162" s="65" t="n"/>
      <c r="AB162" s="66" t="n"/>
      <c r="AC162" s="66" t="n"/>
      <c r="AD162" s="66" t="n"/>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66" t="n"/>
      <c r="AJ162" s="66" t="n"/>
      <c r="AK162" s="66" t="n"/>
      <c r="AL162" s="59">
        <f>IF(AND(OR(W162="Watching",W162="Preparing"),ISNUMBER(Q162)),IF(AND(Q162&gt;='Friday Summary'!$C$4,Q162&lt;='Friday Summary'!$C$4+14),Q162+ROW()/1000000,""),"")</f>
        <v/>
      </c>
    </row>
    <row r="163" ht="15" customHeight="1" s="51">
      <c r="A163" s="59">
        <f>IF(B163="","","OP-"&amp;TEXT(ROW()-4,"000"))</f>
        <v/>
      </c>
      <c r="B163" s="60" t="n"/>
      <c r="C163" s="61" t="n"/>
      <c r="D163" s="60" t="n"/>
      <c r="E163" s="60" t="n"/>
      <c r="F163" s="60" t="n"/>
      <c r="G163" s="60" t="n"/>
      <c r="H163" s="60" t="n"/>
      <c r="I163" s="60" t="n"/>
      <c r="J163" s="60" t="n"/>
      <c r="K163" s="60" t="n"/>
      <c r="L163" s="60" t="n"/>
      <c r="M163" s="62" t="n"/>
      <c r="N163" s="60" t="n"/>
      <c r="O163" s="61" t="n"/>
      <c r="P163" s="61" t="n"/>
      <c r="Q163" s="63" t="n"/>
      <c r="R163" s="60" t="n"/>
      <c r="S163" s="60" t="n"/>
      <c r="T163" s="64">
        <f>IF(A163="","",IFERROR(INDEX('Bid-NoBid'!$T:$T,MATCH(A163,'Bid-NoBid'!$A:$A,0)),""))</f>
        <v/>
      </c>
      <c r="U163" s="59">
        <f>IF(A163="","",IFERROR(IF(OR(INDEX('Bid-NoBid'!$U:$U,MATCH(A163,'Bid-NoBid'!$A:$A,0))="",LEFT(INDEX('Bid-NoBid'!$U:$U,MATCH(A163,'Bid-NoBid'!$A:$A,0)),10)="Incomplete"),"Screen: "&amp;AC163,INDEX('Bid-NoBid'!$U:$U,MATCH(A163,'Bid-NoBid'!$A:$A,0))),"Screen: "&amp;AC163))</f>
        <v/>
      </c>
      <c r="V163" s="60" t="n"/>
      <c r="W163" s="60" t="n"/>
      <c r="X163" s="60" t="n"/>
      <c r="Y163" s="60" t="n"/>
      <c r="Z163" s="60" t="n"/>
      <c r="AA163" s="65" t="n"/>
      <c r="AB163" s="66" t="n"/>
      <c r="AC163" s="66" t="n"/>
      <c r="AD163" s="66" t="n"/>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66" t="n"/>
      <c r="AJ163" s="66" t="n"/>
      <c r="AK163" s="66" t="n"/>
      <c r="AL163" s="59">
        <f>IF(AND(OR(W163="Watching",W163="Preparing"),ISNUMBER(Q163)),IF(AND(Q163&gt;='Friday Summary'!$C$4,Q163&lt;='Friday Summary'!$C$4+14),Q163+ROW()/1000000,""),"")</f>
        <v/>
      </c>
    </row>
    <row r="164" ht="15" customHeight="1" s="51">
      <c r="A164" s="59">
        <f>IF(B164="","","OP-"&amp;TEXT(ROW()-4,"000"))</f>
        <v/>
      </c>
      <c r="B164" s="60" t="n"/>
      <c r="C164" s="61" t="n"/>
      <c r="D164" s="60" t="n"/>
      <c r="E164" s="60" t="n"/>
      <c r="F164" s="60" t="n"/>
      <c r="G164" s="60" t="n"/>
      <c r="H164" s="60" t="n"/>
      <c r="I164" s="60" t="n"/>
      <c r="J164" s="60" t="n"/>
      <c r="K164" s="60" t="n"/>
      <c r="L164" s="60" t="n"/>
      <c r="M164" s="62" t="n"/>
      <c r="N164" s="60" t="n"/>
      <c r="O164" s="61" t="n"/>
      <c r="P164" s="61" t="n"/>
      <c r="Q164" s="63" t="n"/>
      <c r="R164" s="60" t="n"/>
      <c r="S164" s="60" t="n"/>
      <c r="T164" s="64">
        <f>IF(A164="","",IFERROR(INDEX('Bid-NoBid'!$T:$T,MATCH(A164,'Bid-NoBid'!$A:$A,0)),""))</f>
        <v/>
      </c>
      <c r="U164" s="59">
        <f>IF(A164="","",IFERROR(IF(OR(INDEX('Bid-NoBid'!$U:$U,MATCH(A164,'Bid-NoBid'!$A:$A,0))="",LEFT(INDEX('Bid-NoBid'!$U:$U,MATCH(A164,'Bid-NoBid'!$A:$A,0)),10)="Incomplete"),"Screen: "&amp;AC164,INDEX('Bid-NoBid'!$U:$U,MATCH(A164,'Bid-NoBid'!$A:$A,0))),"Screen: "&amp;AC164))</f>
        <v/>
      </c>
      <c r="V164" s="60" t="n"/>
      <c r="W164" s="60" t="n"/>
      <c r="X164" s="60" t="n"/>
      <c r="Y164" s="60" t="n"/>
      <c r="Z164" s="60" t="n"/>
      <c r="AA164" s="65" t="n"/>
      <c r="AB164" s="66" t="n"/>
      <c r="AC164" s="66" t="n"/>
      <c r="AD164" s="66" t="n"/>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66" t="n"/>
      <c r="AJ164" s="66" t="n"/>
      <c r="AK164" s="66" t="n"/>
      <c r="AL164" s="59">
        <f>IF(AND(OR(W164="Watching",W164="Preparing"),ISNUMBER(Q164)),IF(AND(Q164&gt;='Friday Summary'!$C$4,Q164&lt;='Friday Summary'!$C$4+14),Q164+ROW()/1000000,""),"")</f>
        <v/>
      </c>
    </row>
    <row r="165" ht="15" customHeight="1" s="51">
      <c r="A165" s="59">
        <f>IF(B165="","","OP-"&amp;TEXT(ROW()-4,"000"))</f>
        <v/>
      </c>
      <c r="B165" s="60" t="n"/>
      <c r="C165" s="61" t="n"/>
      <c r="D165" s="60" t="n"/>
      <c r="E165" s="60" t="n"/>
      <c r="F165" s="60" t="n"/>
      <c r="G165" s="60" t="n"/>
      <c r="H165" s="60" t="n"/>
      <c r="I165" s="60" t="n"/>
      <c r="J165" s="60" t="n"/>
      <c r="K165" s="60" t="n"/>
      <c r="L165" s="60" t="n"/>
      <c r="M165" s="62" t="n"/>
      <c r="N165" s="60" t="n"/>
      <c r="O165" s="61" t="n"/>
      <c r="P165" s="61" t="n"/>
      <c r="Q165" s="63" t="n"/>
      <c r="R165" s="60" t="n"/>
      <c r="S165" s="60" t="n"/>
      <c r="T165" s="64">
        <f>IF(A165="","",IFERROR(INDEX('Bid-NoBid'!$T:$T,MATCH(A165,'Bid-NoBid'!$A:$A,0)),""))</f>
        <v/>
      </c>
      <c r="U165" s="59">
        <f>IF(A165="","",IFERROR(IF(OR(INDEX('Bid-NoBid'!$U:$U,MATCH(A165,'Bid-NoBid'!$A:$A,0))="",LEFT(INDEX('Bid-NoBid'!$U:$U,MATCH(A165,'Bid-NoBid'!$A:$A,0)),10)="Incomplete"),"Screen: "&amp;AC165,INDEX('Bid-NoBid'!$U:$U,MATCH(A165,'Bid-NoBid'!$A:$A,0))),"Screen: "&amp;AC165))</f>
        <v/>
      </c>
      <c r="V165" s="60" t="n"/>
      <c r="W165" s="60" t="n"/>
      <c r="X165" s="60" t="n"/>
      <c r="Y165" s="60" t="n"/>
      <c r="Z165" s="60" t="n"/>
      <c r="AA165" s="65" t="n"/>
      <c r="AB165" s="66" t="n"/>
      <c r="AC165" s="66" t="n"/>
      <c r="AD165" s="66" t="n"/>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66" t="n"/>
      <c r="AJ165" s="66" t="n"/>
      <c r="AK165" s="66" t="n"/>
      <c r="AL165" s="59">
        <f>IF(AND(OR(W165="Watching",W165="Preparing"),ISNUMBER(Q165)),IF(AND(Q165&gt;='Friday Summary'!$C$4,Q165&lt;='Friday Summary'!$C$4+14),Q165+ROW()/1000000,""),"")</f>
        <v/>
      </c>
    </row>
    <row r="166" ht="15" customHeight="1" s="51">
      <c r="A166" s="59">
        <f>IF(B166="","","OP-"&amp;TEXT(ROW()-4,"000"))</f>
        <v/>
      </c>
      <c r="B166" s="60" t="n"/>
      <c r="C166" s="61" t="n"/>
      <c r="D166" s="60" t="n"/>
      <c r="E166" s="60" t="n"/>
      <c r="F166" s="60" t="n"/>
      <c r="G166" s="60" t="n"/>
      <c r="H166" s="60" t="n"/>
      <c r="I166" s="60" t="n"/>
      <c r="J166" s="60" t="n"/>
      <c r="K166" s="60" t="n"/>
      <c r="L166" s="60" t="n"/>
      <c r="M166" s="62" t="n"/>
      <c r="N166" s="60" t="n"/>
      <c r="O166" s="61" t="n"/>
      <c r="P166" s="61" t="n"/>
      <c r="Q166" s="63" t="n"/>
      <c r="R166" s="60" t="n"/>
      <c r="S166" s="60" t="n"/>
      <c r="T166" s="64">
        <f>IF(A166="","",IFERROR(INDEX('Bid-NoBid'!$T:$T,MATCH(A166,'Bid-NoBid'!$A:$A,0)),""))</f>
        <v/>
      </c>
      <c r="U166" s="59">
        <f>IF(A166="","",IFERROR(IF(OR(INDEX('Bid-NoBid'!$U:$U,MATCH(A166,'Bid-NoBid'!$A:$A,0))="",LEFT(INDEX('Bid-NoBid'!$U:$U,MATCH(A166,'Bid-NoBid'!$A:$A,0)),10)="Incomplete"),"Screen: "&amp;AC166,INDEX('Bid-NoBid'!$U:$U,MATCH(A166,'Bid-NoBid'!$A:$A,0))),"Screen: "&amp;AC166))</f>
        <v/>
      </c>
      <c r="V166" s="60" t="n"/>
      <c r="W166" s="60" t="n"/>
      <c r="X166" s="60" t="n"/>
      <c r="Y166" s="60" t="n"/>
      <c r="Z166" s="60" t="n"/>
      <c r="AA166" s="65" t="n"/>
      <c r="AB166" s="66" t="n"/>
      <c r="AC166" s="66" t="n"/>
      <c r="AD166" s="66" t="n"/>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66" t="n"/>
      <c r="AJ166" s="66" t="n"/>
      <c r="AK166" s="66" t="n"/>
      <c r="AL166" s="59">
        <f>IF(AND(OR(W166="Watching",W166="Preparing"),ISNUMBER(Q166)),IF(AND(Q166&gt;='Friday Summary'!$C$4,Q166&lt;='Friday Summary'!$C$4+14),Q166+ROW()/1000000,""),"")</f>
        <v/>
      </c>
    </row>
    <row r="167" ht="15" customHeight="1" s="51">
      <c r="A167" s="59">
        <f>IF(B167="","","OP-"&amp;TEXT(ROW()-4,"000"))</f>
        <v/>
      </c>
      <c r="B167" s="60" t="n"/>
      <c r="C167" s="61" t="n"/>
      <c r="D167" s="60" t="n"/>
      <c r="E167" s="60" t="n"/>
      <c r="F167" s="60" t="n"/>
      <c r="G167" s="60" t="n"/>
      <c r="H167" s="60" t="n"/>
      <c r="I167" s="60" t="n"/>
      <c r="J167" s="60" t="n"/>
      <c r="K167" s="60" t="n"/>
      <c r="L167" s="60" t="n"/>
      <c r="M167" s="62" t="n"/>
      <c r="N167" s="60" t="n"/>
      <c r="O167" s="61" t="n"/>
      <c r="P167" s="61" t="n"/>
      <c r="Q167" s="63" t="n"/>
      <c r="R167" s="60" t="n"/>
      <c r="S167" s="60" t="n"/>
      <c r="T167" s="64">
        <f>IF(A167="","",IFERROR(INDEX('Bid-NoBid'!$T:$T,MATCH(A167,'Bid-NoBid'!$A:$A,0)),""))</f>
        <v/>
      </c>
      <c r="U167" s="59">
        <f>IF(A167="","",IFERROR(IF(OR(INDEX('Bid-NoBid'!$U:$U,MATCH(A167,'Bid-NoBid'!$A:$A,0))="",LEFT(INDEX('Bid-NoBid'!$U:$U,MATCH(A167,'Bid-NoBid'!$A:$A,0)),10)="Incomplete"),"Screen: "&amp;AC167,INDEX('Bid-NoBid'!$U:$U,MATCH(A167,'Bid-NoBid'!$A:$A,0))),"Screen: "&amp;AC167))</f>
        <v/>
      </c>
      <c r="V167" s="60" t="n"/>
      <c r="W167" s="60" t="n"/>
      <c r="X167" s="60" t="n"/>
      <c r="Y167" s="60" t="n"/>
      <c r="Z167" s="60" t="n"/>
      <c r="AA167" s="65" t="n"/>
      <c r="AB167" s="66" t="n"/>
      <c r="AC167" s="66" t="n"/>
      <c r="AD167" s="66" t="n"/>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66" t="n"/>
      <c r="AJ167" s="66" t="n"/>
      <c r="AK167" s="66" t="n"/>
      <c r="AL167" s="59">
        <f>IF(AND(OR(W167="Watching",W167="Preparing"),ISNUMBER(Q167)),IF(AND(Q167&gt;='Friday Summary'!$C$4,Q167&lt;='Friday Summary'!$C$4+14),Q167+ROW()/1000000,""),"")</f>
        <v/>
      </c>
    </row>
    <row r="168" ht="15" customHeight="1" s="51">
      <c r="A168" s="59">
        <f>IF(B168="","","OP-"&amp;TEXT(ROW()-4,"000"))</f>
        <v/>
      </c>
      <c r="B168" s="60" t="n"/>
      <c r="C168" s="61" t="n"/>
      <c r="D168" s="60" t="n"/>
      <c r="E168" s="60" t="n"/>
      <c r="F168" s="60" t="n"/>
      <c r="G168" s="60" t="n"/>
      <c r="H168" s="60" t="n"/>
      <c r="I168" s="60" t="n"/>
      <c r="J168" s="60" t="n"/>
      <c r="K168" s="60" t="n"/>
      <c r="L168" s="60" t="n"/>
      <c r="M168" s="62" t="n"/>
      <c r="N168" s="60" t="n"/>
      <c r="O168" s="61" t="n"/>
      <c r="P168" s="61" t="n"/>
      <c r="Q168" s="63" t="n"/>
      <c r="R168" s="60" t="n"/>
      <c r="S168" s="60" t="n"/>
      <c r="T168" s="64">
        <f>IF(A168="","",IFERROR(INDEX('Bid-NoBid'!$T:$T,MATCH(A168,'Bid-NoBid'!$A:$A,0)),""))</f>
        <v/>
      </c>
      <c r="U168" s="59">
        <f>IF(A168="","",IFERROR(IF(OR(INDEX('Bid-NoBid'!$U:$U,MATCH(A168,'Bid-NoBid'!$A:$A,0))="",LEFT(INDEX('Bid-NoBid'!$U:$U,MATCH(A168,'Bid-NoBid'!$A:$A,0)),10)="Incomplete"),"Screen: "&amp;AC168,INDEX('Bid-NoBid'!$U:$U,MATCH(A168,'Bid-NoBid'!$A:$A,0))),"Screen: "&amp;AC168))</f>
        <v/>
      </c>
      <c r="V168" s="60" t="n"/>
      <c r="W168" s="60" t="n"/>
      <c r="X168" s="60" t="n"/>
      <c r="Y168" s="60" t="n"/>
      <c r="Z168" s="60" t="n"/>
      <c r="AA168" s="65" t="n"/>
      <c r="AB168" s="66" t="n"/>
      <c r="AC168" s="66" t="n"/>
      <c r="AD168" s="66" t="n"/>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66" t="n"/>
      <c r="AJ168" s="66" t="n"/>
      <c r="AK168" s="66" t="n"/>
      <c r="AL168" s="59">
        <f>IF(AND(OR(W168="Watching",W168="Preparing"),ISNUMBER(Q168)),IF(AND(Q168&gt;='Friday Summary'!$C$4,Q168&lt;='Friday Summary'!$C$4+14),Q168+ROW()/1000000,""),"")</f>
        <v/>
      </c>
    </row>
    <row r="169" ht="15" customHeight="1" s="51">
      <c r="A169" s="59">
        <f>IF(B169="","","OP-"&amp;TEXT(ROW()-4,"000"))</f>
        <v/>
      </c>
      <c r="B169" s="60" t="n"/>
      <c r="C169" s="61" t="n"/>
      <c r="D169" s="60" t="n"/>
      <c r="E169" s="60" t="n"/>
      <c r="F169" s="60" t="n"/>
      <c r="G169" s="60" t="n"/>
      <c r="H169" s="60" t="n"/>
      <c r="I169" s="60" t="n"/>
      <c r="J169" s="60" t="n"/>
      <c r="K169" s="60" t="n"/>
      <c r="L169" s="60" t="n"/>
      <c r="M169" s="62" t="n"/>
      <c r="N169" s="60" t="n"/>
      <c r="O169" s="61" t="n"/>
      <c r="P169" s="61" t="n"/>
      <c r="Q169" s="63" t="n"/>
      <c r="R169" s="60" t="n"/>
      <c r="S169" s="60" t="n"/>
      <c r="T169" s="64">
        <f>IF(A169="","",IFERROR(INDEX('Bid-NoBid'!$T:$T,MATCH(A169,'Bid-NoBid'!$A:$A,0)),""))</f>
        <v/>
      </c>
      <c r="U169" s="59">
        <f>IF(A169="","",IFERROR(IF(OR(INDEX('Bid-NoBid'!$U:$U,MATCH(A169,'Bid-NoBid'!$A:$A,0))="",LEFT(INDEX('Bid-NoBid'!$U:$U,MATCH(A169,'Bid-NoBid'!$A:$A,0)),10)="Incomplete"),"Screen: "&amp;AC169,INDEX('Bid-NoBid'!$U:$U,MATCH(A169,'Bid-NoBid'!$A:$A,0))),"Screen: "&amp;AC169))</f>
        <v/>
      </c>
      <c r="V169" s="60" t="n"/>
      <c r="W169" s="60" t="n"/>
      <c r="X169" s="60" t="n"/>
      <c r="Y169" s="60" t="n"/>
      <c r="Z169" s="60" t="n"/>
      <c r="AA169" s="65" t="n"/>
      <c r="AB169" s="66" t="n"/>
      <c r="AC169" s="66" t="n"/>
      <c r="AD169" s="66" t="n"/>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66" t="n"/>
      <c r="AJ169" s="66" t="n"/>
      <c r="AK169" s="66" t="n"/>
      <c r="AL169" s="59">
        <f>IF(AND(OR(W169="Watching",W169="Preparing"),ISNUMBER(Q169)),IF(AND(Q169&gt;='Friday Summary'!$C$4,Q169&lt;='Friday Summary'!$C$4+14),Q169+ROW()/1000000,""),"")</f>
        <v/>
      </c>
    </row>
    <row r="170" ht="15" customHeight="1" s="51">
      <c r="A170" s="59">
        <f>IF(B170="","","OP-"&amp;TEXT(ROW()-4,"000"))</f>
        <v/>
      </c>
      <c r="B170" s="60" t="n"/>
      <c r="C170" s="61" t="n"/>
      <c r="D170" s="60" t="n"/>
      <c r="E170" s="60" t="n"/>
      <c r="F170" s="60" t="n"/>
      <c r="G170" s="60" t="n"/>
      <c r="H170" s="60" t="n"/>
      <c r="I170" s="60" t="n"/>
      <c r="J170" s="60" t="n"/>
      <c r="K170" s="60" t="n"/>
      <c r="L170" s="60" t="n"/>
      <c r="M170" s="62" t="n"/>
      <c r="N170" s="60" t="n"/>
      <c r="O170" s="61" t="n"/>
      <c r="P170" s="61" t="n"/>
      <c r="Q170" s="63" t="n"/>
      <c r="R170" s="60" t="n"/>
      <c r="S170" s="60" t="n"/>
      <c r="T170" s="64">
        <f>IF(A170="","",IFERROR(INDEX('Bid-NoBid'!$T:$T,MATCH(A170,'Bid-NoBid'!$A:$A,0)),""))</f>
        <v/>
      </c>
      <c r="U170" s="59">
        <f>IF(A170="","",IFERROR(IF(OR(INDEX('Bid-NoBid'!$U:$U,MATCH(A170,'Bid-NoBid'!$A:$A,0))="",LEFT(INDEX('Bid-NoBid'!$U:$U,MATCH(A170,'Bid-NoBid'!$A:$A,0)),10)="Incomplete"),"Screen: "&amp;AC170,INDEX('Bid-NoBid'!$U:$U,MATCH(A170,'Bid-NoBid'!$A:$A,0))),"Screen: "&amp;AC170))</f>
        <v/>
      </c>
      <c r="V170" s="60" t="n"/>
      <c r="W170" s="60" t="n"/>
      <c r="X170" s="60" t="n"/>
      <c r="Y170" s="60" t="n"/>
      <c r="Z170" s="60" t="n"/>
      <c r="AA170" s="65" t="n"/>
      <c r="AB170" s="66" t="n"/>
      <c r="AC170" s="66" t="n"/>
      <c r="AD170" s="66" t="n"/>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66" t="n"/>
      <c r="AJ170" s="66" t="n"/>
      <c r="AK170" s="66" t="n"/>
      <c r="AL170" s="59">
        <f>IF(AND(OR(W170="Watching",W170="Preparing"),ISNUMBER(Q170)),IF(AND(Q170&gt;='Friday Summary'!$C$4,Q170&lt;='Friday Summary'!$C$4+14),Q170+ROW()/1000000,""),"")</f>
        <v/>
      </c>
    </row>
    <row r="171" ht="15" customHeight="1" s="51">
      <c r="A171" s="59">
        <f>IF(B171="","","OP-"&amp;TEXT(ROW()-4,"000"))</f>
        <v/>
      </c>
      <c r="B171" s="60" t="n"/>
      <c r="C171" s="61" t="n"/>
      <c r="D171" s="60" t="n"/>
      <c r="E171" s="60" t="n"/>
      <c r="F171" s="60" t="n"/>
      <c r="G171" s="60" t="n"/>
      <c r="H171" s="60" t="n"/>
      <c r="I171" s="60" t="n"/>
      <c r="J171" s="60" t="n"/>
      <c r="K171" s="60" t="n"/>
      <c r="L171" s="60" t="n"/>
      <c r="M171" s="62" t="n"/>
      <c r="N171" s="60" t="n"/>
      <c r="O171" s="61" t="n"/>
      <c r="P171" s="61" t="n"/>
      <c r="Q171" s="63" t="n"/>
      <c r="R171" s="60" t="n"/>
      <c r="S171" s="60" t="n"/>
      <c r="T171" s="64">
        <f>IF(A171="","",IFERROR(INDEX('Bid-NoBid'!$T:$T,MATCH(A171,'Bid-NoBid'!$A:$A,0)),""))</f>
        <v/>
      </c>
      <c r="U171" s="59">
        <f>IF(A171="","",IFERROR(IF(OR(INDEX('Bid-NoBid'!$U:$U,MATCH(A171,'Bid-NoBid'!$A:$A,0))="",LEFT(INDEX('Bid-NoBid'!$U:$U,MATCH(A171,'Bid-NoBid'!$A:$A,0)),10)="Incomplete"),"Screen: "&amp;AC171,INDEX('Bid-NoBid'!$U:$U,MATCH(A171,'Bid-NoBid'!$A:$A,0))),"Screen: "&amp;AC171))</f>
        <v/>
      </c>
      <c r="V171" s="60" t="n"/>
      <c r="W171" s="60" t="n"/>
      <c r="X171" s="60" t="n"/>
      <c r="Y171" s="60" t="n"/>
      <c r="Z171" s="60" t="n"/>
      <c r="AA171" s="65" t="n"/>
      <c r="AB171" s="66" t="n"/>
      <c r="AC171" s="66" t="n"/>
      <c r="AD171" s="66" t="n"/>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66" t="n"/>
      <c r="AJ171" s="66" t="n"/>
      <c r="AK171" s="66" t="n"/>
      <c r="AL171" s="59">
        <f>IF(AND(OR(W171="Watching",W171="Preparing"),ISNUMBER(Q171)),IF(AND(Q171&gt;='Friday Summary'!$C$4,Q171&lt;='Friday Summary'!$C$4+14),Q171+ROW()/1000000,""),"")</f>
        <v/>
      </c>
    </row>
    <row r="172" ht="15" customHeight="1" s="51">
      <c r="A172" s="59">
        <f>IF(B172="","","OP-"&amp;TEXT(ROW()-4,"000"))</f>
        <v/>
      </c>
      <c r="B172" s="60" t="n"/>
      <c r="C172" s="61" t="n"/>
      <c r="D172" s="60" t="n"/>
      <c r="E172" s="60" t="n"/>
      <c r="F172" s="60" t="n"/>
      <c r="G172" s="60" t="n"/>
      <c r="H172" s="60" t="n"/>
      <c r="I172" s="60" t="n"/>
      <c r="J172" s="60" t="n"/>
      <c r="K172" s="60" t="n"/>
      <c r="L172" s="60" t="n"/>
      <c r="M172" s="62" t="n"/>
      <c r="N172" s="60" t="n"/>
      <c r="O172" s="61" t="n"/>
      <c r="P172" s="61" t="n"/>
      <c r="Q172" s="63" t="n"/>
      <c r="R172" s="60" t="n"/>
      <c r="S172" s="60" t="n"/>
      <c r="T172" s="64">
        <f>IF(A172="","",IFERROR(INDEX('Bid-NoBid'!$T:$T,MATCH(A172,'Bid-NoBid'!$A:$A,0)),""))</f>
        <v/>
      </c>
      <c r="U172" s="59">
        <f>IF(A172="","",IFERROR(IF(OR(INDEX('Bid-NoBid'!$U:$U,MATCH(A172,'Bid-NoBid'!$A:$A,0))="",LEFT(INDEX('Bid-NoBid'!$U:$U,MATCH(A172,'Bid-NoBid'!$A:$A,0)),10)="Incomplete"),"Screen: "&amp;AC172,INDEX('Bid-NoBid'!$U:$U,MATCH(A172,'Bid-NoBid'!$A:$A,0))),"Screen: "&amp;AC172))</f>
        <v/>
      </c>
      <c r="V172" s="60" t="n"/>
      <c r="W172" s="60" t="n"/>
      <c r="X172" s="60" t="n"/>
      <c r="Y172" s="60" t="n"/>
      <c r="Z172" s="60" t="n"/>
      <c r="AA172" s="65" t="n"/>
      <c r="AB172" s="66" t="n"/>
      <c r="AC172" s="66" t="n"/>
      <c r="AD172" s="66" t="n"/>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66" t="n"/>
      <c r="AJ172" s="66" t="n"/>
      <c r="AK172" s="66" t="n"/>
      <c r="AL172" s="59">
        <f>IF(AND(OR(W172="Watching",W172="Preparing"),ISNUMBER(Q172)),IF(AND(Q172&gt;='Friday Summary'!$C$4,Q172&lt;='Friday Summary'!$C$4+14),Q172+ROW()/1000000,""),"")</f>
        <v/>
      </c>
    </row>
    <row r="173" ht="15" customHeight="1" s="51">
      <c r="A173" s="59">
        <f>IF(B173="","","OP-"&amp;TEXT(ROW()-4,"000"))</f>
        <v/>
      </c>
      <c r="B173" s="60" t="n"/>
      <c r="C173" s="61" t="n"/>
      <c r="D173" s="60" t="n"/>
      <c r="E173" s="60" t="n"/>
      <c r="F173" s="60" t="n"/>
      <c r="G173" s="60" t="n"/>
      <c r="H173" s="60" t="n"/>
      <c r="I173" s="60" t="n"/>
      <c r="J173" s="60" t="n"/>
      <c r="K173" s="60" t="n"/>
      <c r="L173" s="60" t="n"/>
      <c r="M173" s="62" t="n"/>
      <c r="N173" s="60" t="n"/>
      <c r="O173" s="61" t="n"/>
      <c r="P173" s="61" t="n"/>
      <c r="Q173" s="63" t="n"/>
      <c r="R173" s="60" t="n"/>
      <c r="S173" s="60" t="n"/>
      <c r="T173" s="64">
        <f>IF(A173="","",IFERROR(INDEX('Bid-NoBid'!$T:$T,MATCH(A173,'Bid-NoBid'!$A:$A,0)),""))</f>
        <v/>
      </c>
      <c r="U173" s="59">
        <f>IF(A173="","",IFERROR(IF(OR(INDEX('Bid-NoBid'!$U:$U,MATCH(A173,'Bid-NoBid'!$A:$A,0))="",LEFT(INDEX('Bid-NoBid'!$U:$U,MATCH(A173,'Bid-NoBid'!$A:$A,0)),10)="Incomplete"),"Screen: "&amp;AC173,INDEX('Bid-NoBid'!$U:$U,MATCH(A173,'Bid-NoBid'!$A:$A,0))),"Screen: "&amp;AC173))</f>
        <v/>
      </c>
      <c r="V173" s="60" t="n"/>
      <c r="W173" s="60" t="n"/>
      <c r="X173" s="60" t="n"/>
      <c r="Y173" s="60" t="n"/>
      <c r="Z173" s="60" t="n"/>
      <c r="AA173" s="65" t="n"/>
      <c r="AB173" s="66" t="n"/>
      <c r="AC173" s="66" t="n"/>
      <c r="AD173" s="66" t="n"/>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66" t="n"/>
      <c r="AJ173" s="66" t="n"/>
      <c r="AK173" s="66" t="n"/>
      <c r="AL173" s="59">
        <f>IF(AND(OR(W173="Watching",W173="Preparing"),ISNUMBER(Q173)),IF(AND(Q173&gt;='Friday Summary'!$C$4,Q173&lt;='Friday Summary'!$C$4+14),Q173+ROW()/1000000,""),"")</f>
        <v/>
      </c>
    </row>
    <row r="174" ht="15" customHeight="1" s="51">
      <c r="A174" s="59">
        <f>IF(B174="","","OP-"&amp;TEXT(ROW()-4,"000"))</f>
        <v/>
      </c>
      <c r="B174" s="60" t="n"/>
      <c r="C174" s="61" t="n"/>
      <c r="D174" s="60" t="n"/>
      <c r="E174" s="60" t="n"/>
      <c r="F174" s="60" t="n"/>
      <c r="G174" s="60" t="n"/>
      <c r="H174" s="60" t="n"/>
      <c r="I174" s="60" t="n"/>
      <c r="J174" s="60" t="n"/>
      <c r="K174" s="60" t="n"/>
      <c r="L174" s="60" t="n"/>
      <c r="M174" s="62" t="n"/>
      <c r="N174" s="60" t="n"/>
      <c r="O174" s="61" t="n"/>
      <c r="P174" s="61" t="n"/>
      <c r="Q174" s="63" t="n"/>
      <c r="R174" s="60" t="n"/>
      <c r="S174" s="60" t="n"/>
      <c r="T174" s="64">
        <f>IF(A174="","",IFERROR(INDEX('Bid-NoBid'!$T:$T,MATCH(A174,'Bid-NoBid'!$A:$A,0)),""))</f>
        <v/>
      </c>
      <c r="U174" s="59">
        <f>IF(A174="","",IFERROR(IF(OR(INDEX('Bid-NoBid'!$U:$U,MATCH(A174,'Bid-NoBid'!$A:$A,0))="",LEFT(INDEX('Bid-NoBid'!$U:$U,MATCH(A174,'Bid-NoBid'!$A:$A,0)),10)="Incomplete"),"Screen: "&amp;AC174,INDEX('Bid-NoBid'!$U:$U,MATCH(A174,'Bid-NoBid'!$A:$A,0))),"Screen: "&amp;AC174))</f>
        <v/>
      </c>
      <c r="V174" s="60" t="n"/>
      <c r="W174" s="60" t="n"/>
      <c r="X174" s="60" t="n"/>
      <c r="Y174" s="60" t="n"/>
      <c r="Z174" s="60" t="n"/>
      <c r="AA174" s="65" t="n"/>
      <c r="AB174" s="66" t="n"/>
      <c r="AC174" s="66" t="n"/>
      <c r="AD174" s="66" t="n"/>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66" t="n"/>
      <c r="AJ174" s="66" t="n"/>
      <c r="AK174" s="66" t="n"/>
      <c r="AL174" s="59">
        <f>IF(AND(OR(W174="Watching",W174="Preparing"),ISNUMBER(Q174)),IF(AND(Q174&gt;='Friday Summary'!$C$4,Q174&lt;='Friday Summary'!$C$4+14),Q174+ROW()/1000000,""),"")</f>
        <v/>
      </c>
    </row>
    <row r="175" ht="15" customHeight="1" s="51">
      <c r="A175" s="59">
        <f>IF(B175="","","OP-"&amp;TEXT(ROW()-4,"000"))</f>
        <v/>
      </c>
      <c r="B175" s="60" t="n"/>
      <c r="C175" s="61" t="n"/>
      <c r="D175" s="60" t="n"/>
      <c r="E175" s="60" t="n"/>
      <c r="F175" s="60" t="n"/>
      <c r="G175" s="60" t="n"/>
      <c r="H175" s="60" t="n"/>
      <c r="I175" s="60" t="n"/>
      <c r="J175" s="60" t="n"/>
      <c r="K175" s="60" t="n"/>
      <c r="L175" s="60" t="n"/>
      <c r="M175" s="62" t="n"/>
      <c r="N175" s="60" t="n"/>
      <c r="O175" s="61" t="n"/>
      <c r="P175" s="61" t="n"/>
      <c r="Q175" s="63" t="n"/>
      <c r="R175" s="60" t="n"/>
      <c r="S175" s="60" t="n"/>
      <c r="T175" s="64">
        <f>IF(A175="","",IFERROR(INDEX('Bid-NoBid'!$T:$T,MATCH(A175,'Bid-NoBid'!$A:$A,0)),""))</f>
        <v/>
      </c>
      <c r="U175" s="59">
        <f>IF(A175="","",IFERROR(IF(OR(INDEX('Bid-NoBid'!$U:$U,MATCH(A175,'Bid-NoBid'!$A:$A,0))="",LEFT(INDEX('Bid-NoBid'!$U:$U,MATCH(A175,'Bid-NoBid'!$A:$A,0)),10)="Incomplete"),"Screen: "&amp;AC175,INDEX('Bid-NoBid'!$U:$U,MATCH(A175,'Bid-NoBid'!$A:$A,0))),"Screen: "&amp;AC175))</f>
        <v/>
      </c>
      <c r="V175" s="60" t="n"/>
      <c r="W175" s="60" t="n"/>
      <c r="X175" s="60" t="n"/>
      <c r="Y175" s="60" t="n"/>
      <c r="Z175" s="60" t="n"/>
      <c r="AA175" s="65" t="n"/>
      <c r="AB175" s="66" t="n"/>
      <c r="AC175" s="66" t="n"/>
      <c r="AD175" s="66" t="n"/>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66" t="n"/>
      <c r="AJ175" s="66" t="n"/>
      <c r="AK175" s="66" t="n"/>
      <c r="AL175" s="59">
        <f>IF(AND(OR(W175="Watching",W175="Preparing"),ISNUMBER(Q175)),IF(AND(Q175&gt;='Friday Summary'!$C$4,Q175&lt;='Friday Summary'!$C$4+14),Q175+ROW()/1000000,""),"")</f>
        <v/>
      </c>
    </row>
    <row r="176" ht="15" customHeight="1" s="51">
      <c r="A176" s="59">
        <f>IF(B176="","","OP-"&amp;TEXT(ROW()-4,"000"))</f>
        <v/>
      </c>
      <c r="B176" s="60" t="n"/>
      <c r="C176" s="61" t="n"/>
      <c r="D176" s="60" t="n"/>
      <c r="E176" s="60" t="n"/>
      <c r="F176" s="60" t="n"/>
      <c r="G176" s="60" t="n"/>
      <c r="H176" s="60" t="n"/>
      <c r="I176" s="60" t="n"/>
      <c r="J176" s="60" t="n"/>
      <c r="K176" s="60" t="n"/>
      <c r="L176" s="60" t="n"/>
      <c r="M176" s="62" t="n"/>
      <c r="N176" s="60" t="n"/>
      <c r="O176" s="61" t="n"/>
      <c r="P176" s="61" t="n"/>
      <c r="Q176" s="63" t="n"/>
      <c r="R176" s="60" t="n"/>
      <c r="S176" s="60" t="n"/>
      <c r="T176" s="64">
        <f>IF(A176="","",IFERROR(INDEX('Bid-NoBid'!$T:$T,MATCH(A176,'Bid-NoBid'!$A:$A,0)),""))</f>
        <v/>
      </c>
      <c r="U176" s="59">
        <f>IF(A176="","",IFERROR(IF(OR(INDEX('Bid-NoBid'!$U:$U,MATCH(A176,'Bid-NoBid'!$A:$A,0))="",LEFT(INDEX('Bid-NoBid'!$U:$U,MATCH(A176,'Bid-NoBid'!$A:$A,0)),10)="Incomplete"),"Screen: "&amp;AC176,INDEX('Bid-NoBid'!$U:$U,MATCH(A176,'Bid-NoBid'!$A:$A,0))),"Screen: "&amp;AC176))</f>
        <v/>
      </c>
      <c r="V176" s="60" t="n"/>
      <c r="W176" s="60" t="n"/>
      <c r="X176" s="60" t="n"/>
      <c r="Y176" s="60" t="n"/>
      <c r="Z176" s="60" t="n"/>
      <c r="AA176" s="65" t="n"/>
      <c r="AB176" s="66" t="n"/>
      <c r="AC176" s="66" t="n"/>
      <c r="AD176" s="66" t="n"/>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66" t="n"/>
      <c r="AJ176" s="66" t="n"/>
      <c r="AK176" s="66" t="n"/>
      <c r="AL176" s="59">
        <f>IF(AND(OR(W176="Watching",W176="Preparing"),ISNUMBER(Q176)),IF(AND(Q176&gt;='Friday Summary'!$C$4,Q176&lt;='Friday Summary'!$C$4+14),Q176+ROW()/1000000,""),"")</f>
        <v/>
      </c>
    </row>
    <row r="177" ht="15" customHeight="1" s="51">
      <c r="A177" s="59">
        <f>IF(B177="","","OP-"&amp;TEXT(ROW()-4,"000"))</f>
        <v/>
      </c>
      <c r="B177" s="60" t="n"/>
      <c r="C177" s="61" t="n"/>
      <c r="D177" s="60" t="n"/>
      <c r="E177" s="60" t="n"/>
      <c r="F177" s="60" t="n"/>
      <c r="G177" s="60" t="n"/>
      <c r="H177" s="60" t="n"/>
      <c r="I177" s="60" t="n"/>
      <c r="J177" s="60" t="n"/>
      <c r="K177" s="60" t="n"/>
      <c r="L177" s="60" t="n"/>
      <c r="M177" s="62" t="n"/>
      <c r="N177" s="60" t="n"/>
      <c r="O177" s="61" t="n"/>
      <c r="P177" s="61" t="n"/>
      <c r="Q177" s="63" t="n"/>
      <c r="R177" s="60" t="n"/>
      <c r="S177" s="60" t="n"/>
      <c r="T177" s="64">
        <f>IF(A177="","",IFERROR(INDEX('Bid-NoBid'!$T:$T,MATCH(A177,'Bid-NoBid'!$A:$A,0)),""))</f>
        <v/>
      </c>
      <c r="U177" s="59">
        <f>IF(A177="","",IFERROR(IF(OR(INDEX('Bid-NoBid'!$U:$U,MATCH(A177,'Bid-NoBid'!$A:$A,0))="",LEFT(INDEX('Bid-NoBid'!$U:$U,MATCH(A177,'Bid-NoBid'!$A:$A,0)),10)="Incomplete"),"Screen: "&amp;AC177,INDEX('Bid-NoBid'!$U:$U,MATCH(A177,'Bid-NoBid'!$A:$A,0))),"Screen: "&amp;AC177))</f>
        <v/>
      </c>
      <c r="V177" s="60" t="n"/>
      <c r="W177" s="60" t="n"/>
      <c r="X177" s="60" t="n"/>
      <c r="Y177" s="60" t="n"/>
      <c r="Z177" s="60" t="n"/>
      <c r="AA177" s="65" t="n"/>
      <c r="AB177" s="66" t="n"/>
      <c r="AC177" s="66" t="n"/>
      <c r="AD177" s="66" t="n"/>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66" t="n"/>
      <c r="AJ177" s="66" t="n"/>
      <c r="AK177" s="66" t="n"/>
      <c r="AL177" s="59">
        <f>IF(AND(OR(W177="Watching",W177="Preparing"),ISNUMBER(Q177)),IF(AND(Q177&gt;='Friday Summary'!$C$4,Q177&lt;='Friday Summary'!$C$4+14),Q177+ROW()/1000000,""),"")</f>
        <v/>
      </c>
    </row>
    <row r="178" ht="15" customHeight="1" s="51">
      <c r="A178" s="59">
        <f>IF(B178="","","OP-"&amp;TEXT(ROW()-4,"000"))</f>
        <v/>
      </c>
      <c r="B178" s="60" t="n"/>
      <c r="C178" s="61" t="n"/>
      <c r="D178" s="60" t="n"/>
      <c r="E178" s="60" t="n"/>
      <c r="F178" s="60" t="n"/>
      <c r="G178" s="60" t="n"/>
      <c r="H178" s="60" t="n"/>
      <c r="I178" s="60" t="n"/>
      <c r="J178" s="60" t="n"/>
      <c r="K178" s="60" t="n"/>
      <c r="L178" s="60" t="n"/>
      <c r="M178" s="62" t="n"/>
      <c r="N178" s="60" t="n"/>
      <c r="O178" s="61" t="n"/>
      <c r="P178" s="61" t="n"/>
      <c r="Q178" s="63" t="n"/>
      <c r="R178" s="60" t="n"/>
      <c r="S178" s="60" t="n"/>
      <c r="T178" s="64">
        <f>IF(A178="","",IFERROR(INDEX('Bid-NoBid'!$T:$T,MATCH(A178,'Bid-NoBid'!$A:$A,0)),""))</f>
        <v/>
      </c>
      <c r="U178" s="59">
        <f>IF(A178="","",IFERROR(IF(OR(INDEX('Bid-NoBid'!$U:$U,MATCH(A178,'Bid-NoBid'!$A:$A,0))="",LEFT(INDEX('Bid-NoBid'!$U:$U,MATCH(A178,'Bid-NoBid'!$A:$A,0)),10)="Incomplete"),"Screen: "&amp;AC178,INDEX('Bid-NoBid'!$U:$U,MATCH(A178,'Bid-NoBid'!$A:$A,0))),"Screen: "&amp;AC178))</f>
        <v/>
      </c>
      <c r="V178" s="60" t="n"/>
      <c r="W178" s="60" t="n"/>
      <c r="X178" s="60" t="n"/>
      <c r="Y178" s="60" t="n"/>
      <c r="Z178" s="60" t="n"/>
      <c r="AA178" s="65" t="n"/>
      <c r="AB178" s="66" t="n"/>
      <c r="AC178" s="66" t="n"/>
      <c r="AD178" s="66" t="n"/>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66" t="n"/>
      <c r="AJ178" s="66" t="n"/>
      <c r="AK178" s="66" t="n"/>
      <c r="AL178" s="59">
        <f>IF(AND(OR(W178="Watching",W178="Preparing"),ISNUMBER(Q178)),IF(AND(Q178&gt;='Friday Summary'!$C$4,Q178&lt;='Friday Summary'!$C$4+14),Q178+ROW()/1000000,""),"")</f>
        <v/>
      </c>
    </row>
    <row r="179" ht="15" customHeight="1" s="51">
      <c r="A179" s="59">
        <f>IF(B179="","","OP-"&amp;TEXT(ROW()-4,"000"))</f>
        <v/>
      </c>
      <c r="B179" s="60" t="n"/>
      <c r="C179" s="61" t="n"/>
      <c r="D179" s="60" t="n"/>
      <c r="E179" s="60" t="n"/>
      <c r="F179" s="60" t="n"/>
      <c r="G179" s="60" t="n"/>
      <c r="H179" s="60" t="n"/>
      <c r="I179" s="60" t="n"/>
      <c r="J179" s="60" t="n"/>
      <c r="K179" s="60" t="n"/>
      <c r="L179" s="60" t="n"/>
      <c r="M179" s="62" t="n"/>
      <c r="N179" s="60" t="n"/>
      <c r="O179" s="61" t="n"/>
      <c r="P179" s="61" t="n"/>
      <c r="Q179" s="63" t="n"/>
      <c r="R179" s="60" t="n"/>
      <c r="S179" s="60" t="n"/>
      <c r="T179" s="64">
        <f>IF(A179="","",IFERROR(INDEX('Bid-NoBid'!$T:$T,MATCH(A179,'Bid-NoBid'!$A:$A,0)),""))</f>
        <v/>
      </c>
      <c r="U179" s="59">
        <f>IF(A179="","",IFERROR(IF(OR(INDEX('Bid-NoBid'!$U:$U,MATCH(A179,'Bid-NoBid'!$A:$A,0))="",LEFT(INDEX('Bid-NoBid'!$U:$U,MATCH(A179,'Bid-NoBid'!$A:$A,0)),10)="Incomplete"),"Screen: "&amp;AC179,INDEX('Bid-NoBid'!$U:$U,MATCH(A179,'Bid-NoBid'!$A:$A,0))),"Screen: "&amp;AC179))</f>
        <v/>
      </c>
      <c r="V179" s="60" t="n"/>
      <c r="W179" s="60" t="n"/>
      <c r="X179" s="60" t="n"/>
      <c r="Y179" s="60" t="n"/>
      <c r="Z179" s="60" t="n"/>
      <c r="AA179" s="65" t="n"/>
      <c r="AB179" s="66" t="n"/>
      <c r="AC179" s="66" t="n"/>
      <c r="AD179" s="66" t="n"/>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66" t="n"/>
      <c r="AJ179" s="66" t="n"/>
      <c r="AK179" s="66" t="n"/>
      <c r="AL179" s="59">
        <f>IF(AND(OR(W179="Watching",W179="Preparing"),ISNUMBER(Q179)),IF(AND(Q179&gt;='Friday Summary'!$C$4,Q179&lt;='Friday Summary'!$C$4+14),Q179+ROW()/1000000,""),"")</f>
        <v/>
      </c>
    </row>
    <row r="180" ht="15" customHeight="1" s="51">
      <c r="A180" s="59">
        <f>IF(B180="","","OP-"&amp;TEXT(ROW()-4,"000"))</f>
        <v/>
      </c>
      <c r="B180" s="60" t="n"/>
      <c r="C180" s="61" t="n"/>
      <c r="D180" s="60" t="n"/>
      <c r="E180" s="60" t="n"/>
      <c r="F180" s="60" t="n"/>
      <c r="G180" s="60" t="n"/>
      <c r="H180" s="60" t="n"/>
      <c r="I180" s="60" t="n"/>
      <c r="J180" s="60" t="n"/>
      <c r="K180" s="60" t="n"/>
      <c r="L180" s="60" t="n"/>
      <c r="M180" s="62" t="n"/>
      <c r="N180" s="60" t="n"/>
      <c r="O180" s="61" t="n"/>
      <c r="P180" s="61" t="n"/>
      <c r="Q180" s="63" t="n"/>
      <c r="R180" s="60" t="n"/>
      <c r="S180" s="60" t="n"/>
      <c r="T180" s="64">
        <f>IF(A180="","",IFERROR(INDEX('Bid-NoBid'!$T:$T,MATCH(A180,'Bid-NoBid'!$A:$A,0)),""))</f>
        <v/>
      </c>
      <c r="U180" s="59">
        <f>IF(A180="","",IFERROR(IF(OR(INDEX('Bid-NoBid'!$U:$U,MATCH(A180,'Bid-NoBid'!$A:$A,0))="",LEFT(INDEX('Bid-NoBid'!$U:$U,MATCH(A180,'Bid-NoBid'!$A:$A,0)),10)="Incomplete"),"Screen: "&amp;AC180,INDEX('Bid-NoBid'!$U:$U,MATCH(A180,'Bid-NoBid'!$A:$A,0))),"Screen: "&amp;AC180))</f>
        <v/>
      </c>
      <c r="V180" s="60" t="n"/>
      <c r="W180" s="60" t="n"/>
      <c r="X180" s="60" t="n"/>
      <c r="Y180" s="60" t="n"/>
      <c r="Z180" s="60" t="n"/>
      <c r="AA180" s="65" t="n"/>
      <c r="AB180" s="66" t="n"/>
      <c r="AC180" s="66" t="n"/>
      <c r="AD180" s="66" t="n"/>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66" t="n"/>
      <c r="AJ180" s="66" t="n"/>
      <c r="AK180" s="66" t="n"/>
      <c r="AL180" s="59">
        <f>IF(AND(OR(W180="Watching",W180="Preparing"),ISNUMBER(Q180)),IF(AND(Q180&gt;='Friday Summary'!$C$4,Q180&lt;='Friday Summary'!$C$4+14),Q180+ROW()/1000000,""),"")</f>
        <v/>
      </c>
    </row>
    <row r="181" ht="15" customHeight="1" s="51">
      <c r="A181" s="59">
        <f>IF(B181="","","OP-"&amp;TEXT(ROW()-4,"000"))</f>
        <v/>
      </c>
      <c r="B181" s="60" t="n"/>
      <c r="C181" s="61" t="n"/>
      <c r="D181" s="60" t="n"/>
      <c r="E181" s="60" t="n"/>
      <c r="F181" s="60" t="n"/>
      <c r="G181" s="60" t="n"/>
      <c r="H181" s="60" t="n"/>
      <c r="I181" s="60" t="n"/>
      <c r="J181" s="60" t="n"/>
      <c r="K181" s="60" t="n"/>
      <c r="L181" s="60" t="n"/>
      <c r="M181" s="62" t="n"/>
      <c r="N181" s="60" t="n"/>
      <c r="O181" s="61" t="n"/>
      <c r="P181" s="61" t="n"/>
      <c r="Q181" s="63" t="n"/>
      <c r="R181" s="60" t="n"/>
      <c r="S181" s="60" t="n"/>
      <c r="T181" s="64">
        <f>IF(A181="","",IFERROR(INDEX('Bid-NoBid'!$T:$T,MATCH(A181,'Bid-NoBid'!$A:$A,0)),""))</f>
        <v/>
      </c>
      <c r="U181" s="59">
        <f>IF(A181="","",IFERROR(IF(OR(INDEX('Bid-NoBid'!$U:$U,MATCH(A181,'Bid-NoBid'!$A:$A,0))="",LEFT(INDEX('Bid-NoBid'!$U:$U,MATCH(A181,'Bid-NoBid'!$A:$A,0)),10)="Incomplete"),"Screen: "&amp;AC181,INDEX('Bid-NoBid'!$U:$U,MATCH(A181,'Bid-NoBid'!$A:$A,0))),"Screen: "&amp;AC181))</f>
        <v/>
      </c>
      <c r="V181" s="60" t="n"/>
      <c r="W181" s="60" t="n"/>
      <c r="X181" s="60" t="n"/>
      <c r="Y181" s="60" t="n"/>
      <c r="Z181" s="60" t="n"/>
      <c r="AA181" s="65" t="n"/>
      <c r="AB181" s="66" t="n"/>
      <c r="AC181" s="66" t="n"/>
      <c r="AD181" s="66" t="n"/>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66" t="n"/>
      <c r="AJ181" s="66" t="n"/>
      <c r="AK181" s="66" t="n"/>
      <c r="AL181" s="59">
        <f>IF(AND(OR(W181="Watching",W181="Preparing"),ISNUMBER(Q181)),IF(AND(Q181&gt;='Friday Summary'!$C$4,Q181&lt;='Friday Summary'!$C$4+14),Q181+ROW()/1000000,""),"")</f>
        <v/>
      </c>
    </row>
    <row r="182" ht="15" customHeight="1" s="51">
      <c r="A182" s="59">
        <f>IF(B182="","","OP-"&amp;TEXT(ROW()-4,"000"))</f>
        <v/>
      </c>
      <c r="B182" s="60" t="n"/>
      <c r="C182" s="61" t="n"/>
      <c r="D182" s="60" t="n"/>
      <c r="E182" s="60" t="n"/>
      <c r="F182" s="60" t="n"/>
      <c r="G182" s="60" t="n"/>
      <c r="H182" s="60" t="n"/>
      <c r="I182" s="60" t="n"/>
      <c r="J182" s="60" t="n"/>
      <c r="K182" s="60" t="n"/>
      <c r="L182" s="60" t="n"/>
      <c r="M182" s="62" t="n"/>
      <c r="N182" s="60" t="n"/>
      <c r="O182" s="61" t="n"/>
      <c r="P182" s="61" t="n"/>
      <c r="Q182" s="63" t="n"/>
      <c r="R182" s="60" t="n"/>
      <c r="S182" s="60" t="n"/>
      <c r="T182" s="64">
        <f>IF(A182="","",IFERROR(INDEX('Bid-NoBid'!$T:$T,MATCH(A182,'Bid-NoBid'!$A:$A,0)),""))</f>
        <v/>
      </c>
      <c r="U182" s="59">
        <f>IF(A182="","",IFERROR(IF(OR(INDEX('Bid-NoBid'!$U:$U,MATCH(A182,'Bid-NoBid'!$A:$A,0))="",LEFT(INDEX('Bid-NoBid'!$U:$U,MATCH(A182,'Bid-NoBid'!$A:$A,0)),10)="Incomplete"),"Screen: "&amp;AC182,INDEX('Bid-NoBid'!$U:$U,MATCH(A182,'Bid-NoBid'!$A:$A,0))),"Screen: "&amp;AC182))</f>
        <v/>
      </c>
      <c r="V182" s="60" t="n"/>
      <c r="W182" s="60" t="n"/>
      <c r="X182" s="60" t="n"/>
      <c r="Y182" s="60" t="n"/>
      <c r="Z182" s="60" t="n"/>
      <c r="AA182" s="65" t="n"/>
      <c r="AB182" s="66" t="n"/>
      <c r="AC182" s="66" t="n"/>
      <c r="AD182" s="66" t="n"/>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66" t="n"/>
      <c r="AJ182" s="66" t="n"/>
      <c r="AK182" s="66" t="n"/>
      <c r="AL182" s="59">
        <f>IF(AND(OR(W182="Watching",W182="Preparing"),ISNUMBER(Q182)),IF(AND(Q182&gt;='Friday Summary'!$C$4,Q182&lt;='Friday Summary'!$C$4+14),Q182+ROW()/1000000,""),"")</f>
        <v/>
      </c>
    </row>
    <row r="183" ht="15" customHeight="1" s="51">
      <c r="A183" s="59">
        <f>IF(B183="","","OP-"&amp;TEXT(ROW()-4,"000"))</f>
        <v/>
      </c>
      <c r="B183" s="60" t="n"/>
      <c r="C183" s="61" t="n"/>
      <c r="D183" s="60" t="n"/>
      <c r="E183" s="60" t="n"/>
      <c r="F183" s="60" t="n"/>
      <c r="G183" s="60" t="n"/>
      <c r="H183" s="60" t="n"/>
      <c r="I183" s="60" t="n"/>
      <c r="J183" s="60" t="n"/>
      <c r="K183" s="60" t="n"/>
      <c r="L183" s="60" t="n"/>
      <c r="M183" s="62" t="n"/>
      <c r="N183" s="60" t="n"/>
      <c r="O183" s="61" t="n"/>
      <c r="P183" s="61" t="n"/>
      <c r="Q183" s="63" t="n"/>
      <c r="R183" s="60" t="n"/>
      <c r="S183" s="60" t="n"/>
      <c r="T183" s="64">
        <f>IF(A183="","",IFERROR(INDEX('Bid-NoBid'!$T:$T,MATCH(A183,'Bid-NoBid'!$A:$A,0)),""))</f>
        <v/>
      </c>
      <c r="U183" s="59">
        <f>IF(A183="","",IFERROR(IF(OR(INDEX('Bid-NoBid'!$U:$U,MATCH(A183,'Bid-NoBid'!$A:$A,0))="",LEFT(INDEX('Bid-NoBid'!$U:$U,MATCH(A183,'Bid-NoBid'!$A:$A,0)),10)="Incomplete"),"Screen: "&amp;AC183,INDEX('Bid-NoBid'!$U:$U,MATCH(A183,'Bid-NoBid'!$A:$A,0))),"Screen: "&amp;AC183))</f>
        <v/>
      </c>
      <c r="V183" s="60" t="n"/>
      <c r="W183" s="60" t="n"/>
      <c r="X183" s="60" t="n"/>
      <c r="Y183" s="60" t="n"/>
      <c r="Z183" s="60" t="n"/>
      <c r="AA183" s="65" t="n"/>
      <c r="AB183" s="66" t="n"/>
      <c r="AC183" s="66" t="n"/>
      <c r="AD183" s="66" t="n"/>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66" t="n"/>
      <c r="AJ183" s="66" t="n"/>
      <c r="AK183" s="66" t="n"/>
      <c r="AL183" s="59">
        <f>IF(AND(OR(W183="Watching",W183="Preparing"),ISNUMBER(Q183)),IF(AND(Q183&gt;='Friday Summary'!$C$4,Q183&lt;='Friday Summary'!$C$4+14),Q183+ROW()/1000000,""),"")</f>
        <v/>
      </c>
    </row>
    <row r="184" ht="15" customHeight="1" s="51">
      <c r="A184" s="59">
        <f>IF(B184="","","OP-"&amp;TEXT(ROW()-4,"000"))</f>
        <v/>
      </c>
      <c r="B184" s="60" t="n"/>
      <c r="C184" s="61" t="n"/>
      <c r="D184" s="60" t="n"/>
      <c r="E184" s="60" t="n"/>
      <c r="F184" s="60" t="n"/>
      <c r="G184" s="60" t="n"/>
      <c r="H184" s="60" t="n"/>
      <c r="I184" s="60" t="n"/>
      <c r="J184" s="60" t="n"/>
      <c r="K184" s="60" t="n"/>
      <c r="L184" s="60" t="n"/>
      <c r="M184" s="62" t="n"/>
      <c r="N184" s="60" t="n"/>
      <c r="O184" s="61" t="n"/>
      <c r="P184" s="61" t="n"/>
      <c r="Q184" s="63" t="n"/>
      <c r="R184" s="60" t="n"/>
      <c r="S184" s="60" t="n"/>
      <c r="T184" s="64">
        <f>IF(A184="","",IFERROR(INDEX('Bid-NoBid'!$T:$T,MATCH(A184,'Bid-NoBid'!$A:$A,0)),""))</f>
        <v/>
      </c>
      <c r="U184" s="59">
        <f>IF(A184="","",IFERROR(IF(OR(INDEX('Bid-NoBid'!$U:$U,MATCH(A184,'Bid-NoBid'!$A:$A,0))="",LEFT(INDEX('Bid-NoBid'!$U:$U,MATCH(A184,'Bid-NoBid'!$A:$A,0)),10)="Incomplete"),"Screen: "&amp;AC184,INDEX('Bid-NoBid'!$U:$U,MATCH(A184,'Bid-NoBid'!$A:$A,0))),"Screen: "&amp;AC184))</f>
        <v/>
      </c>
      <c r="V184" s="60" t="n"/>
      <c r="W184" s="60" t="n"/>
      <c r="X184" s="60" t="n"/>
      <c r="Y184" s="60" t="n"/>
      <c r="Z184" s="60" t="n"/>
      <c r="AA184" s="65" t="n"/>
      <c r="AB184" s="66" t="n"/>
      <c r="AC184" s="66" t="n"/>
      <c r="AD184" s="66" t="n"/>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66" t="n"/>
      <c r="AJ184" s="66" t="n"/>
      <c r="AK184" s="66" t="n"/>
      <c r="AL184" s="59">
        <f>IF(AND(OR(W184="Watching",W184="Preparing"),ISNUMBER(Q184)),IF(AND(Q184&gt;='Friday Summary'!$C$4,Q184&lt;='Friday Summary'!$C$4+14),Q184+ROW()/1000000,""),"")</f>
        <v/>
      </c>
    </row>
    <row r="185" ht="15" customHeight="1" s="51">
      <c r="A185" s="59">
        <f>IF(B185="","","OP-"&amp;TEXT(ROW()-4,"000"))</f>
        <v/>
      </c>
      <c r="B185" s="60" t="n"/>
      <c r="C185" s="61" t="n"/>
      <c r="D185" s="60" t="n"/>
      <c r="E185" s="60" t="n"/>
      <c r="F185" s="60" t="n"/>
      <c r="G185" s="60" t="n"/>
      <c r="H185" s="60" t="n"/>
      <c r="I185" s="60" t="n"/>
      <c r="J185" s="60" t="n"/>
      <c r="K185" s="60" t="n"/>
      <c r="L185" s="60" t="n"/>
      <c r="M185" s="62" t="n"/>
      <c r="N185" s="60" t="n"/>
      <c r="O185" s="61" t="n"/>
      <c r="P185" s="61" t="n"/>
      <c r="Q185" s="63" t="n"/>
      <c r="R185" s="60" t="n"/>
      <c r="S185" s="60" t="n"/>
      <c r="T185" s="64">
        <f>IF(A185="","",IFERROR(INDEX('Bid-NoBid'!$T:$T,MATCH(A185,'Bid-NoBid'!$A:$A,0)),""))</f>
        <v/>
      </c>
      <c r="U185" s="59">
        <f>IF(A185="","",IFERROR(IF(OR(INDEX('Bid-NoBid'!$U:$U,MATCH(A185,'Bid-NoBid'!$A:$A,0))="",LEFT(INDEX('Bid-NoBid'!$U:$U,MATCH(A185,'Bid-NoBid'!$A:$A,0)),10)="Incomplete"),"Screen: "&amp;AC185,INDEX('Bid-NoBid'!$U:$U,MATCH(A185,'Bid-NoBid'!$A:$A,0))),"Screen: "&amp;AC185))</f>
        <v/>
      </c>
      <c r="V185" s="60" t="n"/>
      <c r="W185" s="60" t="n"/>
      <c r="X185" s="60" t="n"/>
      <c r="Y185" s="60" t="n"/>
      <c r="Z185" s="60" t="n"/>
      <c r="AA185" s="65" t="n"/>
      <c r="AB185" s="66" t="n"/>
      <c r="AC185" s="66" t="n"/>
      <c r="AD185" s="66" t="n"/>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66" t="n"/>
      <c r="AJ185" s="66" t="n"/>
      <c r="AK185" s="66" t="n"/>
      <c r="AL185" s="59">
        <f>IF(AND(OR(W185="Watching",W185="Preparing"),ISNUMBER(Q185)),IF(AND(Q185&gt;='Friday Summary'!$C$4,Q185&lt;='Friday Summary'!$C$4+14),Q185+ROW()/1000000,""),"")</f>
        <v/>
      </c>
    </row>
    <row r="186" ht="15" customHeight="1" s="51">
      <c r="A186" s="59">
        <f>IF(B186="","","OP-"&amp;TEXT(ROW()-4,"000"))</f>
        <v/>
      </c>
      <c r="B186" s="60" t="n"/>
      <c r="C186" s="61" t="n"/>
      <c r="D186" s="60" t="n"/>
      <c r="E186" s="60" t="n"/>
      <c r="F186" s="60" t="n"/>
      <c r="G186" s="60" t="n"/>
      <c r="H186" s="60" t="n"/>
      <c r="I186" s="60" t="n"/>
      <c r="J186" s="60" t="n"/>
      <c r="K186" s="60" t="n"/>
      <c r="L186" s="60" t="n"/>
      <c r="M186" s="62" t="n"/>
      <c r="N186" s="60" t="n"/>
      <c r="O186" s="61" t="n"/>
      <c r="P186" s="61" t="n"/>
      <c r="Q186" s="63" t="n"/>
      <c r="R186" s="60" t="n"/>
      <c r="S186" s="60" t="n"/>
      <c r="T186" s="64">
        <f>IF(A186="","",IFERROR(INDEX('Bid-NoBid'!$T:$T,MATCH(A186,'Bid-NoBid'!$A:$A,0)),""))</f>
        <v/>
      </c>
      <c r="U186" s="59">
        <f>IF(A186="","",IFERROR(IF(OR(INDEX('Bid-NoBid'!$U:$U,MATCH(A186,'Bid-NoBid'!$A:$A,0))="",LEFT(INDEX('Bid-NoBid'!$U:$U,MATCH(A186,'Bid-NoBid'!$A:$A,0)),10)="Incomplete"),"Screen: "&amp;AC186,INDEX('Bid-NoBid'!$U:$U,MATCH(A186,'Bid-NoBid'!$A:$A,0))),"Screen: "&amp;AC186))</f>
        <v/>
      </c>
      <c r="V186" s="60" t="n"/>
      <c r="W186" s="60" t="n"/>
      <c r="X186" s="60" t="n"/>
      <c r="Y186" s="60" t="n"/>
      <c r="Z186" s="60" t="n"/>
      <c r="AA186" s="65" t="n"/>
      <c r="AB186" s="66" t="n"/>
      <c r="AC186" s="66" t="n"/>
      <c r="AD186" s="66" t="n"/>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66" t="n"/>
      <c r="AJ186" s="66" t="n"/>
      <c r="AK186" s="66" t="n"/>
      <c r="AL186" s="59">
        <f>IF(AND(OR(W186="Watching",W186="Preparing"),ISNUMBER(Q186)),IF(AND(Q186&gt;='Friday Summary'!$C$4,Q186&lt;='Friday Summary'!$C$4+14),Q186+ROW()/1000000,""),"")</f>
        <v/>
      </c>
    </row>
    <row r="187" ht="15" customHeight="1" s="51">
      <c r="A187" s="59">
        <f>IF(B187="","","OP-"&amp;TEXT(ROW()-4,"000"))</f>
        <v/>
      </c>
      <c r="B187" s="60" t="n"/>
      <c r="C187" s="61" t="n"/>
      <c r="D187" s="60" t="n"/>
      <c r="E187" s="60" t="n"/>
      <c r="F187" s="60" t="n"/>
      <c r="G187" s="60" t="n"/>
      <c r="H187" s="60" t="n"/>
      <c r="I187" s="60" t="n"/>
      <c r="J187" s="60" t="n"/>
      <c r="K187" s="60" t="n"/>
      <c r="L187" s="60" t="n"/>
      <c r="M187" s="62" t="n"/>
      <c r="N187" s="60" t="n"/>
      <c r="O187" s="61" t="n"/>
      <c r="P187" s="61" t="n"/>
      <c r="Q187" s="63" t="n"/>
      <c r="R187" s="60" t="n"/>
      <c r="S187" s="60" t="n"/>
      <c r="T187" s="64">
        <f>IF(A187="","",IFERROR(INDEX('Bid-NoBid'!$T:$T,MATCH(A187,'Bid-NoBid'!$A:$A,0)),""))</f>
        <v/>
      </c>
      <c r="U187" s="59">
        <f>IF(A187="","",IFERROR(IF(OR(INDEX('Bid-NoBid'!$U:$U,MATCH(A187,'Bid-NoBid'!$A:$A,0))="",LEFT(INDEX('Bid-NoBid'!$U:$U,MATCH(A187,'Bid-NoBid'!$A:$A,0)),10)="Incomplete"),"Screen: "&amp;AC187,INDEX('Bid-NoBid'!$U:$U,MATCH(A187,'Bid-NoBid'!$A:$A,0))),"Screen: "&amp;AC187))</f>
        <v/>
      </c>
      <c r="V187" s="60" t="n"/>
      <c r="W187" s="60" t="n"/>
      <c r="X187" s="60" t="n"/>
      <c r="Y187" s="60" t="n"/>
      <c r="Z187" s="60" t="n"/>
      <c r="AA187" s="65" t="n"/>
      <c r="AB187" s="66" t="n"/>
      <c r="AC187" s="66" t="n"/>
      <c r="AD187" s="66" t="n"/>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66" t="n"/>
      <c r="AJ187" s="66" t="n"/>
      <c r="AK187" s="66" t="n"/>
      <c r="AL187" s="59">
        <f>IF(AND(OR(W187="Watching",W187="Preparing"),ISNUMBER(Q187)),IF(AND(Q187&gt;='Friday Summary'!$C$4,Q187&lt;='Friday Summary'!$C$4+14),Q187+ROW()/1000000,""),"")</f>
        <v/>
      </c>
    </row>
    <row r="188" ht="15" customHeight="1" s="51">
      <c r="A188" s="59">
        <f>IF(B188="","","OP-"&amp;TEXT(ROW()-4,"000"))</f>
        <v/>
      </c>
      <c r="B188" s="60" t="n"/>
      <c r="C188" s="61" t="n"/>
      <c r="D188" s="60" t="n"/>
      <c r="E188" s="60" t="n"/>
      <c r="F188" s="60" t="n"/>
      <c r="G188" s="60" t="n"/>
      <c r="H188" s="60" t="n"/>
      <c r="I188" s="60" t="n"/>
      <c r="J188" s="60" t="n"/>
      <c r="K188" s="60" t="n"/>
      <c r="L188" s="60" t="n"/>
      <c r="M188" s="62" t="n"/>
      <c r="N188" s="60" t="n"/>
      <c r="O188" s="61" t="n"/>
      <c r="P188" s="61" t="n"/>
      <c r="Q188" s="63" t="n"/>
      <c r="R188" s="60" t="n"/>
      <c r="S188" s="60" t="n"/>
      <c r="T188" s="64">
        <f>IF(A188="","",IFERROR(INDEX('Bid-NoBid'!$T:$T,MATCH(A188,'Bid-NoBid'!$A:$A,0)),""))</f>
        <v/>
      </c>
      <c r="U188" s="59">
        <f>IF(A188="","",IFERROR(IF(OR(INDEX('Bid-NoBid'!$U:$U,MATCH(A188,'Bid-NoBid'!$A:$A,0))="",LEFT(INDEX('Bid-NoBid'!$U:$U,MATCH(A188,'Bid-NoBid'!$A:$A,0)),10)="Incomplete"),"Screen: "&amp;AC188,INDEX('Bid-NoBid'!$U:$U,MATCH(A188,'Bid-NoBid'!$A:$A,0))),"Screen: "&amp;AC188))</f>
        <v/>
      </c>
      <c r="V188" s="60" t="n"/>
      <c r="W188" s="60" t="n"/>
      <c r="X188" s="60" t="n"/>
      <c r="Y188" s="60" t="n"/>
      <c r="Z188" s="60" t="n"/>
      <c r="AA188" s="65" t="n"/>
      <c r="AB188" s="66" t="n"/>
      <c r="AC188" s="66" t="n"/>
      <c r="AD188" s="66" t="n"/>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66" t="n"/>
      <c r="AJ188" s="66" t="n"/>
      <c r="AK188" s="66" t="n"/>
      <c r="AL188" s="59">
        <f>IF(AND(OR(W188="Watching",W188="Preparing"),ISNUMBER(Q188)),IF(AND(Q188&gt;='Friday Summary'!$C$4,Q188&lt;='Friday Summary'!$C$4+14),Q188+ROW()/1000000,""),"")</f>
        <v/>
      </c>
    </row>
    <row r="189" ht="15" customHeight="1" s="51">
      <c r="A189" s="59">
        <f>IF(B189="","","OP-"&amp;TEXT(ROW()-4,"000"))</f>
        <v/>
      </c>
      <c r="B189" s="60" t="n"/>
      <c r="C189" s="61" t="n"/>
      <c r="D189" s="60" t="n"/>
      <c r="E189" s="60" t="n"/>
      <c r="F189" s="60" t="n"/>
      <c r="G189" s="60" t="n"/>
      <c r="H189" s="60" t="n"/>
      <c r="I189" s="60" t="n"/>
      <c r="J189" s="60" t="n"/>
      <c r="K189" s="60" t="n"/>
      <c r="L189" s="60" t="n"/>
      <c r="M189" s="62" t="n"/>
      <c r="N189" s="60" t="n"/>
      <c r="O189" s="61" t="n"/>
      <c r="P189" s="61" t="n"/>
      <c r="Q189" s="63" t="n"/>
      <c r="R189" s="60" t="n"/>
      <c r="S189" s="60" t="n"/>
      <c r="T189" s="64">
        <f>IF(A189="","",IFERROR(INDEX('Bid-NoBid'!$T:$T,MATCH(A189,'Bid-NoBid'!$A:$A,0)),""))</f>
        <v/>
      </c>
      <c r="U189" s="59">
        <f>IF(A189="","",IFERROR(IF(OR(INDEX('Bid-NoBid'!$U:$U,MATCH(A189,'Bid-NoBid'!$A:$A,0))="",LEFT(INDEX('Bid-NoBid'!$U:$U,MATCH(A189,'Bid-NoBid'!$A:$A,0)),10)="Incomplete"),"Screen: "&amp;AC189,INDEX('Bid-NoBid'!$U:$U,MATCH(A189,'Bid-NoBid'!$A:$A,0))),"Screen: "&amp;AC189))</f>
        <v/>
      </c>
      <c r="V189" s="60" t="n"/>
      <c r="W189" s="60" t="n"/>
      <c r="X189" s="60" t="n"/>
      <c r="Y189" s="60" t="n"/>
      <c r="Z189" s="60" t="n"/>
      <c r="AA189" s="65" t="n"/>
      <c r="AB189" s="66" t="n"/>
      <c r="AC189" s="66" t="n"/>
      <c r="AD189" s="66" t="n"/>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66" t="n"/>
      <c r="AJ189" s="66" t="n"/>
      <c r="AK189" s="66" t="n"/>
      <c r="AL189" s="59">
        <f>IF(AND(OR(W189="Watching",W189="Preparing"),ISNUMBER(Q189)),IF(AND(Q189&gt;='Friday Summary'!$C$4,Q189&lt;='Friday Summary'!$C$4+14),Q189+ROW()/1000000,""),"")</f>
        <v/>
      </c>
    </row>
    <row r="190" ht="15" customHeight="1" s="51">
      <c r="A190" s="59">
        <f>IF(B190="","","OP-"&amp;TEXT(ROW()-4,"000"))</f>
        <v/>
      </c>
      <c r="B190" s="60" t="n"/>
      <c r="C190" s="61" t="n"/>
      <c r="D190" s="60" t="n"/>
      <c r="E190" s="60" t="n"/>
      <c r="F190" s="60" t="n"/>
      <c r="G190" s="60" t="n"/>
      <c r="H190" s="60" t="n"/>
      <c r="I190" s="60" t="n"/>
      <c r="J190" s="60" t="n"/>
      <c r="K190" s="60" t="n"/>
      <c r="L190" s="60" t="n"/>
      <c r="M190" s="62" t="n"/>
      <c r="N190" s="60" t="n"/>
      <c r="O190" s="61" t="n"/>
      <c r="P190" s="61" t="n"/>
      <c r="Q190" s="63" t="n"/>
      <c r="R190" s="60" t="n"/>
      <c r="S190" s="60" t="n"/>
      <c r="T190" s="64">
        <f>IF(A190="","",IFERROR(INDEX('Bid-NoBid'!$T:$T,MATCH(A190,'Bid-NoBid'!$A:$A,0)),""))</f>
        <v/>
      </c>
      <c r="U190" s="59">
        <f>IF(A190="","",IFERROR(IF(OR(INDEX('Bid-NoBid'!$U:$U,MATCH(A190,'Bid-NoBid'!$A:$A,0))="",LEFT(INDEX('Bid-NoBid'!$U:$U,MATCH(A190,'Bid-NoBid'!$A:$A,0)),10)="Incomplete"),"Screen: "&amp;AC190,INDEX('Bid-NoBid'!$U:$U,MATCH(A190,'Bid-NoBid'!$A:$A,0))),"Screen: "&amp;AC190))</f>
        <v/>
      </c>
      <c r="V190" s="60" t="n"/>
      <c r="W190" s="60" t="n"/>
      <c r="X190" s="60" t="n"/>
      <c r="Y190" s="60" t="n"/>
      <c r="Z190" s="60" t="n"/>
      <c r="AA190" s="65" t="n"/>
      <c r="AB190" s="66" t="n"/>
      <c r="AC190" s="66" t="n"/>
      <c r="AD190" s="66" t="n"/>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66" t="n"/>
      <c r="AJ190" s="66" t="n"/>
      <c r="AK190" s="66" t="n"/>
      <c r="AL190" s="59">
        <f>IF(AND(OR(W190="Watching",W190="Preparing"),ISNUMBER(Q190)),IF(AND(Q190&gt;='Friday Summary'!$C$4,Q190&lt;='Friday Summary'!$C$4+14),Q190+ROW()/1000000,""),"")</f>
        <v/>
      </c>
    </row>
    <row r="191" ht="15" customHeight="1" s="51">
      <c r="A191" s="59">
        <f>IF(B191="","","OP-"&amp;TEXT(ROW()-4,"000"))</f>
        <v/>
      </c>
      <c r="B191" s="60" t="n"/>
      <c r="C191" s="61" t="n"/>
      <c r="D191" s="60" t="n"/>
      <c r="E191" s="60" t="n"/>
      <c r="F191" s="60" t="n"/>
      <c r="G191" s="60" t="n"/>
      <c r="H191" s="60" t="n"/>
      <c r="I191" s="60" t="n"/>
      <c r="J191" s="60" t="n"/>
      <c r="K191" s="60" t="n"/>
      <c r="L191" s="60" t="n"/>
      <c r="M191" s="62" t="n"/>
      <c r="N191" s="60" t="n"/>
      <c r="O191" s="61" t="n"/>
      <c r="P191" s="61" t="n"/>
      <c r="Q191" s="63" t="n"/>
      <c r="R191" s="60" t="n"/>
      <c r="S191" s="60" t="n"/>
      <c r="T191" s="64">
        <f>IF(A191="","",IFERROR(INDEX('Bid-NoBid'!$T:$T,MATCH(A191,'Bid-NoBid'!$A:$A,0)),""))</f>
        <v/>
      </c>
      <c r="U191" s="59">
        <f>IF(A191="","",IFERROR(IF(OR(INDEX('Bid-NoBid'!$U:$U,MATCH(A191,'Bid-NoBid'!$A:$A,0))="",LEFT(INDEX('Bid-NoBid'!$U:$U,MATCH(A191,'Bid-NoBid'!$A:$A,0)),10)="Incomplete"),"Screen: "&amp;AC191,INDEX('Bid-NoBid'!$U:$U,MATCH(A191,'Bid-NoBid'!$A:$A,0))),"Screen: "&amp;AC191))</f>
        <v/>
      </c>
      <c r="V191" s="60" t="n"/>
      <c r="W191" s="60" t="n"/>
      <c r="X191" s="60" t="n"/>
      <c r="Y191" s="60" t="n"/>
      <c r="Z191" s="60" t="n"/>
      <c r="AA191" s="65" t="n"/>
      <c r="AB191" s="66" t="n"/>
      <c r="AC191" s="66" t="n"/>
      <c r="AD191" s="66" t="n"/>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66" t="n"/>
      <c r="AJ191" s="66" t="n"/>
      <c r="AK191" s="66" t="n"/>
      <c r="AL191" s="59">
        <f>IF(AND(OR(W191="Watching",W191="Preparing"),ISNUMBER(Q191)),IF(AND(Q191&gt;='Friday Summary'!$C$4,Q191&lt;='Friday Summary'!$C$4+14),Q191+ROW()/1000000,""),"")</f>
        <v/>
      </c>
    </row>
    <row r="192" ht="15" customHeight="1" s="51">
      <c r="A192" s="59">
        <f>IF(B192="","","OP-"&amp;TEXT(ROW()-4,"000"))</f>
        <v/>
      </c>
      <c r="B192" s="60" t="n"/>
      <c r="C192" s="61" t="n"/>
      <c r="D192" s="60" t="n"/>
      <c r="E192" s="60" t="n"/>
      <c r="F192" s="60" t="n"/>
      <c r="G192" s="60" t="n"/>
      <c r="H192" s="60" t="n"/>
      <c r="I192" s="60" t="n"/>
      <c r="J192" s="60" t="n"/>
      <c r="K192" s="60" t="n"/>
      <c r="L192" s="60" t="n"/>
      <c r="M192" s="62" t="n"/>
      <c r="N192" s="60" t="n"/>
      <c r="O192" s="61" t="n"/>
      <c r="P192" s="61" t="n"/>
      <c r="Q192" s="63" t="n"/>
      <c r="R192" s="60" t="n"/>
      <c r="S192" s="60" t="n"/>
      <c r="T192" s="64">
        <f>IF(A192="","",IFERROR(INDEX('Bid-NoBid'!$T:$T,MATCH(A192,'Bid-NoBid'!$A:$A,0)),""))</f>
        <v/>
      </c>
      <c r="U192" s="59">
        <f>IF(A192="","",IFERROR(IF(OR(INDEX('Bid-NoBid'!$U:$U,MATCH(A192,'Bid-NoBid'!$A:$A,0))="",LEFT(INDEX('Bid-NoBid'!$U:$U,MATCH(A192,'Bid-NoBid'!$A:$A,0)),10)="Incomplete"),"Screen: "&amp;AC192,INDEX('Bid-NoBid'!$U:$U,MATCH(A192,'Bid-NoBid'!$A:$A,0))),"Screen: "&amp;AC192))</f>
        <v/>
      </c>
      <c r="V192" s="60" t="n"/>
      <c r="W192" s="60" t="n"/>
      <c r="X192" s="60" t="n"/>
      <c r="Y192" s="60" t="n"/>
      <c r="Z192" s="60" t="n"/>
      <c r="AA192" s="65" t="n"/>
      <c r="AB192" s="66" t="n"/>
      <c r="AC192" s="66" t="n"/>
      <c r="AD192" s="66" t="n"/>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66" t="n"/>
      <c r="AJ192" s="66" t="n"/>
      <c r="AK192" s="66" t="n"/>
      <c r="AL192" s="59">
        <f>IF(AND(OR(W192="Watching",W192="Preparing"),ISNUMBER(Q192)),IF(AND(Q192&gt;='Friday Summary'!$C$4,Q192&lt;='Friday Summary'!$C$4+14),Q192+ROW()/1000000,""),"")</f>
        <v/>
      </c>
    </row>
    <row r="193" ht="15" customHeight="1" s="51">
      <c r="A193" s="59">
        <f>IF(B193="","","OP-"&amp;TEXT(ROW()-4,"000"))</f>
        <v/>
      </c>
      <c r="B193" s="60" t="n"/>
      <c r="C193" s="61" t="n"/>
      <c r="D193" s="60" t="n"/>
      <c r="E193" s="60" t="n"/>
      <c r="F193" s="60" t="n"/>
      <c r="G193" s="60" t="n"/>
      <c r="H193" s="60" t="n"/>
      <c r="I193" s="60" t="n"/>
      <c r="J193" s="60" t="n"/>
      <c r="K193" s="60" t="n"/>
      <c r="L193" s="60" t="n"/>
      <c r="M193" s="62" t="n"/>
      <c r="N193" s="60" t="n"/>
      <c r="O193" s="61" t="n"/>
      <c r="P193" s="61" t="n"/>
      <c r="Q193" s="63" t="n"/>
      <c r="R193" s="60" t="n"/>
      <c r="S193" s="60" t="n"/>
      <c r="T193" s="64">
        <f>IF(A193="","",IFERROR(INDEX('Bid-NoBid'!$T:$T,MATCH(A193,'Bid-NoBid'!$A:$A,0)),""))</f>
        <v/>
      </c>
      <c r="U193" s="59">
        <f>IF(A193="","",IFERROR(IF(OR(INDEX('Bid-NoBid'!$U:$U,MATCH(A193,'Bid-NoBid'!$A:$A,0))="",LEFT(INDEX('Bid-NoBid'!$U:$U,MATCH(A193,'Bid-NoBid'!$A:$A,0)),10)="Incomplete"),"Screen: "&amp;AC193,INDEX('Bid-NoBid'!$U:$U,MATCH(A193,'Bid-NoBid'!$A:$A,0))),"Screen: "&amp;AC193))</f>
        <v/>
      </c>
      <c r="V193" s="60" t="n"/>
      <c r="W193" s="60" t="n"/>
      <c r="X193" s="60" t="n"/>
      <c r="Y193" s="60" t="n"/>
      <c r="Z193" s="60" t="n"/>
      <c r="AA193" s="65" t="n"/>
      <c r="AB193" s="66" t="n"/>
      <c r="AC193" s="66" t="n"/>
      <c r="AD193" s="66" t="n"/>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66" t="n"/>
      <c r="AJ193" s="66" t="n"/>
      <c r="AK193" s="66" t="n"/>
      <c r="AL193" s="59">
        <f>IF(AND(OR(W193="Watching",W193="Preparing"),ISNUMBER(Q193)),IF(AND(Q193&gt;='Friday Summary'!$C$4,Q193&lt;='Friday Summary'!$C$4+14),Q193+ROW()/1000000,""),"")</f>
        <v/>
      </c>
    </row>
    <row r="194" ht="15" customHeight="1" s="51">
      <c r="A194" s="59">
        <f>IF(B194="","","OP-"&amp;TEXT(ROW()-4,"000"))</f>
        <v/>
      </c>
      <c r="B194" s="60" t="n"/>
      <c r="C194" s="61" t="n"/>
      <c r="D194" s="60" t="n"/>
      <c r="E194" s="60" t="n"/>
      <c r="F194" s="60" t="n"/>
      <c r="G194" s="60" t="n"/>
      <c r="H194" s="60" t="n"/>
      <c r="I194" s="60" t="n"/>
      <c r="J194" s="60" t="n"/>
      <c r="K194" s="60" t="n"/>
      <c r="L194" s="60" t="n"/>
      <c r="M194" s="62" t="n"/>
      <c r="N194" s="60" t="n"/>
      <c r="O194" s="61" t="n"/>
      <c r="P194" s="61" t="n"/>
      <c r="Q194" s="63" t="n"/>
      <c r="R194" s="60" t="n"/>
      <c r="S194" s="60" t="n"/>
      <c r="T194" s="64">
        <f>IF(A194="","",IFERROR(INDEX('Bid-NoBid'!$T:$T,MATCH(A194,'Bid-NoBid'!$A:$A,0)),""))</f>
        <v/>
      </c>
      <c r="U194" s="59">
        <f>IF(A194="","",IFERROR(IF(OR(INDEX('Bid-NoBid'!$U:$U,MATCH(A194,'Bid-NoBid'!$A:$A,0))="",LEFT(INDEX('Bid-NoBid'!$U:$U,MATCH(A194,'Bid-NoBid'!$A:$A,0)),10)="Incomplete"),"Screen: "&amp;AC194,INDEX('Bid-NoBid'!$U:$U,MATCH(A194,'Bid-NoBid'!$A:$A,0))),"Screen: "&amp;AC194))</f>
        <v/>
      </c>
      <c r="V194" s="60" t="n"/>
      <c r="W194" s="60" t="n"/>
      <c r="X194" s="60" t="n"/>
      <c r="Y194" s="60" t="n"/>
      <c r="Z194" s="60" t="n"/>
      <c r="AA194" s="65" t="n"/>
      <c r="AB194" s="66" t="n"/>
      <c r="AC194" s="66" t="n"/>
      <c r="AD194" s="66" t="n"/>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66" t="n"/>
      <c r="AJ194" s="66" t="n"/>
      <c r="AK194" s="66" t="n"/>
      <c r="AL194" s="59">
        <f>IF(AND(OR(W194="Watching",W194="Preparing"),ISNUMBER(Q194)),IF(AND(Q194&gt;='Friday Summary'!$C$4,Q194&lt;='Friday Summary'!$C$4+14),Q194+ROW()/1000000,""),"")</f>
        <v/>
      </c>
    </row>
    <row r="195" ht="15" customHeight="1" s="51">
      <c r="A195" s="59">
        <f>IF(B195="","","OP-"&amp;TEXT(ROW()-4,"000"))</f>
        <v/>
      </c>
      <c r="B195" s="60" t="n"/>
      <c r="C195" s="61" t="n"/>
      <c r="D195" s="60" t="n"/>
      <c r="E195" s="60" t="n"/>
      <c r="F195" s="60" t="n"/>
      <c r="G195" s="60" t="n"/>
      <c r="H195" s="60" t="n"/>
      <c r="I195" s="60" t="n"/>
      <c r="J195" s="60" t="n"/>
      <c r="K195" s="60" t="n"/>
      <c r="L195" s="60" t="n"/>
      <c r="M195" s="62" t="n"/>
      <c r="N195" s="60" t="n"/>
      <c r="O195" s="61" t="n"/>
      <c r="P195" s="61" t="n"/>
      <c r="Q195" s="63" t="n"/>
      <c r="R195" s="60" t="n"/>
      <c r="S195" s="60" t="n"/>
      <c r="T195" s="64">
        <f>IF(A195="","",IFERROR(INDEX('Bid-NoBid'!$T:$T,MATCH(A195,'Bid-NoBid'!$A:$A,0)),""))</f>
        <v/>
      </c>
      <c r="U195" s="59">
        <f>IF(A195="","",IFERROR(IF(OR(INDEX('Bid-NoBid'!$U:$U,MATCH(A195,'Bid-NoBid'!$A:$A,0))="",LEFT(INDEX('Bid-NoBid'!$U:$U,MATCH(A195,'Bid-NoBid'!$A:$A,0)),10)="Incomplete"),"Screen: "&amp;AC195,INDEX('Bid-NoBid'!$U:$U,MATCH(A195,'Bid-NoBid'!$A:$A,0))),"Screen: "&amp;AC195))</f>
        <v/>
      </c>
      <c r="V195" s="60" t="n"/>
      <c r="W195" s="60" t="n"/>
      <c r="X195" s="60" t="n"/>
      <c r="Y195" s="60" t="n"/>
      <c r="Z195" s="60" t="n"/>
      <c r="AA195" s="65" t="n"/>
      <c r="AB195" s="66" t="n"/>
      <c r="AC195" s="66" t="n"/>
      <c r="AD195" s="66" t="n"/>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66" t="n"/>
      <c r="AJ195" s="66" t="n"/>
      <c r="AK195" s="66" t="n"/>
      <c r="AL195" s="59">
        <f>IF(AND(OR(W195="Watching",W195="Preparing"),ISNUMBER(Q195)),IF(AND(Q195&gt;='Friday Summary'!$C$4,Q195&lt;='Friday Summary'!$C$4+14),Q195+ROW()/1000000,""),"")</f>
        <v/>
      </c>
    </row>
    <row r="196" ht="15" customHeight="1" s="51">
      <c r="A196" s="59">
        <f>IF(B196="","","OP-"&amp;TEXT(ROW()-4,"000"))</f>
        <v/>
      </c>
      <c r="B196" s="60" t="n"/>
      <c r="C196" s="61" t="n"/>
      <c r="D196" s="60" t="n"/>
      <c r="E196" s="60" t="n"/>
      <c r="F196" s="60" t="n"/>
      <c r="G196" s="60" t="n"/>
      <c r="H196" s="60" t="n"/>
      <c r="I196" s="60" t="n"/>
      <c r="J196" s="60" t="n"/>
      <c r="K196" s="60" t="n"/>
      <c r="L196" s="60" t="n"/>
      <c r="M196" s="62" t="n"/>
      <c r="N196" s="60" t="n"/>
      <c r="O196" s="61" t="n"/>
      <c r="P196" s="61" t="n"/>
      <c r="Q196" s="63" t="n"/>
      <c r="R196" s="60" t="n"/>
      <c r="S196" s="60" t="n"/>
      <c r="T196" s="64">
        <f>IF(A196="","",IFERROR(INDEX('Bid-NoBid'!$T:$T,MATCH(A196,'Bid-NoBid'!$A:$A,0)),""))</f>
        <v/>
      </c>
      <c r="U196" s="59">
        <f>IF(A196="","",IFERROR(IF(OR(INDEX('Bid-NoBid'!$U:$U,MATCH(A196,'Bid-NoBid'!$A:$A,0))="",LEFT(INDEX('Bid-NoBid'!$U:$U,MATCH(A196,'Bid-NoBid'!$A:$A,0)),10)="Incomplete"),"Screen: "&amp;AC196,INDEX('Bid-NoBid'!$U:$U,MATCH(A196,'Bid-NoBid'!$A:$A,0))),"Screen: "&amp;AC196))</f>
        <v/>
      </c>
      <c r="V196" s="60" t="n"/>
      <c r="W196" s="60" t="n"/>
      <c r="X196" s="60" t="n"/>
      <c r="Y196" s="60" t="n"/>
      <c r="Z196" s="60" t="n"/>
      <c r="AA196" s="65" t="n"/>
      <c r="AB196" s="66" t="n"/>
      <c r="AC196" s="66" t="n"/>
      <c r="AD196" s="66" t="n"/>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66" t="n"/>
      <c r="AJ196" s="66" t="n"/>
      <c r="AK196" s="66" t="n"/>
      <c r="AL196" s="59">
        <f>IF(AND(OR(W196="Watching",W196="Preparing"),ISNUMBER(Q196)),IF(AND(Q196&gt;='Friday Summary'!$C$4,Q196&lt;='Friday Summary'!$C$4+14),Q196+ROW()/1000000,""),"")</f>
        <v/>
      </c>
    </row>
    <row r="197" ht="15" customHeight="1" s="51">
      <c r="A197" s="59">
        <f>IF(B197="","","OP-"&amp;TEXT(ROW()-4,"000"))</f>
        <v/>
      </c>
      <c r="B197" s="60" t="n"/>
      <c r="C197" s="61" t="n"/>
      <c r="D197" s="60" t="n"/>
      <c r="E197" s="60" t="n"/>
      <c r="F197" s="60" t="n"/>
      <c r="G197" s="60" t="n"/>
      <c r="H197" s="60" t="n"/>
      <c r="I197" s="60" t="n"/>
      <c r="J197" s="60" t="n"/>
      <c r="K197" s="60" t="n"/>
      <c r="L197" s="60" t="n"/>
      <c r="M197" s="62" t="n"/>
      <c r="N197" s="60" t="n"/>
      <c r="O197" s="61" t="n"/>
      <c r="P197" s="61" t="n"/>
      <c r="Q197" s="63" t="n"/>
      <c r="R197" s="60" t="n"/>
      <c r="S197" s="60" t="n"/>
      <c r="T197" s="64">
        <f>IF(A197="","",IFERROR(INDEX('Bid-NoBid'!$T:$T,MATCH(A197,'Bid-NoBid'!$A:$A,0)),""))</f>
        <v/>
      </c>
      <c r="U197" s="59">
        <f>IF(A197="","",IFERROR(IF(OR(INDEX('Bid-NoBid'!$U:$U,MATCH(A197,'Bid-NoBid'!$A:$A,0))="",LEFT(INDEX('Bid-NoBid'!$U:$U,MATCH(A197,'Bid-NoBid'!$A:$A,0)),10)="Incomplete"),"Screen: "&amp;AC197,INDEX('Bid-NoBid'!$U:$U,MATCH(A197,'Bid-NoBid'!$A:$A,0))),"Screen: "&amp;AC197))</f>
        <v/>
      </c>
      <c r="V197" s="60" t="n"/>
      <c r="W197" s="60" t="n"/>
      <c r="X197" s="60" t="n"/>
      <c r="Y197" s="60" t="n"/>
      <c r="Z197" s="60" t="n"/>
      <c r="AA197" s="65" t="n"/>
      <c r="AB197" s="66" t="n"/>
      <c r="AC197" s="66" t="n"/>
      <c r="AD197" s="66" t="n"/>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66" t="n"/>
      <c r="AJ197" s="66" t="n"/>
      <c r="AK197" s="66" t="n"/>
      <c r="AL197" s="59">
        <f>IF(AND(OR(W197="Watching",W197="Preparing"),ISNUMBER(Q197)),IF(AND(Q197&gt;='Friday Summary'!$C$4,Q197&lt;='Friday Summary'!$C$4+14),Q197+ROW()/1000000,""),"")</f>
        <v/>
      </c>
    </row>
    <row r="198" ht="15" customHeight="1" s="51">
      <c r="A198" s="59">
        <f>IF(B198="","","OP-"&amp;TEXT(ROW()-4,"000"))</f>
        <v/>
      </c>
      <c r="B198" s="60" t="n"/>
      <c r="C198" s="61" t="n"/>
      <c r="D198" s="60" t="n"/>
      <c r="E198" s="60" t="n"/>
      <c r="F198" s="60" t="n"/>
      <c r="G198" s="60" t="n"/>
      <c r="H198" s="60" t="n"/>
      <c r="I198" s="60" t="n"/>
      <c r="J198" s="60" t="n"/>
      <c r="K198" s="60" t="n"/>
      <c r="L198" s="60" t="n"/>
      <c r="M198" s="62" t="n"/>
      <c r="N198" s="60" t="n"/>
      <c r="O198" s="61" t="n"/>
      <c r="P198" s="61" t="n"/>
      <c r="Q198" s="63" t="n"/>
      <c r="R198" s="60" t="n"/>
      <c r="S198" s="60" t="n"/>
      <c r="T198" s="64">
        <f>IF(A198="","",IFERROR(INDEX('Bid-NoBid'!$T:$T,MATCH(A198,'Bid-NoBid'!$A:$A,0)),""))</f>
        <v/>
      </c>
      <c r="U198" s="59">
        <f>IF(A198="","",IFERROR(IF(OR(INDEX('Bid-NoBid'!$U:$U,MATCH(A198,'Bid-NoBid'!$A:$A,0))="",LEFT(INDEX('Bid-NoBid'!$U:$U,MATCH(A198,'Bid-NoBid'!$A:$A,0)),10)="Incomplete"),"Screen: "&amp;AC198,INDEX('Bid-NoBid'!$U:$U,MATCH(A198,'Bid-NoBid'!$A:$A,0))),"Screen: "&amp;AC198))</f>
        <v/>
      </c>
      <c r="V198" s="60" t="n"/>
      <c r="W198" s="60" t="n"/>
      <c r="X198" s="60" t="n"/>
      <c r="Y198" s="60" t="n"/>
      <c r="Z198" s="60" t="n"/>
      <c r="AA198" s="65" t="n"/>
      <c r="AB198" s="66" t="n"/>
      <c r="AC198" s="66" t="n"/>
      <c r="AD198" s="66" t="n"/>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66" t="n"/>
      <c r="AJ198" s="66" t="n"/>
      <c r="AK198" s="66" t="n"/>
      <c r="AL198" s="59">
        <f>IF(AND(OR(W198="Watching",W198="Preparing"),ISNUMBER(Q198)),IF(AND(Q198&gt;='Friday Summary'!$C$4,Q198&lt;='Friday Summary'!$C$4+14),Q198+ROW()/1000000,""),"")</f>
        <v/>
      </c>
    </row>
    <row r="199" ht="15" customHeight="1" s="51">
      <c r="A199" s="59">
        <f>IF(B199="","","OP-"&amp;TEXT(ROW()-4,"000"))</f>
        <v/>
      </c>
      <c r="B199" s="60" t="n"/>
      <c r="C199" s="61" t="n"/>
      <c r="D199" s="60" t="n"/>
      <c r="E199" s="60" t="n"/>
      <c r="F199" s="60" t="n"/>
      <c r="G199" s="60" t="n"/>
      <c r="H199" s="60" t="n"/>
      <c r="I199" s="60" t="n"/>
      <c r="J199" s="60" t="n"/>
      <c r="K199" s="60" t="n"/>
      <c r="L199" s="60" t="n"/>
      <c r="M199" s="62" t="n"/>
      <c r="N199" s="60" t="n"/>
      <c r="O199" s="61" t="n"/>
      <c r="P199" s="61" t="n"/>
      <c r="Q199" s="63" t="n"/>
      <c r="R199" s="60" t="n"/>
      <c r="S199" s="60" t="n"/>
      <c r="T199" s="64">
        <f>IF(A199="","",IFERROR(INDEX('Bid-NoBid'!$T:$T,MATCH(A199,'Bid-NoBid'!$A:$A,0)),""))</f>
        <v/>
      </c>
      <c r="U199" s="59">
        <f>IF(A199="","",IFERROR(IF(OR(INDEX('Bid-NoBid'!$U:$U,MATCH(A199,'Bid-NoBid'!$A:$A,0))="",LEFT(INDEX('Bid-NoBid'!$U:$U,MATCH(A199,'Bid-NoBid'!$A:$A,0)),10)="Incomplete"),"Screen: "&amp;AC199,INDEX('Bid-NoBid'!$U:$U,MATCH(A199,'Bid-NoBid'!$A:$A,0))),"Screen: "&amp;AC199))</f>
        <v/>
      </c>
      <c r="V199" s="60" t="n"/>
      <c r="W199" s="60" t="n"/>
      <c r="X199" s="60" t="n"/>
      <c r="Y199" s="60" t="n"/>
      <c r="Z199" s="60" t="n"/>
      <c r="AA199" s="65" t="n"/>
      <c r="AB199" s="66" t="n"/>
      <c r="AC199" s="66" t="n"/>
      <c r="AD199" s="66" t="n"/>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66" t="n"/>
      <c r="AJ199" s="66" t="n"/>
      <c r="AK199" s="66" t="n"/>
      <c r="AL199" s="59">
        <f>IF(AND(OR(W199="Watching",W199="Preparing"),ISNUMBER(Q199)),IF(AND(Q199&gt;='Friday Summary'!$C$4,Q199&lt;='Friday Summary'!$C$4+14),Q199+ROW()/1000000,""),"")</f>
        <v/>
      </c>
    </row>
    <row r="200" ht="15" customHeight="1" s="51">
      <c r="A200" s="59">
        <f>IF(B200="","","OP-"&amp;TEXT(ROW()-4,"000"))</f>
        <v/>
      </c>
      <c r="B200" s="60" t="n"/>
      <c r="C200" s="61" t="n"/>
      <c r="D200" s="60" t="n"/>
      <c r="E200" s="60" t="n"/>
      <c r="F200" s="60" t="n"/>
      <c r="G200" s="60" t="n"/>
      <c r="H200" s="60" t="n"/>
      <c r="I200" s="60" t="n"/>
      <c r="J200" s="60" t="n"/>
      <c r="K200" s="60" t="n"/>
      <c r="L200" s="60" t="n"/>
      <c r="M200" s="62" t="n"/>
      <c r="N200" s="60" t="n"/>
      <c r="O200" s="61" t="n"/>
      <c r="P200" s="61" t="n"/>
      <c r="Q200" s="63" t="n"/>
      <c r="R200" s="60" t="n"/>
      <c r="S200" s="60" t="n"/>
      <c r="T200" s="64">
        <f>IF(A200="","",IFERROR(INDEX('Bid-NoBid'!$T:$T,MATCH(A200,'Bid-NoBid'!$A:$A,0)),""))</f>
        <v/>
      </c>
      <c r="U200" s="59">
        <f>IF(A200="","",IFERROR(IF(OR(INDEX('Bid-NoBid'!$U:$U,MATCH(A200,'Bid-NoBid'!$A:$A,0))="",LEFT(INDEX('Bid-NoBid'!$U:$U,MATCH(A200,'Bid-NoBid'!$A:$A,0)),10)="Incomplete"),"Screen: "&amp;AC200,INDEX('Bid-NoBid'!$U:$U,MATCH(A200,'Bid-NoBid'!$A:$A,0))),"Screen: "&amp;AC200))</f>
        <v/>
      </c>
      <c r="V200" s="60" t="n"/>
      <c r="W200" s="60" t="n"/>
      <c r="X200" s="60" t="n"/>
      <c r="Y200" s="60" t="n"/>
      <c r="Z200" s="60" t="n"/>
      <c r="AA200" s="65" t="n"/>
      <c r="AB200" s="66" t="n"/>
      <c r="AC200" s="66" t="n"/>
      <c r="AD200" s="66" t="n"/>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66" t="n"/>
      <c r="AJ200" s="66" t="n"/>
      <c r="AK200" s="66" t="n"/>
      <c r="AL200" s="59">
        <f>IF(AND(OR(W200="Watching",W200="Preparing"),ISNUMBER(Q200)),IF(AND(Q200&gt;='Friday Summary'!$C$4,Q200&lt;='Friday Summary'!$C$4+14),Q200+ROW()/1000000,""),"")</f>
        <v/>
      </c>
    </row>
    <row r="201" ht="15" customHeight="1" s="51">
      <c r="A201" s="59">
        <f>IF(B201="","","OP-"&amp;TEXT(ROW()-4,"000"))</f>
        <v/>
      </c>
      <c r="B201" s="60" t="n"/>
      <c r="C201" s="61" t="n"/>
      <c r="D201" s="60" t="n"/>
      <c r="E201" s="60" t="n"/>
      <c r="F201" s="60" t="n"/>
      <c r="G201" s="60" t="n"/>
      <c r="H201" s="60" t="n"/>
      <c r="I201" s="60" t="n"/>
      <c r="J201" s="60" t="n"/>
      <c r="K201" s="60" t="n"/>
      <c r="L201" s="60" t="n"/>
      <c r="M201" s="62" t="n"/>
      <c r="N201" s="60" t="n"/>
      <c r="O201" s="61" t="n"/>
      <c r="P201" s="61" t="n"/>
      <c r="Q201" s="63" t="n"/>
      <c r="R201" s="60" t="n"/>
      <c r="S201" s="60" t="n"/>
      <c r="T201" s="64">
        <f>IF(A201="","",IFERROR(INDEX('Bid-NoBid'!$T:$T,MATCH(A201,'Bid-NoBid'!$A:$A,0)),""))</f>
        <v/>
      </c>
      <c r="U201" s="59">
        <f>IF(A201="","",IFERROR(IF(OR(INDEX('Bid-NoBid'!$U:$U,MATCH(A201,'Bid-NoBid'!$A:$A,0))="",LEFT(INDEX('Bid-NoBid'!$U:$U,MATCH(A201,'Bid-NoBid'!$A:$A,0)),10)="Incomplete"),"Screen: "&amp;AC201,INDEX('Bid-NoBid'!$U:$U,MATCH(A201,'Bid-NoBid'!$A:$A,0))),"Screen: "&amp;AC201))</f>
        <v/>
      </c>
      <c r="V201" s="60" t="n"/>
      <c r="W201" s="60" t="n"/>
      <c r="X201" s="60" t="n"/>
      <c r="Y201" s="60" t="n"/>
      <c r="Z201" s="60" t="n"/>
      <c r="AA201" s="65" t="n"/>
      <c r="AB201" s="66" t="n"/>
      <c r="AC201" s="66" t="n"/>
      <c r="AD201" s="66" t="n"/>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66" t="n"/>
      <c r="AJ201" s="66" t="n"/>
      <c r="AK201" s="66" t="n"/>
      <c r="AL201" s="59">
        <f>IF(AND(OR(W201="Watching",W201="Preparing"),ISNUMBER(Q201)),IF(AND(Q201&gt;='Friday Summary'!$C$4,Q201&lt;='Friday Summary'!$C$4+14),Q201+ROW()/1000000,""),"")</f>
        <v/>
      </c>
    </row>
    <row r="202" ht="15" customHeight="1" s="51">
      <c r="A202" s="59">
        <f>IF(B202="","","OP-"&amp;TEXT(ROW()-4,"000"))</f>
        <v/>
      </c>
      <c r="B202" s="60" t="n"/>
      <c r="C202" s="61" t="n"/>
      <c r="D202" s="60" t="n"/>
      <c r="E202" s="60" t="n"/>
      <c r="F202" s="60" t="n"/>
      <c r="G202" s="60" t="n"/>
      <c r="H202" s="60" t="n"/>
      <c r="I202" s="60" t="n"/>
      <c r="J202" s="60" t="n"/>
      <c r="K202" s="60" t="n"/>
      <c r="L202" s="60" t="n"/>
      <c r="M202" s="62" t="n"/>
      <c r="N202" s="60" t="n"/>
      <c r="O202" s="61" t="n"/>
      <c r="P202" s="61" t="n"/>
      <c r="Q202" s="63" t="n"/>
      <c r="R202" s="60" t="n"/>
      <c r="S202" s="60" t="n"/>
      <c r="T202" s="64">
        <f>IF(A202="","",IFERROR(INDEX('Bid-NoBid'!$T:$T,MATCH(A202,'Bid-NoBid'!$A:$A,0)),""))</f>
        <v/>
      </c>
      <c r="U202" s="59">
        <f>IF(A202="","",IFERROR(IF(OR(INDEX('Bid-NoBid'!$U:$U,MATCH(A202,'Bid-NoBid'!$A:$A,0))="",LEFT(INDEX('Bid-NoBid'!$U:$U,MATCH(A202,'Bid-NoBid'!$A:$A,0)),10)="Incomplete"),"Screen: "&amp;AC202,INDEX('Bid-NoBid'!$U:$U,MATCH(A202,'Bid-NoBid'!$A:$A,0))),"Screen: "&amp;AC202))</f>
        <v/>
      </c>
      <c r="V202" s="60" t="n"/>
      <c r="W202" s="60" t="n"/>
      <c r="X202" s="60" t="n"/>
      <c r="Y202" s="60" t="n"/>
      <c r="Z202" s="60" t="n"/>
      <c r="AA202" s="65" t="n"/>
      <c r="AB202" s="66" t="n"/>
      <c r="AC202" s="66" t="n"/>
      <c r="AD202" s="66" t="n"/>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66" t="n"/>
      <c r="AJ202" s="66" t="n"/>
      <c r="AK202" s="66" t="n"/>
      <c r="AL202" s="59">
        <f>IF(AND(OR(W202="Watching",W202="Preparing"),ISNUMBER(Q202)),IF(AND(Q202&gt;='Friday Summary'!$C$4,Q202&lt;='Friday Summary'!$C$4+14),Q202+ROW()/1000000,""),"")</f>
        <v/>
      </c>
    </row>
    <row r="203" ht="15" customHeight="1" s="51">
      <c r="A203" s="59">
        <f>IF(B203="","","OP-"&amp;TEXT(ROW()-4,"000"))</f>
        <v/>
      </c>
      <c r="B203" s="60" t="n"/>
      <c r="C203" s="61" t="n"/>
      <c r="D203" s="60" t="n"/>
      <c r="E203" s="60" t="n"/>
      <c r="F203" s="60" t="n"/>
      <c r="G203" s="60" t="n"/>
      <c r="H203" s="60" t="n"/>
      <c r="I203" s="60" t="n"/>
      <c r="J203" s="60" t="n"/>
      <c r="K203" s="60" t="n"/>
      <c r="L203" s="60" t="n"/>
      <c r="M203" s="62" t="n"/>
      <c r="N203" s="60" t="n"/>
      <c r="O203" s="61" t="n"/>
      <c r="P203" s="61" t="n"/>
      <c r="Q203" s="63" t="n"/>
      <c r="R203" s="60" t="n"/>
      <c r="S203" s="60" t="n"/>
      <c r="T203" s="64">
        <f>IF(A203="","",IFERROR(INDEX('Bid-NoBid'!$T:$T,MATCH(A203,'Bid-NoBid'!$A:$A,0)),""))</f>
        <v/>
      </c>
      <c r="U203" s="59">
        <f>IF(A203="","",IFERROR(IF(OR(INDEX('Bid-NoBid'!$U:$U,MATCH(A203,'Bid-NoBid'!$A:$A,0))="",LEFT(INDEX('Bid-NoBid'!$U:$U,MATCH(A203,'Bid-NoBid'!$A:$A,0)),10)="Incomplete"),"Screen: "&amp;AC203,INDEX('Bid-NoBid'!$U:$U,MATCH(A203,'Bid-NoBid'!$A:$A,0))),"Screen: "&amp;AC203))</f>
        <v/>
      </c>
      <c r="V203" s="60" t="n"/>
      <c r="W203" s="60" t="n"/>
      <c r="X203" s="60" t="n"/>
      <c r="Y203" s="60" t="n"/>
      <c r="Z203" s="60" t="n"/>
      <c r="AA203" s="65" t="n"/>
      <c r="AB203" s="66" t="n"/>
      <c r="AC203" s="66" t="n"/>
      <c r="AD203" s="66" t="n"/>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66" t="n"/>
      <c r="AJ203" s="66" t="n"/>
      <c r="AK203" s="66" t="n"/>
      <c r="AL203" s="59">
        <f>IF(AND(OR(W203="Watching",W203="Preparing"),ISNUMBER(Q203)),IF(AND(Q203&gt;='Friday Summary'!$C$4,Q203&lt;='Friday Summary'!$C$4+14),Q203+ROW()/1000000,""),"")</f>
        <v/>
      </c>
    </row>
    <row r="204" ht="15" customHeight="1" s="51">
      <c r="A204" s="59">
        <f>IF(B204="","","OP-"&amp;TEXT(ROW()-4,"000"))</f>
        <v/>
      </c>
      <c r="B204" s="60" t="n"/>
      <c r="C204" s="61" t="n"/>
      <c r="D204" s="60" t="n"/>
      <c r="E204" s="60" t="n"/>
      <c r="F204" s="60" t="n"/>
      <c r="G204" s="60" t="n"/>
      <c r="H204" s="60" t="n"/>
      <c r="I204" s="60" t="n"/>
      <c r="J204" s="60" t="n"/>
      <c r="K204" s="60" t="n"/>
      <c r="L204" s="60" t="n"/>
      <c r="M204" s="62" t="n"/>
      <c r="N204" s="60" t="n"/>
      <c r="O204" s="61" t="n"/>
      <c r="P204" s="61" t="n"/>
      <c r="Q204" s="63" t="n"/>
      <c r="R204" s="60" t="n"/>
      <c r="S204" s="60" t="n"/>
      <c r="T204" s="64">
        <f>IF(A204="","",IFERROR(INDEX('Bid-NoBid'!$T:$T,MATCH(A204,'Bid-NoBid'!$A:$A,0)),""))</f>
        <v/>
      </c>
      <c r="U204" s="59">
        <f>IF(A204="","",IFERROR(IF(OR(INDEX('Bid-NoBid'!$U:$U,MATCH(A204,'Bid-NoBid'!$A:$A,0))="",LEFT(INDEX('Bid-NoBid'!$U:$U,MATCH(A204,'Bid-NoBid'!$A:$A,0)),10)="Incomplete"),"Screen: "&amp;AC204,INDEX('Bid-NoBid'!$U:$U,MATCH(A204,'Bid-NoBid'!$A:$A,0))),"Screen: "&amp;AC204))</f>
        <v/>
      </c>
      <c r="V204" s="60" t="n"/>
      <c r="W204" s="60" t="n"/>
      <c r="X204" s="60" t="n"/>
      <c r="Y204" s="60" t="n"/>
      <c r="Z204" s="60" t="n"/>
      <c r="AA204" s="65" t="n"/>
      <c r="AB204" s="66" t="n"/>
      <c r="AC204" s="66" t="n"/>
      <c r="AD204" s="66" t="n"/>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66" t="n"/>
      <c r="AJ204" s="66" t="n"/>
      <c r="AK204" s="66" t="n"/>
      <c r="AL204" s="59">
        <f>IF(AND(OR(W204="Watching",W204="Preparing"),ISNUMBER(Q204)),IF(AND(Q204&gt;='Friday Summary'!$C$4,Q204&lt;='Friday Summary'!$C$4+14),Q204+ROW()/1000000,""),"")</f>
        <v/>
      </c>
    </row>
    <row r="205" ht="15" customHeight="1" s="51">
      <c r="A205" s="59">
        <f>IF(B205="","","OP-"&amp;TEXT(ROW()-4,"000"))</f>
        <v/>
      </c>
      <c r="B205" s="60" t="n"/>
      <c r="C205" s="61" t="n"/>
      <c r="D205" s="60" t="n"/>
      <c r="E205" s="60" t="n"/>
      <c r="F205" s="60" t="n"/>
      <c r="G205" s="60" t="n"/>
      <c r="H205" s="60" t="n"/>
      <c r="I205" s="60" t="n"/>
      <c r="J205" s="60" t="n"/>
      <c r="K205" s="60" t="n"/>
      <c r="L205" s="60" t="n"/>
      <c r="M205" s="62" t="n"/>
      <c r="N205" s="60" t="n"/>
      <c r="O205" s="61" t="n"/>
      <c r="P205" s="61" t="n"/>
      <c r="Q205" s="63" t="n"/>
      <c r="R205" s="60" t="n"/>
      <c r="S205" s="60" t="n"/>
      <c r="T205" s="64">
        <f>IF(A205="","",IFERROR(INDEX('Bid-NoBid'!$T:$T,MATCH(A205,'Bid-NoBid'!$A:$A,0)),""))</f>
        <v/>
      </c>
      <c r="U205" s="59">
        <f>IF(A205="","",IFERROR(IF(OR(INDEX('Bid-NoBid'!$U:$U,MATCH(A205,'Bid-NoBid'!$A:$A,0))="",LEFT(INDEX('Bid-NoBid'!$U:$U,MATCH(A205,'Bid-NoBid'!$A:$A,0)),10)="Incomplete"),"Screen: "&amp;AC205,INDEX('Bid-NoBid'!$U:$U,MATCH(A205,'Bid-NoBid'!$A:$A,0))),"Screen: "&amp;AC205))</f>
        <v/>
      </c>
      <c r="V205" s="60" t="n"/>
      <c r="W205" s="60" t="n"/>
      <c r="X205" s="60" t="n"/>
      <c r="Y205" s="60" t="n"/>
      <c r="Z205" s="60" t="n"/>
      <c r="AA205" s="65" t="n"/>
      <c r="AB205" s="66" t="n"/>
      <c r="AC205" s="66" t="n"/>
      <c r="AD205" s="66" t="n"/>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66" t="n"/>
      <c r="AJ205" s="66" t="n"/>
      <c r="AK205" s="66" t="n"/>
      <c r="AL205" s="59">
        <f>IF(AND(OR(W205="Watching",W205="Preparing"),ISNUMBER(Q205)),IF(AND(Q205&gt;='Friday Summary'!$C$4,Q205&lt;='Friday Summary'!$C$4+14),Q205+ROW()/1000000,""),"")</f>
        <v/>
      </c>
    </row>
    <row r="206" ht="15" customHeight="1" s="51">
      <c r="A206" s="59">
        <f>IF(B206="","","OP-"&amp;TEXT(ROW()-4,"000"))</f>
        <v/>
      </c>
      <c r="B206" s="60" t="n"/>
      <c r="C206" s="61" t="n"/>
      <c r="D206" s="60" t="n"/>
      <c r="E206" s="60" t="n"/>
      <c r="F206" s="60" t="n"/>
      <c r="G206" s="60" t="n"/>
      <c r="H206" s="60" t="n"/>
      <c r="I206" s="60" t="n"/>
      <c r="J206" s="60" t="n"/>
      <c r="K206" s="60" t="n"/>
      <c r="L206" s="60" t="n"/>
      <c r="M206" s="62" t="n"/>
      <c r="N206" s="60" t="n"/>
      <c r="O206" s="61" t="n"/>
      <c r="P206" s="61" t="n"/>
      <c r="Q206" s="63" t="n"/>
      <c r="R206" s="60" t="n"/>
      <c r="S206" s="60" t="n"/>
      <c r="T206" s="64">
        <f>IF(A206="","",IFERROR(INDEX('Bid-NoBid'!$T:$T,MATCH(A206,'Bid-NoBid'!$A:$A,0)),""))</f>
        <v/>
      </c>
      <c r="U206" s="59">
        <f>IF(A206="","",IFERROR(IF(OR(INDEX('Bid-NoBid'!$U:$U,MATCH(A206,'Bid-NoBid'!$A:$A,0))="",LEFT(INDEX('Bid-NoBid'!$U:$U,MATCH(A206,'Bid-NoBid'!$A:$A,0)),10)="Incomplete"),"Screen: "&amp;AC206,INDEX('Bid-NoBid'!$U:$U,MATCH(A206,'Bid-NoBid'!$A:$A,0))),"Screen: "&amp;AC206))</f>
        <v/>
      </c>
      <c r="V206" s="60" t="n"/>
      <c r="W206" s="60" t="n"/>
      <c r="X206" s="60" t="n"/>
      <c r="Y206" s="60" t="n"/>
      <c r="Z206" s="60" t="n"/>
      <c r="AA206" s="65" t="n"/>
      <c r="AB206" s="66" t="n"/>
      <c r="AC206" s="66" t="n"/>
      <c r="AD206" s="66" t="n"/>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66" t="n"/>
      <c r="AJ206" s="66" t="n"/>
      <c r="AK206" s="66" t="n"/>
      <c r="AL206" s="59">
        <f>IF(AND(OR(W206="Watching",W206="Preparing"),ISNUMBER(Q206)),IF(AND(Q206&gt;='Friday Summary'!$C$4,Q206&lt;='Friday Summary'!$C$4+14),Q206+ROW()/1000000,""),"")</f>
        <v/>
      </c>
    </row>
    <row r="207" ht="15" customHeight="1" s="51">
      <c r="A207" s="59">
        <f>IF(B207="","","OP-"&amp;TEXT(ROW()-4,"000"))</f>
        <v/>
      </c>
      <c r="B207" s="60" t="n"/>
      <c r="C207" s="61" t="n"/>
      <c r="D207" s="60" t="n"/>
      <c r="E207" s="60" t="n"/>
      <c r="F207" s="60" t="n"/>
      <c r="G207" s="60" t="n"/>
      <c r="H207" s="60" t="n"/>
      <c r="I207" s="60" t="n"/>
      <c r="J207" s="60" t="n"/>
      <c r="K207" s="60" t="n"/>
      <c r="L207" s="60" t="n"/>
      <c r="M207" s="62" t="n"/>
      <c r="N207" s="60" t="n"/>
      <c r="O207" s="61" t="n"/>
      <c r="P207" s="61" t="n"/>
      <c r="Q207" s="63" t="n"/>
      <c r="R207" s="60" t="n"/>
      <c r="S207" s="60" t="n"/>
      <c r="T207" s="64">
        <f>IF(A207="","",IFERROR(INDEX('Bid-NoBid'!$T:$T,MATCH(A207,'Bid-NoBid'!$A:$A,0)),""))</f>
        <v/>
      </c>
      <c r="U207" s="59">
        <f>IF(A207="","",IFERROR(IF(OR(INDEX('Bid-NoBid'!$U:$U,MATCH(A207,'Bid-NoBid'!$A:$A,0))="",LEFT(INDEX('Bid-NoBid'!$U:$U,MATCH(A207,'Bid-NoBid'!$A:$A,0)),10)="Incomplete"),"Screen: "&amp;AC207,INDEX('Bid-NoBid'!$U:$U,MATCH(A207,'Bid-NoBid'!$A:$A,0))),"Screen: "&amp;AC207))</f>
        <v/>
      </c>
      <c r="V207" s="60" t="n"/>
      <c r="W207" s="60" t="n"/>
      <c r="X207" s="60" t="n"/>
      <c r="Y207" s="60" t="n"/>
      <c r="Z207" s="60" t="n"/>
      <c r="AA207" s="65" t="n"/>
      <c r="AB207" s="66" t="n"/>
      <c r="AC207" s="66" t="n"/>
      <c r="AD207" s="66" t="n"/>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66" t="n"/>
      <c r="AJ207" s="66" t="n"/>
      <c r="AK207" s="66" t="n"/>
      <c r="AL207" s="59">
        <f>IF(AND(OR(W207="Watching",W207="Preparing"),ISNUMBER(Q207)),IF(AND(Q207&gt;='Friday Summary'!$C$4,Q207&lt;='Friday Summary'!$C$4+14),Q207+ROW()/1000000,""),"")</f>
        <v/>
      </c>
    </row>
    <row r="208" ht="15" customHeight="1" s="51">
      <c r="A208" s="59">
        <f>IF(B208="","","OP-"&amp;TEXT(ROW()-4,"000"))</f>
        <v/>
      </c>
      <c r="B208" s="60" t="n"/>
      <c r="C208" s="61" t="n"/>
      <c r="D208" s="60" t="n"/>
      <c r="E208" s="60" t="n"/>
      <c r="F208" s="60" t="n"/>
      <c r="G208" s="60" t="n"/>
      <c r="H208" s="60" t="n"/>
      <c r="I208" s="60" t="n"/>
      <c r="J208" s="60" t="n"/>
      <c r="K208" s="60" t="n"/>
      <c r="L208" s="60" t="n"/>
      <c r="M208" s="62" t="n"/>
      <c r="N208" s="60" t="n"/>
      <c r="O208" s="61" t="n"/>
      <c r="P208" s="61" t="n"/>
      <c r="Q208" s="63" t="n"/>
      <c r="R208" s="60" t="n"/>
      <c r="S208" s="60" t="n"/>
      <c r="T208" s="64">
        <f>IF(A208="","",IFERROR(INDEX('Bid-NoBid'!$T:$T,MATCH(A208,'Bid-NoBid'!$A:$A,0)),""))</f>
        <v/>
      </c>
      <c r="U208" s="59">
        <f>IF(A208="","",IFERROR(IF(OR(INDEX('Bid-NoBid'!$U:$U,MATCH(A208,'Bid-NoBid'!$A:$A,0))="",LEFT(INDEX('Bid-NoBid'!$U:$U,MATCH(A208,'Bid-NoBid'!$A:$A,0)),10)="Incomplete"),"Screen: "&amp;AC208,INDEX('Bid-NoBid'!$U:$U,MATCH(A208,'Bid-NoBid'!$A:$A,0))),"Screen: "&amp;AC208))</f>
        <v/>
      </c>
      <c r="V208" s="60" t="n"/>
      <c r="W208" s="60" t="n"/>
      <c r="X208" s="60" t="n"/>
      <c r="Y208" s="60" t="n"/>
      <c r="Z208" s="60" t="n"/>
      <c r="AA208" s="65" t="n"/>
      <c r="AB208" s="66" t="n"/>
      <c r="AC208" s="66" t="n"/>
      <c r="AD208" s="66" t="n"/>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66" t="n"/>
      <c r="AJ208" s="66" t="n"/>
      <c r="AK208" s="66" t="n"/>
      <c r="AL208" s="59">
        <f>IF(AND(OR(W208="Watching",W208="Preparing"),ISNUMBER(Q208)),IF(AND(Q208&gt;='Friday Summary'!$C$4,Q208&lt;='Friday Summary'!$C$4+14),Q208+ROW()/1000000,""),"")</f>
        <v/>
      </c>
    </row>
    <row r="209" ht="15" customHeight="1" s="51">
      <c r="A209" s="59">
        <f>IF(B209="","","OP-"&amp;TEXT(ROW()-4,"000"))</f>
        <v/>
      </c>
      <c r="B209" s="60" t="n"/>
      <c r="C209" s="61" t="n"/>
      <c r="D209" s="60" t="n"/>
      <c r="E209" s="60" t="n"/>
      <c r="F209" s="60" t="n"/>
      <c r="G209" s="60" t="n"/>
      <c r="H209" s="60" t="n"/>
      <c r="I209" s="60" t="n"/>
      <c r="J209" s="60" t="n"/>
      <c r="K209" s="60" t="n"/>
      <c r="L209" s="60" t="n"/>
      <c r="M209" s="62" t="n"/>
      <c r="N209" s="60" t="n"/>
      <c r="O209" s="61" t="n"/>
      <c r="P209" s="61" t="n"/>
      <c r="Q209" s="63" t="n"/>
      <c r="R209" s="60" t="n"/>
      <c r="S209" s="60" t="n"/>
      <c r="T209" s="64">
        <f>IF(A209="","",IFERROR(INDEX('Bid-NoBid'!$T:$T,MATCH(A209,'Bid-NoBid'!$A:$A,0)),""))</f>
        <v/>
      </c>
      <c r="U209" s="59">
        <f>IF(A209="","",IFERROR(IF(OR(INDEX('Bid-NoBid'!$U:$U,MATCH(A209,'Bid-NoBid'!$A:$A,0))="",LEFT(INDEX('Bid-NoBid'!$U:$U,MATCH(A209,'Bid-NoBid'!$A:$A,0)),10)="Incomplete"),"Screen: "&amp;AC209,INDEX('Bid-NoBid'!$U:$U,MATCH(A209,'Bid-NoBid'!$A:$A,0))),"Screen: "&amp;AC209))</f>
        <v/>
      </c>
      <c r="V209" s="60" t="n"/>
      <c r="W209" s="60" t="n"/>
      <c r="X209" s="60" t="n"/>
      <c r="Y209" s="60" t="n"/>
      <c r="Z209" s="60" t="n"/>
      <c r="AA209" s="65" t="n"/>
      <c r="AB209" s="66" t="n"/>
      <c r="AC209" s="66" t="n"/>
      <c r="AD209" s="66" t="n"/>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66" t="n"/>
      <c r="AJ209" s="66" t="n"/>
      <c r="AK209" s="66" t="n"/>
      <c r="AL209" s="59">
        <f>IF(AND(OR(W209="Watching",W209="Preparing"),ISNUMBER(Q209)),IF(AND(Q209&gt;='Friday Summary'!$C$4,Q209&lt;='Friday Summary'!$C$4+14),Q209+ROW()/1000000,""),"")</f>
        <v/>
      </c>
    </row>
    <row r="210" ht="15" customHeight="1" s="51">
      <c r="A210" s="59">
        <f>IF(B210="","","OP-"&amp;TEXT(ROW()-4,"000"))</f>
        <v/>
      </c>
      <c r="B210" s="60" t="n"/>
      <c r="C210" s="61" t="n"/>
      <c r="D210" s="60" t="n"/>
      <c r="E210" s="60" t="n"/>
      <c r="F210" s="60" t="n"/>
      <c r="G210" s="60" t="n"/>
      <c r="H210" s="60" t="n"/>
      <c r="I210" s="60" t="n"/>
      <c r="J210" s="60" t="n"/>
      <c r="K210" s="60" t="n"/>
      <c r="L210" s="60" t="n"/>
      <c r="M210" s="62" t="n"/>
      <c r="N210" s="60" t="n"/>
      <c r="O210" s="61" t="n"/>
      <c r="P210" s="61" t="n"/>
      <c r="Q210" s="63" t="n"/>
      <c r="R210" s="60" t="n"/>
      <c r="S210" s="60" t="n"/>
      <c r="T210" s="64">
        <f>IF(A210="","",IFERROR(INDEX('Bid-NoBid'!$T:$T,MATCH(A210,'Bid-NoBid'!$A:$A,0)),""))</f>
        <v/>
      </c>
      <c r="U210" s="59">
        <f>IF(A210="","",IFERROR(IF(OR(INDEX('Bid-NoBid'!$U:$U,MATCH(A210,'Bid-NoBid'!$A:$A,0))="",LEFT(INDEX('Bid-NoBid'!$U:$U,MATCH(A210,'Bid-NoBid'!$A:$A,0)),10)="Incomplete"),"Screen: "&amp;AC210,INDEX('Bid-NoBid'!$U:$U,MATCH(A210,'Bid-NoBid'!$A:$A,0))),"Screen: "&amp;AC210))</f>
        <v/>
      </c>
      <c r="V210" s="60" t="n"/>
      <c r="W210" s="60" t="n"/>
      <c r="X210" s="60" t="n"/>
      <c r="Y210" s="60" t="n"/>
      <c r="Z210" s="60" t="n"/>
      <c r="AA210" s="65" t="n"/>
      <c r="AB210" s="66" t="n"/>
      <c r="AC210" s="66" t="n"/>
      <c r="AD210" s="66" t="n"/>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66" t="n"/>
      <c r="AJ210" s="66" t="n"/>
      <c r="AK210" s="66" t="n"/>
      <c r="AL210" s="59">
        <f>IF(AND(OR(W210="Watching",W210="Preparing"),ISNUMBER(Q210)),IF(AND(Q210&gt;='Friday Summary'!$C$4,Q210&lt;='Friday Summary'!$C$4+14),Q210+ROW()/1000000,""),"")</f>
        <v/>
      </c>
    </row>
    <row r="211" ht="15" customHeight="1" s="51">
      <c r="A211" s="59">
        <f>IF(B211="","","OP-"&amp;TEXT(ROW()-4,"000"))</f>
        <v/>
      </c>
      <c r="B211" s="60" t="n"/>
      <c r="C211" s="61" t="n"/>
      <c r="D211" s="60" t="n"/>
      <c r="E211" s="60" t="n"/>
      <c r="F211" s="60" t="n"/>
      <c r="G211" s="60" t="n"/>
      <c r="H211" s="60" t="n"/>
      <c r="I211" s="60" t="n"/>
      <c r="J211" s="60" t="n"/>
      <c r="K211" s="60" t="n"/>
      <c r="L211" s="60" t="n"/>
      <c r="M211" s="62" t="n"/>
      <c r="N211" s="60" t="n"/>
      <c r="O211" s="61" t="n"/>
      <c r="P211" s="61" t="n"/>
      <c r="Q211" s="63" t="n"/>
      <c r="R211" s="60" t="n"/>
      <c r="S211" s="60" t="n"/>
      <c r="T211" s="64">
        <f>IF(A211="","",IFERROR(INDEX('Bid-NoBid'!$T:$T,MATCH(A211,'Bid-NoBid'!$A:$A,0)),""))</f>
        <v/>
      </c>
      <c r="U211" s="59">
        <f>IF(A211="","",IFERROR(IF(OR(INDEX('Bid-NoBid'!$U:$U,MATCH(A211,'Bid-NoBid'!$A:$A,0))="",LEFT(INDEX('Bid-NoBid'!$U:$U,MATCH(A211,'Bid-NoBid'!$A:$A,0)),10)="Incomplete"),"Screen: "&amp;AC211,INDEX('Bid-NoBid'!$U:$U,MATCH(A211,'Bid-NoBid'!$A:$A,0))),"Screen: "&amp;AC211))</f>
        <v/>
      </c>
      <c r="V211" s="60" t="n"/>
      <c r="W211" s="60" t="n"/>
      <c r="X211" s="60" t="n"/>
      <c r="Y211" s="60" t="n"/>
      <c r="Z211" s="60" t="n"/>
      <c r="AA211" s="65" t="n"/>
      <c r="AB211" s="66" t="n"/>
      <c r="AC211" s="66" t="n"/>
      <c r="AD211" s="66" t="n"/>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66" t="n"/>
      <c r="AJ211" s="66" t="n"/>
      <c r="AK211" s="66" t="n"/>
      <c r="AL211" s="59">
        <f>IF(AND(OR(W211="Watching",W211="Preparing"),ISNUMBER(Q211)),IF(AND(Q211&gt;='Friday Summary'!$C$4,Q211&lt;='Friday Summary'!$C$4+14),Q211+ROW()/1000000,""),"")</f>
        <v/>
      </c>
    </row>
    <row r="212" ht="15" customHeight="1" s="51">
      <c r="A212" s="59">
        <f>IF(B212="","","OP-"&amp;TEXT(ROW()-4,"000"))</f>
        <v/>
      </c>
      <c r="B212" s="60" t="n"/>
      <c r="C212" s="61" t="n"/>
      <c r="D212" s="60" t="n"/>
      <c r="E212" s="60" t="n"/>
      <c r="F212" s="60" t="n"/>
      <c r="G212" s="60" t="n"/>
      <c r="H212" s="60" t="n"/>
      <c r="I212" s="60" t="n"/>
      <c r="J212" s="60" t="n"/>
      <c r="K212" s="60" t="n"/>
      <c r="L212" s="60" t="n"/>
      <c r="M212" s="62" t="n"/>
      <c r="N212" s="60" t="n"/>
      <c r="O212" s="61" t="n"/>
      <c r="P212" s="61" t="n"/>
      <c r="Q212" s="63" t="n"/>
      <c r="R212" s="60" t="n"/>
      <c r="S212" s="60" t="n"/>
      <c r="T212" s="64">
        <f>IF(A212="","",IFERROR(INDEX('Bid-NoBid'!$T:$T,MATCH(A212,'Bid-NoBid'!$A:$A,0)),""))</f>
        <v/>
      </c>
      <c r="U212" s="59">
        <f>IF(A212="","",IFERROR(IF(OR(INDEX('Bid-NoBid'!$U:$U,MATCH(A212,'Bid-NoBid'!$A:$A,0))="",LEFT(INDEX('Bid-NoBid'!$U:$U,MATCH(A212,'Bid-NoBid'!$A:$A,0)),10)="Incomplete"),"Screen: "&amp;AC212,INDEX('Bid-NoBid'!$U:$U,MATCH(A212,'Bid-NoBid'!$A:$A,0))),"Screen: "&amp;AC212))</f>
        <v/>
      </c>
      <c r="V212" s="60" t="n"/>
      <c r="W212" s="60" t="n"/>
      <c r="X212" s="60" t="n"/>
      <c r="Y212" s="60" t="n"/>
      <c r="Z212" s="60" t="n"/>
      <c r="AA212" s="65" t="n"/>
      <c r="AB212" s="66" t="n"/>
      <c r="AC212" s="66" t="n"/>
      <c r="AD212" s="66" t="n"/>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66" t="n"/>
      <c r="AJ212" s="66" t="n"/>
      <c r="AK212" s="66" t="n"/>
      <c r="AL212" s="59">
        <f>IF(AND(OR(W212="Watching",W212="Preparing"),ISNUMBER(Q212)),IF(AND(Q212&gt;='Friday Summary'!$C$4,Q212&lt;='Friday Summary'!$C$4+14),Q212+ROW()/1000000,""),"")</f>
        <v/>
      </c>
    </row>
    <row r="213" ht="15" customHeight="1" s="51">
      <c r="A213" s="59">
        <f>IF(B213="","","OP-"&amp;TEXT(ROW()-4,"000"))</f>
        <v/>
      </c>
      <c r="B213" s="60" t="n"/>
      <c r="C213" s="61" t="n"/>
      <c r="D213" s="60" t="n"/>
      <c r="E213" s="60" t="n"/>
      <c r="F213" s="60" t="n"/>
      <c r="G213" s="60" t="n"/>
      <c r="H213" s="60" t="n"/>
      <c r="I213" s="60" t="n"/>
      <c r="J213" s="60" t="n"/>
      <c r="K213" s="60" t="n"/>
      <c r="L213" s="60" t="n"/>
      <c r="M213" s="62" t="n"/>
      <c r="N213" s="60" t="n"/>
      <c r="O213" s="61" t="n"/>
      <c r="P213" s="61" t="n"/>
      <c r="Q213" s="63" t="n"/>
      <c r="R213" s="60" t="n"/>
      <c r="S213" s="60" t="n"/>
      <c r="T213" s="64">
        <f>IF(A213="","",IFERROR(INDEX('Bid-NoBid'!$T:$T,MATCH(A213,'Bid-NoBid'!$A:$A,0)),""))</f>
        <v/>
      </c>
      <c r="U213" s="59">
        <f>IF(A213="","",IFERROR(IF(OR(INDEX('Bid-NoBid'!$U:$U,MATCH(A213,'Bid-NoBid'!$A:$A,0))="",LEFT(INDEX('Bid-NoBid'!$U:$U,MATCH(A213,'Bid-NoBid'!$A:$A,0)),10)="Incomplete"),"Screen: "&amp;AC213,INDEX('Bid-NoBid'!$U:$U,MATCH(A213,'Bid-NoBid'!$A:$A,0))),"Screen: "&amp;AC213))</f>
        <v/>
      </c>
      <c r="V213" s="60" t="n"/>
      <c r="W213" s="60" t="n"/>
      <c r="X213" s="60" t="n"/>
      <c r="Y213" s="60" t="n"/>
      <c r="Z213" s="60" t="n"/>
      <c r="AA213" s="65" t="n"/>
      <c r="AB213" s="66" t="n"/>
      <c r="AC213" s="66" t="n"/>
      <c r="AD213" s="66" t="n"/>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66" t="n"/>
      <c r="AJ213" s="66" t="n"/>
      <c r="AK213" s="66" t="n"/>
      <c r="AL213" s="59">
        <f>IF(AND(OR(W213="Watching",W213="Preparing"),ISNUMBER(Q213)),IF(AND(Q213&gt;='Friday Summary'!$C$4,Q213&lt;='Friday Summary'!$C$4+14),Q213+ROW()/1000000,""),"")</f>
        <v/>
      </c>
    </row>
    <row r="214" ht="15" customHeight="1" s="51">
      <c r="A214" s="59">
        <f>IF(B214="","","OP-"&amp;TEXT(ROW()-4,"000"))</f>
        <v/>
      </c>
      <c r="B214" s="60" t="n"/>
      <c r="C214" s="61" t="n"/>
      <c r="D214" s="60" t="n"/>
      <c r="E214" s="60" t="n"/>
      <c r="F214" s="60" t="n"/>
      <c r="G214" s="60" t="n"/>
      <c r="H214" s="60" t="n"/>
      <c r="I214" s="60" t="n"/>
      <c r="J214" s="60" t="n"/>
      <c r="K214" s="60" t="n"/>
      <c r="L214" s="60" t="n"/>
      <c r="M214" s="62" t="n"/>
      <c r="N214" s="60" t="n"/>
      <c r="O214" s="61" t="n"/>
      <c r="P214" s="61" t="n"/>
      <c r="Q214" s="63" t="n"/>
      <c r="R214" s="60" t="n"/>
      <c r="S214" s="60" t="n"/>
      <c r="T214" s="64">
        <f>IF(A214="","",IFERROR(INDEX('Bid-NoBid'!$T:$T,MATCH(A214,'Bid-NoBid'!$A:$A,0)),""))</f>
        <v/>
      </c>
      <c r="U214" s="59">
        <f>IF(A214="","",IFERROR(IF(OR(INDEX('Bid-NoBid'!$U:$U,MATCH(A214,'Bid-NoBid'!$A:$A,0))="",LEFT(INDEX('Bid-NoBid'!$U:$U,MATCH(A214,'Bid-NoBid'!$A:$A,0)),10)="Incomplete"),"Screen: "&amp;AC214,INDEX('Bid-NoBid'!$U:$U,MATCH(A214,'Bid-NoBid'!$A:$A,0))),"Screen: "&amp;AC214))</f>
        <v/>
      </c>
      <c r="V214" s="60" t="n"/>
      <c r="W214" s="60" t="n"/>
      <c r="X214" s="60" t="n"/>
      <c r="Y214" s="60" t="n"/>
      <c r="Z214" s="60" t="n"/>
      <c r="AA214" s="65" t="n"/>
      <c r="AB214" s="66" t="n"/>
      <c r="AC214" s="66" t="n"/>
      <c r="AD214" s="66" t="n"/>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66" t="n"/>
      <c r="AJ214" s="66" t="n"/>
      <c r="AK214" s="66" t="n"/>
      <c r="AL214" s="59">
        <f>IF(AND(OR(W214="Watching",W214="Preparing"),ISNUMBER(Q214)),IF(AND(Q214&gt;='Friday Summary'!$C$4,Q214&lt;='Friday Summary'!$C$4+14),Q214+ROW()/1000000,""),"")</f>
        <v/>
      </c>
    </row>
    <row r="215" ht="15" customHeight="1" s="51">
      <c r="A215" s="59">
        <f>IF(B215="","","OP-"&amp;TEXT(ROW()-4,"000"))</f>
        <v/>
      </c>
      <c r="B215" s="60" t="n"/>
      <c r="C215" s="61" t="n"/>
      <c r="D215" s="60" t="n"/>
      <c r="E215" s="60" t="n"/>
      <c r="F215" s="60" t="n"/>
      <c r="G215" s="60" t="n"/>
      <c r="H215" s="60" t="n"/>
      <c r="I215" s="60" t="n"/>
      <c r="J215" s="60" t="n"/>
      <c r="K215" s="60" t="n"/>
      <c r="L215" s="60" t="n"/>
      <c r="M215" s="62" t="n"/>
      <c r="N215" s="60" t="n"/>
      <c r="O215" s="61" t="n"/>
      <c r="P215" s="61" t="n"/>
      <c r="Q215" s="63" t="n"/>
      <c r="R215" s="60" t="n"/>
      <c r="S215" s="60" t="n"/>
      <c r="T215" s="64">
        <f>IF(A215="","",IFERROR(INDEX('Bid-NoBid'!$T:$T,MATCH(A215,'Bid-NoBid'!$A:$A,0)),""))</f>
        <v/>
      </c>
      <c r="U215" s="59">
        <f>IF(A215="","",IFERROR(IF(OR(INDEX('Bid-NoBid'!$U:$U,MATCH(A215,'Bid-NoBid'!$A:$A,0))="",LEFT(INDEX('Bid-NoBid'!$U:$U,MATCH(A215,'Bid-NoBid'!$A:$A,0)),10)="Incomplete"),"Screen: "&amp;AC215,INDEX('Bid-NoBid'!$U:$U,MATCH(A215,'Bid-NoBid'!$A:$A,0))),"Screen: "&amp;AC215))</f>
        <v/>
      </c>
      <c r="V215" s="60" t="n"/>
      <c r="W215" s="60" t="n"/>
      <c r="X215" s="60" t="n"/>
      <c r="Y215" s="60" t="n"/>
      <c r="Z215" s="60" t="n"/>
      <c r="AA215" s="65" t="n"/>
      <c r="AB215" s="66" t="n"/>
      <c r="AC215" s="66" t="n"/>
      <c r="AD215" s="66" t="n"/>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66" t="n"/>
      <c r="AJ215" s="66" t="n"/>
      <c r="AK215" s="66" t="n"/>
      <c r="AL215" s="59">
        <f>IF(AND(OR(W215="Watching",W215="Preparing"),ISNUMBER(Q215)),IF(AND(Q215&gt;='Friday Summary'!$C$4,Q215&lt;='Friday Summary'!$C$4+14),Q215+ROW()/1000000,""),"")</f>
        <v/>
      </c>
    </row>
    <row r="216" ht="15" customHeight="1" s="51">
      <c r="A216" s="59">
        <f>IF(B216="","","OP-"&amp;TEXT(ROW()-4,"000"))</f>
        <v/>
      </c>
      <c r="B216" s="60" t="n"/>
      <c r="C216" s="61" t="n"/>
      <c r="D216" s="60" t="n"/>
      <c r="E216" s="60" t="n"/>
      <c r="F216" s="60" t="n"/>
      <c r="G216" s="60" t="n"/>
      <c r="H216" s="60" t="n"/>
      <c r="I216" s="60" t="n"/>
      <c r="J216" s="60" t="n"/>
      <c r="K216" s="60" t="n"/>
      <c r="L216" s="60" t="n"/>
      <c r="M216" s="62" t="n"/>
      <c r="N216" s="60" t="n"/>
      <c r="O216" s="61" t="n"/>
      <c r="P216" s="61" t="n"/>
      <c r="Q216" s="63" t="n"/>
      <c r="R216" s="60" t="n"/>
      <c r="S216" s="60" t="n"/>
      <c r="T216" s="64">
        <f>IF(A216="","",IFERROR(INDEX('Bid-NoBid'!$T:$T,MATCH(A216,'Bid-NoBid'!$A:$A,0)),""))</f>
        <v/>
      </c>
      <c r="U216" s="59">
        <f>IF(A216="","",IFERROR(IF(OR(INDEX('Bid-NoBid'!$U:$U,MATCH(A216,'Bid-NoBid'!$A:$A,0))="",LEFT(INDEX('Bid-NoBid'!$U:$U,MATCH(A216,'Bid-NoBid'!$A:$A,0)),10)="Incomplete"),"Screen: "&amp;AC216,INDEX('Bid-NoBid'!$U:$U,MATCH(A216,'Bid-NoBid'!$A:$A,0))),"Screen: "&amp;AC216))</f>
        <v/>
      </c>
      <c r="V216" s="60" t="n"/>
      <c r="W216" s="60" t="n"/>
      <c r="X216" s="60" t="n"/>
      <c r="Y216" s="60" t="n"/>
      <c r="Z216" s="60" t="n"/>
      <c r="AA216" s="65" t="n"/>
      <c r="AB216" s="66" t="n"/>
      <c r="AC216" s="66" t="n"/>
      <c r="AD216" s="66" t="n"/>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66" t="n"/>
      <c r="AJ216" s="66" t="n"/>
      <c r="AK216" s="66" t="n"/>
      <c r="AL216" s="59">
        <f>IF(AND(OR(W216="Watching",W216="Preparing"),ISNUMBER(Q216)),IF(AND(Q216&gt;='Friday Summary'!$C$4,Q216&lt;='Friday Summary'!$C$4+14),Q216+ROW()/1000000,""),"")</f>
        <v/>
      </c>
    </row>
    <row r="217" ht="15" customHeight="1" s="51">
      <c r="A217" s="59">
        <f>IF(B217="","","OP-"&amp;TEXT(ROW()-4,"000"))</f>
        <v/>
      </c>
      <c r="B217" s="60" t="n"/>
      <c r="C217" s="61" t="n"/>
      <c r="D217" s="60" t="n"/>
      <c r="E217" s="60" t="n"/>
      <c r="F217" s="60" t="n"/>
      <c r="G217" s="60" t="n"/>
      <c r="H217" s="60" t="n"/>
      <c r="I217" s="60" t="n"/>
      <c r="J217" s="60" t="n"/>
      <c r="K217" s="60" t="n"/>
      <c r="L217" s="60" t="n"/>
      <c r="M217" s="62" t="n"/>
      <c r="N217" s="60" t="n"/>
      <c r="O217" s="61" t="n"/>
      <c r="P217" s="61" t="n"/>
      <c r="Q217" s="63" t="n"/>
      <c r="R217" s="60" t="n"/>
      <c r="S217" s="60" t="n"/>
      <c r="T217" s="64">
        <f>IF(A217="","",IFERROR(INDEX('Bid-NoBid'!$T:$T,MATCH(A217,'Bid-NoBid'!$A:$A,0)),""))</f>
        <v/>
      </c>
      <c r="U217" s="59">
        <f>IF(A217="","",IFERROR(IF(OR(INDEX('Bid-NoBid'!$U:$U,MATCH(A217,'Bid-NoBid'!$A:$A,0))="",LEFT(INDEX('Bid-NoBid'!$U:$U,MATCH(A217,'Bid-NoBid'!$A:$A,0)),10)="Incomplete"),"Screen: "&amp;AC217,INDEX('Bid-NoBid'!$U:$U,MATCH(A217,'Bid-NoBid'!$A:$A,0))),"Screen: "&amp;AC217))</f>
        <v/>
      </c>
      <c r="V217" s="60" t="n"/>
      <c r="W217" s="60" t="n"/>
      <c r="X217" s="60" t="n"/>
      <c r="Y217" s="60" t="n"/>
      <c r="Z217" s="60" t="n"/>
      <c r="AA217" s="65" t="n"/>
      <c r="AB217" s="66" t="n"/>
      <c r="AC217" s="66" t="n"/>
      <c r="AD217" s="66" t="n"/>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66" t="n"/>
      <c r="AJ217" s="66" t="n"/>
      <c r="AK217" s="66" t="n"/>
      <c r="AL217" s="59">
        <f>IF(AND(OR(W217="Watching",W217="Preparing"),ISNUMBER(Q217)),IF(AND(Q217&gt;='Friday Summary'!$C$4,Q217&lt;='Friday Summary'!$C$4+14),Q217+ROW()/1000000,""),"")</f>
        <v/>
      </c>
    </row>
    <row r="218" ht="15" customHeight="1" s="51">
      <c r="A218" s="59">
        <f>IF(B218="","","OP-"&amp;TEXT(ROW()-4,"000"))</f>
        <v/>
      </c>
      <c r="B218" s="60" t="n"/>
      <c r="C218" s="61" t="n"/>
      <c r="D218" s="60" t="n"/>
      <c r="E218" s="60" t="n"/>
      <c r="F218" s="60" t="n"/>
      <c r="G218" s="60" t="n"/>
      <c r="H218" s="60" t="n"/>
      <c r="I218" s="60" t="n"/>
      <c r="J218" s="60" t="n"/>
      <c r="K218" s="60" t="n"/>
      <c r="L218" s="60" t="n"/>
      <c r="M218" s="62" t="n"/>
      <c r="N218" s="60" t="n"/>
      <c r="O218" s="61" t="n"/>
      <c r="P218" s="61" t="n"/>
      <c r="Q218" s="63" t="n"/>
      <c r="R218" s="60" t="n"/>
      <c r="S218" s="60" t="n"/>
      <c r="T218" s="64">
        <f>IF(A218="","",IFERROR(INDEX('Bid-NoBid'!$T:$T,MATCH(A218,'Bid-NoBid'!$A:$A,0)),""))</f>
        <v/>
      </c>
      <c r="U218" s="59">
        <f>IF(A218="","",IFERROR(IF(OR(INDEX('Bid-NoBid'!$U:$U,MATCH(A218,'Bid-NoBid'!$A:$A,0))="",LEFT(INDEX('Bid-NoBid'!$U:$U,MATCH(A218,'Bid-NoBid'!$A:$A,0)),10)="Incomplete"),"Screen: "&amp;AC218,INDEX('Bid-NoBid'!$U:$U,MATCH(A218,'Bid-NoBid'!$A:$A,0))),"Screen: "&amp;AC218))</f>
        <v/>
      </c>
      <c r="V218" s="60" t="n"/>
      <c r="W218" s="60" t="n"/>
      <c r="X218" s="60" t="n"/>
      <c r="Y218" s="60" t="n"/>
      <c r="Z218" s="60" t="n"/>
      <c r="AA218" s="65" t="n"/>
      <c r="AB218" s="66" t="n"/>
      <c r="AC218" s="66" t="n"/>
      <c r="AD218" s="66" t="n"/>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66" t="n"/>
      <c r="AJ218" s="66" t="n"/>
      <c r="AK218" s="66" t="n"/>
      <c r="AL218" s="59">
        <f>IF(AND(OR(W218="Watching",W218="Preparing"),ISNUMBER(Q218)),IF(AND(Q218&gt;='Friday Summary'!$C$4,Q218&lt;='Friday Summary'!$C$4+14),Q218+ROW()/1000000,""),"")</f>
        <v/>
      </c>
    </row>
    <row r="219" ht="15" customHeight="1" s="51">
      <c r="A219" s="59">
        <f>IF(B219="","","OP-"&amp;TEXT(ROW()-4,"000"))</f>
        <v/>
      </c>
      <c r="B219" s="60" t="n"/>
      <c r="C219" s="61" t="n"/>
      <c r="D219" s="60" t="n"/>
      <c r="E219" s="60" t="n"/>
      <c r="F219" s="60" t="n"/>
      <c r="G219" s="60" t="n"/>
      <c r="H219" s="60" t="n"/>
      <c r="I219" s="60" t="n"/>
      <c r="J219" s="60" t="n"/>
      <c r="K219" s="60" t="n"/>
      <c r="L219" s="60" t="n"/>
      <c r="M219" s="62" t="n"/>
      <c r="N219" s="60" t="n"/>
      <c r="O219" s="61" t="n"/>
      <c r="P219" s="61" t="n"/>
      <c r="Q219" s="63" t="n"/>
      <c r="R219" s="60" t="n"/>
      <c r="S219" s="60" t="n"/>
      <c r="T219" s="64">
        <f>IF(A219="","",IFERROR(INDEX('Bid-NoBid'!$T:$T,MATCH(A219,'Bid-NoBid'!$A:$A,0)),""))</f>
        <v/>
      </c>
      <c r="U219" s="59">
        <f>IF(A219="","",IFERROR(IF(OR(INDEX('Bid-NoBid'!$U:$U,MATCH(A219,'Bid-NoBid'!$A:$A,0))="",LEFT(INDEX('Bid-NoBid'!$U:$U,MATCH(A219,'Bid-NoBid'!$A:$A,0)),10)="Incomplete"),"Screen: "&amp;AC219,INDEX('Bid-NoBid'!$U:$U,MATCH(A219,'Bid-NoBid'!$A:$A,0))),"Screen: "&amp;AC219))</f>
        <v/>
      </c>
      <c r="V219" s="60" t="n"/>
      <c r="W219" s="60" t="n"/>
      <c r="X219" s="60" t="n"/>
      <c r="Y219" s="60" t="n"/>
      <c r="Z219" s="60" t="n"/>
      <c r="AA219" s="65" t="n"/>
      <c r="AB219" s="66" t="n"/>
      <c r="AC219" s="66" t="n"/>
      <c r="AD219" s="66" t="n"/>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66" t="n"/>
      <c r="AJ219" s="66" t="n"/>
      <c r="AK219" s="66" t="n"/>
      <c r="AL219" s="59">
        <f>IF(AND(OR(W219="Watching",W219="Preparing"),ISNUMBER(Q219)),IF(AND(Q219&gt;='Friday Summary'!$C$4,Q219&lt;='Friday Summary'!$C$4+14),Q219+ROW()/1000000,""),"")</f>
        <v/>
      </c>
    </row>
    <row r="220" ht="15" customHeight="1" s="51">
      <c r="A220" s="59">
        <f>IF(B220="","","OP-"&amp;TEXT(ROW()-4,"000"))</f>
        <v/>
      </c>
      <c r="B220" s="60" t="n"/>
      <c r="C220" s="61" t="n"/>
      <c r="D220" s="60" t="n"/>
      <c r="E220" s="60" t="n"/>
      <c r="F220" s="60" t="n"/>
      <c r="G220" s="60" t="n"/>
      <c r="H220" s="60" t="n"/>
      <c r="I220" s="60" t="n"/>
      <c r="J220" s="60" t="n"/>
      <c r="K220" s="60" t="n"/>
      <c r="L220" s="60" t="n"/>
      <c r="M220" s="62" t="n"/>
      <c r="N220" s="60" t="n"/>
      <c r="O220" s="61" t="n"/>
      <c r="P220" s="61" t="n"/>
      <c r="Q220" s="63" t="n"/>
      <c r="R220" s="60" t="n"/>
      <c r="S220" s="60" t="n"/>
      <c r="T220" s="64">
        <f>IF(A220="","",IFERROR(INDEX('Bid-NoBid'!$T:$T,MATCH(A220,'Bid-NoBid'!$A:$A,0)),""))</f>
        <v/>
      </c>
      <c r="U220" s="59">
        <f>IF(A220="","",IFERROR(IF(OR(INDEX('Bid-NoBid'!$U:$U,MATCH(A220,'Bid-NoBid'!$A:$A,0))="",LEFT(INDEX('Bid-NoBid'!$U:$U,MATCH(A220,'Bid-NoBid'!$A:$A,0)),10)="Incomplete"),"Screen: "&amp;AC220,INDEX('Bid-NoBid'!$U:$U,MATCH(A220,'Bid-NoBid'!$A:$A,0))),"Screen: "&amp;AC220))</f>
        <v/>
      </c>
      <c r="V220" s="60" t="n"/>
      <c r="W220" s="60" t="n"/>
      <c r="X220" s="60" t="n"/>
      <c r="Y220" s="60" t="n"/>
      <c r="Z220" s="60" t="n"/>
      <c r="AA220" s="65" t="n"/>
      <c r="AB220" s="66" t="n"/>
      <c r="AC220" s="66" t="n"/>
      <c r="AD220" s="66" t="n"/>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66" t="n"/>
      <c r="AJ220" s="66" t="n"/>
      <c r="AK220" s="66" t="n"/>
      <c r="AL220" s="59">
        <f>IF(AND(OR(W220="Watching",W220="Preparing"),ISNUMBER(Q220)),IF(AND(Q220&gt;='Friday Summary'!$C$4,Q220&lt;='Friday Summary'!$C$4+14),Q220+ROW()/1000000,""),"")</f>
        <v/>
      </c>
    </row>
    <row r="221" ht="15" customHeight="1" s="51">
      <c r="A221" s="59">
        <f>IF(B221="","","OP-"&amp;TEXT(ROW()-4,"000"))</f>
        <v/>
      </c>
      <c r="B221" s="60" t="n"/>
      <c r="C221" s="61" t="n"/>
      <c r="D221" s="60" t="n"/>
      <c r="E221" s="60" t="n"/>
      <c r="F221" s="60" t="n"/>
      <c r="G221" s="60" t="n"/>
      <c r="H221" s="60" t="n"/>
      <c r="I221" s="60" t="n"/>
      <c r="J221" s="60" t="n"/>
      <c r="K221" s="60" t="n"/>
      <c r="L221" s="60" t="n"/>
      <c r="M221" s="62" t="n"/>
      <c r="N221" s="60" t="n"/>
      <c r="O221" s="61" t="n"/>
      <c r="P221" s="61" t="n"/>
      <c r="Q221" s="63" t="n"/>
      <c r="R221" s="60" t="n"/>
      <c r="S221" s="60" t="n"/>
      <c r="T221" s="64">
        <f>IF(A221="","",IFERROR(INDEX('Bid-NoBid'!$T:$T,MATCH(A221,'Bid-NoBid'!$A:$A,0)),""))</f>
        <v/>
      </c>
      <c r="U221" s="59">
        <f>IF(A221="","",IFERROR(IF(OR(INDEX('Bid-NoBid'!$U:$U,MATCH(A221,'Bid-NoBid'!$A:$A,0))="",LEFT(INDEX('Bid-NoBid'!$U:$U,MATCH(A221,'Bid-NoBid'!$A:$A,0)),10)="Incomplete"),"Screen: "&amp;AC221,INDEX('Bid-NoBid'!$U:$U,MATCH(A221,'Bid-NoBid'!$A:$A,0))),"Screen: "&amp;AC221))</f>
        <v/>
      </c>
      <c r="V221" s="60" t="n"/>
      <c r="W221" s="60" t="n"/>
      <c r="X221" s="60" t="n"/>
      <c r="Y221" s="60" t="n"/>
      <c r="Z221" s="60" t="n"/>
      <c r="AA221" s="65" t="n"/>
      <c r="AB221" s="66" t="n"/>
      <c r="AC221" s="66" t="n"/>
      <c r="AD221" s="66" t="n"/>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66" t="n"/>
      <c r="AJ221" s="66" t="n"/>
      <c r="AK221" s="66" t="n"/>
      <c r="AL221" s="59">
        <f>IF(AND(OR(W221="Watching",W221="Preparing"),ISNUMBER(Q221)),IF(AND(Q221&gt;='Friday Summary'!$C$4,Q221&lt;='Friday Summary'!$C$4+14),Q221+ROW()/1000000,""),"")</f>
        <v/>
      </c>
    </row>
    <row r="222" ht="15" customHeight="1" s="51">
      <c r="A222" s="59">
        <f>IF(B222="","","OP-"&amp;TEXT(ROW()-4,"000"))</f>
        <v/>
      </c>
      <c r="B222" s="60" t="n"/>
      <c r="C222" s="61" t="n"/>
      <c r="D222" s="60" t="n"/>
      <c r="E222" s="60" t="n"/>
      <c r="F222" s="60" t="n"/>
      <c r="G222" s="60" t="n"/>
      <c r="H222" s="60" t="n"/>
      <c r="I222" s="60" t="n"/>
      <c r="J222" s="60" t="n"/>
      <c r="K222" s="60" t="n"/>
      <c r="L222" s="60" t="n"/>
      <c r="M222" s="62" t="n"/>
      <c r="N222" s="60" t="n"/>
      <c r="O222" s="61" t="n"/>
      <c r="P222" s="61" t="n"/>
      <c r="Q222" s="63" t="n"/>
      <c r="R222" s="60" t="n"/>
      <c r="S222" s="60" t="n"/>
      <c r="T222" s="64">
        <f>IF(A222="","",IFERROR(INDEX('Bid-NoBid'!$T:$T,MATCH(A222,'Bid-NoBid'!$A:$A,0)),""))</f>
        <v/>
      </c>
      <c r="U222" s="59">
        <f>IF(A222="","",IFERROR(IF(OR(INDEX('Bid-NoBid'!$U:$U,MATCH(A222,'Bid-NoBid'!$A:$A,0))="",LEFT(INDEX('Bid-NoBid'!$U:$U,MATCH(A222,'Bid-NoBid'!$A:$A,0)),10)="Incomplete"),"Screen: "&amp;AC222,INDEX('Bid-NoBid'!$U:$U,MATCH(A222,'Bid-NoBid'!$A:$A,0))),"Screen: "&amp;AC222))</f>
        <v/>
      </c>
      <c r="V222" s="60" t="n"/>
      <c r="W222" s="60" t="n"/>
      <c r="X222" s="60" t="n"/>
      <c r="Y222" s="60" t="n"/>
      <c r="Z222" s="60" t="n"/>
      <c r="AA222" s="65" t="n"/>
      <c r="AB222" s="66" t="n"/>
      <c r="AC222" s="66" t="n"/>
      <c r="AD222" s="66" t="n"/>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66" t="n"/>
      <c r="AJ222" s="66" t="n"/>
      <c r="AK222" s="66" t="n"/>
      <c r="AL222" s="59">
        <f>IF(AND(OR(W222="Watching",W222="Preparing"),ISNUMBER(Q222)),IF(AND(Q222&gt;='Friday Summary'!$C$4,Q222&lt;='Friday Summary'!$C$4+14),Q222+ROW()/1000000,""),"")</f>
        <v/>
      </c>
    </row>
    <row r="223" ht="15" customHeight="1" s="51">
      <c r="A223" s="59">
        <f>IF(B223="","","OP-"&amp;TEXT(ROW()-4,"000"))</f>
        <v/>
      </c>
      <c r="B223" s="60" t="n"/>
      <c r="C223" s="61" t="n"/>
      <c r="D223" s="60" t="n"/>
      <c r="E223" s="60" t="n"/>
      <c r="F223" s="60" t="n"/>
      <c r="G223" s="60" t="n"/>
      <c r="H223" s="60" t="n"/>
      <c r="I223" s="60" t="n"/>
      <c r="J223" s="60" t="n"/>
      <c r="K223" s="60" t="n"/>
      <c r="L223" s="60" t="n"/>
      <c r="M223" s="62" t="n"/>
      <c r="N223" s="60" t="n"/>
      <c r="O223" s="61" t="n"/>
      <c r="P223" s="61" t="n"/>
      <c r="Q223" s="63" t="n"/>
      <c r="R223" s="60" t="n"/>
      <c r="S223" s="60" t="n"/>
      <c r="T223" s="64">
        <f>IF(A223="","",IFERROR(INDEX('Bid-NoBid'!$T:$T,MATCH(A223,'Bid-NoBid'!$A:$A,0)),""))</f>
        <v/>
      </c>
      <c r="U223" s="59">
        <f>IF(A223="","",IFERROR(IF(OR(INDEX('Bid-NoBid'!$U:$U,MATCH(A223,'Bid-NoBid'!$A:$A,0))="",LEFT(INDEX('Bid-NoBid'!$U:$U,MATCH(A223,'Bid-NoBid'!$A:$A,0)),10)="Incomplete"),"Screen: "&amp;AC223,INDEX('Bid-NoBid'!$U:$U,MATCH(A223,'Bid-NoBid'!$A:$A,0))),"Screen: "&amp;AC223))</f>
        <v/>
      </c>
      <c r="V223" s="60" t="n"/>
      <c r="W223" s="60" t="n"/>
      <c r="X223" s="60" t="n"/>
      <c r="Y223" s="60" t="n"/>
      <c r="Z223" s="60" t="n"/>
      <c r="AA223" s="65" t="n"/>
      <c r="AB223" s="66" t="n"/>
      <c r="AC223" s="66" t="n"/>
      <c r="AD223" s="66" t="n"/>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66" t="n"/>
      <c r="AJ223" s="66" t="n"/>
      <c r="AK223" s="66" t="n"/>
      <c r="AL223" s="59">
        <f>IF(AND(OR(W223="Watching",W223="Preparing"),ISNUMBER(Q223)),IF(AND(Q223&gt;='Friday Summary'!$C$4,Q223&lt;='Friday Summary'!$C$4+14),Q223+ROW()/1000000,""),"")</f>
        <v/>
      </c>
    </row>
    <row r="224" ht="15" customHeight="1" s="51">
      <c r="A224" s="59">
        <f>IF(B224="","","OP-"&amp;TEXT(ROW()-4,"000"))</f>
        <v/>
      </c>
      <c r="B224" s="60" t="n"/>
      <c r="C224" s="61" t="n"/>
      <c r="D224" s="60" t="n"/>
      <c r="E224" s="60" t="n"/>
      <c r="F224" s="60" t="n"/>
      <c r="G224" s="60" t="n"/>
      <c r="H224" s="60" t="n"/>
      <c r="I224" s="60" t="n"/>
      <c r="J224" s="60" t="n"/>
      <c r="K224" s="60" t="n"/>
      <c r="L224" s="60" t="n"/>
      <c r="M224" s="62" t="n"/>
      <c r="N224" s="60" t="n"/>
      <c r="O224" s="61" t="n"/>
      <c r="P224" s="61" t="n"/>
      <c r="Q224" s="63" t="n"/>
      <c r="R224" s="60" t="n"/>
      <c r="S224" s="60" t="n"/>
      <c r="T224" s="64">
        <f>IF(A224="","",IFERROR(INDEX('Bid-NoBid'!$T:$T,MATCH(A224,'Bid-NoBid'!$A:$A,0)),""))</f>
        <v/>
      </c>
      <c r="U224" s="59">
        <f>IF(A224="","",IFERROR(IF(OR(INDEX('Bid-NoBid'!$U:$U,MATCH(A224,'Bid-NoBid'!$A:$A,0))="",LEFT(INDEX('Bid-NoBid'!$U:$U,MATCH(A224,'Bid-NoBid'!$A:$A,0)),10)="Incomplete"),"Screen: "&amp;AC224,INDEX('Bid-NoBid'!$U:$U,MATCH(A224,'Bid-NoBid'!$A:$A,0))),"Screen: "&amp;AC224))</f>
        <v/>
      </c>
      <c r="V224" s="60" t="n"/>
      <c r="W224" s="60" t="n"/>
      <c r="X224" s="60" t="n"/>
      <c r="Y224" s="60" t="n"/>
      <c r="Z224" s="60" t="n"/>
      <c r="AA224" s="65" t="n"/>
      <c r="AB224" s="66" t="n"/>
      <c r="AC224" s="66" t="n"/>
      <c r="AD224" s="66" t="n"/>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66" t="n"/>
      <c r="AJ224" s="66" t="n"/>
      <c r="AK224" s="66" t="n"/>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v>1</v>
      </c>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v>1</v>
      </c>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v>1</v>
      </c>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v>4</v>
      </c>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v>1</v>
      </c>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v>1</v>
      </c>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v>1</v>
      </c>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v>1</v>
      </c>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v>1</v>
      </c>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v>5</v>
      </c>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v>5</v>
      </c>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v>1</v>
      </c>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v>4</v>
      </c>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row r="21">
      <c r="A21" s="113" t="n">
        <v>46298</v>
      </c>
      <c r="B21" s="103" t="inlineStr">
        <is>
          <t>Automatic scan (all sources)</t>
        </is>
      </c>
      <c r="C21" s="103" t="inlineStr"/>
      <c r="D21" s="103" t="inlineStr">
        <is>
          <t>Automatic scan of NeST, World Bank (Tanzania, civil works), TANROADS website, DDO Tenders (newspapers, private, donors), TanzaniaTenders.com (newspapers, portals, private): 0 new added to Pipeline; 0 screened out; 1 deadline change(s)</t>
        </is>
      </c>
      <c r="E21" s="103" t="n">
        <v>0</v>
      </c>
      <c r="F21" s="103" t="inlineStr">
        <is>
          <t>Auto-scanner</t>
        </is>
      </c>
    </row>
    <row r="22">
      <c r="A22" s="113" t="n">
        <v>46298</v>
      </c>
      <c r="B22" s="103" t="inlineStr">
        <is>
          <t>Automatic scan (all sources)</t>
        </is>
      </c>
      <c r="C22" s="103" t="inlineStr"/>
      <c r="D22" s="103" t="inlineStr">
        <is>
          <t>Automatic scan of NeST, World Bank (Tanzania, civil works), TANROADS website, DDO Tenders (newspapers, private, donors), TanzaniaTenders.com (newspapers, portals, private), CRDB Bank tenders, TPA current tenders: 1 new added to Pipeline (TanzaniaTenders.com: 1); 0 screened out; 0 deadline change(s)</t>
        </is>
      </c>
      <c r="E22" s="103" t="n">
        <v>1</v>
      </c>
      <c r="F22" s="103" t="inlineStr">
        <is>
          <t>Auto-scanner</t>
        </is>
      </c>
    </row>
    <row r="23">
      <c r="A23" s="113" t="n">
        <v>46298</v>
      </c>
      <c r="B23" s="103" t="inlineStr">
        <is>
          <t>Automatic scan (all sources)</t>
        </is>
      </c>
      <c r="C23" s="103" t="inlineStr"/>
      <c r="D23" s="103" t="inlineStr">
        <is>
          <t>Automatic scan of NeST, World Bank (Tanzania, civil works), TANROADS website, DDO Tenders (newspapers, private, donors), TanzaniaTenders.com (newspapers, portals, private), CRDB Bank tenders, TPA current tenders: 2 new added to Pipeline (TanzaniaTenders.com: 2); 0 screened out; 0 deadline change(s)</t>
        </is>
      </c>
      <c r="E23" s="103" t="n">
        <v>2</v>
      </c>
      <c r="F23" s="103" t="inlineStr">
        <is>
          <t>Auto-scanner</t>
        </is>
      </c>
    </row>
    <row r="24">
      <c r="A24" s="113" t="n">
        <v>46300</v>
      </c>
      <c r="B24" s="103" t="inlineStr">
        <is>
          <t>Automatic scan (all sources)</t>
        </is>
      </c>
      <c r="C24" s="103" t="inlineStr"/>
      <c r="D24" s="103" t="inlineStr">
        <is>
          <t>Automatic scan of NeST, World Bank (Tanzania, civil works), TANROADS website, DDO Tenders (newspapers, private, donors), TanzaniaTenders.com (newspapers, portals, private): 2 new added to Pipeline (Small Works: 2); 1 screened out; 0 deadline change(s)</t>
        </is>
      </c>
      <c r="E24" s="103" t="n">
        <v>2</v>
      </c>
      <c r="F24" s="103" t="inlineStr">
        <is>
          <t>Auto-scanner</t>
        </is>
      </c>
    </row>
    <row r="25">
      <c r="A25" s="113" t="n">
        <v>46300</v>
      </c>
      <c r="B25" s="103" t="inlineStr">
        <is>
          <t>Automatic scan (all sources)</t>
        </is>
      </c>
      <c r="C25" s="103" t="inlineStr"/>
      <c r="D25" s="103" t="inlineStr">
        <is>
          <t>Automatic scan of NeST, World Bank (Tanzania, civil works), TANROADS website, DDO Tenders (newspapers, private, donors), TanzaniaTenders.com (newspapers, portals, private), CRDB Bank tenders, TPA current tenders, TARURA tenders, Bank of Tanzania tenders, TEITI tenders: 1 new added to Pipeline (TanzaniaTenders.com: 1); 0 screened out; 0 deadline change(s)</t>
        </is>
      </c>
      <c r="E25" s="103" t="n">
        <v>1</v>
      </c>
      <c r="F25" s="103" t="inlineStr">
        <is>
          <t>Auto-scanner</t>
        </is>
      </c>
    </row>
    <row r="26">
      <c r="A26" s="113" t="n">
        <v>46300</v>
      </c>
      <c r="B26" s="103" t="inlineStr">
        <is>
          <t>Automatic scan (all sources)</t>
        </is>
      </c>
      <c r="C26" s="103" t="inlineStr"/>
      <c r="D26" s="103" t="inlineStr">
        <is>
          <t>Automatic scan of NeST, TANROADS website, DDO Tenders (newspapers, private, donors): 2 new added to Pipeline (DDO Tenders: 2); 0 screened out; 0 deadline change(s)</t>
        </is>
      </c>
      <c r="E26" s="103" t="n">
        <v>2</v>
      </c>
      <c r="F26" s="103" t="inlineStr">
        <is>
          <t>Auto-scanner</t>
        </is>
      </c>
    </row>
    <row r="27">
      <c r="A27" s="113" t="n">
        <v>46301</v>
      </c>
      <c r="B27" s="103" t="inlineStr">
        <is>
          <t>Automatic scan (all sources)</t>
        </is>
      </c>
      <c r="C27" s="103" t="inlineStr"/>
      <c r="D27" s="103" t="inlineStr">
        <is>
          <t>Automatic scan of NeST, World Bank (Tanzania, civil works), TANROADS website, DDO Tenders (newspapers, private, donors), TanzaniaTenders.com (newspapers, portals, private): 2 new added to Pipeline (Small Works: 2); 1 screened out; 0 deadline change(s)</t>
        </is>
      </c>
      <c r="E27" s="103" t="n">
        <v>2</v>
      </c>
      <c r="F27" s="103" t="inlineStr">
        <is>
          <t>Auto-scanner</t>
        </is>
      </c>
    </row>
    <row r="28">
      <c r="A28" s="113" t="n">
        <v>46301</v>
      </c>
      <c r="B28" s="103" t="inlineStr">
        <is>
          <t>Automatic scan (all sources)</t>
        </is>
      </c>
      <c r="C28" s="103" t="inlineStr"/>
      <c r="D28" s="103" t="inlineStr">
        <is>
          <t>Automatic scan of NeST, World Bank (Tanzania, civil works), TANROADS website, DDO Tenders (newspapers, private, donors), TanzaniaTenders.com (newspapers, portals, private): 0 new added to Pipeline; 1 screened out; 0 deadline change(s)</t>
        </is>
      </c>
      <c r="E28" s="103" t="n">
        <v>0</v>
      </c>
      <c r="F28" s="103" t="inlineStr">
        <is>
          <t>Auto-scanner</t>
        </is>
      </c>
    </row>
    <row r="29">
      <c r="A29" s="113" t="n">
        <v>46301</v>
      </c>
      <c r="B29" s="103" t="inlineStr">
        <is>
          <t>Automatic scan (all sources)</t>
        </is>
      </c>
      <c r="C29" s="103" t="inlineStr"/>
      <c r="D29" s="103" t="inlineStr">
        <is>
          <t>Automatic scan of NeST, TANROADS website, DDO Tenders (newspapers, private, donors): 1 new added to Pipeline (TANROADS website: 1); 0 screened out; 0 deadline change(s)</t>
        </is>
      </c>
      <c r="E29" s="103" t="n">
        <v>1</v>
      </c>
      <c r="F29" s="103" t="inlineStr">
        <is>
          <t>Auto-scanner</t>
        </is>
      </c>
    </row>
    <row r="30">
      <c r="A30" s="113" t="n">
        <v>46302</v>
      </c>
      <c r="B30" s="103" t="inlineStr">
        <is>
          <t>Automatic scan (all sources)</t>
        </is>
      </c>
      <c r="C30" s="103" t="inlineStr"/>
      <c r="D30" s="103" t="inlineStr">
        <is>
          <t>Automatic scan of NeST, World Bank (Tanzania, civil works), TANROADS website, DDO Tenders (newspapers, private, donors), TanzaniaTenders.com (newspapers, portals, private), CRDB Bank tenders, TPA current tenders, TARURA tenders, Bank of Tanzania tenders, TEITI tenders: 5 new added to Pipeline (Small Works: 4, Standard Invitation for Quotations -Works: 1); 1 screened out; 0 deadline change(s)</t>
        </is>
      </c>
      <c r="E30" s="103" t="n">
        <v>5</v>
      </c>
      <c r="F30"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53"/>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row r="50">
      <c r="A50" s="114" t="n">
        <v>46300</v>
      </c>
      <c r="B50" s="111" t="inlineStr">
        <is>
          <t>TR36/025/2026/2027/W/10</t>
        </is>
      </c>
      <c r="C50" s="111" t="inlineStr">
        <is>
          <t>TANROADS - Tabora Regional Office</t>
        </is>
      </c>
      <c r="D50" s="111" t="inlineStr">
        <is>
          <t>PERIODIC MAINTENANCE WORKS ALONG MALENDI (SGD/TBR BORDER) - NZEGA PAVED TRUNK ROADS</t>
        </is>
      </c>
      <c r="E50" s="111" t="inlineStr">
        <is>
          <t>Tabora (from client's office – confirm site)</t>
        </is>
      </c>
      <c r="F50" s="111" t="inlineStr">
        <is>
          <t>civil</t>
        </is>
      </c>
      <c r="G50" s="115" t="n">
        <v>46307.58333333334</v>
      </c>
      <c r="H50" s="111" t="inlineStr">
        <is>
          <t>Auto (Small Works / Tender): Remote civil works</t>
        </is>
      </c>
      <c r="I50" s="111" t="inlineStr">
        <is>
          <t>bed6c88a-8eaf-49fd-817a-29978ab9a007</t>
        </is>
      </c>
      <c r="J50" s="111" t="inlineStr">
        <is>
          <t>NeST</t>
        </is>
      </c>
      <c r="K50" s="111" t="inlineStr">
        <is>
          <t>https://nest.go.tz/tenders/published-tenders</t>
        </is>
      </c>
    </row>
    <row r="51">
      <c r="A51" s="114" t="n">
        <v>46301</v>
      </c>
      <c r="B51" s="111" t="inlineStr">
        <is>
          <t>82/2026/2027/W/14</t>
        </is>
      </c>
      <c r="C51" s="111" t="inlineStr">
        <is>
          <t>Ruvuma Regional Secretariat</t>
        </is>
      </c>
      <c r="D51" s="111" t="inlineStr">
        <is>
          <t>Rehabilitation of Division Officer Office at Hagati Mbinga District Council</t>
        </is>
      </c>
      <c r="E51" s="111" t="inlineStr">
        <is>
          <t>Ruvuma (Mbinga)</t>
        </is>
      </c>
      <c r="F51" s="111" t="inlineStr">
        <is>
          <t>renovation</t>
        </is>
      </c>
      <c r="G51" s="115" t="n">
        <v>46307.58333333334</v>
      </c>
      <c r="H51" s="111" t="inlineStr">
        <is>
          <t>Auto (Small Works / Tender): Remote and closing soon</t>
        </is>
      </c>
      <c r="I51" s="111" t="inlineStr">
        <is>
          <t>cd357d8c-f80c-42fb-892c-5bd390f89590</t>
        </is>
      </c>
      <c r="J51" s="111" t="inlineStr">
        <is>
          <t>NeST</t>
        </is>
      </c>
      <c r="K51" s="111" t="inlineStr">
        <is>
          <t>https://nest.go.tz/tenders/published-tenders</t>
        </is>
      </c>
    </row>
    <row r="52">
      <c r="A52" s="114" t="n">
        <v>46301</v>
      </c>
      <c r="B52" s="111" t="inlineStr"/>
      <c r="C52" s="111" t="inlineStr">
        <is>
          <t>See advert</t>
        </is>
      </c>
      <c r="D52" s="111" t="inlineStr">
        <is>
          <t>Provision of Minor Civil Works for Street Lights and Traffic Signal Installation</t>
        </is>
      </c>
      <c r="E52" s="111" t="inlineStr">
        <is>
          <t>Not stated – read the notice</t>
        </is>
      </c>
      <c r="F52" s="111" t="inlineStr">
        <is>
          <t>MEP</t>
        </is>
      </c>
      <c r="G52" s="115" t="n">
        <v>46303.41666666666</v>
      </c>
      <c r="H52" s="111" t="inlineStr">
        <is>
          <t>Auto (TanzaniaTenders.com): Specialist MEP works – pass to an electrical/mechanical subcontractor · deadline read from the web page – confirm</t>
        </is>
      </c>
      <c r="I52" s="111" t="inlineStr">
        <is>
          <t>TZT:150486360</t>
        </is>
      </c>
      <c r="J52" s="111" t="inlineStr">
        <is>
          <t>press</t>
        </is>
      </c>
      <c r="K52" s="111" t="inlineStr">
        <is>
          <t>https://www.tanzaniatenders.com/tender/provision-minor-civil-works-street-lights-and-traffic-signal-installation-8f83d58.php</t>
        </is>
      </c>
    </row>
    <row r="53">
      <c r="A53" s="114" t="n">
        <v>46302</v>
      </c>
      <c r="B53" s="111" t="inlineStr">
        <is>
          <t>TR36/009/2026/2027/W/06</t>
        </is>
      </c>
      <c r="C53" s="111" t="inlineStr">
        <is>
          <t>TANROADS - Kilimanjaro Regional Office</t>
        </is>
      </c>
      <c r="D53" s="111" t="inlineStr">
        <is>
          <t>Road Reserve Management, Implementation of Road Safety Intervantions and Important Road Signs for People with Disabilities in Trunk and Regional Roads in Kilimanjaro Region</t>
        </is>
      </c>
      <c r="E53" s="111" t="inlineStr">
        <is>
          <t>Kilimanjaro</t>
        </is>
      </c>
      <c r="F53" s="111" t="inlineStr">
        <is>
          <t>civil</t>
        </is>
      </c>
      <c r="G53" s="115" t="n">
        <v>46308.4375</v>
      </c>
      <c r="H53" s="111" t="inlineStr">
        <is>
          <t>Auto (Small Works / Tender): Remote civil works</t>
        </is>
      </c>
      <c r="I53" s="111" t="inlineStr">
        <is>
          <t>3d51158e-9c24-4657-8ef4-d417250ecb86</t>
        </is>
      </c>
      <c r="J53" s="111" t="inlineStr">
        <is>
          <t>NeST</t>
        </is>
      </c>
      <c r="K53" s="111" t="inlineStr">
        <is>
          <t>https://nest.go.tz/tenders/published-tenders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2026-10-07T01:13:22Z</dcterms:modified>
  <cp:revision>0</cp:revision>
</cp:coreProperties>
</file>