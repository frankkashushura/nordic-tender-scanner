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46325.58333333334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23-Oct (was 26-Oct 14:00). 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46324.58333333334</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70" t="inlineStr">
        <is>
          <t>70A8/2026/2027/W/03</t>
        </is>
      </c>
      <c r="C197" s="71" t="n">
        <v>46316</v>
      </c>
      <c r="D197" s="70" t="inlineStr">
        <is>
          <t>NeST</t>
        </is>
      </c>
      <c r="E197" s="70" t="inlineStr">
        <is>
          <t>https://nest.go.tz/tenders/published-tenders</t>
        </is>
      </c>
      <c r="F197" s="70" t="inlineStr">
        <is>
          <t>Simanjiro District Council</t>
        </is>
      </c>
      <c r="G197" s="70" t="inlineStr">
        <is>
          <t>government</t>
        </is>
      </c>
      <c r="H197" s="70" t="inlineStr">
        <is>
          <t>Construction 2 staff houses (Head of Division/Unit) at Simanjiro District Council</t>
        </is>
      </c>
      <c r="I197" s="70" t="inlineStr">
        <is>
          <t>From NeST notice (1 lot) – read the tender document</t>
        </is>
      </c>
      <c r="J197" s="70" t="inlineStr">
        <is>
          <t>Manyara (from client's office – confirm site)</t>
        </is>
      </c>
      <c r="K197" s="70" t="inlineStr">
        <is>
          <t>building</t>
        </is>
      </c>
      <c r="L197" s="70" t="inlineStr">
        <is>
          <t>NeST login needed</t>
        </is>
      </c>
      <c r="M197" s="62" t="n"/>
      <c r="N197" s="70" t="inlineStr">
        <is>
          <t>unknown</t>
        </is>
      </c>
      <c r="O197" s="71" t="inlineStr">
        <is>
          <t>NeST login needed</t>
        </is>
      </c>
      <c r="P197" s="71" t="inlineStr">
        <is>
          <t>NeST login needed</t>
        </is>
      </c>
      <c r="Q197" s="72" t="n">
        <v>46321.58333333334</v>
      </c>
      <c r="R197" s="70" t="inlineStr">
        <is>
          <t>NeST login needed</t>
        </is>
      </c>
      <c r="S197" s="70" t="inlineStr">
        <is>
          <t>N</t>
        </is>
      </c>
      <c r="T197" s="64">
        <f>IF(A197="","",IFERROR(INDEX('Bid-NoBid'!$T:$T,MATCH(A197,'Bid-NoBid'!$A:$A,0)),""))</f>
        <v/>
      </c>
      <c r="U197" s="59">
        <f>IF(A197="","",IFERROR(IF(OR(INDEX('Bid-NoBid'!$U:$U,MATCH(A197,'Bid-NoBid'!$A:$A,0))="",LEFT(INDEX('Bid-NoBid'!$U:$U,MATCH(A197,'Bid-NoBid'!$A:$A,0)),10)="Incomplete"),"Screen: "&amp;AC197,INDEX('Bid-NoBid'!$U:$U,MATCH(A197,'Bid-NoBid'!$A:$A,0))),"Screen: "&amp;AC197))</f>
        <v/>
      </c>
      <c r="V197" s="60" t="n"/>
      <c r="W197" s="70" t="inlineStr">
        <is>
          <t>Watching</t>
        </is>
      </c>
      <c r="X197" s="70" t="inlineStr">
        <is>
          <t>Frank</t>
        </is>
      </c>
      <c r="Y197" s="60" t="n"/>
      <c r="Z197" s="60" t="n"/>
      <c r="AA197" s="73" t="n">
        <v>46315</v>
      </c>
      <c r="AB197" s="74" t="inlineStr">
        <is>
          <t>Small Works / Tender</t>
        </is>
      </c>
      <c r="AC197" s="74" t="inlineStr">
        <is>
          <t>Check</t>
        </is>
      </c>
      <c r="AD197" s="74" t="inlineStr">
        <is>
          <t>Auto (Small Works / Tender): Construction tender kept for review (would have been dropped: Remote and closing soon)</t>
        </is>
      </c>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74" t="inlineStr">
        <is>
          <t>Read the notice and decide with the QS Director whether to pursue</t>
        </is>
      </c>
      <c r="AJ197" s="74" t="inlineStr">
        <is>
          <t>Auto-scan</t>
        </is>
      </c>
      <c r="AK197" s="74" t="inlineStr">
        <is>
          <t>997fd8a5-514e-4276-95bb-75656e422f29</t>
        </is>
      </c>
      <c r="AL197" s="59">
        <f>IF(AND(OR(W197="Watching",W197="Preparing"),ISNUMBER(Q197)),IF(AND(Q197&gt;='Friday Summary'!$C$4,Q197&lt;='Friday Summary'!$C$4+14),Q197+ROW()/1000000,""),"")</f>
        <v/>
      </c>
    </row>
    <row r="198" ht="15" customHeight="1" s="51">
      <c r="A198" s="59">
        <f>IF(B198="","","OP-"&amp;TEXT(ROW()-4,"000"))</f>
        <v/>
      </c>
      <c r="B198" s="70" t="inlineStr">
        <is>
          <t>TR168/2026/2027/W/11</t>
        </is>
      </c>
      <c r="C198" s="71" t="n">
        <v>46316</v>
      </c>
      <c r="D198" s="70" t="inlineStr">
        <is>
          <t>NeST</t>
        </is>
      </c>
      <c r="E198" s="70" t="inlineStr">
        <is>
          <t>https://nest.go.tz/tenders/published-tenders</t>
        </is>
      </c>
      <c r="F198" s="70" t="inlineStr">
        <is>
          <t>Kigoma Urban Water Supply and Sanitation Authority</t>
        </is>
      </c>
      <c r="G198" s="70" t="inlineStr">
        <is>
          <t>government</t>
        </is>
      </c>
      <c r="H198" s="70" t="inlineStr">
        <is>
          <t>CONSTRUCTION OF A WATER STORAGE TANK WITH A CAPACITY OF 1,000 CUBIC METERS AND WATER NETWORK IMPROVEMENT PROJECT AT MWANDIGA</t>
        </is>
      </c>
      <c r="I198" s="70" t="inlineStr">
        <is>
          <t>From NeST notice (1 lot) – read the tender document</t>
        </is>
      </c>
      <c r="J198" s="70" t="inlineStr">
        <is>
          <t>Kigoma (from client's office – confirm site)</t>
        </is>
      </c>
      <c r="K198" s="70" t="inlineStr">
        <is>
          <t>building</t>
        </is>
      </c>
      <c r="L198" s="70" t="inlineStr">
        <is>
          <t>NeST login needed</t>
        </is>
      </c>
      <c r="M198" s="62" t="n"/>
      <c r="N198" s="70" t="inlineStr">
        <is>
          <t>unknown</t>
        </is>
      </c>
      <c r="O198" s="71" t="inlineStr">
        <is>
          <t>NeST login needed</t>
        </is>
      </c>
      <c r="P198" s="71" t="inlineStr">
        <is>
          <t>NeST login needed</t>
        </is>
      </c>
      <c r="Q198" s="72" t="n">
        <v>46322.41666666666</v>
      </c>
      <c r="R198" s="70" t="inlineStr">
        <is>
          <t>NeST login needed</t>
        </is>
      </c>
      <c r="S198" s="70" t="inlineStr">
        <is>
          <t>N</t>
        </is>
      </c>
      <c r="T198" s="64">
        <f>IF(A198="","",IFERROR(INDEX('Bid-NoBid'!$T:$T,MATCH(A198,'Bid-NoBid'!$A:$A,0)),""))</f>
        <v/>
      </c>
      <c r="U198" s="59">
        <f>IF(A198="","",IFERROR(IF(OR(INDEX('Bid-NoBid'!$U:$U,MATCH(A198,'Bid-NoBid'!$A:$A,0))="",LEFT(INDEX('Bid-NoBid'!$U:$U,MATCH(A198,'Bid-NoBid'!$A:$A,0)),10)="Incomplete"),"Screen: "&amp;AC198,INDEX('Bid-NoBid'!$U:$U,MATCH(A198,'Bid-NoBid'!$A:$A,0))),"Screen: "&amp;AC198))</f>
        <v/>
      </c>
      <c r="V198" s="60" t="n"/>
      <c r="W198" s="70" t="inlineStr">
        <is>
          <t>Watching</t>
        </is>
      </c>
      <c r="X198" s="70" t="inlineStr">
        <is>
          <t>Frank</t>
        </is>
      </c>
      <c r="Y198" s="60" t="n"/>
      <c r="Z198" s="60" t="n"/>
      <c r="AA198" s="73" t="n">
        <v>46315</v>
      </c>
      <c r="AB198" s="74" t="inlineStr">
        <is>
          <t>Small Works / Tender</t>
        </is>
      </c>
      <c r="AC198" s="74" t="inlineStr">
        <is>
          <t>Check</t>
        </is>
      </c>
      <c r="AD198" s="74" t="inlineStr">
        <is>
          <t>Auto (Small Works / Tender): Construction tender kept for review (would have been dropped: Remote and closing soon)</t>
        </is>
      </c>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74" t="inlineStr">
        <is>
          <t>Read the notice and decide with the QS Director whether to pursue</t>
        </is>
      </c>
      <c r="AJ198" s="74" t="inlineStr">
        <is>
          <t>Auto-scan</t>
        </is>
      </c>
      <c r="AK198" s="74" t="inlineStr">
        <is>
          <t>81e48106-cebd-413d-b4b7-80904a5299f3</t>
        </is>
      </c>
      <c r="AL198" s="59">
        <f>IF(AND(OR(W198="Watching",W198="Preparing"),ISNUMBER(Q198)),IF(AND(Q198&gt;='Friday Summary'!$C$4,Q198&lt;='Friday Summary'!$C$4+14),Q198+ROW()/1000000,""),"")</f>
        <v/>
      </c>
    </row>
    <row r="199" ht="15" customHeight="1" s="51">
      <c r="A199" s="59">
        <f>IF(B199="","","OP-"&amp;TEXT(ROW()-4,"000"))</f>
        <v/>
      </c>
      <c r="B199" s="70" t="inlineStr">
        <is>
          <t>TR36/014/2026/2027/W/56</t>
        </is>
      </c>
      <c r="C199" s="71" t="n">
        <v>46316</v>
      </c>
      <c r="D199" s="70" t="inlineStr">
        <is>
          <t>NeST</t>
        </is>
      </c>
      <c r="E199" s="70" t="inlineStr">
        <is>
          <t>https://nest.go.tz/tenders/published-tenders</t>
        </is>
      </c>
      <c r="F199" s="70" t="inlineStr">
        <is>
          <t>TANROADS - Morogoro Regional Office</t>
        </is>
      </c>
      <c r="G199" s="70" t="inlineStr">
        <is>
          <t>government</t>
        </is>
      </c>
      <c r="H199" s="70" t="inlineStr">
        <is>
          <t>Bridge capacity improvement in Morogoro Region</t>
        </is>
      </c>
      <c r="I199" s="70" t="inlineStr">
        <is>
          <t>From NeST notice (1 lot) – read the tender document</t>
        </is>
      </c>
      <c r="J199" s="70" t="inlineStr">
        <is>
          <t>Morogoro</t>
        </is>
      </c>
      <c r="K199" s="70" t="inlineStr">
        <is>
          <t>civil</t>
        </is>
      </c>
      <c r="L199" s="70" t="inlineStr">
        <is>
          <t>NeST login needed</t>
        </is>
      </c>
      <c r="M199" s="62" t="n"/>
      <c r="N199" s="70" t="inlineStr">
        <is>
          <t>unknown</t>
        </is>
      </c>
      <c r="O199" s="71" t="inlineStr">
        <is>
          <t>NeST login needed</t>
        </is>
      </c>
      <c r="P199" s="71" t="inlineStr">
        <is>
          <t>NeST login needed</t>
        </is>
      </c>
      <c r="Q199" s="72" t="n">
        <v>46323.625</v>
      </c>
      <c r="R199" s="70" t="inlineStr">
        <is>
          <t>NeST login needed</t>
        </is>
      </c>
      <c r="S199" s="70" t="inlineStr">
        <is>
          <t>N</t>
        </is>
      </c>
      <c r="T199" s="64">
        <f>IF(A199="","",IFERROR(INDEX('Bid-NoBid'!$T:$T,MATCH(A199,'Bid-NoBid'!$A:$A,0)),""))</f>
        <v/>
      </c>
      <c r="U199" s="59">
        <f>IF(A199="","",IFERROR(IF(OR(INDEX('Bid-NoBid'!$U:$U,MATCH(A199,'Bid-NoBid'!$A:$A,0))="",LEFT(INDEX('Bid-NoBid'!$U:$U,MATCH(A199,'Bid-NoBid'!$A:$A,0)),10)="Incomplete"),"Screen: "&amp;AC199,INDEX('Bid-NoBid'!$U:$U,MATCH(A199,'Bid-NoBid'!$A:$A,0))),"Screen: "&amp;AC199))</f>
        <v/>
      </c>
      <c r="V199" s="60" t="n"/>
      <c r="W199" s="70" t="inlineStr">
        <is>
          <t>Watching</t>
        </is>
      </c>
      <c r="X199" s="70" t="inlineStr">
        <is>
          <t>Frank</t>
        </is>
      </c>
      <c r="Y199" s="60" t="n"/>
      <c r="Z199" s="60" t="n"/>
      <c r="AA199" s="73" t="n">
        <v>46316</v>
      </c>
      <c r="AB199" s="74" t="inlineStr">
        <is>
          <t>Small Works / Tender</t>
        </is>
      </c>
      <c r="AC199" s="74" t="inlineStr">
        <is>
          <t>Check</t>
        </is>
      </c>
      <c r="AD199" s="74" t="inlineStr">
        <is>
          <t>Auto (Small Works / Tender): Civil works – confirm site, CRB class and margin</t>
        </is>
      </c>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74" t="inlineStr">
        <is>
          <t>Read the notice and decide with the QS Director whether to pursue</t>
        </is>
      </c>
      <c r="AJ199" s="74" t="inlineStr">
        <is>
          <t>Auto-scan</t>
        </is>
      </c>
      <c r="AK199" s="74" t="inlineStr">
        <is>
          <t>d0ceb39c-0f55-4a0a-82a7-009152479e47</t>
        </is>
      </c>
      <c r="AL199" s="59">
        <f>IF(AND(OR(W199="Watching",W199="Preparing"),ISNUMBER(Q199)),IF(AND(Q199&gt;='Friday Summary'!$C$4,Q199&lt;='Friday Summary'!$C$4+14),Q199+ROW()/1000000,""),"")</f>
        <v/>
      </c>
    </row>
    <row r="200" ht="15" customHeight="1" s="51">
      <c r="A200" s="59">
        <f>IF(B200="","","OP-"&amp;TEXT(ROW()-4,"000"))</f>
        <v/>
      </c>
      <c r="B200" s="70" t="inlineStr">
        <is>
          <t>(not shown)</t>
        </is>
      </c>
      <c r="C200" s="71" t="n">
        <v>46316</v>
      </c>
      <c r="D200" s="70" t="inlineStr">
        <is>
          <t>press</t>
        </is>
      </c>
      <c r="E200" s="70" t="inlineStr">
        <is>
          <t>https://www.tanzaniatenders.com/tender/construction-two-residential-house-head-departments-chamwino-district-council-9036fb8.php</t>
        </is>
      </c>
      <c r="F200" s="70" t="inlineStr">
        <is>
          <t>See advert</t>
        </is>
      </c>
      <c r="G200" s="70" t="inlineStr">
        <is>
          <t>government</t>
        </is>
      </c>
      <c r="H200" s="70" t="inlineStr">
        <is>
          <t>Construction of Two Residential House for Head of Departments at Chamwino District Council</t>
        </is>
      </c>
      <c r="I200" s="70" t="inlineStr">
        <is>
          <t>From press notice (1 lot) – read the tender document</t>
        </is>
      </c>
      <c r="J200" s="70" t="inlineStr">
        <is>
          <t>Dodoma (Chamwino)</t>
        </is>
      </c>
      <c r="K200" s="70" t="inlineStr">
        <is>
          <t>building</t>
        </is>
      </c>
      <c r="L200" s="70" t="inlineStr">
        <is>
          <t>See tender document</t>
        </is>
      </c>
      <c r="M200" s="62" t="n"/>
      <c r="N200" s="70" t="inlineStr">
        <is>
          <t>unknown</t>
        </is>
      </c>
      <c r="O200" s="71" t="inlineStr">
        <is>
          <t>See tender document</t>
        </is>
      </c>
      <c r="P200" s="71" t="inlineStr">
        <is>
          <t>See tender document</t>
        </is>
      </c>
      <c r="Q200" s="72" t="n">
        <v>46321.41666666666</v>
      </c>
      <c r="R200" s="70" t="inlineStr">
        <is>
          <t>See tender document</t>
        </is>
      </c>
      <c r="S200" s="70" t="inlineStr">
        <is>
          <t>N</t>
        </is>
      </c>
      <c r="T200" s="64">
        <f>IF(A200="","",IFERROR(INDEX('Bid-NoBid'!$T:$T,MATCH(A200,'Bid-NoBid'!$A:$A,0)),""))</f>
        <v/>
      </c>
      <c r="U200" s="59">
        <f>IF(A200="","",IFERROR(IF(OR(INDEX('Bid-NoBid'!$U:$U,MATCH(A200,'Bid-NoBid'!$A:$A,0))="",LEFT(INDEX('Bid-NoBid'!$U:$U,MATCH(A200,'Bid-NoBid'!$A:$A,0)),10)="Incomplete"),"Screen: "&amp;AC200,INDEX('Bid-NoBid'!$U:$U,MATCH(A200,'Bid-NoBid'!$A:$A,0))),"Screen: "&amp;AC200))</f>
        <v/>
      </c>
      <c r="V200" s="60" t="n"/>
      <c r="W200" s="70" t="inlineStr">
        <is>
          <t>Watching</t>
        </is>
      </c>
      <c r="X200" s="70" t="inlineStr">
        <is>
          <t>Frank</t>
        </is>
      </c>
      <c r="Y200" s="60" t="n"/>
      <c r="Z200" s="60" t="n"/>
      <c r="AA200" s="73" t="n"/>
      <c r="AB200" s="74" t="inlineStr">
        <is>
          <t>TanzaniaTenders.com (newspapers / portals / private)</t>
        </is>
      </c>
      <c r="AC200" s="74" t="inlineStr">
        <is>
          <t>Pursue</t>
        </is>
      </c>
      <c r="AD200" s="74" t="inlineStr">
        <is>
          <t>Auto (TanzaniaTenders.com): Building works within reach of Dar · deadline read from the web page – confirm</t>
        </is>
      </c>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74" t="inlineStr">
        <is>
          <t>Get the tender document, confirm value, CRB class, site visit and bid security; brief the MD</t>
        </is>
      </c>
      <c r="AJ200" s="74" t="inlineStr">
        <is>
          <t>Auto-scan</t>
        </is>
      </c>
      <c r="AK200" s="74" t="inlineStr">
        <is>
          <t>TZT:151220152</t>
        </is>
      </c>
      <c r="AL200" s="59">
        <f>IF(AND(OR(W200="Watching",W200="Preparing"),ISNUMBER(Q200)),IF(AND(Q200&gt;='Friday Summary'!$C$4,Q200&lt;='Friday Summary'!$C$4+14),Q200+ROW()/1000000,""),"")</f>
        <v/>
      </c>
    </row>
    <row r="201" ht="15" customHeight="1" s="51">
      <c r="A201" s="59">
        <f>IF(B201="","","OP-"&amp;TEXT(ROW()-4,"000"))</f>
        <v/>
      </c>
      <c r="B201" s="70" t="inlineStr">
        <is>
          <t>(not shown)</t>
        </is>
      </c>
      <c r="C201" s="71" t="n">
        <v>46316</v>
      </c>
      <c r="D201" s="70" t="inlineStr">
        <is>
          <t>press</t>
        </is>
      </c>
      <c r="E201" s="70" t="inlineStr">
        <is>
          <t>https://www.tanzaniatenders.com/tender/banners-hospital-9036f88.php</t>
        </is>
      </c>
      <c r="F201" s="70" t="inlineStr">
        <is>
          <t>See advert</t>
        </is>
      </c>
      <c r="G201" s="70" t="inlineStr">
        <is>
          <t>government</t>
        </is>
      </c>
      <c r="H201" s="70" t="inlineStr">
        <is>
          <t>Banners for Hospital</t>
        </is>
      </c>
      <c r="I201" s="70" t="inlineStr">
        <is>
          <t>From press notice (1 lot) – read the tender document</t>
        </is>
      </c>
      <c r="J201" s="70" t="inlineStr">
        <is>
          <t>Not stated – read the notice</t>
        </is>
      </c>
      <c r="K201" s="70" t="inlineStr">
        <is>
          <t>building</t>
        </is>
      </c>
      <c r="L201" s="70" t="inlineStr">
        <is>
          <t>See tender document</t>
        </is>
      </c>
      <c r="M201" s="62" t="n"/>
      <c r="N201" s="70" t="inlineStr">
        <is>
          <t>unknown</t>
        </is>
      </c>
      <c r="O201" s="71" t="inlineStr">
        <is>
          <t>See tender document</t>
        </is>
      </c>
      <c r="P201" s="71" t="inlineStr">
        <is>
          <t>See tender document</t>
        </is>
      </c>
      <c r="Q201" s="72" t="n">
        <v>46322.41666666666</v>
      </c>
      <c r="R201" s="70" t="inlineStr">
        <is>
          <t>See tender document</t>
        </is>
      </c>
      <c r="S201" s="70" t="inlineStr">
        <is>
          <t>N</t>
        </is>
      </c>
      <c r="T201" s="64">
        <f>IF(A201="","",IFERROR(INDEX('Bid-NoBid'!$T:$T,MATCH(A201,'Bid-NoBid'!$A:$A,0)),""))</f>
        <v/>
      </c>
      <c r="U201" s="59">
        <f>IF(A201="","",IFERROR(IF(OR(INDEX('Bid-NoBid'!$U:$U,MATCH(A201,'Bid-NoBid'!$A:$A,0))="",LEFT(INDEX('Bid-NoBid'!$U:$U,MATCH(A201,'Bid-NoBid'!$A:$A,0)),10)="Incomplete"),"Screen: "&amp;AC201,INDEX('Bid-NoBid'!$U:$U,MATCH(A201,'Bid-NoBid'!$A:$A,0))),"Screen: "&amp;AC201))</f>
        <v/>
      </c>
      <c r="V201" s="60" t="n"/>
      <c r="W201" s="70" t="inlineStr">
        <is>
          <t>Watching</t>
        </is>
      </c>
      <c r="X201" s="70" t="inlineStr">
        <is>
          <t>Frank</t>
        </is>
      </c>
      <c r="Y201" s="60" t="n"/>
      <c r="Z201" s="60" t="n"/>
      <c r="AA201" s="73" t="n"/>
      <c r="AB201" s="74" t="inlineStr">
        <is>
          <t>TanzaniaTenders.com (newspapers / portals / private)</t>
        </is>
      </c>
      <c r="AC201" s="74" t="inlineStr">
        <is>
          <t>Check</t>
        </is>
      </c>
      <c r="AD201" s="74" t="inlineStr">
        <is>
          <t>Auto (TanzaniaTenders.com): Site not stated in the listing – read the notice · deadline read from the web page – confirm</t>
        </is>
      </c>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74" t="inlineStr">
        <is>
          <t>Read the notice and decide with the QS Director whether to pursue</t>
        </is>
      </c>
      <c r="AJ201" s="74" t="inlineStr">
        <is>
          <t>Auto-scan</t>
        </is>
      </c>
      <c r="AK201" s="74" t="inlineStr">
        <is>
          <t>TZT:151220104</t>
        </is>
      </c>
      <c r="AL201" s="59">
        <f>IF(AND(OR(W201="Watching",W201="Preparing"),ISNUMBER(Q201)),IF(AND(Q201&gt;='Friday Summary'!$C$4,Q201&lt;='Friday Summary'!$C$4+14),Q201+ROW()/1000000,""),"")</f>
        <v/>
      </c>
    </row>
    <row r="202" ht="15" customHeight="1" s="51">
      <c r="A202" s="59">
        <f>IF(B202="","","OP-"&amp;TEXT(ROW()-4,"000"))</f>
        <v/>
      </c>
      <c r="B202" s="70" t="inlineStr">
        <is>
          <t>(not shown)</t>
        </is>
      </c>
      <c r="C202" s="71" t="n">
        <v>46316</v>
      </c>
      <c r="D202" s="70" t="inlineStr">
        <is>
          <t>press</t>
        </is>
      </c>
      <c r="E202" s="70" t="inlineStr">
        <is>
          <t>https://www.tanzaniatenders.com/tender/bridge-preventive-works-along-regional-roads-9036f5c.php</t>
        </is>
      </c>
      <c r="F202" s="70" t="inlineStr">
        <is>
          <t>See advert</t>
        </is>
      </c>
      <c r="G202" s="70" t="inlineStr">
        <is>
          <t>government</t>
        </is>
      </c>
      <c r="H202" s="70" t="inlineStr">
        <is>
          <t>Bridge Preventive Works along Regional Roads **</t>
        </is>
      </c>
      <c r="I202" s="70" t="inlineStr">
        <is>
          <t>From press notice (1 lot) – read the tender document</t>
        </is>
      </c>
      <c r="J202" s="70" t="inlineStr">
        <is>
          <t>Not stated – read the notice</t>
        </is>
      </c>
      <c r="K202" s="70" t="inlineStr">
        <is>
          <t>civil</t>
        </is>
      </c>
      <c r="L202" s="70" t="inlineStr">
        <is>
          <t>See tender document</t>
        </is>
      </c>
      <c r="M202" s="62" t="n"/>
      <c r="N202" s="70" t="inlineStr">
        <is>
          <t>unknown</t>
        </is>
      </c>
      <c r="O202" s="71" t="inlineStr">
        <is>
          <t>See tender document</t>
        </is>
      </c>
      <c r="P202" s="71" t="inlineStr">
        <is>
          <t>See tender document</t>
        </is>
      </c>
      <c r="Q202" s="72" t="n">
        <v>46323.41666666666</v>
      </c>
      <c r="R202" s="70" t="inlineStr">
        <is>
          <t>See tender document</t>
        </is>
      </c>
      <c r="S202" s="70" t="inlineStr">
        <is>
          <t>N</t>
        </is>
      </c>
      <c r="T202" s="64">
        <f>IF(A202="","",IFERROR(INDEX('Bid-NoBid'!$T:$T,MATCH(A202,'Bid-NoBid'!$A:$A,0)),""))</f>
        <v/>
      </c>
      <c r="U202" s="59">
        <f>IF(A202="","",IFERROR(IF(OR(INDEX('Bid-NoBid'!$U:$U,MATCH(A202,'Bid-NoBid'!$A:$A,0))="",LEFT(INDEX('Bid-NoBid'!$U:$U,MATCH(A202,'Bid-NoBid'!$A:$A,0)),10)="Incomplete"),"Screen: "&amp;AC202,INDEX('Bid-NoBid'!$U:$U,MATCH(A202,'Bid-NoBid'!$A:$A,0))),"Screen: "&amp;AC202))</f>
        <v/>
      </c>
      <c r="V202" s="60" t="n"/>
      <c r="W202" s="70" t="inlineStr">
        <is>
          <t>Watching</t>
        </is>
      </c>
      <c r="X202" s="70" t="inlineStr">
        <is>
          <t>Frank</t>
        </is>
      </c>
      <c r="Y202" s="60" t="n"/>
      <c r="Z202" s="60" t="n"/>
      <c r="AA202" s="73" t="n"/>
      <c r="AB202" s="74" t="inlineStr">
        <is>
          <t>TanzaniaTenders.com (newspapers / portals / private)</t>
        </is>
      </c>
      <c r="AC202" s="74" t="inlineStr">
        <is>
          <t>Check</t>
        </is>
      </c>
      <c r="AD202" s="74" t="inlineStr">
        <is>
          <t>Auto (TanzaniaTenders.com): Civil works – confirm site, CRB class and margin · deadline read from the web page – confirm</t>
        </is>
      </c>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74" t="inlineStr">
        <is>
          <t>Read the notice and decide with the QS Director whether to pursue</t>
        </is>
      </c>
      <c r="AJ202" s="74" t="inlineStr">
        <is>
          <t>Auto-scan</t>
        </is>
      </c>
      <c r="AK202" s="74" t="inlineStr">
        <is>
          <t>TZT:151220060</t>
        </is>
      </c>
      <c r="AL202" s="59">
        <f>IF(AND(OR(W202="Watching",W202="Preparing"),ISNUMBER(Q202)),IF(AND(Q202&gt;='Friday Summary'!$C$4,Q202&lt;='Friday Summary'!$C$4+14),Q202+ROW()/1000000,""),"")</f>
        <v/>
      </c>
    </row>
    <row r="203" ht="15" customHeight="1" s="51">
      <c r="A203" s="59">
        <f>IF(B203="","","OP-"&amp;TEXT(ROW()-4,"000"))</f>
        <v/>
      </c>
      <c r="B203" s="70" t="inlineStr">
        <is>
          <t>(not shown)</t>
        </is>
      </c>
      <c r="C203" s="71" t="n">
        <v>46316</v>
      </c>
      <c r="D203" s="70" t="inlineStr">
        <is>
          <t>aggregator</t>
        </is>
      </c>
      <c r="E203" s="70" t="inlineStr">
        <is>
          <t>https://www.biddetail.com/latest-tenders/119618840$6557123a-0a99-4a66-8cc2-eedfba61fce8</t>
        </is>
      </c>
      <c r="F203" s="70" t="inlineStr">
        <is>
          <t>See notice</t>
        </is>
      </c>
      <c r="G203" s="70" t="inlineStr">
        <is>
          <t>government</t>
        </is>
      </c>
      <c r="H203" s="70" t="inlineStr">
        <is>
          <t>Request For Proposal For Chuini Fishing Port Project Preparation ......</t>
        </is>
      </c>
      <c r="I203" s="70" t="inlineStr">
        <is>
          <t>From aggregator notice (1 lot) – read the tender document</t>
        </is>
      </c>
      <c r="J203" s="70" t="inlineStr">
        <is>
          <t>Not stated – read the notice</t>
        </is>
      </c>
      <c r="K203" s="70" t="inlineStr">
        <is>
          <t>civil</t>
        </is>
      </c>
      <c r="L203" s="70" t="inlineStr">
        <is>
          <t>See tender document</t>
        </is>
      </c>
      <c r="M203" s="62" t="n"/>
      <c r="N203" s="70" t="inlineStr">
        <is>
          <t>unknown</t>
        </is>
      </c>
      <c r="O203" s="71" t="inlineStr">
        <is>
          <t>See tender document</t>
        </is>
      </c>
      <c r="P203" s="71" t="inlineStr">
        <is>
          <t>See tender document</t>
        </is>
      </c>
      <c r="Q203" s="72" t="n"/>
      <c r="R203" s="70" t="inlineStr">
        <is>
          <t>See tender document</t>
        </is>
      </c>
      <c r="S203" s="70" t="inlineStr">
        <is>
          <t>N</t>
        </is>
      </c>
      <c r="T203" s="64">
        <f>IF(A203="","",IFERROR(INDEX('Bid-NoBid'!$T:$T,MATCH(A203,'Bid-NoBid'!$A:$A,0)),""))</f>
        <v/>
      </c>
      <c r="U203" s="59">
        <f>IF(A203="","",IFERROR(IF(OR(INDEX('Bid-NoBid'!$U:$U,MATCH(A203,'Bid-NoBid'!$A:$A,0))="",LEFT(INDEX('Bid-NoBid'!$U:$U,MATCH(A203,'Bid-NoBid'!$A:$A,0)),10)="Incomplete"),"Screen: "&amp;AC203,INDEX('Bid-NoBid'!$U:$U,MATCH(A203,'Bid-NoBid'!$A:$A,0))),"Screen: "&amp;AC203))</f>
        <v/>
      </c>
      <c r="V203" s="60" t="n"/>
      <c r="W203" s="70" t="inlineStr">
        <is>
          <t>Watching</t>
        </is>
      </c>
      <c r="X203" s="70" t="inlineStr">
        <is>
          <t>Frank</t>
        </is>
      </c>
      <c r="Y203" s="60" t="n"/>
      <c r="Z203" s="60" t="n"/>
      <c r="AA203" s="73" t="n"/>
      <c r="AB203" s="74" t="inlineStr">
        <is>
          <t>BidDetail – Tanzania tenders (web page)</t>
        </is>
      </c>
      <c r="AC203" s="74" t="inlineStr">
        <is>
          <t>Check</t>
        </is>
      </c>
      <c r="AD203" s="74" t="inlineStr">
        <is>
          <t>Auto (BidDetail – Tanzania tenders): Deadline not shown on the source page – open the link and read the notice</t>
        </is>
      </c>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74" t="inlineStr">
        <is>
          <t>Read the notice and decide with the QS Director whether to pursue</t>
        </is>
      </c>
      <c r="AJ203" s="74" t="inlineStr">
        <is>
          <t>Auto-scan</t>
        </is>
      </c>
      <c r="AK203" s="74" t="inlineStr">
        <is>
          <t>WEB:biddetail_tanzania_tenders:1eb000c98e3cff8d</t>
        </is>
      </c>
      <c r="AL203" s="59">
        <f>IF(AND(OR(W203="Watching",W203="Preparing"),ISNUMBER(Q203)),IF(AND(Q203&gt;='Friday Summary'!$C$4,Q203&lt;='Friday Summary'!$C$4+14),Q203+ROW()/1000000,""),"")</f>
        <v/>
      </c>
    </row>
    <row r="204" ht="15" customHeight="1" s="51">
      <c r="A204" s="59">
        <f>IF(B204="","","OP-"&amp;TEXT(ROW()-4,"000"))</f>
        <v/>
      </c>
      <c r="B204" s="70" t="inlineStr">
        <is>
          <t>75F1/2026/2027/W/04</t>
        </is>
      </c>
      <c r="C204" s="71" t="n">
        <v>46317</v>
      </c>
      <c r="D204" s="70" t="inlineStr">
        <is>
          <t>NeST</t>
        </is>
      </c>
      <c r="E204" s="70" t="inlineStr">
        <is>
          <t>https://nest.go.tz/tenders/published-tenders</t>
        </is>
      </c>
      <c r="F204" s="70" t="inlineStr">
        <is>
          <t>Moshi District Council</t>
        </is>
      </c>
      <c r="G204" s="70" t="inlineStr">
        <is>
          <t>government</t>
        </is>
      </c>
      <c r="H204" s="70" t="inlineStr">
        <is>
          <t>HEAVY CONSTRUCTION SERVICES</t>
        </is>
      </c>
      <c r="I204" s="70" t="inlineStr">
        <is>
          <t>From NeST notice (1 lot) – read the tender document</t>
        </is>
      </c>
      <c r="J204" s="70" t="inlineStr">
        <is>
          <t>Kilimanjaro (Moshi) (from client's office – confirm site)</t>
        </is>
      </c>
      <c r="K204" s="70" t="inlineStr">
        <is>
          <t>building</t>
        </is>
      </c>
      <c r="L204" s="70" t="inlineStr">
        <is>
          <t>NeST login needed</t>
        </is>
      </c>
      <c r="M204" s="62" t="n"/>
      <c r="N204" s="70" t="inlineStr">
        <is>
          <t>unknown</t>
        </is>
      </c>
      <c r="O204" s="71" t="inlineStr">
        <is>
          <t>NeST login needed</t>
        </is>
      </c>
      <c r="P204" s="71" t="inlineStr">
        <is>
          <t>NeST login needed</t>
        </is>
      </c>
      <c r="Q204" s="72" t="n">
        <v>46323.41666666666</v>
      </c>
      <c r="R204" s="70" t="inlineStr">
        <is>
          <t>NeST login needed</t>
        </is>
      </c>
      <c r="S204" s="70" t="inlineStr">
        <is>
          <t>N</t>
        </is>
      </c>
      <c r="T204" s="64">
        <f>IF(A204="","",IFERROR(INDEX('Bid-NoBid'!$T:$T,MATCH(A204,'Bid-NoBid'!$A:$A,0)),""))</f>
        <v/>
      </c>
      <c r="U204" s="59">
        <f>IF(A204="","",IFERROR(IF(OR(INDEX('Bid-NoBid'!$U:$U,MATCH(A204,'Bid-NoBid'!$A:$A,0))="",LEFT(INDEX('Bid-NoBid'!$U:$U,MATCH(A204,'Bid-NoBid'!$A:$A,0)),10)="Incomplete"),"Screen: "&amp;AC204,INDEX('Bid-NoBid'!$U:$U,MATCH(A204,'Bid-NoBid'!$A:$A,0))),"Screen: "&amp;AC204))</f>
        <v/>
      </c>
      <c r="V204" s="60" t="n"/>
      <c r="W204" s="70" t="inlineStr">
        <is>
          <t>Watching</t>
        </is>
      </c>
      <c r="X204" s="70" t="inlineStr">
        <is>
          <t>Frank</t>
        </is>
      </c>
      <c r="Y204" s="60" t="n"/>
      <c r="Z204" s="60" t="n"/>
      <c r="AA204" s="73" t="n">
        <v>46316</v>
      </c>
      <c r="AB204" s="74" t="inlineStr">
        <is>
          <t>Small Works / Tender</t>
        </is>
      </c>
      <c r="AC204" s="74" t="inlineStr">
        <is>
          <t>Check</t>
        </is>
      </c>
      <c r="AD204" s="74" t="inlineStr">
        <is>
          <t>Auto (Small Works / Tender): Construction tender kept for review (would have been dropped: Remote and closing soon)</t>
        </is>
      </c>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74" t="inlineStr">
        <is>
          <t>Read the notice and decide with the QS Director whether to pursue</t>
        </is>
      </c>
      <c r="AJ204" s="74" t="inlineStr">
        <is>
          <t>Auto-scan</t>
        </is>
      </c>
      <c r="AK204" s="74" t="inlineStr">
        <is>
          <t>aad8707f-e361-4997-9b93-cec4a51fa863</t>
        </is>
      </c>
      <c r="AL204" s="59">
        <f>IF(AND(OR(W204="Watching",W204="Preparing"),ISNUMBER(Q204)),IF(AND(Q204&gt;='Friday Summary'!$C$4,Q204&lt;='Friday Summary'!$C$4+14),Q204+ROW()/1000000,""),"")</f>
        <v/>
      </c>
    </row>
    <row r="205" ht="15" customHeight="1" s="51">
      <c r="A205" s="59">
        <f>IF(B205="","","OP-"&amp;TEXT(ROW()-4,"000"))</f>
        <v/>
      </c>
      <c r="B205" s="70" t="inlineStr">
        <is>
          <t>52/074/2026/2027/W/07</t>
        </is>
      </c>
      <c r="C205" s="71" t="n">
        <v>46317</v>
      </c>
      <c r="D205" s="70" t="inlineStr">
        <is>
          <t>NeST</t>
        </is>
      </c>
      <c r="E205" s="70" t="inlineStr">
        <is>
          <t>https://nest.go.tz/tenders/published-tenders</t>
        </is>
      </c>
      <c r="F205" s="70" t="inlineStr">
        <is>
          <t>Tumbi Regional Referral Hospital (kibaha)</t>
        </is>
      </c>
      <c r="G205" s="70" t="inlineStr">
        <is>
          <t>government</t>
        </is>
      </c>
      <c r="H205" s="70" t="inlineStr">
        <is>
          <t>CONSTRUCTION OF CUSTOMER CARE POINT AT TUMBI RRH</t>
        </is>
      </c>
      <c r="I205" s="70" t="inlineStr">
        <is>
          <t>From NeST notice (1 lot) – read the tender document</t>
        </is>
      </c>
      <c r="J205" s="70" t="inlineStr">
        <is>
          <t>Pwani (Kibaha) (from client's office – confirm site)</t>
        </is>
      </c>
      <c r="K205" s="70" t="inlineStr">
        <is>
          <t>building</t>
        </is>
      </c>
      <c r="L205" s="70" t="inlineStr">
        <is>
          <t>NeST login needed</t>
        </is>
      </c>
      <c r="M205" s="62" t="n"/>
      <c r="N205" s="70" t="inlineStr">
        <is>
          <t>unknown</t>
        </is>
      </c>
      <c r="O205" s="71" t="inlineStr">
        <is>
          <t>NeST login needed</t>
        </is>
      </c>
      <c r="P205" s="71" t="inlineStr">
        <is>
          <t>NeST login needed</t>
        </is>
      </c>
      <c r="Q205" s="72" t="n">
        <v>46323.58333333334</v>
      </c>
      <c r="R205" s="70" t="inlineStr">
        <is>
          <t>NeST login needed</t>
        </is>
      </c>
      <c r="S205" s="70" t="inlineStr">
        <is>
          <t>N</t>
        </is>
      </c>
      <c r="T205" s="64">
        <f>IF(A205="","",IFERROR(INDEX('Bid-NoBid'!$T:$T,MATCH(A205,'Bid-NoBid'!$A:$A,0)),""))</f>
        <v/>
      </c>
      <c r="U205" s="59">
        <f>IF(A205="","",IFERROR(IF(OR(INDEX('Bid-NoBid'!$U:$U,MATCH(A205,'Bid-NoBid'!$A:$A,0))="",LEFT(INDEX('Bid-NoBid'!$U:$U,MATCH(A205,'Bid-NoBid'!$A:$A,0)),10)="Incomplete"),"Screen: "&amp;AC205,INDEX('Bid-NoBid'!$U:$U,MATCH(A205,'Bid-NoBid'!$A:$A,0))),"Screen: "&amp;AC205))</f>
        <v/>
      </c>
      <c r="V205" s="60" t="n"/>
      <c r="W205" s="70" t="inlineStr">
        <is>
          <t>Watching</t>
        </is>
      </c>
      <c r="X205" s="70" t="inlineStr">
        <is>
          <t>Frank</t>
        </is>
      </c>
      <c r="Y205" s="60" t="n"/>
      <c r="Z205" s="60" t="n"/>
      <c r="AA205" s="73" t="n">
        <v>46316</v>
      </c>
      <c r="AB205" s="74" t="inlineStr">
        <is>
          <t>Small Works / Tender</t>
        </is>
      </c>
      <c r="AC205" s="74" t="inlineStr">
        <is>
          <t>Pursue</t>
        </is>
      </c>
      <c r="AD205" s="74" t="inlineStr">
        <is>
          <t>Auto (Small Works / Tender): Building works within reach of Dar</t>
        </is>
      </c>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74" t="inlineStr">
        <is>
          <t>Get the tender document, confirm value, CRB class, site visit and bid security; brief the MD</t>
        </is>
      </c>
      <c r="AJ205" s="74" t="inlineStr">
        <is>
          <t>Auto-scan</t>
        </is>
      </c>
      <c r="AK205" s="74" t="inlineStr">
        <is>
          <t>197fe68a-bb6d-4ee1-ba81-452dc272e2d6</t>
        </is>
      </c>
      <c r="AL205" s="59">
        <f>IF(AND(OR(W205="Watching",W205="Preparing"),ISNUMBER(Q205)),IF(AND(Q205&gt;='Friday Summary'!$C$4,Q205&lt;='Friday Summary'!$C$4+14),Q205+ROW()/1000000,""),"")</f>
        <v/>
      </c>
    </row>
    <row r="206" ht="15" customHeight="1" s="51">
      <c r="A206" s="59">
        <f>IF(B206="","","OP-"&amp;TEXT(ROW()-4,"000"))</f>
        <v/>
      </c>
      <c r="B206" s="70" t="inlineStr">
        <is>
          <t>TR185/2026/2027/W/14</t>
        </is>
      </c>
      <c r="C206" s="71" t="n">
        <v>46317</v>
      </c>
      <c r="D206" s="70" t="inlineStr">
        <is>
          <t>NeST</t>
        </is>
      </c>
      <c r="E206" s="70" t="inlineStr">
        <is>
          <t>https://nest.go.tz/tenders/published-tenders</t>
        </is>
      </c>
      <c r="F206" s="70" t="inlineStr">
        <is>
          <t>National Development Corporation</t>
        </is>
      </c>
      <c r="G206" s="70" t="inlineStr">
        <is>
          <t>parastatal (verify)</t>
        </is>
      </c>
      <c r="H206" s="70" t="inlineStr">
        <is>
          <t>Rehabilitation of Registry (Open and Confidential) and Library</t>
        </is>
      </c>
      <c r="I206" s="70" t="inlineStr">
        <is>
          <t>From NeST notice (1 lot) – read the tender document</t>
        </is>
      </c>
      <c r="J206" s="70" t="inlineStr">
        <is>
          <t>Dar es Salaam (Ilala) (from client's office – confirm site)</t>
        </is>
      </c>
      <c r="K206" s="70" t="inlineStr">
        <is>
          <t>renovation</t>
        </is>
      </c>
      <c r="L206" s="70" t="inlineStr">
        <is>
          <t>NeST login needed</t>
        </is>
      </c>
      <c r="M206" s="62" t="n"/>
      <c r="N206" s="70" t="inlineStr">
        <is>
          <t>unknown</t>
        </is>
      </c>
      <c r="O206" s="71" t="inlineStr">
        <is>
          <t>NeST login needed</t>
        </is>
      </c>
      <c r="P206" s="71" t="inlineStr">
        <is>
          <t>NeST login needed</t>
        </is>
      </c>
      <c r="Q206" s="72" t="n">
        <v>46324.58333333334</v>
      </c>
      <c r="R206" s="70" t="inlineStr">
        <is>
          <t>NeST login needed</t>
        </is>
      </c>
      <c r="S206" s="70" t="inlineStr">
        <is>
          <t>N</t>
        </is>
      </c>
      <c r="T206" s="64">
        <f>IF(A206="","",IFERROR(INDEX('Bid-NoBid'!$T:$T,MATCH(A206,'Bid-NoBid'!$A:$A,0)),""))</f>
        <v/>
      </c>
      <c r="U206" s="59">
        <f>IF(A206="","",IFERROR(IF(OR(INDEX('Bid-NoBid'!$U:$U,MATCH(A206,'Bid-NoBid'!$A:$A,0))="",LEFT(INDEX('Bid-NoBid'!$U:$U,MATCH(A206,'Bid-NoBid'!$A:$A,0)),10)="Incomplete"),"Screen: "&amp;AC206,INDEX('Bid-NoBid'!$U:$U,MATCH(A206,'Bid-NoBid'!$A:$A,0))),"Screen: "&amp;AC206))</f>
        <v/>
      </c>
      <c r="V206" s="60" t="n"/>
      <c r="W206" s="70" t="inlineStr">
        <is>
          <t>Watching</t>
        </is>
      </c>
      <c r="X206" s="70" t="inlineStr">
        <is>
          <t>Frank</t>
        </is>
      </c>
      <c r="Y206" s="60" t="n"/>
      <c r="Z206" s="60" t="n"/>
      <c r="AA206" s="73" t="n">
        <v>46317</v>
      </c>
      <c r="AB206" s="74" t="inlineStr">
        <is>
          <t>Small Works / Tender</t>
        </is>
      </c>
      <c r="AC206" s="74" t="inlineStr">
        <is>
          <t>Pursue</t>
        </is>
      </c>
      <c r="AD206" s="74" t="inlineStr">
        <is>
          <t>Auto (Small Works / Tender): Building works within reach of Dar</t>
        </is>
      </c>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74" t="inlineStr">
        <is>
          <t>Get the tender document, confirm value, CRB class, site visit and bid security; brief the MD</t>
        </is>
      </c>
      <c r="AJ206" s="74" t="inlineStr">
        <is>
          <t>Auto-scan</t>
        </is>
      </c>
      <c r="AK206" s="74" t="inlineStr">
        <is>
          <t>5145f8f8-84da-49c5-b8a9-022be262e943</t>
        </is>
      </c>
      <c r="AL206" s="59">
        <f>IF(AND(OR(W206="Watching",W206="Preparing"),ISNUMBER(Q206)),IF(AND(Q206&gt;='Friday Summary'!$C$4,Q206&lt;='Friday Summary'!$C$4+14),Q206+ROW()/1000000,""),"")</f>
        <v/>
      </c>
    </row>
    <row r="207" ht="15" customHeight="1" s="51">
      <c r="A207" s="59">
        <f>IF(B207="","","OP-"&amp;TEXT(ROW()-4,"000"))</f>
        <v/>
      </c>
      <c r="B207" s="70" t="inlineStr">
        <is>
          <t>TR36/014/2026/2027/W/57</t>
        </is>
      </c>
      <c r="C207" s="71" t="n">
        <v>46317</v>
      </c>
      <c r="D207" s="70" t="inlineStr">
        <is>
          <t>NeST</t>
        </is>
      </c>
      <c r="E207" s="70" t="inlineStr">
        <is>
          <t>https://nest.go.tz/tenders/published-tenders</t>
        </is>
      </c>
      <c r="F207" s="70" t="inlineStr">
        <is>
          <t>TANROADS - Morogoro Regional Office</t>
        </is>
      </c>
      <c r="G207" s="70" t="inlineStr">
        <is>
          <t>government</t>
        </is>
      </c>
      <c r="H207" s="70" t="inlineStr">
        <is>
          <t>IMPROVEMENT OF ECONOMICAL CORRIDOR ALONG MOROGORO - DODOMA TRUNK ROAD T.003</t>
        </is>
      </c>
      <c r="I207" s="70" t="inlineStr">
        <is>
          <t>From NeST notice (1 lot) – read the tender document</t>
        </is>
      </c>
      <c r="J207" s="70" t="inlineStr">
        <is>
          <t>Morogoro</t>
        </is>
      </c>
      <c r="K207" s="70" t="inlineStr">
        <is>
          <t>civil</t>
        </is>
      </c>
      <c r="L207" s="70" t="inlineStr">
        <is>
          <t>NeST login needed</t>
        </is>
      </c>
      <c r="M207" s="62" t="n"/>
      <c r="N207" s="70" t="inlineStr">
        <is>
          <t>unknown</t>
        </is>
      </c>
      <c r="O207" s="71" t="inlineStr">
        <is>
          <t>NeST login needed</t>
        </is>
      </c>
      <c r="P207" s="71" t="inlineStr">
        <is>
          <t>NeST login needed</t>
        </is>
      </c>
      <c r="Q207" s="72" t="n">
        <v>46324.625</v>
      </c>
      <c r="R207" s="70" t="inlineStr">
        <is>
          <t>NeST login needed</t>
        </is>
      </c>
      <c r="S207" s="70" t="inlineStr">
        <is>
          <t>N</t>
        </is>
      </c>
      <c r="T207" s="64">
        <f>IF(A207="","",IFERROR(INDEX('Bid-NoBid'!$T:$T,MATCH(A207,'Bid-NoBid'!$A:$A,0)),""))</f>
        <v/>
      </c>
      <c r="U207" s="59">
        <f>IF(A207="","",IFERROR(IF(OR(INDEX('Bid-NoBid'!$U:$U,MATCH(A207,'Bid-NoBid'!$A:$A,0))="",LEFT(INDEX('Bid-NoBid'!$U:$U,MATCH(A207,'Bid-NoBid'!$A:$A,0)),10)="Incomplete"),"Screen: "&amp;AC207,INDEX('Bid-NoBid'!$U:$U,MATCH(A207,'Bid-NoBid'!$A:$A,0))),"Screen: "&amp;AC207))</f>
        <v/>
      </c>
      <c r="V207" s="60" t="n"/>
      <c r="W207" s="70" t="inlineStr">
        <is>
          <t>Watching</t>
        </is>
      </c>
      <c r="X207" s="70" t="inlineStr">
        <is>
          <t>Frank</t>
        </is>
      </c>
      <c r="Y207" s="60" t="n"/>
      <c r="Z207" s="60" t="n"/>
      <c r="AA207" s="73" t="n">
        <v>46317</v>
      </c>
      <c r="AB207" s="74" t="inlineStr">
        <is>
          <t>Small Works / Tender</t>
        </is>
      </c>
      <c r="AC207" s="74" t="inlineStr">
        <is>
          <t>Check</t>
        </is>
      </c>
      <c r="AD207" s="74" t="inlineStr">
        <is>
          <t>Auto (Small Works / Tender): Civil works – confirm site, CRB class and margin</t>
        </is>
      </c>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74" t="inlineStr">
        <is>
          <t>Read the notice and decide with the QS Director whether to pursue</t>
        </is>
      </c>
      <c r="AJ207" s="74" t="inlineStr">
        <is>
          <t>Auto-scan</t>
        </is>
      </c>
      <c r="AK207" s="74" t="inlineStr">
        <is>
          <t>d417c12c-a9c1-4710-b491-1f6a3fd2bd22</t>
        </is>
      </c>
      <c r="AL207" s="59">
        <f>IF(AND(OR(W207="Watching",W207="Preparing"),ISNUMBER(Q207)),IF(AND(Q207&gt;='Friday Summary'!$C$4,Q207&lt;='Friday Summary'!$C$4+14),Q207+ROW()/1000000,""),"")</f>
        <v/>
      </c>
    </row>
    <row r="208" ht="15" customHeight="1" s="51">
      <c r="A208" s="59">
        <f>IF(B208="","","OP-"&amp;TEXT(ROW()-4,"000"))</f>
        <v/>
      </c>
      <c r="B208" s="70" t="inlineStr">
        <is>
          <t>TR36/014/2026/2027/W/60</t>
        </is>
      </c>
      <c r="C208" s="71" t="n">
        <v>46317</v>
      </c>
      <c r="D208" s="70" t="inlineStr">
        <is>
          <t>NeST</t>
        </is>
      </c>
      <c r="E208" s="70" t="inlineStr">
        <is>
          <t>https://nest.go.tz/tenders/published-tenders</t>
        </is>
      </c>
      <c r="F208" s="70" t="inlineStr">
        <is>
          <t>TANROADS - Morogoro Regional Office</t>
        </is>
      </c>
      <c r="G208" s="70" t="inlineStr">
        <is>
          <t>government</t>
        </is>
      </c>
      <c r="H208" s="70" t="inlineStr">
        <is>
          <t>SPOT IMPROVEMENT WORKS ALONG DUMILA - KILOSA - MIKUMI(142.6KM).</t>
        </is>
      </c>
      <c r="I208" s="70" t="inlineStr">
        <is>
          <t>From NeST notice (1 lot) – read the tender document</t>
        </is>
      </c>
      <c r="J208" s="70" t="inlineStr">
        <is>
          <t>Morogoro (Kilosa)</t>
        </is>
      </c>
      <c r="K208" s="70" t="inlineStr">
        <is>
          <t>civil</t>
        </is>
      </c>
      <c r="L208" s="70" t="inlineStr">
        <is>
          <t>NeST login needed</t>
        </is>
      </c>
      <c r="M208" s="62" t="n"/>
      <c r="N208" s="70" t="inlineStr">
        <is>
          <t>unknown</t>
        </is>
      </c>
      <c r="O208" s="71" t="inlineStr">
        <is>
          <t>NeST login needed</t>
        </is>
      </c>
      <c r="P208" s="71" t="inlineStr">
        <is>
          <t>NeST login needed</t>
        </is>
      </c>
      <c r="Q208" s="72" t="n">
        <v>46324.625</v>
      </c>
      <c r="R208" s="70" t="inlineStr">
        <is>
          <t>NeST login needed</t>
        </is>
      </c>
      <c r="S208" s="70" t="inlineStr">
        <is>
          <t>N</t>
        </is>
      </c>
      <c r="T208" s="64">
        <f>IF(A208="","",IFERROR(INDEX('Bid-NoBid'!$T:$T,MATCH(A208,'Bid-NoBid'!$A:$A,0)),""))</f>
        <v/>
      </c>
      <c r="U208" s="59">
        <f>IF(A208="","",IFERROR(IF(OR(INDEX('Bid-NoBid'!$U:$U,MATCH(A208,'Bid-NoBid'!$A:$A,0))="",LEFT(INDEX('Bid-NoBid'!$U:$U,MATCH(A208,'Bid-NoBid'!$A:$A,0)),10)="Incomplete"),"Screen: "&amp;AC208,INDEX('Bid-NoBid'!$U:$U,MATCH(A208,'Bid-NoBid'!$A:$A,0))),"Screen: "&amp;AC208))</f>
        <v/>
      </c>
      <c r="V208" s="60" t="n"/>
      <c r="W208" s="70" t="inlineStr">
        <is>
          <t>Watching</t>
        </is>
      </c>
      <c r="X208" s="70" t="inlineStr">
        <is>
          <t>Frank</t>
        </is>
      </c>
      <c r="Y208" s="60" t="n"/>
      <c r="Z208" s="60" t="n"/>
      <c r="AA208" s="73" t="n">
        <v>46317</v>
      </c>
      <c r="AB208" s="74" t="inlineStr">
        <is>
          <t>Small Works / Tender</t>
        </is>
      </c>
      <c r="AC208" s="74" t="inlineStr">
        <is>
          <t>Check</t>
        </is>
      </c>
      <c r="AD208" s="74" t="inlineStr">
        <is>
          <t>Auto (Small Works / Tender): Civil works – confirm site, CRB class and margin</t>
        </is>
      </c>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74" t="inlineStr">
        <is>
          <t>Read the notice and decide with the QS Director whether to pursue</t>
        </is>
      </c>
      <c r="AJ208" s="74" t="inlineStr">
        <is>
          <t>Auto-scan</t>
        </is>
      </c>
      <c r="AK208" s="74" t="inlineStr">
        <is>
          <t>d90d1ec8-e22e-4be2-b6ca-b0e12dc22a00</t>
        </is>
      </c>
      <c r="AL208" s="59">
        <f>IF(AND(OR(W208="Watching",W208="Preparing"),ISNUMBER(Q208)),IF(AND(Q208&gt;='Friday Summary'!$C$4,Q208&lt;='Friday Summary'!$C$4+14),Q208+ROW()/1000000,""),"")</f>
        <v/>
      </c>
    </row>
    <row r="209" ht="15" customHeight="1" s="51">
      <c r="A209" s="59">
        <f>IF(B209="","","OP-"&amp;TEXT(ROW()-4,"000"))</f>
        <v/>
      </c>
      <c r="B209" s="70" t="inlineStr">
        <is>
          <t>(not shown)</t>
        </is>
      </c>
      <c r="C209" s="71" t="n">
        <v>46317</v>
      </c>
      <c r="D209" s="70" t="inlineStr">
        <is>
          <t>press</t>
        </is>
      </c>
      <c r="E209" s="70" t="inlineStr">
        <is>
          <t>https://www.tanzaniatenders.com/tender/construction-election-polling-stations-chamwino-9045b71.php</t>
        </is>
      </c>
      <c r="F209" s="70" t="inlineStr">
        <is>
          <t>See advert</t>
        </is>
      </c>
      <c r="G209" s="70" t="inlineStr">
        <is>
          <t>government</t>
        </is>
      </c>
      <c r="H209" s="70" t="inlineStr">
        <is>
          <t>Construction of Election (Polling) Stations in Chamwino</t>
        </is>
      </c>
      <c r="I209" s="70" t="inlineStr">
        <is>
          <t>From press notice (1 lot) – read the tender document</t>
        </is>
      </c>
      <c r="J209" s="70" t="inlineStr">
        <is>
          <t>Dodoma (Chamwino)</t>
        </is>
      </c>
      <c r="K209" s="70" t="inlineStr">
        <is>
          <t>building</t>
        </is>
      </c>
      <c r="L209" s="70" t="inlineStr">
        <is>
          <t>See tender document</t>
        </is>
      </c>
      <c r="M209" s="62" t="n"/>
      <c r="N209" s="70" t="inlineStr">
        <is>
          <t>unknown</t>
        </is>
      </c>
      <c r="O209" s="71" t="inlineStr">
        <is>
          <t>See tender document</t>
        </is>
      </c>
      <c r="P209" s="71" t="inlineStr">
        <is>
          <t>See tender document</t>
        </is>
      </c>
      <c r="Q209" s="72" t="n">
        <v>46322.41666666666</v>
      </c>
      <c r="R209" s="70" t="inlineStr">
        <is>
          <t>See tender document</t>
        </is>
      </c>
      <c r="S209" s="70" t="inlineStr">
        <is>
          <t>N</t>
        </is>
      </c>
      <c r="T209" s="64">
        <f>IF(A209="","",IFERROR(INDEX('Bid-NoBid'!$T:$T,MATCH(A209,'Bid-NoBid'!$A:$A,0)),""))</f>
        <v/>
      </c>
      <c r="U209" s="59">
        <f>IF(A209="","",IFERROR(IF(OR(INDEX('Bid-NoBid'!$U:$U,MATCH(A209,'Bid-NoBid'!$A:$A,0))="",LEFT(INDEX('Bid-NoBid'!$U:$U,MATCH(A209,'Bid-NoBid'!$A:$A,0)),10)="Incomplete"),"Screen: "&amp;AC209,INDEX('Bid-NoBid'!$U:$U,MATCH(A209,'Bid-NoBid'!$A:$A,0))),"Screen: "&amp;AC209))</f>
        <v/>
      </c>
      <c r="V209" s="60" t="n"/>
      <c r="W209" s="70" t="inlineStr">
        <is>
          <t>Watching</t>
        </is>
      </c>
      <c r="X209" s="70" t="inlineStr">
        <is>
          <t>Frank</t>
        </is>
      </c>
      <c r="Y209" s="60" t="n"/>
      <c r="Z209" s="60" t="n"/>
      <c r="AA209" s="73" t="n"/>
      <c r="AB209" s="74" t="inlineStr">
        <is>
          <t>TanzaniaTenders.com (newspapers / portals / private)</t>
        </is>
      </c>
      <c r="AC209" s="74" t="inlineStr">
        <is>
          <t>Pursue</t>
        </is>
      </c>
      <c r="AD209" s="74" t="inlineStr">
        <is>
          <t>Auto (TanzaniaTenders.com): Building works within reach of Dar · deadline read from the web page – confirm</t>
        </is>
      </c>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74" t="inlineStr">
        <is>
          <t>Get the tender document, confirm value, CRB class, site visit and bid security; brief the MD</t>
        </is>
      </c>
      <c r="AJ209" s="74" t="inlineStr">
        <is>
          <t>Auto-scan</t>
        </is>
      </c>
      <c r="AK209" s="74" t="inlineStr">
        <is>
          <t>TZT:151280497</t>
        </is>
      </c>
      <c r="AL209" s="59">
        <f>IF(AND(OR(W209="Watching",W209="Preparing"),ISNUMBER(Q209)),IF(AND(Q209&gt;='Friday Summary'!$C$4,Q209&lt;='Friday Summary'!$C$4+14),Q209+ROW()/1000000,""),"")</f>
        <v/>
      </c>
    </row>
    <row r="210" ht="15" customHeight="1" s="51">
      <c r="A210" s="59">
        <f>IF(B210="","","OP-"&amp;TEXT(ROW()-4,"000"))</f>
        <v/>
      </c>
      <c r="B210" s="70" t="inlineStr">
        <is>
          <t>(not shown)</t>
        </is>
      </c>
      <c r="C210" s="71" t="n">
        <v>46317</v>
      </c>
      <c r="D210" s="70" t="inlineStr">
        <is>
          <t>press</t>
        </is>
      </c>
      <c r="E210" s="70" t="inlineStr">
        <is>
          <t>https://www.tanzaniatenders.com/tender/provisions-labor-constructions-23-district-prosecutions-office-nps-9045b03.php</t>
        </is>
      </c>
      <c r="F210" s="70" t="inlineStr">
        <is>
          <t>See advert</t>
        </is>
      </c>
      <c r="G210" s="70" t="inlineStr">
        <is>
          <t>government</t>
        </is>
      </c>
      <c r="H210" s="70" t="inlineStr">
        <is>
          <t>Provisions of Labor for Constructions of 23 District Prosecutions Office for Nps</t>
        </is>
      </c>
      <c r="I210" s="70" t="inlineStr">
        <is>
          <t>From press notice (1 lot) – read the tender document</t>
        </is>
      </c>
      <c r="J210" s="70" t="inlineStr">
        <is>
          <t>Not stated – read the notice</t>
        </is>
      </c>
      <c r="K210" s="70" t="inlineStr">
        <is>
          <t>building</t>
        </is>
      </c>
      <c r="L210" s="70" t="inlineStr">
        <is>
          <t>See tender document</t>
        </is>
      </c>
      <c r="M210" s="62" t="n"/>
      <c r="N210" s="70" t="inlineStr">
        <is>
          <t>unknown</t>
        </is>
      </c>
      <c r="O210" s="71" t="inlineStr">
        <is>
          <t>See tender document</t>
        </is>
      </c>
      <c r="P210" s="71" t="inlineStr">
        <is>
          <t>See tender document</t>
        </is>
      </c>
      <c r="Q210" s="72" t="n">
        <v>46324.41666666666</v>
      </c>
      <c r="R210" s="70" t="inlineStr">
        <is>
          <t>See tender document</t>
        </is>
      </c>
      <c r="S210" s="70" t="inlineStr">
        <is>
          <t>N</t>
        </is>
      </c>
      <c r="T210" s="64">
        <f>IF(A210="","",IFERROR(INDEX('Bid-NoBid'!$T:$T,MATCH(A210,'Bid-NoBid'!$A:$A,0)),""))</f>
        <v/>
      </c>
      <c r="U210" s="59">
        <f>IF(A210="","",IFERROR(IF(OR(INDEX('Bid-NoBid'!$U:$U,MATCH(A210,'Bid-NoBid'!$A:$A,0))="",LEFT(INDEX('Bid-NoBid'!$U:$U,MATCH(A210,'Bid-NoBid'!$A:$A,0)),10)="Incomplete"),"Screen: "&amp;AC210,INDEX('Bid-NoBid'!$U:$U,MATCH(A210,'Bid-NoBid'!$A:$A,0))),"Screen: "&amp;AC210))</f>
        <v/>
      </c>
      <c r="V210" s="60" t="n"/>
      <c r="W210" s="70" t="inlineStr">
        <is>
          <t>Watching</t>
        </is>
      </c>
      <c r="X210" s="70" t="inlineStr">
        <is>
          <t>Frank</t>
        </is>
      </c>
      <c r="Y210" s="60" t="n"/>
      <c r="Z210" s="60" t="n"/>
      <c r="AA210" s="73" t="n"/>
      <c r="AB210" s="74" t="inlineStr">
        <is>
          <t>TanzaniaTenders.com (newspapers / portals / private)</t>
        </is>
      </c>
      <c r="AC210" s="74" t="inlineStr">
        <is>
          <t>Check</t>
        </is>
      </c>
      <c r="AD210" s="74" t="inlineStr">
        <is>
          <t>Auto (TanzaniaTenders.com): Site not stated in the listing – read the notice · deadline read from the web page – confirm</t>
        </is>
      </c>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74" t="inlineStr">
        <is>
          <t>Read the notice and decide with the QS Director whether to pursue</t>
        </is>
      </c>
      <c r="AJ210" s="74" t="inlineStr">
        <is>
          <t>Auto-scan</t>
        </is>
      </c>
      <c r="AK210" s="74" t="inlineStr">
        <is>
          <t>TZT:151280387</t>
        </is>
      </c>
      <c r="AL210" s="59">
        <f>IF(AND(OR(W210="Watching",W210="Preparing"),ISNUMBER(Q210)),IF(AND(Q210&gt;='Friday Summary'!$C$4,Q210&lt;='Friday Summary'!$C$4+14),Q210+ROW()/1000000,""),"")</f>
        <v/>
      </c>
    </row>
    <row r="211" ht="15" customHeight="1" s="51">
      <c r="A211" s="59">
        <f>IF(B211="","","OP-"&amp;TEXT(ROW()-4,"000"))</f>
        <v/>
      </c>
      <c r="B211" s="70" t="inlineStr">
        <is>
          <t>87V3/2026/2027/W/04</t>
        </is>
      </c>
      <c r="C211" s="71" t="n">
        <v>46318</v>
      </c>
      <c r="D211" s="70" t="inlineStr">
        <is>
          <t>NeST</t>
        </is>
      </c>
      <c r="E211" s="70" t="inlineStr">
        <is>
          <t>https://nest.go.tz/tenders/published-tenders</t>
        </is>
      </c>
      <c r="F211" s="70" t="inlineStr">
        <is>
          <t>Karagwe District Council</t>
        </is>
      </c>
      <c r="G211" s="70" t="inlineStr">
        <is>
          <t>government</t>
        </is>
      </c>
      <c r="H211" s="70" t="inlineStr">
        <is>
          <t>Construction of modern Kayanga Market</t>
        </is>
      </c>
      <c r="I211" s="70" t="inlineStr">
        <is>
          <t>From NeST notice (1 lot) – read the tender document</t>
        </is>
      </c>
      <c r="J211" s="70" t="inlineStr">
        <is>
          <t>Kagera (from client's office – confirm site)</t>
        </is>
      </c>
      <c r="K211" s="70" t="inlineStr">
        <is>
          <t>building</t>
        </is>
      </c>
      <c r="L211" s="70" t="inlineStr">
        <is>
          <t>NeST login needed</t>
        </is>
      </c>
      <c r="M211" s="62" t="n"/>
      <c r="N211" s="70" t="inlineStr">
        <is>
          <t>unknown</t>
        </is>
      </c>
      <c r="O211" s="71" t="inlineStr">
        <is>
          <t>NeST login needed</t>
        </is>
      </c>
      <c r="P211" s="71" t="inlineStr">
        <is>
          <t>NeST login needed</t>
        </is>
      </c>
      <c r="Q211" s="72" t="n">
        <v>46324.58333333334</v>
      </c>
      <c r="R211" s="70" t="inlineStr">
        <is>
          <t>NeST login needed</t>
        </is>
      </c>
      <c r="S211" s="70" t="inlineStr">
        <is>
          <t>N</t>
        </is>
      </c>
      <c r="T211" s="64">
        <f>IF(A211="","",IFERROR(INDEX('Bid-NoBid'!$T:$T,MATCH(A211,'Bid-NoBid'!$A:$A,0)),""))</f>
        <v/>
      </c>
      <c r="U211" s="59">
        <f>IF(A211="","",IFERROR(IF(OR(INDEX('Bid-NoBid'!$U:$U,MATCH(A211,'Bid-NoBid'!$A:$A,0))="",LEFT(INDEX('Bid-NoBid'!$U:$U,MATCH(A211,'Bid-NoBid'!$A:$A,0)),10)="Incomplete"),"Screen: "&amp;AC211,INDEX('Bid-NoBid'!$U:$U,MATCH(A211,'Bid-NoBid'!$A:$A,0))),"Screen: "&amp;AC211))</f>
        <v/>
      </c>
      <c r="V211" s="60" t="n"/>
      <c r="W211" s="70" t="inlineStr">
        <is>
          <t>Watching</t>
        </is>
      </c>
      <c r="X211" s="70" t="inlineStr">
        <is>
          <t>Frank</t>
        </is>
      </c>
      <c r="Y211" s="60" t="n"/>
      <c r="Z211" s="60" t="n"/>
      <c r="AA211" s="73" t="n">
        <v>46318</v>
      </c>
      <c r="AB211" s="74" t="inlineStr">
        <is>
          <t>Design and Build / Tender</t>
        </is>
      </c>
      <c r="AC211" s="74" t="inlineStr">
        <is>
          <t>Check</t>
        </is>
      </c>
      <c r="AD211" s="74" t="inlineStr">
        <is>
          <t>Auto (Design and Build / Tender): Construction tender kept for review (would have been dropped: Remote and closing soon)</t>
        </is>
      </c>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74" t="inlineStr">
        <is>
          <t>Read the notice and decide with the QS Director whether to pursue</t>
        </is>
      </c>
      <c r="AJ211" s="74" t="inlineStr">
        <is>
          <t>Auto-scan</t>
        </is>
      </c>
      <c r="AK211" s="74" t="inlineStr">
        <is>
          <t>6317e47d-6248-4194-b831-7c2cf1902350</t>
        </is>
      </c>
      <c r="AL211" s="59">
        <f>IF(AND(OR(W211="Watching",W211="Preparing"),ISNUMBER(Q211)),IF(AND(Q211&gt;='Friday Summary'!$C$4,Q211&lt;='Friday Summary'!$C$4+14),Q211+ROW()/1000000,""),"")</f>
        <v/>
      </c>
    </row>
    <row r="212" ht="15" customHeight="1" s="51">
      <c r="A212" s="59">
        <f>IF(B212="","","OP-"&amp;TEXT(ROW()-4,"000"))</f>
        <v/>
      </c>
      <c r="B212" s="70" t="inlineStr">
        <is>
          <t>71B4/2026/2027/W/16</t>
        </is>
      </c>
      <c r="C212" s="71" t="n">
        <v>46318</v>
      </c>
      <c r="D212" s="70" t="inlineStr">
        <is>
          <t>NeST</t>
        </is>
      </c>
      <c r="E212" s="70" t="inlineStr">
        <is>
          <t>https://nest.go.tz/tenders/published-tenders</t>
        </is>
      </c>
      <c r="F212" s="70" t="inlineStr">
        <is>
          <t>Kibaha District Council</t>
        </is>
      </c>
      <c r="G212" s="70" t="inlineStr">
        <is>
          <t>government</t>
        </is>
      </c>
      <c r="H212" s="70" t="inlineStr">
        <is>
          <t>CONSTRUCTION OF HOTEL AT MTONGANI AREA</t>
        </is>
      </c>
      <c r="I212" s="70" t="inlineStr">
        <is>
          <t>From NeST notice (1 lot) – read the tender document</t>
        </is>
      </c>
      <c r="J212" s="70" t="inlineStr">
        <is>
          <t>Pwani (Kibaha) (from client's office – confirm site)</t>
        </is>
      </c>
      <c r="K212" s="70" t="inlineStr">
        <is>
          <t>building</t>
        </is>
      </c>
      <c r="L212" s="70" t="inlineStr">
        <is>
          <t>NeST login needed</t>
        </is>
      </c>
      <c r="M212" s="62" t="n"/>
      <c r="N212" s="70" t="inlineStr">
        <is>
          <t>unknown</t>
        </is>
      </c>
      <c r="O212" s="71" t="inlineStr">
        <is>
          <t>NeST login needed</t>
        </is>
      </c>
      <c r="P212" s="71" t="inlineStr">
        <is>
          <t>NeST login needed</t>
        </is>
      </c>
      <c r="Q212" s="72" t="n">
        <v>46324.58333333334</v>
      </c>
      <c r="R212" s="70" t="inlineStr">
        <is>
          <t>NeST login needed</t>
        </is>
      </c>
      <c r="S212" s="70" t="inlineStr">
        <is>
          <t>N</t>
        </is>
      </c>
      <c r="T212" s="64">
        <f>IF(A212="","",IFERROR(INDEX('Bid-NoBid'!$T:$T,MATCH(A212,'Bid-NoBid'!$A:$A,0)),""))</f>
        <v/>
      </c>
      <c r="U212" s="59">
        <f>IF(A212="","",IFERROR(IF(OR(INDEX('Bid-NoBid'!$U:$U,MATCH(A212,'Bid-NoBid'!$A:$A,0))="",LEFT(INDEX('Bid-NoBid'!$U:$U,MATCH(A212,'Bid-NoBid'!$A:$A,0)),10)="Incomplete"),"Screen: "&amp;AC212,INDEX('Bid-NoBid'!$U:$U,MATCH(A212,'Bid-NoBid'!$A:$A,0))),"Screen: "&amp;AC212))</f>
        <v/>
      </c>
      <c r="V212" s="60" t="n"/>
      <c r="W212" s="70" t="inlineStr">
        <is>
          <t>Watching</t>
        </is>
      </c>
      <c r="X212" s="70" t="inlineStr">
        <is>
          <t>Frank</t>
        </is>
      </c>
      <c r="Y212" s="60" t="n"/>
      <c r="Z212" s="60" t="n"/>
      <c r="AA212" s="73" t="n">
        <v>46317</v>
      </c>
      <c r="AB212" s="74" t="inlineStr">
        <is>
          <t>Small Works / Tender</t>
        </is>
      </c>
      <c r="AC212" s="74" t="inlineStr">
        <is>
          <t>Pursue</t>
        </is>
      </c>
      <c r="AD212" s="74" t="inlineStr">
        <is>
          <t>Auto (Small Works / Tender): Building works within reach of Dar</t>
        </is>
      </c>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74" t="inlineStr">
        <is>
          <t>Get the tender document, confirm value, CRB class, site visit and bid security; brief the MD</t>
        </is>
      </c>
      <c r="AJ212" s="74" t="inlineStr">
        <is>
          <t>Auto-scan</t>
        </is>
      </c>
      <c r="AK212" s="74" t="inlineStr">
        <is>
          <t>a61bd327-f705-4397-a7fe-fd1d2989faf1</t>
        </is>
      </c>
      <c r="AL212" s="59">
        <f>IF(AND(OR(W212="Watching",W212="Preparing"),ISNUMBER(Q212)),IF(AND(Q212&gt;='Friday Summary'!$C$4,Q212&lt;='Friday Summary'!$C$4+14),Q212+ROW()/1000000,""),"")</f>
        <v/>
      </c>
    </row>
    <row r="213" ht="15" customHeight="1" s="51">
      <c r="A213" s="59">
        <f>IF(B213="","","OP-"&amp;TEXT(ROW()-4,"000"))</f>
        <v/>
      </c>
      <c r="B213" s="70" t="inlineStr">
        <is>
          <t>53/004/2026/2027/W/01</t>
        </is>
      </c>
      <c r="C213" s="71" t="n">
        <v>46318</v>
      </c>
      <c r="D213" s="70" t="inlineStr">
        <is>
          <t>NeST</t>
        </is>
      </c>
      <c r="E213" s="70" t="inlineStr">
        <is>
          <t>https://nest.go.tz/tenders/published-tenders</t>
        </is>
      </c>
      <c r="F213" s="70" t="inlineStr">
        <is>
          <t>Mcdgwsg - Rungemba Community Development Training Institute</t>
        </is>
      </c>
      <c r="G213" s="70" t="inlineStr">
        <is>
          <t>government</t>
        </is>
      </c>
      <c r="H213" s="70" t="inlineStr">
        <is>
          <t>Provision of continue of construction of computer lab</t>
        </is>
      </c>
      <c r="I213" s="70" t="inlineStr">
        <is>
          <t>From NeST notice (1 lot) – read the tender document</t>
        </is>
      </c>
      <c r="J213" s="70" t="inlineStr">
        <is>
          <t>Iringa (Mufindi) (from client's office – confirm site)</t>
        </is>
      </c>
      <c r="K213" s="70" t="inlineStr">
        <is>
          <t>building</t>
        </is>
      </c>
      <c r="L213" s="70" t="inlineStr">
        <is>
          <t>NeST login needed</t>
        </is>
      </c>
      <c r="M213" s="62" t="n"/>
      <c r="N213" s="70" t="inlineStr">
        <is>
          <t>unknown</t>
        </is>
      </c>
      <c r="O213" s="71" t="inlineStr">
        <is>
          <t>NeST login needed</t>
        </is>
      </c>
      <c r="P213" s="71" t="inlineStr">
        <is>
          <t>NeST login needed</t>
        </is>
      </c>
      <c r="Q213" s="72" t="n">
        <v>46324.58333333334</v>
      </c>
      <c r="R213" s="70" t="inlineStr">
        <is>
          <t>NeST login needed</t>
        </is>
      </c>
      <c r="S213" s="70" t="inlineStr">
        <is>
          <t>N</t>
        </is>
      </c>
      <c r="T213" s="64">
        <f>IF(A213="","",IFERROR(INDEX('Bid-NoBid'!$T:$T,MATCH(A213,'Bid-NoBid'!$A:$A,0)),""))</f>
        <v/>
      </c>
      <c r="U213" s="59">
        <f>IF(A213="","",IFERROR(IF(OR(INDEX('Bid-NoBid'!$U:$U,MATCH(A213,'Bid-NoBid'!$A:$A,0))="",LEFT(INDEX('Bid-NoBid'!$U:$U,MATCH(A213,'Bid-NoBid'!$A:$A,0)),10)="Incomplete"),"Screen: "&amp;AC213,INDEX('Bid-NoBid'!$U:$U,MATCH(A213,'Bid-NoBid'!$A:$A,0))),"Screen: "&amp;AC213))</f>
        <v/>
      </c>
      <c r="V213" s="60" t="n"/>
      <c r="W213" s="70" t="inlineStr">
        <is>
          <t>Watching</t>
        </is>
      </c>
      <c r="X213" s="70" t="inlineStr">
        <is>
          <t>Frank</t>
        </is>
      </c>
      <c r="Y213" s="60" t="n"/>
      <c r="Z213" s="60" t="n"/>
      <c r="AA213" s="73" t="n">
        <v>46317</v>
      </c>
      <c r="AB213" s="74" t="inlineStr">
        <is>
          <t>Small Works / Tender</t>
        </is>
      </c>
      <c r="AC213" s="74" t="inlineStr">
        <is>
          <t>Check</t>
        </is>
      </c>
      <c r="AD213" s="74" t="inlineStr">
        <is>
          <t>Auto (Small Works / Tender): Construction tender kept for review (would have been dropped: Remote and closing soon)</t>
        </is>
      </c>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74" t="inlineStr">
        <is>
          <t>Read the notice and decide with the QS Director whether to pursue</t>
        </is>
      </c>
      <c r="AJ213" s="74" t="inlineStr">
        <is>
          <t>Auto-scan</t>
        </is>
      </c>
      <c r="AK213" s="74" t="inlineStr">
        <is>
          <t>64e85431-9e2a-42f7-b09d-5ae5cd5fc38d</t>
        </is>
      </c>
      <c r="AL213" s="59">
        <f>IF(AND(OR(W213="Watching",W213="Preparing"),ISNUMBER(Q213)),IF(AND(Q213&gt;='Friday Summary'!$C$4,Q213&lt;='Friday Summary'!$C$4+14),Q213+ROW()/1000000,""),"")</f>
        <v/>
      </c>
    </row>
    <row r="214" ht="15" customHeight="1" s="51">
      <c r="A214" s="59">
        <f>IF(B214="","","OP-"&amp;TEXT(ROW()-4,"000"))</f>
        <v/>
      </c>
      <c r="B214" s="70" t="inlineStr">
        <is>
          <t>83/2026/2027/W/06</t>
        </is>
      </c>
      <c r="C214" s="71" t="n">
        <v>46318</v>
      </c>
      <c r="D214" s="70" t="inlineStr">
        <is>
          <t>NeST</t>
        </is>
      </c>
      <c r="E214" s="70" t="inlineStr">
        <is>
          <t>https://nest.go.tz/tenders/published-tenders</t>
        </is>
      </c>
      <c r="F214" s="70" t="inlineStr">
        <is>
          <t>Shinyanga Regional Secretariat</t>
        </is>
      </c>
      <c r="G214" s="70" t="inlineStr">
        <is>
          <t>government</t>
        </is>
      </c>
      <c r="H214" s="70" t="inlineStr">
        <is>
          <t>Completion of Construction for Kishapu District Commissioner Office, Rehabilitation of Residence House for Kishapu District Commissioner and Rehabilitation of Residence House for Kishapu District Administrative Secretary</t>
        </is>
      </c>
      <c r="I214" s="70" t="inlineStr">
        <is>
          <t>From NeST notice (1 lot) – read the tender document</t>
        </is>
      </c>
      <c r="J214" s="70" t="inlineStr">
        <is>
          <t>Shinyanga (from client's office – confirm site)</t>
        </is>
      </c>
      <c r="K214" s="70" t="inlineStr">
        <is>
          <t>renovation</t>
        </is>
      </c>
      <c r="L214" s="70" t="inlineStr">
        <is>
          <t>NeST login needed</t>
        </is>
      </c>
      <c r="M214" s="62" t="n"/>
      <c r="N214" s="70" t="inlineStr">
        <is>
          <t>unknown</t>
        </is>
      </c>
      <c r="O214" s="71" t="inlineStr">
        <is>
          <t>NeST login needed</t>
        </is>
      </c>
      <c r="P214" s="71" t="inlineStr">
        <is>
          <t>NeST login needed</t>
        </is>
      </c>
      <c r="Q214" s="72" t="n">
        <v>46325.58333333334</v>
      </c>
      <c r="R214" s="70" t="inlineStr">
        <is>
          <t>NeST login needed</t>
        </is>
      </c>
      <c r="S214" s="70" t="inlineStr">
        <is>
          <t>N</t>
        </is>
      </c>
      <c r="T214" s="64">
        <f>IF(A214="","",IFERROR(INDEX('Bid-NoBid'!$T:$T,MATCH(A214,'Bid-NoBid'!$A:$A,0)),""))</f>
        <v/>
      </c>
      <c r="U214" s="59">
        <f>IF(A214="","",IFERROR(IF(OR(INDEX('Bid-NoBid'!$U:$U,MATCH(A214,'Bid-NoBid'!$A:$A,0))="",LEFT(INDEX('Bid-NoBid'!$U:$U,MATCH(A214,'Bid-NoBid'!$A:$A,0)),10)="Incomplete"),"Screen: "&amp;AC214,INDEX('Bid-NoBid'!$U:$U,MATCH(A214,'Bid-NoBid'!$A:$A,0))),"Screen: "&amp;AC214))</f>
        <v/>
      </c>
      <c r="V214" s="60" t="n"/>
      <c r="W214" s="70" t="inlineStr">
        <is>
          <t>Watching</t>
        </is>
      </c>
      <c r="X214" s="70" t="inlineStr">
        <is>
          <t>Frank</t>
        </is>
      </c>
      <c r="Y214" s="60" t="n"/>
      <c r="Z214" s="60" t="n"/>
      <c r="AA214" s="73" t="n">
        <v>46318</v>
      </c>
      <c r="AB214" s="74" t="inlineStr">
        <is>
          <t>Small Works / Tender</t>
        </is>
      </c>
      <c r="AC214" s="74" t="inlineStr">
        <is>
          <t>Check</t>
        </is>
      </c>
      <c r="AD214" s="74" t="inlineStr">
        <is>
          <t>Auto (Small Works / Tender): Building works but remote from Dar</t>
        </is>
      </c>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74" t="inlineStr">
        <is>
          <t>Read the notice and decide with the QS Director whether to pursue</t>
        </is>
      </c>
      <c r="AJ214" s="74" t="inlineStr">
        <is>
          <t>Auto-scan</t>
        </is>
      </c>
      <c r="AK214" s="74" t="inlineStr">
        <is>
          <t>46cfcb1f-31be-451a-8e8c-cde843573b84</t>
        </is>
      </c>
      <c r="AL214" s="59">
        <f>IF(AND(OR(W214="Watching",W214="Preparing"),ISNUMBER(Q214)),IF(AND(Q214&gt;='Friday Summary'!$C$4,Q214&lt;='Friday Summary'!$C$4+14),Q214+ROW()/1000000,""),"")</f>
        <v/>
      </c>
    </row>
    <row r="215" ht="15" customHeight="1" s="51">
      <c r="A215" s="59">
        <f>IF(B215="","","OP-"&amp;TEXT(ROW()-4,"000"))</f>
        <v/>
      </c>
      <c r="B215" s="70" t="inlineStr">
        <is>
          <t>TR170/2025/2026/W/01</t>
        </is>
      </c>
      <c r="C215" s="71" t="n">
        <v>46318</v>
      </c>
      <c r="D215" s="70" t="inlineStr">
        <is>
          <t>NeST</t>
        </is>
      </c>
      <c r="E215" s="70" t="inlineStr">
        <is>
          <t>https://nest.go.tz/tenders/published-tenders</t>
        </is>
      </c>
      <c r="F215" s="70" t="inlineStr">
        <is>
          <t>Land Transport Regulatory Authority</t>
        </is>
      </c>
      <c r="G215" s="70" t="inlineStr">
        <is>
          <t>government</t>
        </is>
      </c>
      <c r="H215" s="70" t="inlineStr">
        <is>
          <t>Construction of Fence at Mikocheni</t>
        </is>
      </c>
      <c r="I215" s="70" t="inlineStr">
        <is>
          <t>From NeST notice (1 lot) – read the tender document</t>
        </is>
      </c>
      <c r="J215" s="70" t="inlineStr">
        <is>
          <t>Dodoma (from client's office – confirm site)</t>
        </is>
      </c>
      <c r="K215" s="70" t="inlineStr">
        <is>
          <t>building</t>
        </is>
      </c>
      <c r="L215" s="70" t="inlineStr">
        <is>
          <t>NeST login needed</t>
        </is>
      </c>
      <c r="M215" s="62" t="n"/>
      <c r="N215" s="70" t="inlineStr">
        <is>
          <t>unknown</t>
        </is>
      </c>
      <c r="O215" s="71" t="inlineStr">
        <is>
          <t>NeST login needed</t>
        </is>
      </c>
      <c r="P215" s="71" t="inlineStr">
        <is>
          <t>NeST login needed</t>
        </is>
      </c>
      <c r="Q215" s="72" t="n">
        <v>46325.58333333334</v>
      </c>
      <c r="R215" s="70" t="inlineStr">
        <is>
          <t>NeST login needed</t>
        </is>
      </c>
      <c r="S215" s="70" t="inlineStr">
        <is>
          <t>N</t>
        </is>
      </c>
      <c r="T215" s="64">
        <f>IF(A215="","",IFERROR(INDEX('Bid-NoBid'!$T:$T,MATCH(A215,'Bid-NoBid'!$A:$A,0)),""))</f>
        <v/>
      </c>
      <c r="U215" s="59">
        <f>IF(A215="","",IFERROR(IF(OR(INDEX('Bid-NoBid'!$U:$U,MATCH(A215,'Bid-NoBid'!$A:$A,0))="",LEFT(INDEX('Bid-NoBid'!$U:$U,MATCH(A215,'Bid-NoBid'!$A:$A,0)),10)="Incomplete"),"Screen: "&amp;AC215,INDEX('Bid-NoBid'!$U:$U,MATCH(A215,'Bid-NoBid'!$A:$A,0))),"Screen: "&amp;AC215))</f>
        <v/>
      </c>
      <c r="V215" s="60" t="n"/>
      <c r="W215" s="70" t="inlineStr">
        <is>
          <t>Watching</t>
        </is>
      </c>
      <c r="X215" s="70" t="inlineStr">
        <is>
          <t>Frank</t>
        </is>
      </c>
      <c r="Y215" s="60" t="n"/>
      <c r="Z215" s="60" t="n"/>
      <c r="AA215" s="73" t="n">
        <v>46318</v>
      </c>
      <c r="AB215" s="74" t="inlineStr">
        <is>
          <t>Standard Invitation for Quotations -Works / Planned Tender</t>
        </is>
      </c>
      <c r="AC215" s="74" t="inlineStr">
        <is>
          <t>Check</t>
        </is>
      </c>
      <c r="AD215" s="74" t="inlineStr">
        <is>
          <t>Auto (Standard Invitation for Quotations -Works / Planned Tender): Quotation route – value may be below TZS 200m</t>
        </is>
      </c>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74" t="inlineStr">
        <is>
          <t>Read the notice and decide with the QS Director whether to pursue</t>
        </is>
      </c>
      <c r="AJ215" s="74" t="inlineStr">
        <is>
          <t>Auto-scan</t>
        </is>
      </c>
      <c r="AK215" s="74" t="inlineStr">
        <is>
          <t>d66f00ca-0fac-4115-bb3d-a985d4c85a25</t>
        </is>
      </c>
      <c r="AL215" s="59">
        <f>IF(AND(OR(W215="Watching",W215="Preparing"),ISNUMBER(Q215)),IF(AND(Q215&gt;='Friday Summary'!$C$4,Q215&lt;='Friday Summary'!$C$4+14),Q215+ROW()/1000000,""),"")</f>
        <v/>
      </c>
    </row>
    <row r="216" ht="15" customHeight="1" s="51">
      <c r="A216" s="59">
        <f>IF(B216="","","OP-"&amp;TEXT(ROW()-4,"000"))</f>
        <v/>
      </c>
      <c r="B216" s="70" t="inlineStr">
        <is>
          <t>TR72/2026/2027/W/02</t>
        </is>
      </c>
      <c r="C216" s="71" t="n">
        <v>46318</v>
      </c>
      <c r="D216" s="70" t="inlineStr">
        <is>
          <t>NeST</t>
        </is>
      </c>
      <c r="E216" s="70" t="inlineStr">
        <is>
          <t>https://nest.go.tz/tenders/published-tenders</t>
        </is>
      </c>
      <c r="F216" s="70" t="inlineStr">
        <is>
          <t>National Museum of Tanzania</t>
        </is>
      </c>
      <c r="G216" s="70" t="inlineStr">
        <is>
          <t>government</t>
        </is>
      </c>
      <c r="H216" s="70" t="inlineStr">
        <is>
          <t>Renovation of Tourism Infrastructures at MHOC</t>
        </is>
      </c>
      <c r="I216" s="70" t="inlineStr">
        <is>
          <t>From NeST notice (1 lot) – read the tender document</t>
        </is>
      </c>
      <c r="J216" s="70" t="inlineStr">
        <is>
          <t>Dar es Salaam (Ilala) (from client's office – confirm site)</t>
        </is>
      </c>
      <c r="K216" s="70" t="inlineStr">
        <is>
          <t>renovation</t>
        </is>
      </c>
      <c r="L216" s="70" t="inlineStr">
        <is>
          <t>NeST login needed</t>
        </is>
      </c>
      <c r="M216" s="62" t="n"/>
      <c r="N216" s="70" t="inlineStr">
        <is>
          <t>unknown</t>
        </is>
      </c>
      <c r="O216" s="71" t="inlineStr">
        <is>
          <t>NeST login needed</t>
        </is>
      </c>
      <c r="P216" s="71" t="inlineStr">
        <is>
          <t>NeST login needed</t>
        </is>
      </c>
      <c r="Q216" s="72" t="n">
        <v>46325.58333333334</v>
      </c>
      <c r="R216" s="70" t="inlineStr">
        <is>
          <t>NeST login needed</t>
        </is>
      </c>
      <c r="S216" s="70" t="inlineStr">
        <is>
          <t>N</t>
        </is>
      </c>
      <c r="T216" s="64">
        <f>IF(A216="","",IFERROR(INDEX('Bid-NoBid'!$T:$T,MATCH(A216,'Bid-NoBid'!$A:$A,0)),""))</f>
        <v/>
      </c>
      <c r="U216" s="59">
        <f>IF(A216="","",IFERROR(IF(OR(INDEX('Bid-NoBid'!$U:$U,MATCH(A216,'Bid-NoBid'!$A:$A,0))="",LEFT(INDEX('Bid-NoBid'!$U:$U,MATCH(A216,'Bid-NoBid'!$A:$A,0)),10)="Incomplete"),"Screen: "&amp;AC216,INDEX('Bid-NoBid'!$U:$U,MATCH(A216,'Bid-NoBid'!$A:$A,0))),"Screen: "&amp;AC216))</f>
        <v/>
      </c>
      <c r="V216" s="60" t="n"/>
      <c r="W216" s="70" t="inlineStr">
        <is>
          <t>Watching</t>
        </is>
      </c>
      <c r="X216" s="70" t="inlineStr">
        <is>
          <t>Frank</t>
        </is>
      </c>
      <c r="Y216" s="60" t="n"/>
      <c r="Z216" s="60" t="n"/>
      <c r="AA216" s="73" t="n">
        <v>46317</v>
      </c>
      <c r="AB216" s="74" t="inlineStr">
        <is>
          <t>Small Works / Tender</t>
        </is>
      </c>
      <c r="AC216" s="74" t="inlineStr">
        <is>
          <t>Pursue</t>
        </is>
      </c>
      <c r="AD216" s="74" t="inlineStr">
        <is>
          <t>Auto (Small Works / Tender): Building works within reach of Dar</t>
        </is>
      </c>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74" t="inlineStr">
        <is>
          <t>Get the tender document, confirm value, CRB class, site visit and bid security; brief the MD</t>
        </is>
      </c>
      <c r="AJ216" s="74" t="inlineStr">
        <is>
          <t>Auto-scan</t>
        </is>
      </c>
      <c r="AK216" s="74" t="inlineStr">
        <is>
          <t>589b934e-27c4-4111-8fff-28376949dca1</t>
        </is>
      </c>
      <c r="AL216" s="59">
        <f>IF(AND(OR(W216="Watching",W216="Preparing"),ISNUMBER(Q216)),IF(AND(Q216&gt;='Friday Summary'!$C$4,Q216&lt;='Friday Summary'!$C$4+14),Q216+ROW()/1000000,""),"")</f>
        <v/>
      </c>
    </row>
    <row r="217" ht="15" customHeight="1" s="51">
      <c r="A217" s="59">
        <f>IF(B217="","","OP-"&amp;TEXT(ROW()-4,"000"))</f>
        <v/>
      </c>
      <c r="B217" s="70" t="inlineStr">
        <is>
          <t>TR103/2026/2027/W/06</t>
        </is>
      </c>
      <c r="C217" s="71" t="n">
        <v>46318</v>
      </c>
      <c r="D217" s="70" t="inlineStr">
        <is>
          <t>NeST</t>
        </is>
      </c>
      <c r="E217" s="70" t="inlineStr">
        <is>
          <t>https://nest.go.tz/tenders/published-tenders</t>
        </is>
      </c>
      <c r="F217" s="70" t="inlineStr">
        <is>
          <t>Agricultural Seeds Agency</t>
        </is>
      </c>
      <c r="G217" s="70" t="inlineStr">
        <is>
          <t>government</t>
        </is>
      </c>
      <c r="H217" s="70" t="inlineStr">
        <is>
          <t>CONSTRUCTION OF STAFF HOUSE AT ASA SEED FARM</t>
        </is>
      </c>
      <c r="I217" s="70" t="inlineStr">
        <is>
          <t>From NeST notice (1 lot) – read the tender document</t>
        </is>
      </c>
      <c r="J217" s="70" t="inlineStr">
        <is>
          <t>Morogoro (from client's office – confirm site)</t>
        </is>
      </c>
      <c r="K217" s="70" t="inlineStr">
        <is>
          <t>building</t>
        </is>
      </c>
      <c r="L217" s="70" t="inlineStr">
        <is>
          <t>NeST login needed</t>
        </is>
      </c>
      <c r="M217" s="62" t="n"/>
      <c r="N217" s="70" t="inlineStr">
        <is>
          <t>unknown</t>
        </is>
      </c>
      <c r="O217" s="71" t="inlineStr">
        <is>
          <t>NeST login needed</t>
        </is>
      </c>
      <c r="P217" s="71" t="inlineStr">
        <is>
          <t>NeST login needed</t>
        </is>
      </c>
      <c r="Q217" s="72" t="n">
        <v>46336.41666666666</v>
      </c>
      <c r="R217" s="70" t="inlineStr">
        <is>
          <t>NeST login needed</t>
        </is>
      </c>
      <c r="S217" s="70" t="inlineStr">
        <is>
          <t>N</t>
        </is>
      </c>
      <c r="T217" s="64">
        <f>IF(A217="","",IFERROR(INDEX('Bid-NoBid'!$T:$T,MATCH(A217,'Bid-NoBid'!$A:$A,0)),""))</f>
        <v/>
      </c>
      <c r="U217" s="59">
        <f>IF(A217="","",IFERROR(IF(OR(INDEX('Bid-NoBid'!$U:$U,MATCH(A217,'Bid-NoBid'!$A:$A,0))="",LEFT(INDEX('Bid-NoBid'!$U:$U,MATCH(A217,'Bid-NoBid'!$A:$A,0)),10)="Incomplete"),"Screen: "&amp;AC217,INDEX('Bid-NoBid'!$U:$U,MATCH(A217,'Bid-NoBid'!$A:$A,0))),"Screen: "&amp;AC217))</f>
        <v/>
      </c>
      <c r="V217" s="60" t="n"/>
      <c r="W217" s="70" t="inlineStr">
        <is>
          <t>Watching</t>
        </is>
      </c>
      <c r="X217" s="70" t="inlineStr">
        <is>
          <t>Frank</t>
        </is>
      </c>
      <c r="Y217" s="60" t="n"/>
      <c r="Z217" s="60" t="n"/>
      <c r="AA217" s="73" t="n">
        <v>46318</v>
      </c>
      <c r="AB217" s="74" t="inlineStr">
        <is>
          <t>Small Works / Tender</t>
        </is>
      </c>
      <c r="AC217" s="74" t="inlineStr">
        <is>
          <t>Pursue</t>
        </is>
      </c>
      <c r="AD217" s="74" t="inlineStr">
        <is>
          <t>Auto (Small Works / Tender): Building works within reach of Dar</t>
        </is>
      </c>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74" t="inlineStr">
        <is>
          <t>Get the tender document, confirm value, CRB class, site visit and bid security; brief the MD</t>
        </is>
      </c>
      <c r="AJ217" s="74" t="inlineStr">
        <is>
          <t>Auto-scan</t>
        </is>
      </c>
      <c r="AK217" s="74" t="inlineStr">
        <is>
          <t>03e6467c-17f6-464d-aec5-651ed5ca770e</t>
        </is>
      </c>
      <c r="AL217" s="59">
        <f>IF(AND(OR(W217="Watching",W217="Preparing"),ISNUMBER(Q217)),IF(AND(Q217&gt;='Friday Summary'!$C$4,Q217&lt;='Friday Summary'!$C$4+14),Q217+ROW()/1000000,""),"")</f>
        <v/>
      </c>
    </row>
    <row r="218" ht="15" customHeight="1" s="51">
      <c r="A218" s="59">
        <f>IF(B218="","","OP-"&amp;TEXT(ROW()-4,"000"))</f>
        <v/>
      </c>
      <c r="B218" s="70" t="inlineStr">
        <is>
          <t>(not shown)</t>
        </is>
      </c>
      <c r="C218" s="71" t="n">
        <v>46318</v>
      </c>
      <c r="D218" s="70" t="inlineStr">
        <is>
          <t>press</t>
        </is>
      </c>
      <c r="E218" s="70" t="inlineStr">
        <is>
          <t>https://www.tanzaniatenders.com/tender/running-dit-canteen-service-mwanza-campus-9053570.php</t>
        </is>
      </c>
      <c r="F218" s="70" t="inlineStr">
        <is>
          <t>See advert</t>
        </is>
      </c>
      <c r="G218" s="70" t="inlineStr">
        <is>
          <t>government</t>
        </is>
      </c>
      <c r="H218" s="70" t="inlineStr">
        <is>
          <t>Running of Dit Canteen Service at Mwanza Campus</t>
        </is>
      </c>
      <c r="I218" s="70" t="inlineStr">
        <is>
          <t>From press notice (1 lot) – read the tender document</t>
        </is>
      </c>
      <c r="J218" s="70" t="inlineStr">
        <is>
          <t>Mwanza</t>
        </is>
      </c>
      <c r="K218" s="70" t="inlineStr">
        <is>
          <t>building</t>
        </is>
      </c>
      <c r="L218" s="70" t="inlineStr">
        <is>
          <t>See tender document</t>
        </is>
      </c>
      <c r="M218" s="62" t="n"/>
      <c r="N218" s="70" t="inlineStr">
        <is>
          <t>unknown</t>
        </is>
      </c>
      <c r="O218" s="71" t="inlineStr">
        <is>
          <t>See tender document</t>
        </is>
      </c>
      <c r="P218" s="71" t="inlineStr">
        <is>
          <t>See tender document</t>
        </is>
      </c>
      <c r="Q218" s="72" t="n">
        <v>46325.41666666666</v>
      </c>
      <c r="R218" s="70" t="inlineStr">
        <is>
          <t>See tender document</t>
        </is>
      </c>
      <c r="S218" s="70" t="inlineStr">
        <is>
          <t>N</t>
        </is>
      </c>
      <c r="T218" s="64">
        <f>IF(A218="","",IFERROR(INDEX('Bid-NoBid'!$T:$T,MATCH(A218,'Bid-NoBid'!$A:$A,0)),""))</f>
        <v/>
      </c>
      <c r="U218" s="59">
        <f>IF(A218="","",IFERROR(IF(OR(INDEX('Bid-NoBid'!$U:$U,MATCH(A218,'Bid-NoBid'!$A:$A,0))="",LEFT(INDEX('Bid-NoBid'!$U:$U,MATCH(A218,'Bid-NoBid'!$A:$A,0)),10)="Incomplete"),"Screen: "&amp;AC218,INDEX('Bid-NoBid'!$U:$U,MATCH(A218,'Bid-NoBid'!$A:$A,0))),"Screen: "&amp;AC218))</f>
        <v/>
      </c>
      <c r="V218" s="60" t="n"/>
      <c r="W218" s="70" t="inlineStr">
        <is>
          <t>Watching</t>
        </is>
      </c>
      <c r="X218" s="70" t="inlineStr">
        <is>
          <t>Frank</t>
        </is>
      </c>
      <c r="Y218" s="60" t="n"/>
      <c r="Z218" s="60" t="n"/>
      <c r="AA218" s="73" t="n"/>
      <c r="AB218" s="74" t="inlineStr">
        <is>
          <t>TanzaniaTenders.com (newspapers / portals / private)</t>
        </is>
      </c>
      <c r="AC218" s="74" t="inlineStr">
        <is>
          <t>Check</t>
        </is>
      </c>
      <c r="AD218" s="74" t="inlineStr">
        <is>
          <t>Auto (TanzaniaTenders.com): Building works but remote from Dar · deadline read from the web page – confirm</t>
        </is>
      </c>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74" t="inlineStr">
        <is>
          <t>Read the notice and decide with the QS Director whether to pursue</t>
        </is>
      </c>
      <c r="AJ218" s="74" t="inlineStr">
        <is>
          <t>Auto-scan</t>
        </is>
      </c>
      <c r="AK218" s="74" t="inlineStr">
        <is>
          <t>TZT:151336304</t>
        </is>
      </c>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v>1</v>
      </c>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v>1</v>
      </c>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v>4</v>
      </c>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v>4</v>
      </c>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v>1</v>
      </c>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v>5</v>
      </c>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v>5</v>
      </c>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v>4</v>
      </c>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v>4</v>
      </c>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v>4</v>
      </c>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v>1</v>
      </c>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v>5</v>
      </c>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v>1</v>
      </c>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v>1</v>
      </c>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v>4</v>
      </c>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v>5</v>
      </c>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v>4</v>
      </c>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v>1</v>
      </c>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7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row r="68">
      <c r="A68" s="113" t="n">
        <v>46316</v>
      </c>
      <c r="B68" s="103" t="inlineStr">
        <is>
          <t>Automatic scan (all sources)</t>
        </is>
      </c>
      <c r="C68" s="103" t="inlineStr"/>
      <c r="D68"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(Small Works: 3); 5 screened out; 0 deadline change(s)</t>
        </is>
      </c>
      <c r="E68" s="103" t="n">
        <v>3</v>
      </c>
      <c r="F68" s="103" t="inlineStr">
        <is>
          <t>Auto-scanner</t>
        </is>
      </c>
    </row>
    <row r="69">
      <c r="A69" s="113" t="n">
        <v>46316</v>
      </c>
      <c r="B69" s="103" t="inlineStr">
        <is>
          <t>Automatic scan (all sources)</t>
        </is>
      </c>
      <c r="C69" s="103" t="inlineStr"/>
      <c r="D6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69" s="103" t="n">
        <v>3</v>
      </c>
      <c r="F69" s="103" t="inlineStr">
        <is>
          <t>Auto-scanner</t>
        </is>
      </c>
    </row>
    <row r="70">
      <c r="A70" s="113" t="n">
        <v>46316</v>
      </c>
      <c r="B70" s="103" t="inlineStr">
        <is>
          <t>Automatic scan (all sources)</t>
        </is>
      </c>
      <c r="C70" s="103" t="inlineStr"/>
      <c r="D7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70" s="103" t="n">
        <v>1</v>
      </c>
      <c r="F70" s="103" t="inlineStr">
        <is>
          <t>Auto-scanner</t>
        </is>
      </c>
    </row>
    <row r="71">
      <c r="A71" s="113" t="n">
        <v>46317</v>
      </c>
      <c r="B71" s="103" t="inlineStr">
        <is>
          <t>Automatic scan (all sources)</t>
        </is>
      </c>
      <c r="C71" s="103" t="inlineStr"/>
      <c r="D71"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5 new added to Pipeline (Small Works: 5); 0 screened out; 0 deadline change(s)</t>
        </is>
      </c>
      <c r="E71" s="103" t="n">
        <v>5</v>
      </c>
      <c r="F71" s="103" t="inlineStr">
        <is>
          <t>Auto-scanner</t>
        </is>
      </c>
    </row>
    <row r="72">
      <c r="A72" s="113" t="n">
        <v>46317</v>
      </c>
      <c r="B72" s="103" t="inlineStr">
        <is>
          <t>Automatic scan (all sources)</t>
        </is>
      </c>
      <c r="C72" s="103" t="inlineStr"/>
      <c r="D72"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72" s="103" t="n">
        <v>2</v>
      </c>
      <c r="F72" s="103" t="inlineStr">
        <is>
          <t>Auto-scanner</t>
        </is>
      </c>
    </row>
    <row r="73">
      <c r="A73" s="113" t="n">
        <v>46318</v>
      </c>
      <c r="B73" s="103" t="inlineStr">
        <is>
          <t>Automatic scan (all sources)</t>
        </is>
      </c>
      <c r="C73" s="103" t="inlineStr"/>
      <c r="D73" s="103" t="inlineStr">
        <is>
          <t>Automatic scan of NeST, World Bank (Tanzania, civil works), TANROADS website, DDO Tenders (newspapers, private, donors), TanzaniaTenders.com (newspapers, portals, private): 7 new added to Pipeline (Design and Build: 1, Small Works: 5, Standard Invitation for Quotations -Works: 1); 2 screened out; 1 deadline change(s)</t>
        </is>
      </c>
      <c r="E73" s="103" t="n">
        <v>7</v>
      </c>
      <c r="F73" s="103" t="inlineStr">
        <is>
          <t>Auto-scanner</t>
        </is>
      </c>
    </row>
    <row r="74">
      <c r="A74" s="113" t="n">
        <v>46318</v>
      </c>
      <c r="B74" s="103" t="inlineStr">
        <is>
          <t>Automatic scan (all sources)</t>
        </is>
      </c>
      <c r="C74" s="103" t="inlineStr"/>
      <c r="D74" s="103" t="inlineStr">
        <is>
          <t>Automatic scan of NeST, World Bank (Tanzania, civil works), TANROADS website, DDO Tenders (newspapers, private, donors), TanzaniaTenders.com (newspapers, portals, private): 1 new added to Pipeline (TanzaniaTenders.com: 1); 0 screened out; 0 deadline change(s)</t>
        </is>
      </c>
      <c r="E74" s="103" t="n">
        <v>1</v>
      </c>
      <c r="F74"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23"/>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row r="117">
      <c r="A117" s="114" t="n">
        <v>46316</v>
      </c>
      <c r="B117" s="111" t="inlineStr">
        <is>
          <t>TR36/001/2026/2027/W/65</t>
        </is>
      </c>
      <c r="C117" s="111" t="inlineStr">
        <is>
          <t>TANROADS - Arusha Regional Office</t>
        </is>
      </c>
      <c r="D117" s="111" t="inlineStr">
        <is>
          <t>Bridge Preventive Works along Monduli - Lolkisale (UP), Monduli - Engaruka (P &amp; UP), Karatu - Kilimapunda (UP) and Makao - Kimba (UP), Mto wa Mbu - Loliondo (UP) and Longido - Oldonyolengai Regional Roads.</t>
        </is>
      </c>
      <c r="E117" s="111" t="inlineStr">
        <is>
          <t>Arusha (Monduli)</t>
        </is>
      </c>
      <c r="F117" s="111" t="inlineStr">
        <is>
          <t>civil</t>
        </is>
      </c>
      <c r="G117" s="115" t="n">
        <v>46323.58333333334</v>
      </c>
      <c r="H117" s="111" t="inlineStr">
        <is>
          <t>Auto (Small Works / Tender): Remote civil works</t>
        </is>
      </c>
      <c r="I117" s="111" t="inlineStr">
        <is>
          <t>7c989877-62be-4180-8a60-576352e33fe2</t>
        </is>
      </c>
      <c r="J117" s="111" t="inlineStr">
        <is>
          <t>NeST</t>
        </is>
      </c>
      <c r="K117" s="111" t="inlineStr">
        <is>
          <t>https://nest.go.tz/tenders/published-tenders</t>
        </is>
      </c>
    </row>
    <row r="118">
      <c r="A118" s="114" t="n">
        <v>46316</v>
      </c>
      <c r="B118" s="111" t="inlineStr">
        <is>
          <t>TR36/001/2026/2027/W/57</t>
        </is>
      </c>
      <c r="C118" s="111" t="inlineStr">
        <is>
          <t>TANROADS - Arusha Regional Office</t>
        </is>
      </c>
      <c r="D118" s="111" t="inlineStr">
        <is>
          <t>Upgrading of Usariver - Momela - Arusha National Park - 55km and Usariver - Oldonyosambu Roads to Bitumen Standard.</t>
        </is>
      </c>
      <c r="E118" s="111" t="inlineStr">
        <is>
          <t>Arusha</t>
        </is>
      </c>
      <c r="F118" s="111" t="inlineStr">
        <is>
          <t>civil</t>
        </is>
      </c>
      <c r="G118" s="115" t="n">
        <v>46323.58333333334</v>
      </c>
      <c r="H118" s="111" t="inlineStr">
        <is>
          <t>Auto (Small Works / Tender): Large road works, likely above Civil Class IV – JV only (escalate to MD if of interest)</t>
        </is>
      </c>
      <c r="I118" s="111" t="inlineStr">
        <is>
          <t>7062aa7a-a4ab-4e28-8db2-723192a21454</t>
        </is>
      </c>
      <c r="J118" s="111" t="inlineStr">
        <is>
          <t>NeST</t>
        </is>
      </c>
      <c r="K118" s="111" t="inlineStr">
        <is>
          <t>https://nest.go.tz/tenders/published-tenders</t>
        </is>
      </c>
    </row>
    <row r="119">
      <c r="A119" s="114" t="n">
        <v>46316</v>
      </c>
      <c r="B119" s="111" t="inlineStr">
        <is>
          <t>TR36/001/2026/2027/W/30</t>
        </is>
      </c>
      <c r="C119" s="111" t="inlineStr">
        <is>
          <t>TANROADS - Arusha Regional Office</t>
        </is>
      </c>
      <c r="D119" s="111" t="inlineStr">
        <is>
          <t>Periodic Maintenance works, Routine /Recurrent works and Bridge Preventive works along M/Mbu - Loliondo (UP &amp; P)</t>
        </is>
      </c>
      <c r="E119" s="111" t="inlineStr">
        <is>
          <t>Arusha (Loliondo)</t>
        </is>
      </c>
      <c r="F119" s="111" t="inlineStr">
        <is>
          <t>civil</t>
        </is>
      </c>
      <c r="G119" s="115" t="n">
        <v>46323.58333333334</v>
      </c>
      <c r="H119" s="111" t="inlineStr">
        <is>
          <t>Auto (Small Works / Tender): Remote civil works</t>
        </is>
      </c>
      <c r="I119" s="111" t="inlineStr">
        <is>
          <t>ba20aa35-0526-4632-b501-9b97c5d77dcd</t>
        </is>
      </c>
      <c r="J119" s="111" t="inlineStr">
        <is>
          <t>NeST</t>
        </is>
      </c>
      <c r="K119" s="111" t="inlineStr">
        <is>
          <t>https://nest.go.tz/tenders/published-tenders</t>
        </is>
      </c>
    </row>
    <row r="120">
      <c r="A120" s="114" t="n">
        <v>46316</v>
      </c>
      <c r="B120" s="111" t="inlineStr">
        <is>
          <t>82N7/2026/2027/W/25</t>
        </is>
      </c>
      <c r="C120" s="111" t="inlineStr">
        <is>
          <t>Mbinga Town Council</t>
        </is>
      </c>
      <c r="D120" s="111" t="inlineStr">
        <is>
          <t>COMPLETION, RENOVATION AND IMPROVEMENT OF THE COUNCIL DIRECTOR'S RESIDENCE</t>
        </is>
      </c>
      <c r="E120" s="111" t="inlineStr">
        <is>
          <t>Ruvuma (Mbinga) (from client's office – confirm site)</t>
        </is>
      </c>
      <c r="F120" s="111" t="inlineStr">
        <is>
          <t>renovation</t>
        </is>
      </c>
      <c r="G120" s="115" t="n">
        <v>46322.58333333334</v>
      </c>
      <c r="H120" s="111" t="inlineStr">
        <is>
          <t>Auto (Small Works / Tender): Remote and closing soon</t>
        </is>
      </c>
      <c r="I120" s="111" t="inlineStr">
        <is>
          <t>eed2c14e-3602-412c-91fd-164445eefb3a</t>
        </is>
      </c>
      <c r="J120" s="111" t="inlineStr">
        <is>
          <t>NeST</t>
        </is>
      </c>
      <c r="K120" s="111" t="inlineStr">
        <is>
          <t>https://nest.go.tz/tenders/published-tenders</t>
        </is>
      </c>
    </row>
    <row r="121">
      <c r="A121" s="114" t="n">
        <v>46316</v>
      </c>
      <c r="B121" s="111" t="inlineStr">
        <is>
          <t>82/2026/2027/W/17</t>
        </is>
      </c>
      <c r="C121" s="111" t="inlineStr">
        <is>
          <t>Ruvuma Regional Secretariat</t>
        </is>
      </c>
      <c r="D121" s="111" t="inlineStr">
        <is>
          <t>The Rehabilitation and Renovation of the Nyasa District Commissioner's office at Nyasa District Council</t>
        </is>
      </c>
      <c r="E121" s="111" t="inlineStr">
        <is>
          <t>Ruvuma (Songea) (from client's office – confirm site)</t>
        </is>
      </c>
      <c r="F121" s="111" t="inlineStr">
        <is>
          <t>renovation</t>
        </is>
      </c>
      <c r="G121" s="115" t="n">
        <v>46322.58333333334</v>
      </c>
      <c r="H121" s="111" t="inlineStr">
        <is>
          <t>Auto (Small Works / Tender): Remote and closing soon</t>
        </is>
      </c>
      <c r="I121" s="111" t="inlineStr">
        <is>
          <t>0a35eb01-9381-4443-a3e7-da7ff9a4ffd0</t>
        </is>
      </c>
      <c r="J121" s="111" t="inlineStr">
        <is>
          <t>NeST</t>
        </is>
      </c>
      <c r="K121" s="111" t="inlineStr">
        <is>
          <t>https://nest.go.tz/tenders/published-tenders</t>
        </is>
      </c>
    </row>
    <row r="122">
      <c r="A122" s="114" t="n">
        <v>46318</v>
      </c>
      <c r="B122" s="111" t="inlineStr">
        <is>
          <t>75F5/2026/2027/W/05</t>
        </is>
      </c>
      <c r="C122" s="111" t="inlineStr">
        <is>
          <t>Mwanga District Council</t>
        </is>
      </c>
      <c r="D122" s="111" t="inlineStr">
        <is>
          <t>Rehabilitation of Water Dam at Pangaro</t>
        </is>
      </c>
      <c r="E122" s="111" t="inlineStr">
        <is>
          <t>Kilimanjaro (Mwanga) (from client's office – confirm site)</t>
        </is>
      </c>
      <c r="F122" s="111" t="inlineStr">
        <is>
          <t>civil</t>
        </is>
      </c>
      <c r="G122" s="115" t="n">
        <v>46325.58333333334</v>
      </c>
      <c r="H122" s="111" t="inlineStr">
        <is>
          <t>Auto (Small Works / Tender): Remote civil works</t>
        </is>
      </c>
      <c r="I122" s="111" t="inlineStr">
        <is>
          <t>ed03dce5-f80e-4d02-9846-5bc9089d155f</t>
        </is>
      </c>
      <c r="J122" s="111" t="inlineStr">
        <is>
          <t>NeST</t>
        </is>
      </c>
      <c r="K122" s="111" t="inlineStr">
        <is>
          <t>https://nest.go.tz/tenders/published-tenders</t>
        </is>
      </c>
    </row>
    <row r="123">
      <c r="A123" s="114" t="n">
        <v>46318</v>
      </c>
      <c r="B123" s="111" t="inlineStr">
        <is>
          <t>TR36/2026/2027/W/17</t>
        </is>
      </c>
      <c r="C123" s="111" t="inlineStr">
        <is>
          <t>Tanzania National Roads Agency</t>
        </is>
      </c>
      <c r="D123" s="111" t="inlineStr">
        <is>
          <t>UPGRADING OF MIKA - UTEGI - SHIRATI - KIRONGWE - RUARI PORT REGIONAL ROAD (56.80 KM) TO BITUMEN STANDARD: LOT 1: MIKA - UTEGI - SHIRATI SECTION (27.0 KM) IN MARA REGION</t>
        </is>
      </c>
      <c r="E123" s="111" t="inlineStr">
        <is>
          <t>Dodoma (from client's office – confirm site)</t>
        </is>
      </c>
      <c r="F123" s="111" t="inlineStr">
        <is>
          <t>civil</t>
        </is>
      </c>
      <c r="G123" s="115" t="n">
        <v>46331.58333333334</v>
      </c>
      <c r="H123" s="111" t="inlineStr">
        <is>
          <t>Auto (Medium and Large Works / Tender): Large road works, likely above Civil Class IV – JV only (escalate to MD if of interest)</t>
        </is>
      </c>
      <c r="I123" s="111" t="inlineStr">
        <is>
          <t>148d1208-f033-4ded-9183-1a75aeebb8e9</t>
        </is>
      </c>
      <c r="J123" s="111" t="inlineStr">
        <is>
          <t>NeST</t>
        </is>
      </c>
      <c r="K123"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2026-10-23T05:52:48Z</dcterms:modified>
  <cp:revision>0</cp:revision>
</cp:coreProperties>
</file>