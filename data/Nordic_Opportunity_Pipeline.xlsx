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60" t="n"/>
      <c r="C75" s="61" t="n"/>
      <c r="D75" s="60" t="n"/>
      <c r="E75" s="60" t="n"/>
      <c r="F75" s="60" t="n"/>
      <c r="G75" s="60" t="n"/>
      <c r="H75" s="60" t="n"/>
      <c r="I75" s="60" t="n"/>
      <c r="J75" s="60" t="n"/>
      <c r="K75" s="60" t="n"/>
      <c r="L75" s="60" t="n"/>
      <c r="M75" s="62" t="n"/>
      <c r="N75" s="60" t="n"/>
      <c r="O75" s="61" t="n"/>
      <c r="P75" s="61" t="n"/>
      <c r="Q75" s="63" t="n"/>
      <c r="R75" s="60" t="n"/>
      <c r="S75" s="60" t="n"/>
      <c r="T75" s="64">
        <f>IF(A75="","",IFERROR(INDEX('Bid-NoBid'!$T:$T,MATCH(A75,'Bid-NoBid'!$A:$A,0)),""))</f>
        <v/>
      </c>
      <c r="U75" s="59">
        <f>IF(A75="","",IFERROR(IF(OR(INDEX('Bid-NoBid'!$U:$U,MATCH(A75,'Bid-NoBid'!$A:$A,0))="",LEFT(INDEX('Bid-NoBid'!$U:$U,MATCH(A75,'Bid-NoBid'!$A:$A,0)),10)="Incomplete"),"Screen: "&amp;AC75,INDEX('Bid-NoBid'!$U:$U,MATCH(A75,'Bid-NoBid'!$A:$A,0))),"Screen: "&amp;AC75))</f>
        <v/>
      </c>
      <c r="V75" s="60" t="n"/>
      <c r="W75" s="60" t="n"/>
      <c r="X75" s="60" t="n"/>
      <c r="Y75" s="60" t="n"/>
      <c r="Z75" s="60" t="n"/>
      <c r="AA75" s="65" t="n"/>
      <c r="AB75" s="66" t="n"/>
      <c r="AC75" s="66" t="n"/>
      <c r="AD75" s="66" t="n"/>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66" t="n"/>
      <c r="AJ75" s="66" t="n"/>
      <c r="AK75" s="66" t="n"/>
      <c r="AL75" s="59">
        <f>IF(AND(OR(W75="Watching",W75="Preparing"),ISNUMBER(Q75)),IF(AND(Q75&gt;='Friday Summary'!$C$4,Q75&lt;='Friday Summary'!$C$4+14),Q75+ROW()/1000000,""),"")</f>
        <v/>
      </c>
    </row>
    <row r="76" ht="15" customHeight="1" s="51">
      <c r="A76" s="59">
        <f>IF(B76="","","OP-"&amp;TEXT(ROW()-4,"000"))</f>
        <v/>
      </c>
      <c r="B76" s="60" t="n"/>
      <c r="C76" s="61" t="n"/>
      <c r="D76" s="60" t="n"/>
      <c r="E76" s="60" t="n"/>
      <c r="F76" s="60" t="n"/>
      <c r="G76" s="60" t="n"/>
      <c r="H76" s="60" t="n"/>
      <c r="I76" s="60" t="n"/>
      <c r="J76" s="60" t="n"/>
      <c r="K76" s="60" t="n"/>
      <c r="L76" s="60" t="n"/>
      <c r="M76" s="62" t="n"/>
      <c r="N76" s="60" t="n"/>
      <c r="O76" s="61" t="n"/>
      <c r="P76" s="61" t="n"/>
      <c r="Q76" s="63" t="n"/>
      <c r="R76" s="60" t="n"/>
      <c r="S76" s="60" t="n"/>
      <c r="T76" s="64">
        <f>IF(A76="","",IFERROR(INDEX('Bid-NoBid'!$T:$T,MATCH(A76,'Bid-NoBid'!$A:$A,0)),""))</f>
        <v/>
      </c>
      <c r="U76" s="59">
        <f>IF(A76="","",IFERROR(IF(OR(INDEX('Bid-NoBid'!$U:$U,MATCH(A76,'Bid-NoBid'!$A:$A,0))="",LEFT(INDEX('Bid-NoBid'!$U:$U,MATCH(A76,'Bid-NoBid'!$A:$A,0)),10)="Incomplete"),"Screen: "&amp;AC76,INDEX('Bid-NoBid'!$U:$U,MATCH(A76,'Bid-NoBid'!$A:$A,0))),"Screen: "&amp;AC76))</f>
        <v/>
      </c>
      <c r="V76" s="60" t="n"/>
      <c r="W76" s="60" t="n"/>
      <c r="X76" s="60" t="n"/>
      <c r="Y76" s="60" t="n"/>
      <c r="Z76" s="60" t="n"/>
      <c r="AA76" s="65" t="n"/>
      <c r="AB76" s="66" t="n"/>
      <c r="AC76" s="66" t="n"/>
      <c r="AD76" s="66" t="n"/>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66" t="n"/>
      <c r="AJ76" s="66" t="n"/>
      <c r="AK76" s="66" t="n"/>
      <c r="AL76" s="59">
        <f>IF(AND(OR(W76="Watching",W76="Preparing"),ISNUMBER(Q76)),IF(AND(Q76&gt;='Friday Summary'!$C$4,Q76&lt;='Friday Summary'!$C$4+14),Q76+ROW()/1000000,""),"")</f>
        <v/>
      </c>
    </row>
    <row r="77" ht="15" customHeight="1" s="51">
      <c r="A77" s="59">
        <f>IF(B77="","","OP-"&amp;TEXT(ROW()-4,"000"))</f>
        <v/>
      </c>
      <c r="B77" s="60" t="n"/>
      <c r="C77" s="61" t="n"/>
      <c r="D77" s="60" t="n"/>
      <c r="E77" s="60" t="n"/>
      <c r="F77" s="60" t="n"/>
      <c r="G77" s="60" t="n"/>
      <c r="H77" s="60" t="n"/>
      <c r="I77" s="60" t="n"/>
      <c r="J77" s="60" t="n"/>
      <c r="K77" s="60" t="n"/>
      <c r="L77" s="60" t="n"/>
      <c r="M77" s="62" t="n"/>
      <c r="N77" s="60" t="n"/>
      <c r="O77" s="61" t="n"/>
      <c r="P77" s="61" t="n"/>
      <c r="Q77" s="63" t="n"/>
      <c r="R77" s="60" t="n"/>
      <c r="S77" s="60" t="n"/>
      <c r="T77" s="64">
        <f>IF(A77="","",IFERROR(INDEX('Bid-NoBid'!$T:$T,MATCH(A77,'Bid-NoBid'!$A:$A,0)),""))</f>
        <v/>
      </c>
      <c r="U77" s="59">
        <f>IF(A77="","",IFERROR(IF(OR(INDEX('Bid-NoBid'!$U:$U,MATCH(A77,'Bid-NoBid'!$A:$A,0))="",LEFT(INDEX('Bid-NoBid'!$U:$U,MATCH(A77,'Bid-NoBid'!$A:$A,0)),10)="Incomplete"),"Screen: "&amp;AC77,INDEX('Bid-NoBid'!$U:$U,MATCH(A77,'Bid-NoBid'!$A:$A,0))),"Screen: "&amp;AC77))</f>
        <v/>
      </c>
      <c r="V77" s="60" t="n"/>
      <c r="W77" s="60" t="n"/>
      <c r="X77" s="60" t="n"/>
      <c r="Y77" s="60" t="n"/>
      <c r="Z77" s="60" t="n"/>
      <c r="AA77" s="65" t="n"/>
      <c r="AB77" s="66" t="n"/>
      <c r="AC77" s="66" t="n"/>
      <c r="AD77" s="66" t="n"/>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66" t="n"/>
      <c r="AJ77" s="66" t="n"/>
      <c r="AK77" s="66" t="n"/>
      <c r="AL77" s="59">
        <f>IF(AND(OR(W77="Watching",W77="Preparing"),ISNUMBER(Q77)),IF(AND(Q77&gt;='Friday Summary'!$C$4,Q77&lt;='Friday Summary'!$C$4+14),Q77+ROW()/1000000,""),"")</f>
        <v/>
      </c>
    </row>
    <row r="78" ht="15" customHeight="1" s="51">
      <c r="A78" s="59">
        <f>IF(B78="","","OP-"&amp;TEXT(ROW()-4,"000"))</f>
        <v/>
      </c>
      <c r="B78" s="60" t="n"/>
      <c r="C78" s="61" t="n"/>
      <c r="D78" s="60" t="n"/>
      <c r="E78" s="60" t="n"/>
      <c r="F78" s="60" t="n"/>
      <c r="G78" s="60" t="n"/>
      <c r="H78" s="60" t="n"/>
      <c r="I78" s="60" t="n"/>
      <c r="J78" s="60" t="n"/>
      <c r="K78" s="60" t="n"/>
      <c r="L78" s="60" t="n"/>
      <c r="M78" s="62" t="n"/>
      <c r="N78" s="60" t="n"/>
      <c r="O78" s="61" t="n"/>
      <c r="P78" s="61" t="n"/>
      <c r="Q78" s="63" t="n"/>
      <c r="R78" s="60" t="n"/>
      <c r="S78" s="60" t="n"/>
      <c r="T78" s="64">
        <f>IF(A78="","",IFERROR(INDEX('Bid-NoBid'!$T:$T,MATCH(A78,'Bid-NoBid'!$A:$A,0)),""))</f>
        <v/>
      </c>
      <c r="U78" s="59">
        <f>IF(A78="","",IFERROR(IF(OR(INDEX('Bid-NoBid'!$U:$U,MATCH(A78,'Bid-NoBid'!$A:$A,0))="",LEFT(INDEX('Bid-NoBid'!$U:$U,MATCH(A78,'Bid-NoBid'!$A:$A,0)),10)="Incomplete"),"Screen: "&amp;AC78,INDEX('Bid-NoBid'!$U:$U,MATCH(A78,'Bid-NoBid'!$A:$A,0))),"Screen: "&amp;AC78))</f>
        <v/>
      </c>
      <c r="V78" s="60" t="n"/>
      <c r="W78" s="60" t="n"/>
      <c r="X78" s="60" t="n"/>
      <c r="Y78" s="60" t="n"/>
      <c r="Z78" s="60" t="n"/>
      <c r="AA78" s="65" t="n"/>
      <c r="AB78" s="66" t="n"/>
      <c r="AC78" s="66" t="n"/>
      <c r="AD78" s="66" t="n"/>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66" t="n"/>
      <c r="AJ78" s="66" t="n"/>
      <c r="AK78" s="66" t="n"/>
      <c r="AL78" s="59">
        <f>IF(AND(OR(W78="Watching",W78="Preparing"),ISNUMBER(Q78)),IF(AND(Q78&gt;='Friday Summary'!$C$4,Q78&lt;='Friday Summary'!$C$4+14),Q78+ROW()/1000000,""),"")</f>
        <v/>
      </c>
    </row>
    <row r="79" ht="15" customHeight="1" s="51">
      <c r="A79" s="59">
        <f>IF(B79="","","OP-"&amp;TEXT(ROW()-4,"000"))</f>
        <v/>
      </c>
      <c r="B79" s="60" t="n"/>
      <c r="C79" s="61" t="n"/>
      <c r="D79" s="60" t="n"/>
      <c r="E79" s="60" t="n"/>
      <c r="F79" s="60" t="n"/>
      <c r="G79" s="60" t="n"/>
      <c r="H79" s="60" t="n"/>
      <c r="I79" s="60" t="n"/>
      <c r="J79" s="60" t="n"/>
      <c r="K79" s="60" t="n"/>
      <c r="L79" s="60" t="n"/>
      <c r="M79" s="62" t="n"/>
      <c r="N79" s="60" t="n"/>
      <c r="O79" s="61" t="n"/>
      <c r="P79" s="61" t="n"/>
      <c r="Q79" s="63" t="n"/>
      <c r="R79" s="60" t="n"/>
      <c r="S79" s="60" t="n"/>
      <c r="T79" s="64">
        <f>IF(A79="","",IFERROR(INDEX('Bid-NoBid'!$T:$T,MATCH(A79,'Bid-NoBid'!$A:$A,0)),""))</f>
        <v/>
      </c>
      <c r="U79" s="59">
        <f>IF(A79="","",IFERROR(IF(OR(INDEX('Bid-NoBid'!$U:$U,MATCH(A79,'Bid-NoBid'!$A:$A,0))="",LEFT(INDEX('Bid-NoBid'!$U:$U,MATCH(A79,'Bid-NoBid'!$A:$A,0)),10)="Incomplete"),"Screen: "&amp;AC79,INDEX('Bid-NoBid'!$U:$U,MATCH(A79,'Bid-NoBid'!$A:$A,0))),"Screen: "&amp;AC79))</f>
        <v/>
      </c>
      <c r="V79" s="60" t="n"/>
      <c r="W79" s="60" t="n"/>
      <c r="X79" s="60" t="n"/>
      <c r="Y79" s="60" t="n"/>
      <c r="Z79" s="60" t="n"/>
      <c r="AA79" s="65" t="n"/>
      <c r="AB79" s="66" t="n"/>
      <c r="AC79" s="66" t="n"/>
      <c r="AD79" s="66" t="n"/>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66" t="n"/>
      <c r="AJ79" s="66" t="n"/>
      <c r="AK79" s="66" t="n"/>
      <c r="AL79" s="59">
        <f>IF(AND(OR(W79="Watching",W79="Preparing"),ISNUMBER(Q79)),IF(AND(Q79&gt;='Friday Summary'!$C$4,Q79&lt;='Friday Summary'!$C$4+14),Q79+ROW()/1000000,""),"")</f>
        <v/>
      </c>
    </row>
    <row r="80" ht="15" customHeight="1" s="51">
      <c r="A80" s="59">
        <f>IF(B80="","","OP-"&amp;TEXT(ROW()-4,"000"))</f>
        <v/>
      </c>
      <c r="B80" s="60" t="n"/>
      <c r="C80" s="61" t="n"/>
      <c r="D80" s="60" t="n"/>
      <c r="E80" s="60" t="n"/>
      <c r="F80" s="60" t="n"/>
      <c r="G80" s="60" t="n"/>
      <c r="H80" s="60" t="n"/>
      <c r="I80" s="60" t="n"/>
      <c r="J80" s="60" t="n"/>
      <c r="K80" s="60" t="n"/>
      <c r="L80" s="60" t="n"/>
      <c r="M80" s="62" t="n"/>
      <c r="N80" s="60" t="n"/>
      <c r="O80" s="61" t="n"/>
      <c r="P80" s="61" t="n"/>
      <c r="Q80" s="63" t="n"/>
      <c r="R80" s="60" t="n"/>
      <c r="S80" s="60" t="n"/>
      <c r="T80" s="64">
        <f>IF(A80="","",IFERROR(INDEX('Bid-NoBid'!$T:$T,MATCH(A80,'Bid-NoBid'!$A:$A,0)),""))</f>
        <v/>
      </c>
      <c r="U80" s="59">
        <f>IF(A80="","",IFERROR(IF(OR(INDEX('Bid-NoBid'!$U:$U,MATCH(A80,'Bid-NoBid'!$A:$A,0))="",LEFT(INDEX('Bid-NoBid'!$U:$U,MATCH(A80,'Bid-NoBid'!$A:$A,0)),10)="Incomplete"),"Screen: "&amp;AC80,INDEX('Bid-NoBid'!$U:$U,MATCH(A80,'Bid-NoBid'!$A:$A,0))),"Screen: "&amp;AC80))</f>
        <v/>
      </c>
      <c r="V80" s="60" t="n"/>
      <c r="W80" s="60" t="n"/>
      <c r="X80" s="60" t="n"/>
      <c r="Y80" s="60" t="n"/>
      <c r="Z80" s="60" t="n"/>
      <c r="AA80" s="65" t="n"/>
      <c r="AB80" s="66" t="n"/>
      <c r="AC80" s="66" t="n"/>
      <c r="AD80" s="66" t="n"/>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66" t="n"/>
      <c r="AJ80" s="66" t="n"/>
      <c r="AK80" s="66" t="n"/>
      <c r="AL80" s="59">
        <f>IF(AND(OR(W80="Watching",W80="Preparing"),ISNUMBER(Q80)),IF(AND(Q80&gt;='Friday Summary'!$C$4,Q80&lt;='Friday Summary'!$C$4+14),Q80+ROW()/1000000,""),"")</f>
        <v/>
      </c>
    </row>
    <row r="81" ht="15" customHeight="1" s="51">
      <c r="A81" s="59">
        <f>IF(B81="","","OP-"&amp;TEXT(ROW()-4,"000"))</f>
        <v/>
      </c>
      <c r="B81" s="60" t="n"/>
      <c r="C81" s="61" t="n"/>
      <c r="D81" s="60" t="n"/>
      <c r="E81" s="60" t="n"/>
      <c r="F81" s="60" t="n"/>
      <c r="G81" s="60" t="n"/>
      <c r="H81" s="60" t="n"/>
      <c r="I81" s="60" t="n"/>
      <c r="J81" s="60" t="n"/>
      <c r="K81" s="60" t="n"/>
      <c r="L81" s="60" t="n"/>
      <c r="M81" s="62" t="n"/>
      <c r="N81" s="60" t="n"/>
      <c r="O81" s="61" t="n"/>
      <c r="P81" s="61" t="n"/>
      <c r="Q81" s="63" t="n"/>
      <c r="R81" s="60" t="n"/>
      <c r="S81" s="60" t="n"/>
      <c r="T81" s="64">
        <f>IF(A81="","",IFERROR(INDEX('Bid-NoBid'!$T:$T,MATCH(A81,'Bid-NoBid'!$A:$A,0)),""))</f>
        <v/>
      </c>
      <c r="U81" s="59">
        <f>IF(A81="","",IFERROR(IF(OR(INDEX('Bid-NoBid'!$U:$U,MATCH(A81,'Bid-NoBid'!$A:$A,0))="",LEFT(INDEX('Bid-NoBid'!$U:$U,MATCH(A81,'Bid-NoBid'!$A:$A,0)),10)="Incomplete"),"Screen: "&amp;AC81,INDEX('Bid-NoBid'!$U:$U,MATCH(A81,'Bid-NoBid'!$A:$A,0))),"Screen: "&amp;AC81))</f>
        <v/>
      </c>
      <c r="V81" s="60" t="n"/>
      <c r="W81" s="60" t="n"/>
      <c r="X81" s="60" t="n"/>
      <c r="Y81" s="60" t="n"/>
      <c r="Z81" s="60" t="n"/>
      <c r="AA81" s="65" t="n"/>
      <c r="AB81" s="66" t="n"/>
      <c r="AC81" s="66" t="n"/>
      <c r="AD81" s="66" t="n"/>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66" t="n"/>
      <c r="AJ81" s="66" t="n"/>
      <c r="AK81" s="66" t="n"/>
      <c r="AL81" s="59">
        <f>IF(AND(OR(W81="Watching",W81="Preparing"),ISNUMBER(Q81)),IF(AND(Q81&gt;='Friday Summary'!$C$4,Q81&lt;='Friday Summary'!$C$4+14),Q81+ROW()/1000000,""),"")</f>
        <v/>
      </c>
    </row>
    <row r="82" ht="15" customHeight="1" s="51">
      <c r="A82" s="59">
        <f>IF(B82="","","OP-"&amp;TEXT(ROW()-4,"000"))</f>
        <v/>
      </c>
      <c r="B82" s="60" t="n"/>
      <c r="C82" s="61" t="n"/>
      <c r="D82" s="60" t="n"/>
      <c r="E82" s="60" t="n"/>
      <c r="F82" s="60" t="n"/>
      <c r="G82" s="60" t="n"/>
      <c r="H82" s="60" t="n"/>
      <c r="I82" s="60" t="n"/>
      <c r="J82" s="60" t="n"/>
      <c r="K82" s="60" t="n"/>
      <c r="L82" s="60" t="n"/>
      <c r="M82" s="62" t="n"/>
      <c r="N82" s="60" t="n"/>
      <c r="O82" s="61" t="n"/>
      <c r="P82" s="61" t="n"/>
      <c r="Q82" s="63" t="n"/>
      <c r="R82" s="60" t="n"/>
      <c r="S82" s="60" t="n"/>
      <c r="T82" s="64">
        <f>IF(A82="","",IFERROR(INDEX('Bid-NoBid'!$T:$T,MATCH(A82,'Bid-NoBid'!$A:$A,0)),""))</f>
        <v/>
      </c>
      <c r="U82" s="59">
        <f>IF(A82="","",IFERROR(IF(OR(INDEX('Bid-NoBid'!$U:$U,MATCH(A82,'Bid-NoBid'!$A:$A,0))="",LEFT(INDEX('Bid-NoBid'!$U:$U,MATCH(A82,'Bid-NoBid'!$A:$A,0)),10)="Incomplete"),"Screen: "&amp;AC82,INDEX('Bid-NoBid'!$U:$U,MATCH(A82,'Bid-NoBid'!$A:$A,0))),"Screen: "&amp;AC82))</f>
        <v/>
      </c>
      <c r="V82" s="60" t="n"/>
      <c r="W82" s="60" t="n"/>
      <c r="X82" s="60" t="n"/>
      <c r="Y82" s="60" t="n"/>
      <c r="Z82" s="60" t="n"/>
      <c r="AA82" s="65" t="n"/>
      <c r="AB82" s="66" t="n"/>
      <c r="AC82" s="66" t="n"/>
      <c r="AD82" s="66" t="n"/>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66" t="n"/>
      <c r="AJ82" s="66" t="n"/>
      <c r="AK82" s="66" t="n"/>
      <c r="AL82" s="59">
        <f>IF(AND(OR(W82="Watching",W82="Preparing"),ISNUMBER(Q82)),IF(AND(Q82&gt;='Friday Summary'!$C$4,Q82&lt;='Friday Summary'!$C$4+14),Q82+ROW()/1000000,""),"")</f>
        <v/>
      </c>
    </row>
    <row r="83" ht="15" customHeight="1" s="51">
      <c r="A83" s="59">
        <f>IF(B83="","","OP-"&amp;TEXT(ROW()-4,"000"))</f>
        <v/>
      </c>
      <c r="B83" s="60" t="n"/>
      <c r="C83" s="61" t="n"/>
      <c r="D83" s="60" t="n"/>
      <c r="E83" s="60" t="n"/>
      <c r="F83" s="60" t="n"/>
      <c r="G83" s="60" t="n"/>
      <c r="H83" s="60" t="n"/>
      <c r="I83" s="60" t="n"/>
      <c r="J83" s="60" t="n"/>
      <c r="K83" s="60" t="n"/>
      <c r="L83" s="60" t="n"/>
      <c r="M83" s="62" t="n"/>
      <c r="N83" s="60" t="n"/>
      <c r="O83" s="61" t="n"/>
      <c r="P83" s="61" t="n"/>
      <c r="Q83" s="63" t="n"/>
      <c r="R83" s="60" t="n"/>
      <c r="S83" s="60" t="n"/>
      <c r="T83" s="64">
        <f>IF(A83="","",IFERROR(INDEX('Bid-NoBid'!$T:$T,MATCH(A83,'Bid-NoBid'!$A:$A,0)),""))</f>
        <v/>
      </c>
      <c r="U83" s="59">
        <f>IF(A83="","",IFERROR(IF(OR(INDEX('Bid-NoBid'!$U:$U,MATCH(A83,'Bid-NoBid'!$A:$A,0))="",LEFT(INDEX('Bid-NoBid'!$U:$U,MATCH(A83,'Bid-NoBid'!$A:$A,0)),10)="Incomplete"),"Screen: "&amp;AC83,INDEX('Bid-NoBid'!$U:$U,MATCH(A83,'Bid-NoBid'!$A:$A,0))),"Screen: "&amp;AC83))</f>
        <v/>
      </c>
      <c r="V83" s="60" t="n"/>
      <c r="W83" s="60" t="n"/>
      <c r="X83" s="60" t="n"/>
      <c r="Y83" s="60" t="n"/>
      <c r="Z83" s="60" t="n"/>
      <c r="AA83" s="65" t="n"/>
      <c r="AB83" s="66" t="n"/>
      <c r="AC83" s="66" t="n"/>
      <c r="AD83" s="66" t="n"/>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66" t="n"/>
      <c r="AJ83" s="66" t="n"/>
      <c r="AK83" s="66" t="n"/>
      <c r="AL83" s="59">
        <f>IF(AND(OR(W83="Watching",W83="Preparing"),ISNUMBER(Q83)),IF(AND(Q83&gt;='Friday Summary'!$C$4,Q83&lt;='Friday Summary'!$C$4+14),Q83+ROW()/1000000,""),"")</f>
        <v/>
      </c>
    </row>
    <row r="84" ht="15" customHeight="1" s="51">
      <c r="A84" s="59">
        <f>IF(B84="","","OP-"&amp;TEXT(ROW()-4,"000"))</f>
        <v/>
      </c>
      <c r="B84" s="60" t="n"/>
      <c r="C84" s="61" t="n"/>
      <c r="D84" s="60" t="n"/>
      <c r="E84" s="60" t="n"/>
      <c r="F84" s="60" t="n"/>
      <c r="G84" s="60" t="n"/>
      <c r="H84" s="60" t="n"/>
      <c r="I84" s="60" t="n"/>
      <c r="J84" s="60" t="n"/>
      <c r="K84" s="60" t="n"/>
      <c r="L84" s="60" t="n"/>
      <c r="M84" s="62" t="n"/>
      <c r="N84" s="60" t="n"/>
      <c r="O84" s="61" t="n"/>
      <c r="P84" s="61" t="n"/>
      <c r="Q84" s="63" t="n"/>
      <c r="R84" s="60" t="n"/>
      <c r="S84" s="60" t="n"/>
      <c r="T84" s="64">
        <f>IF(A84="","",IFERROR(INDEX('Bid-NoBid'!$T:$T,MATCH(A84,'Bid-NoBid'!$A:$A,0)),""))</f>
        <v/>
      </c>
      <c r="U84" s="59">
        <f>IF(A84="","",IFERROR(IF(OR(INDEX('Bid-NoBid'!$U:$U,MATCH(A84,'Bid-NoBid'!$A:$A,0))="",LEFT(INDEX('Bid-NoBid'!$U:$U,MATCH(A84,'Bid-NoBid'!$A:$A,0)),10)="Incomplete"),"Screen: "&amp;AC84,INDEX('Bid-NoBid'!$U:$U,MATCH(A84,'Bid-NoBid'!$A:$A,0))),"Screen: "&amp;AC84))</f>
        <v/>
      </c>
      <c r="V84" s="60" t="n"/>
      <c r="W84" s="60" t="n"/>
      <c r="X84" s="60" t="n"/>
      <c r="Y84" s="60" t="n"/>
      <c r="Z84" s="60" t="n"/>
      <c r="AA84" s="65" t="n"/>
      <c r="AB84" s="66" t="n"/>
      <c r="AC84" s="66" t="n"/>
      <c r="AD84" s="66" t="n"/>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66" t="n"/>
      <c r="AJ84" s="66" t="n"/>
      <c r="AK84" s="66" t="n"/>
      <c r="AL84" s="59">
        <f>IF(AND(OR(W84="Watching",W84="Preparing"),ISNUMBER(Q84)),IF(AND(Q84&gt;='Friday Summary'!$C$4,Q84&lt;='Friday Summary'!$C$4+14),Q84+ROW()/1000000,""),"")</f>
        <v/>
      </c>
    </row>
    <row r="85" ht="15" customHeight="1" s="51">
      <c r="A85" s="59">
        <f>IF(B85="","","OP-"&amp;TEXT(ROW()-4,"000"))</f>
        <v/>
      </c>
      <c r="B85" s="60" t="n"/>
      <c r="C85" s="61" t="n"/>
      <c r="D85" s="60" t="n"/>
      <c r="E85" s="60" t="n"/>
      <c r="F85" s="60" t="n"/>
      <c r="G85" s="60" t="n"/>
      <c r="H85" s="60" t="n"/>
      <c r="I85" s="60" t="n"/>
      <c r="J85" s="60" t="n"/>
      <c r="K85" s="60" t="n"/>
      <c r="L85" s="60" t="n"/>
      <c r="M85" s="62" t="n"/>
      <c r="N85" s="60" t="n"/>
      <c r="O85" s="61" t="n"/>
      <c r="P85" s="61" t="n"/>
      <c r="Q85" s="63" t="n"/>
      <c r="R85" s="60" t="n"/>
      <c r="S85" s="60" t="n"/>
      <c r="T85" s="64">
        <f>IF(A85="","",IFERROR(INDEX('Bid-NoBid'!$T:$T,MATCH(A85,'Bid-NoBid'!$A:$A,0)),""))</f>
        <v/>
      </c>
      <c r="U85" s="59">
        <f>IF(A85="","",IFERROR(IF(OR(INDEX('Bid-NoBid'!$U:$U,MATCH(A85,'Bid-NoBid'!$A:$A,0))="",LEFT(INDEX('Bid-NoBid'!$U:$U,MATCH(A85,'Bid-NoBid'!$A:$A,0)),10)="Incomplete"),"Screen: "&amp;AC85,INDEX('Bid-NoBid'!$U:$U,MATCH(A85,'Bid-NoBid'!$A:$A,0))),"Screen: "&amp;AC85))</f>
        <v/>
      </c>
      <c r="V85" s="60" t="n"/>
      <c r="W85" s="60" t="n"/>
      <c r="X85" s="60" t="n"/>
      <c r="Y85" s="60" t="n"/>
      <c r="Z85" s="60" t="n"/>
      <c r="AA85" s="65" t="n"/>
      <c r="AB85" s="66" t="n"/>
      <c r="AC85" s="66" t="n"/>
      <c r="AD85" s="66" t="n"/>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66" t="n"/>
      <c r="AJ85" s="66" t="n"/>
      <c r="AK85" s="66" t="n"/>
      <c r="AL85" s="59">
        <f>IF(AND(OR(W85="Watching",W85="Preparing"),ISNUMBER(Q85)),IF(AND(Q85&gt;='Friday Summary'!$C$4,Q85&lt;='Friday Summary'!$C$4+14),Q85+ROW()/1000000,""),"")</f>
        <v/>
      </c>
    </row>
    <row r="86" ht="15" customHeight="1" s="51">
      <c r="A86" s="59">
        <f>IF(B86="","","OP-"&amp;TEXT(ROW()-4,"000"))</f>
        <v/>
      </c>
      <c r="B86" s="60" t="n"/>
      <c r="C86" s="61" t="n"/>
      <c r="D86" s="60" t="n"/>
      <c r="E86" s="60" t="n"/>
      <c r="F86" s="60" t="n"/>
      <c r="G86" s="60" t="n"/>
      <c r="H86" s="60" t="n"/>
      <c r="I86" s="60" t="n"/>
      <c r="J86" s="60" t="n"/>
      <c r="K86" s="60" t="n"/>
      <c r="L86" s="60" t="n"/>
      <c r="M86" s="62" t="n"/>
      <c r="N86" s="60" t="n"/>
      <c r="O86" s="61" t="n"/>
      <c r="P86" s="61" t="n"/>
      <c r="Q86" s="63" t="n"/>
      <c r="R86" s="60" t="n"/>
      <c r="S86" s="60" t="n"/>
      <c r="T86" s="64">
        <f>IF(A86="","",IFERROR(INDEX('Bid-NoBid'!$T:$T,MATCH(A86,'Bid-NoBid'!$A:$A,0)),""))</f>
        <v/>
      </c>
      <c r="U86" s="59">
        <f>IF(A86="","",IFERROR(IF(OR(INDEX('Bid-NoBid'!$U:$U,MATCH(A86,'Bid-NoBid'!$A:$A,0))="",LEFT(INDEX('Bid-NoBid'!$U:$U,MATCH(A86,'Bid-NoBid'!$A:$A,0)),10)="Incomplete"),"Screen: "&amp;AC86,INDEX('Bid-NoBid'!$U:$U,MATCH(A86,'Bid-NoBid'!$A:$A,0))),"Screen: "&amp;AC86))</f>
        <v/>
      </c>
      <c r="V86" s="60" t="n"/>
      <c r="W86" s="60" t="n"/>
      <c r="X86" s="60" t="n"/>
      <c r="Y86" s="60" t="n"/>
      <c r="Z86" s="60" t="n"/>
      <c r="AA86" s="65" t="n"/>
      <c r="AB86" s="66" t="n"/>
      <c r="AC86" s="66" t="n"/>
      <c r="AD86" s="66" t="n"/>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66" t="n"/>
      <c r="AJ86" s="66" t="n"/>
      <c r="AK86" s="66" t="n"/>
      <c r="AL86" s="59">
        <f>IF(AND(OR(W86="Watching",W86="Preparing"),ISNUMBER(Q86)),IF(AND(Q86&gt;='Friday Summary'!$C$4,Q86&lt;='Friday Summary'!$C$4+14),Q86+ROW()/1000000,""),"")</f>
        <v/>
      </c>
    </row>
    <row r="87" ht="15" customHeight="1" s="51">
      <c r="A87" s="59">
        <f>IF(B87="","","OP-"&amp;TEXT(ROW()-4,"000"))</f>
        <v/>
      </c>
      <c r="B87" s="60" t="n"/>
      <c r="C87" s="61" t="n"/>
      <c r="D87" s="60" t="n"/>
      <c r="E87" s="60" t="n"/>
      <c r="F87" s="60" t="n"/>
      <c r="G87" s="60" t="n"/>
      <c r="H87" s="60" t="n"/>
      <c r="I87" s="60" t="n"/>
      <c r="J87" s="60" t="n"/>
      <c r="K87" s="60" t="n"/>
      <c r="L87" s="60" t="n"/>
      <c r="M87" s="62" t="n"/>
      <c r="N87" s="60" t="n"/>
      <c r="O87" s="61" t="n"/>
      <c r="P87" s="61" t="n"/>
      <c r="Q87" s="63" t="n"/>
      <c r="R87" s="60" t="n"/>
      <c r="S87" s="60" t="n"/>
      <c r="T87" s="64">
        <f>IF(A87="","",IFERROR(INDEX('Bid-NoBid'!$T:$T,MATCH(A87,'Bid-NoBid'!$A:$A,0)),""))</f>
        <v/>
      </c>
      <c r="U87" s="59">
        <f>IF(A87="","",IFERROR(IF(OR(INDEX('Bid-NoBid'!$U:$U,MATCH(A87,'Bid-NoBid'!$A:$A,0))="",LEFT(INDEX('Bid-NoBid'!$U:$U,MATCH(A87,'Bid-NoBid'!$A:$A,0)),10)="Incomplete"),"Screen: "&amp;AC87,INDEX('Bid-NoBid'!$U:$U,MATCH(A87,'Bid-NoBid'!$A:$A,0))),"Screen: "&amp;AC87))</f>
        <v/>
      </c>
      <c r="V87" s="60" t="n"/>
      <c r="W87" s="60" t="n"/>
      <c r="X87" s="60" t="n"/>
      <c r="Y87" s="60" t="n"/>
      <c r="Z87" s="60" t="n"/>
      <c r="AA87" s="65" t="n"/>
      <c r="AB87" s="66" t="n"/>
      <c r="AC87" s="66" t="n"/>
      <c r="AD87" s="66" t="n"/>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66" t="n"/>
      <c r="AJ87" s="66" t="n"/>
      <c r="AK87" s="66" t="n"/>
      <c r="AL87" s="59">
        <f>IF(AND(OR(W87="Watching",W87="Preparing"),ISNUMBER(Q87)),IF(AND(Q87&gt;='Friday Summary'!$C$4,Q87&lt;='Friday Summary'!$C$4+14),Q87+ROW()/1000000,""),"")</f>
        <v/>
      </c>
    </row>
    <row r="88" ht="15" customHeight="1" s="51">
      <c r="A88" s="59">
        <f>IF(B88="","","OP-"&amp;TEXT(ROW()-4,"000"))</f>
        <v/>
      </c>
      <c r="B88" s="60" t="n"/>
      <c r="C88" s="61" t="n"/>
      <c r="D88" s="60" t="n"/>
      <c r="E88" s="60" t="n"/>
      <c r="F88" s="60" t="n"/>
      <c r="G88" s="60" t="n"/>
      <c r="H88" s="60" t="n"/>
      <c r="I88" s="60" t="n"/>
      <c r="J88" s="60" t="n"/>
      <c r="K88" s="60" t="n"/>
      <c r="L88" s="60" t="n"/>
      <c r="M88" s="62" t="n"/>
      <c r="N88" s="60" t="n"/>
      <c r="O88" s="61" t="n"/>
      <c r="P88" s="61" t="n"/>
      <c r="Q88" s="63" t="n"/>
      <c r="R88" s="60" t="n"/>
      <c r="S88" s="60" t="n"/>
      <c r="T88" s="64">
        <f>IF(A88="","",IFERROR(INDEX('Bid-NoBid'!$T:$T,MATCH(A88,'Bid-NoBid'!$A:$A,0)),""))</f>
        <v/>
      </c>
      <c r="U88" s="59">
        <f>IF(A88="","",IFERROR(IF(OR(INDEX('Bid-NoBid'!$U:$U,MATCH(A88,'Bid-NoBid'!$A:$A,0))="",LEFT(INDEX('Bid-NoBid'!$U:$U,MATCH(A88,'Bid-NoBid'!$A:$A,0)),10)="Incomplete"),"Screen: "&amp;AC88,INDEX('Bid-NoBid'!$U:$U,MATCH(A88,'Bid-NoBid'!$A:$A,0))),"Screen: "&amp;AC88))</f>
        <v/>
      </c>
      <c r="V88" s="60" t="n"/>
      <c r="W88" s="60" t="n"/>
      <c r="X88" s="60" t="n"/>
      <c r="Y88" s="60" t="n"/>
      <c r="Z88" s="60" t="n"/>
      <c r="AA88" s="65" t="n"/>
      <c r="AB88" s="66" t="n"/>
      <c r="AC88" s="66" t="n"/>
      <c r="AD88" s="66" t="n"/>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66" t="n"/>
      <c r="AJ88" s="66" t="n"/>
      <c r="AK88" s="66" t="n"/>
      <c r="AL88" s="59">
        <f>IF(AND(OR(W88="Watching",W88="Preparing"),ISNUMBER(Q88)),IF(AND(Q88&gt;='Friday Summary'!$C$4,Q88&lt;='Friday Summary'!$C$4+14),Q88+ROW()/1000000,""),"")</f>
        <v/>
      </c>
    </row>
    <row r="89" ht="15" customHeight="1" s="51">
      <c r="A89" s="59">
        <f>IF(B89="","","OP-"&amp;TEXT(ROW()-4,"000"))</f>
        <v/>
      </c>
      <c r="B89" s="60" t="n"/>
      <c r="C89" s="61" t="n"/>
      <c r="D89" s="60" t="n"/>
      <c r="E89" s="60" t="n"/>
      <c r="F89" s="60" t="n"/>
      <c r="G89" s="60" t="n"/>
      <c r="H89" s="60" t="n"/>
      <c r="I89" s="60" t="n"/>
      <c r="J89" s="60" t="n"/>
      <c r="K89" s="60" t="n"/>
      <c r="L89" s="60" t="n"/>
      <c r="M89" s="62" t="n"/>
      <c r="N89" s="60" t="n"/>
      <c r="O89" s="61" t="n"/>
      <c r="P89" s="61" t="n"/>
      <c r="Q89" s="63" t="n"/>
      <c r="R89" s="60" t="n"/>
      <c r="S89" s="60" t="n"/>
      <c r="T89" s="64">
        <f>IF(A89="","",IFERROR(INDEX('Bid-NoBid'!$T:$T,MATCH(A89,'Bid-NoBid'!$A:$A,0)),""))</f>
        <v/>
      </c>
      <c r="U89" s="59">
        <f>IF(A89="","",IFERROR(IF(OR(INDEX('Bid-NoBid'!$U:$U,MATCH(A89,'Bid-NoBid'!$A:$A,0))="",LEFT(INDEX('Bid-NoBid'!$U:$U,MATCH(A89,'Bid-NoBid'!$A:$A,0)),10)="Incomplete"),"Screen: "&amp;AC89,INDEX('Bid-NoBid'!$U:$U,MATCH(A89,'Bid-NoBid'!$A:$A,0))),"Screen: "&amp;AC89))</f>
        <v/>
      </c>
      <c r="V89" s="60" t="n"/>
      <c r="W89" s="60" t="n"/>
      <c r="X89" s="60" t="n"/>
      <c r="Y89" s="60" t="n"/>
      <c r="Z89" s="60" t="n"/>
      <c r="AA89" s="65" t="n"/>
      <c r="AB89" s="66" t="n"/>
      <c r="AC89" s="66" t="n"/>
      <c r="AD89" s="66" t="n"/>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66" t="n"/>
      <c r="AJ89" s="66" t="n"/>
      <c r="AK89" s="66" t="n"/>
      <c r="AL89" s="59">
        <f>IF(AND(OR(W89="Watching",W89="Preparing"),ISNUMBER(Q89)),IF(AND(Q89&gt;='Friday Summary'!$C$4,Q89&lt;='Friday Summary'!$C$4+14),Q89+ROW()/1000000,""),"")</f>
        <v/>
      </c>
    </row>
    <row r="90" ht="15" customHeight="1" s="51">
      <c r="A90" s="59">
        <f>IF(B90="","","OP-"&amp;TEXT(ROW()-4,"000"))</f>
        <v/>
      </c>
      <c r="B90" s="60" t="n"/>
      <c r="C90" s="61" t="n"/>
      <c r="D90" s="60" t="n"/>
      <c r="E90" s="60" t="n"/>
      <c r="F90" s="60" t="n"/>
      <c r="G90" s="60" t="n"/>
      <c r="H90" s="60" t="n"/>
      <c r="I90" s="60" t="n"/>
      <c r="J90" s="60" t="n"/>
      <c r="K90" s="60" t="n"/>
      <c r="L90" s="60" t="n"/>
      <c r="M90" s="62" t="n"/>
      <c r="N90" s="60" t="n"/>
      <c r="O90" s="61" t="n"/>
      <c r="P90" s="61" t="n"/>
      <c r="Q90" s="63" t="n"/>
      <c r="R90" s="60" t="n"/>
      <c r="S90" s="60" t="n"/>
      <c r="T90" s="64">
        <f>IF(A90="","",IFERROR(INDEX('Bid-NoBid'!$T:$T,MATCH(A90,'Bid-NoBid'!$A:$A,0)),""))</f>
        <v/>
      </c>
      <c r="U90" s="59">
        <f>IF(A90="","",IFERROR(IF(OR(INDEX('Bid-NoBid'!$U:$U,MATCH(A90,'Bid-NoBid'!$A:$A,0))="",LEFT(INDEX('Bid-NoBid'!$U:$U,MATCH(A90,'Bid-NoBid'!$A:$A,0)),10)="Incomplete"),"Screen: "&amp;AC90,INDEX('Bid-NoBid'!$U:$U,MATCH(A90,'Bid-NoBid'!$A:$A,0))),"Screen: "&amp;AC90))</f>
        <v/>
      </c>
      <c r="V90" s="60" t="n"/>
      <c r="W90" s="60" t="n"/>
      <c r="X90" s="60" t="n"/>
      <c r="Y90" s="60" t="n"/>
      <c r="Z90" s="60" t="n"/>
      <c r="AA90" s="65" t="n"/>
      <c r="AB90" s="66" t="n"/>
      <c r="AC90" s="66" t="n"/>
      <c r="AD90" s="66" t="n"/>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66" t="n"/>
      <c r="AJ90" s="66" t="n"/>
      <c r="AK90" s="66" t="n"/>
      <c r="AL90" s="59">
        <f>IF(AND(OR(W90="Watching",W90="Preparing"),ISNUMBER(Q90)),IF(AND(Q90&gt;='Friday Summary'!$C$4,Q90&lt;='Friday Summary'!$C$4+14),Q90+ROW()/1000000,""),"")</f>
        <v/>
      </c>
    </row>
    <row r="91" ht="15" customHeight="1" s="51">
      <c r="A91" s="59">
        <f>IF(B91="","","OP-"&amp;TEXT(ROW()-4,"000"))</f>
        <v/>
      </c>
      <c r="B91" s="60" t="n"/>
      <c r="C91" s="61" t="n"/>
      <c r="D91" s="60" t="n"/>
      <c r="E91" s="60" t="n"/>
      <c r="F91" s="60" t="n"/>
      <c r="G91" s="60" t="n"/>
      <c r="H91" s="60" t="n"/>
      <c r="I91" s="60" t="n"/>
      <c r="J91" s="60" t="n"/>
      <c r="K91" s="60" t="n"/>
      <c r="L91" s="60" t="n"/>
      <c r="M91" s="62" t="n"/>
      <c r="N91" s="60" t="n"/>
      <c r="O91" s="61" t="n"/>
      <c r="P91" s="61" t="n"/>
      <c r="Q91" s="63" t="n"/>
      <c r="R91" s="60" t="n"/>
      <c r="S91" s="60" t="n"/>
      <c r="T91" s="64">
        <f>IF(A91="","",IFERROR(INDEX('Bid-NoBid'!$T:$T,MATCH(A91,'Bid-NoBid'!$A:$A,0)),""))</f>
        <v/>
      </c>
      <c r="U91" s="59">
        <f>IF(A91="","",IFERROR(IF(OR(INDEX('Bid-NoBid'!$U:$U,MATCH(A91,'Bid-NoBid'!$A:$A,0))="",LEFT(INDEX('Bid-NoBid'!$U:$U,MATCH(A91,'Bid-NoBid'!$A:$A,0)),10)="Incomplete"),"Screen: "&amp;AC91,INDEX('Bid-NoBid'!$U:$U,MATCH(A91,'Bid-NoBid'!$A:$A,0))),"Screen: "&amp;AC91))</f>
        <v/>
      </c>
      <c r="V91" s="60" t="n"/>
      <c r="W91" s="60" t="n"/>
      <c r="X91" s="60" t="n"/>
      <c r="Y91" s="60" t="n"/>
      <c r="Z91" s="60" t="n"/>
      <c r="AA91" s="65" t="n"/>
      <c r="AB91" s="66" t="n"/>
      <c r="AC91" s="66" t="n"/>
      <c r="AD91" s="66" t="n"/>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66" t="n"/>
      <c r="AJ91" s="66" t="n"/>
      <c r="AK91" s="66" t="n"/>
      <c r="AL91" s="59">
        <f>IF(AND(OR(W91="Watching",W91="Preparing"),ISNUMBER(Q91)),IF(AND(Q91&gt;='Friday Summary'!$C$4,Q91&lt;='Friday Summary'!$C$4+14),Q91+ROW()/1000000,""),"")</f>
        <v/>
      </c>
    </row>
    <row r="92" ht="15" customHeight="1" s="51">
      <c r="A92" s="59">
        <f>IF(B92="","","OP-"&amp;TEXT(ROW()-4,"000"))</f>
        <v/>
      </c>
      <c r="B92" s="60" t="n"/>
      <c r="C92" s="61" t="n"/>
      <c r="D92" s="60" t="n"/>
      <c r="E92" s="60" t="n"/>
      <c r="F92" s="60" t="n"/>
      <c r="G92" s="60" t="n"/>
      <c r="H92" s="60" t="n"/>
      <c r="I92" s="60" t="n"/>
      <c r="J92" s="60" t="n"/>
      <c r="K92" s="60" t="n"/>
      <c r="L92" s="60" t="n"/>
      <c r="M92" s="62" t="n"/>
      <c r="N92" s="60" t="n"/>
      <c r="O92" s="61" t="n"/>
      <c r="P92" s="61" t="n"/>
      <c r="Q92" s="63" t="n"/>
      <c r="R92" s="60" t="n"/>
      <c r="S92" s="60" t="n"/>
      <c r="T92" s="64">
        <f>IF(A92="","",IFERROR(INDEX('Bid-NoBid'!$T:$T,MATCH(A92,'Bid-NoBid'!$A:$A,0)),""))</f>
        <v/>
      </c>
      <c r="U92" s="59">
        <f>IF(A92="","",IFERROR(IF(OR(INDEX('Bid-NoBid'!$U:$U,MATCH(A92,'Bid-NoBid'!$A:$A,0))="",LEFT(INDEX('Bid-NoBid'!$U:$U,MATCH(A92,'Bid-NoBid'!$A:$A,0)),10)="Incomplete"),"Screen: "&amp;AC92,INDEX('Bid-NoBid'!$U:$U,MATCH(A92,'Bid-NoBid'!$A:$A,0))),"Screen: "&amp;AC92))</f>
        <v/>
      </c>
      <c r="V92" s="60" t="n"/>
      <c r="W92" s="60" t="n"/>
      <c r="X92" s="60" t="n"/>
      <c r="Y92" s="60" t="n"/>
      <c r="Z92" s="60" t="n"/>
      <c r="AA92" s="65" t="n"/>
      <c r="AB92" s="66" t="n"/>
      <c r="AC92" s="66" t="n"/>
      <c r="AD92" s="66" t="n"/>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66" t="n"/>
      <c r="AJ92" s="66" t="n"/>
      <c r="AK92" s="66" t="n"/>
      <c r="AL92" s="59">
        <f>IF(AND(OR(W92="Watching",W92="Preparing"),ISNUMBER(Q92)),IF(AND(Q92&gt;='Friday Summary'!$C$4,Q92&lt;='Friday Summary'!$C$4+14),Q92+ROW()/1000000,""),"")</f>
        <v/>
      </c>
    </row>
    <row r="93" ht="15" customHeight="1" s="51">
      <c r="A93" s="59">
        <f>IF(B93="","","OP-"&amp;TEXT(ROW()-4,"000"))</f>
        <v/>
      </c>
      <c r="B93" s="60" t="n"/>
      <c r="C93" s="61" t="n"/>
      <c r="D93" s="60" t="n"/>
      <c r="E93" s="60" t="n"/>
      <c r="F93" s="60" t="n"/>
      <c r="G93" s="60" t="n"/>
      <c r="H93" s="60" t="n"/>
      <c r="I93" s="60" t="n"/>
      <c r="J93" s="60" t="n"/>
      <c r="K93" s="60" t="n"/>
      <c r="L93" s="60" t="n"/>
      <c r="M93" s="62" t="n"/>
      <c r="N93" s="60" t="n"/>
      <c r="O93" s="61" t="n"/>
      <c r="P93" s="61" t="n"/>
      <c r="Q93" s="63" t="n"/>
      <c r="R93" s="60" t="n"/>
      <c r="S93" s="60" t="n"/>
      <c r="T93" s="64">
        <f>IF(A93="","",IFERROR(INDEX('Bid-NoBid'!$T:$T,MATCH(A93,'Bid-NoBid'!$A:$A,0)),""))</f>
        <v/>
      </c>
      <c r="U93" s="59">
        <f>IF(A93="","",IFERROR(IF(OR(INDEX('Bid-NoBid'!$U:$U,MATCH(A93,'Bid-NoBid'!$A:$A,0))="",LEFT(INDEX('Bid-NoBid'!$U:$U,MATCH(A93,'Bid-NoBid'!$A:$A,0)),10)="Incomplete"),"Screen: "&amp;AC93,INDEX('Bid-NoBid'!$U:$U,MATCH(A93,'Bid-NoBid'!$A:$A,0))),"Screen: "&amp;AC93))</f>
        <v/>
      </c>
      <c r="V93" s="60" t="n"/>
      <c r="W93" s="60" t="n"/>
      <c r="X93" s="60" t="n"/>
      <c r="Y93" s="60" t="n"/>
      <c r="Z93" s="60" t="n"/>
      <c r="AA93" s="65" t="n"/>
      <c r="AB93" s="66" t="n"/>
      <c r="AC93" s="66" t="n"/>
      <c r="AD93" s="66" t="n"/>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66" t="n"/>
      <c r="AJ93" s="66" t="n"/>
      <c r="AK93" s="66" t="n"/>
      <c r="AL93" s="59">
        <f>IF(AND(OR(W93="Watching",W93="Preparing"),ISNUMBER(Q93)),IF(AND(Q93&gt;='Friday Summary'!$C$4,Q93&lt;='Friday Summary'!$C$4+14),Q93+ROW()/1000000,""),"")</f>
        <v/>
      </c>
    </row>
    <row r="94" ht="15" customHeight="1" s="51">
      <c r="A94" s="59">
        <f>IF(B94="","","OP-"&amp;TEXT(ROW()-4,"000"))</f>
        <v/>
      </c>
      <c r="B94" s="60" t="n"/>
      <c r="C94" s="61" t="n"/>
      <c r="D94" s="60" t="n"/>
      <c r="E94" s="60" t="n"/>
      <c r="F94" s="60" t="n"/>
      <c r="G94" s="60" t="n"/>
      <c r="H94" s="60" t="n"/>
      <c r="I94" s="60" t="n"/>
      <c r="J94" s="60" t="n"/>
      <c r="K94" s="60" t="n"/>
      <c r="L94" s="60" t="n"/>
      <c r="M94" s="62" t="n"/>
      <c r="N94" s="60" t="n"/>
      <c r="O94" s="61" t="n"/>
      <c r="P94" s="61" t="n"/>
      <c r="Q94" s="63" t="n"/>
      <c r="R94" s="60" t="n"/>
      <c r="S94" s="60" t="n"/>
      <c r="T94" s="64">
        <f>IF(A94="","",IFERROR(INDEX('Bid-NoBid'!$T:$T,MATCH(A94,'Bid-NoBid'!$A:$A,0)),""))</f>
        <v/>
      </c>
      <c r="U94" s="59">
        <f>IF(A94="","",IFERROR(IF(OR(INDEX('Bid-NoBid'!$U:$U,MATCH(A94,'Bid-NoBid'!$A:$A,0))="",LEFT(INDEX('Bid-NoBid'!$U:$U,MATCH(A94,'Bid-NoBid'!$A:$A,0)),10)="Incomplete"),"Screen: "&amp;AC94,INDEX('Bid-NoBid'!$U:$U,MATCH(A94,'Bid-NoBid'!$A:$A,0))),"Screen: "&amp;AC94))</f>
        <v/>
      </c>
      <c r="V94" s="60" t="n"/>
      <c r="W94" s="60" t="n"/>
      <c r="X94" s="60" t="n"/>
      <c r="Y94" s="60" t="n"/>
      <c r="Z94" s="60" t="n"/>
      <c r="AA94" s="65" t="n"/>
      <c r="AB94" s="66" t="n"/>
      <c r="AC94" s="66" t="n"/>
      <c r="AD94" s="66" t="n"/>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66" t="n"/>
      <c r="AJ94" s="66" t="n"/>
      <c r="AK94" s="66" t="n"/>
      <c r="AL94" s="59">
        <f>IF(AND(OR(W94="Watching",W94="Preparing"),ISNUMBER(Q94)),IF(AND(Q94&gt;='Friday Summary'!$C$4,Q94&lt;='Friday Summary'!$C$4+14),Q94+ROW()/1000000,""),"")</f>
        <v/>
      </c>
    </row>
    <row r="95" ht="15" customHeight="1" s="51">
      <c r="A95" s="59">
        <f>IF(B95="","","OP-"&amp;TEXT(ROW()-4,"000"))</f>
        <v/>
      </c>
      <c r="B95" s="60" t="n"/>
      <c r="C95" s="61" t="n"/>
      <c r="D95" s="60" t="n"/>
      <c r="E95" s="60" t="n"/>
      <c r="F95" s="60" t="n"/>
      <c r="G95" s="60" t="n"/>
      <c r="H95" s="60" t="n"/>
      <c r="I95" s="60" t="n"/>
      <c r="J95" s="60" t="n"/>
      <c r="K95" s="60" t="n"/>
      <c r="L95" s="60" t="n"/>
      <c r="M95" s="62" t="n"/>
      <c r="N95" s="60" t="n"/>
      <c r="O95" s="61" t="n"/>
      <c r="P95" s="61" t="n"/>
      <c r="Q95" s="63" t="n"/>
      <c r="R95" s="60" t="n"/>
      <c r="S95" s="60" t="n"/>
      <c r="T95" s="64">
        <f>IF(A95="","",IFERROR(INDEX('Bid-NoBid'!$T:$T,MATCH(A95,'Bid-NoBid'!$A:$A,0)),""))</f>
        <v/>
      </c>
      <c r="U95" s="59">
        <f>IF(A95="","",IFERROR(IF(OR(INDEX('Bid-NoBid'!$U:$U,MATCH(A95,'Bid-NoBid'!$A:$A,0))="",LEFT(INDEX('Bid-NoBid'!$U:$U,MATCH(A95,'Bid-NoBid'!$A:$A,0)),10)="Incomplete"),"Screen: "&amp;AC95,INDEX('Bid-NoBid'!$U:$U,MATCH(A95,'Bid-NoBid'!$A:$A,0))),"Screen: "&amp;AC95))</f>
        <v/>
      </c>
      <c r="V95" s="60" t="n"/>
      <c r="W95" s="60" t="n"/>
      <c r="X95" s="60" t="n"/>
      <c r="Y95" s="60" t="n"/>
      <c r="Z95" s="60" t="n"/>
      <c r="AA95" s="65" t="n"/>
      <c r="AB95" s="66" t="n"/>
      <c r="AC95" s="66" t="n"/>
      <c r="AD95" s="66" t="n"/>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66" t="n"/>
      <c r="AJ95" s="66" t="n"/>
      <c r="AK95" s="66" t="n"/>
      <c r="AL95" s="59">
        <f>IF(AND(OR(W95="Watching",W95="Preparing"),ISNUMBER(Q95)),IF(AND(Q95&gt;='Friday Summary'!$C$4,Q95&lt;='Friday Summary'!$C$4+14),Q95+ROW()/1000000,""),"")</f>
        <v/>
      </c>
    </row>
    <row r="96" ht="15" customHeight="1" s="51">
      <c r="A96" s="59">
        <f>IF(B96="","","OP-"&amp;TEXT(ROW()-4,"000"))</f>
        <v/>
      </c>
      <c r="B96" s="60" t="n"/>
      <c r="C96" s="61" t="n"/>
      <c r="D96" s="60" t="n"/>
      <c r="E96" s="60" t="n"/>
      <c r="F96" s="60" t="n"/>
      <c r="G96" s="60" t="n"/>
      <c r="H96" s="60" t="n"/>
      <c r="I96" s="60" t="n"/>
      <c r="J96" s="60" t="n"/>
      <c r="K96" s="60" t="n"/>
      <c r="L96" s="60" t="n"/>
      <c r="M96" s="62" t="n"/>
      <c r="N96" s="60" t="n"/>
      <c r="O96" s="61" t="n"/>
      <c r="P96" s="61" t="n"/>
      <c r="Q96" s="63" t="n"/>
      <c r="R96" s="60" t="n"/>
      <c r="S96" s="60" t="n"/>
      <c r="T96" s="64">
        <f>IF(A96="","",IFERROR(INDEX('Bid-NoBid'!$T:$T,MATCH(A96,'Bid-NoBid'!$A:$A,0)),""))</f>
        <v/>
      </c>
      <c r="U96" s="59">
        <f>IF(A96="","",IFERROR(IF(OR(INDEX('Bid-NoBid'!$U:$U,MATCH(A96,'Bid-NoBid'!$A:$A,0))="",LEFT(INDEX('Bid-NoBid'!$U:$U,MATCH(A96,'Bid-NoBid'!$A:$A,0)),10)="Incomplete"),"Screen: "&amp;AC96,INDEX('Bid-NoBid'!$U:$U,MATCH(A96,'Bid-NoBid'!$A:$A,0))),"Screen: "&amp;AC96))</f>
        <v/>
      </c>
      <c r="V96" s="60" t="n"/>
      <c r="W96" s="60" t="n"/>
      <c r="X96" s="60" t="n"/>
      <c r="Y96" s="60" t="n"/>
      <c r="Z96" s="60" t="n"/>
      <c r="AA96" s="65" t="n"/>
      <c r="AB96" s="66" t="n"/>
      <c r="AC96" s="66" t="n"/>
      <c r="AD96" s="66" t="n"/>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66" t="n"/>
      <c r="AJ96" s="66" t="n"/>
      <c r="AK96" s="66" t="n"/>
      <c r="AL96" s="59">
        <f>IF(AND(OR(W96="Watching",W96="Preparing"),ISNUMBER(Q96)),IF(AND(Q96&gt;='Friday Summary'!$C$4,Q96&lt;='Friday Summary'!$C$4+14),Q96+ROW()/1000000,""),"")</f>
        <v/>
      </c>
    </row>
    <row r="97" ht="15" customHeight="1" s="51">
      <c r="A97" s="59">
        <f>IF(B97="","","OP-"&amp;TEXT(ROW()-4,"000"))</f>
        <v/>
      </c>
      <c r="B97" s="60" t="n"/>
      <c r="C97" s="61" t="n"/>
      <c r="D97" s="60" t="n"/>
      <c r="E97" s="60" t="n"/>
      <c r="F97" s="60" t="n"/>
      <c r="G97" s="60" t="n"/>
      <c r="H97" s="60" t="n"/>
      <c r="I97" s="60" t="n"/>
      <c r="J97" s="60" t="n"/>
      <c r="K97" s="60" t="n"/>
      <c r="L97" s="60" t="n"/>
      <c r="M97" s="62" t="n"/>
      <c r="N97" s="60" t="n"/>
      <c r="O97" s="61" t="n"/>
      <c r="P97" s="61" t="n"/>
      <c r="Q97" s="63" t="n"/>
      <c r="R97" s="60" t="n"/>
      <c r="S97" s="60" t="n"/>
      <c r="T97" s="64">
        <f>IF(A97="","",IFERROR(INDEX('Bid-NoBid'!$T:$T,MATCH(A97,'Bid-NoBid'!$A:$A,0)),""))</f>
        <v/>
      </c>
      <c r="U97" s="59">
        <f>IF(A97="","",IFERROR(IF(OR(INDEX('Bid-NoBid'!$U:$U,MATCH(A97,'Bid-NoBid'!$A:$A,0))="",LEFT(INDEX('Bid-NoBid'!$U:$U,MATCH(A97,'Bid-NoBid'!$A:$A,0)),10)="Incomplete"),"Screen: "&amp;AC97,INDEX('Bid-NoBid'!$U:$U,MATCH(A97,'Bid-NoBid'!$A:$A,0))),"Screen: "&amp;AC97))</f>
        <v/>
      </c>
      <c r="V97" s="60" t="n"/>
      <c r="W97" s="60" t="n"/>
      <c r="X97" s="60" t="n"/>
      <c r="Y97" s="60" t="n"/>
      <c r="Z97" s="60" t="n"/>
      <c r="AA97" s="65" t="n"/>
      <c r="AB97" s="66" t="n"/>
      <c r="AC97" s="66" t="n"/>
      <c r="AD97" s="66" t="n"/>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66" t="n"/>
      <c r="AJ97" s="66" t="n"/>
      <c r="AK97" s="66" t="n"/>
      <c r="AL97" s="59">
        <f>IF(AND(OR(W97="Watching",W97="Preparing"),ISNUMBER(Q97)),IF(AND(Q97&gt;='Friday Summary'!$C$4,Q97&lt;='Friday Summary'!$C$4+14),Q97+ROW()/1000000,""),"")</f>
        <v/>
      </c>
    </row>
    <row r="98" ht="15" customHeight="1" s="51">
      <c r="A98" s="59">
        <f>IF(B98="","","OP-"&amp;TEXT(ROW()-4,"000"))</f>
        <v/>
      </c>
      <c r="B98" s="60" t="n"/>
      <c r="C98" s="61" t="n"/>
      <c r="D98" s="60" t="n"/>
      <c r="E98" s="60" t="n"/>
      <c r="F98" s="60" t="n"/>
      <c r="G98" s="60" t="n"/>
      <c r="H98" s="60" t="n"/>
      <c r="I98" s="60" t="n"/>
      <c r="J98" s="60" t="n"/>
      <c r="K98" s="60" t="n"/>
      <c r="L98" s="60" t="n"/>
      <c r="M98" s="62" t="n"/>
      <c r="N98" s="60" t="n"/>
      <c r="O98" s="61" t="n"/>
      <c r="P98" s="61" t="n"/>
      <c r="Q98" s="63" t="n"/>
      <c r="R98" s="60" t="n"/>
      <c r="S98" s="60" t="n"/>
      <c r="T98" s="64">
        <f>IF(A98="","",IFERROR(INDEX('Bid-NoBid'!$T:$T,MATCH(A98,'Bid-NoBid'!$A:$A,0)),""))</f>
        <v/>
      </c>
      <c r="U98" s="59">
        <f>IF(A98="","",IFERROR(IF(OR(INDEX('Bid-NoBid'!$U:$U,MATCH(A98,'Bid-NoBid'!$A:$A,0))="",LEFT(INDEX('Bid-NoBid'!$U:$U,MATCH(A98,'Bid-NoBid'!$A:$A,0)),10)="Incomplete"),"Screen: "&amp;AC98,INDEX('Bid-NoBid'!$U:$U,MATCH(A98,'Bid-NoBid'!$A:$A,0))),"Screen: "&amp;AC98))</f>
        <v/>
      </c>
      <c r="V98" s="60" t="n"/>
      <c r="W98" s="60" t="n"/>
      <c r="X98" s="60" t="n"/>
      <c r="Y98" s="60" t="n"/>
      <c r="Z98" s="60" t="n"/>
      <c r="AA98" s="65" t="n"/>
      <c r="AB98" s="66" t="n"/>
      <c r="AC98" s="66" t="n"/>
      <c r="AD98" s="66" t="n"/>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66" t="n"/>
      <c r="AJ98" s="66" t="n"/>
      <c r="AK98" s="66" t="n"/>
      <c r="AL98" s="59">
        <f>IF(AND(OR(W98="Watching",W98="Preparing"),ISNUMBER(Q98)),IF(AND(Q98&gt;='Friday Summary'!$C$4,Q98&lt;='Friday Summary'!$C$4+14),Q98+ROW()/1000000,""),"")</f>
        <v/>
      </c>
    </row>
    <row r="99" ht="15" customHeight="1" s="51">
      <c r="A99" s="59">
        <f>IF(B99="","","OP-"&amp;TEXT(ROW()-4,"000"))</f>
        <v/>
      </c>
      <c r="B99" s="60" t="n"/>
      <c r="C99" s="61" t="n"/>
      <c r="D99" s="60" t="n"/>
      <c r="E99" s="60" t="n"/>
      <c r="F99" s="60" t="n"/>
      <c r="G99" s="60" t="n"/>
      <c r="H99" s="60" t="n"/>
      <c r="I99" s="60" t="n"/>
      <c r="J99" s="60" t="n"/>
      <c r="K99" s="60" t="n"/>
      <c r="L99" s="60" t="n"/>
      <c r="M99" s="62" t="n"/>
      <c r="N99" s="60" t="n"/>
      <c r="O99" s="61" t="n"/>
      <c r="P99" s="61" t="n"/>
      <c r="Q99" s="63" t="n"/>
      <c r="R99" s="60" t="n"/>
      <c r="S99" s="60" t="n"/>
      <c r="T99" s="64">
        <f>IF(A99="","",IFERROR(INDEX('Bid-NoBid'!$T:$T,MATCH(A99,'Bid-NoBid'!$A:$A,0)),""))</f>
        <v/>
      </c>
      <c r="U99" s="59">
        <f>IF(A99="","",IFERROR(IF(OR(INDEX('Bid-NoBid'!$U:$U,MATCH(A99,'Bid-NoBid'!$A:$A,0))="",LEFT(INDEX('Bid-NoBid'!$U:$U,MATCH(A99,'Bid-NoBid'!$A:$A,0)),10)="Incomplete"),"Screen: "&amp;AC99,INDEX('Bid-NoBid'!$U:$U,MATCH(A99,'Bid-NoBid'!$A:$A,0))),"Screen: "&amp;AC99))</f>
        <v/>
      </c>
      <c r="V99" s="60" t="n"/>
      <c r="W99" s="60" t="n"/>
      <c r="X99" s="60" t="n"/>
      <c r="Y99" s="60" t="n"/>
      <c r="Z99" s="60" t="n"/>
      <c r="AA99" s="65" t="n"/>
      <c r="AB99" s="66" t="n"/>
      <c r="AC99" s="66" t="n"/>
      <c r="AD99" s="66" t="n"/>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66" t="n"/>
      <c r="AJ99" s="66" t="n"/>
      <c r="AK99" s="66" t="n"/>
      <c r="AL99" s="59">
        <f>IF(AND(OR(W99="Watching",W99="Preparing"),ISNUMBER(Q99)),IF(AND(Q99&gt;='Friday Summary'!$C$4,Q99&lt;='Friday Summary'!$C$4+14),Q99+ROW()/1000000,""),"")</f>
        <v/>
      </c>
    </row>
    <row r="100" ht="15" customHeight="1" s="51">
      <c r="A100" s="59">
        <f>IF(B100="","","OP-"&amp;TEXT(ROW()-4,"000"))</f>
        <v/>
      </c>
      <c r="B100" s="60" t="n"/>
      <c r="C100" s="61" t="n"/>
      <c r="D100" s="60" t="n"/>
      <c r="E100" s="60" t="n"/>
      <c r="F100" s="60" t="n"/>
      <c r="G100" s="60" t="n"/>
      <c r="H100" s="60" t="n"/>
      <c r="I100" s="60" t="n"/>
      <c r="J100" s="60" t="n"/>
      <c r="K100" s="60" t="n"/>
      <c r="L100" s="60" t="n"/>
      <c r="M100" s="62" t="n"/>
      <c r="N100" s="60" t="n"/>
      <c r="O100" s="61" t="n"/>
      <c r="P100" s="61" t="n"/>
      <c r="Q100" s="63" t="n"/>
      <c r="R100" s="60" t="n"/>
      <c r="S100" s="60" t="n"/>
      <c r="T100" s="64">
        <f>IF(A100="","",IFERROR(INDEX('Bid-NoBid'!$T:$T,MATCH(A100,'Bid-NoBid'!$A:$A,0)),""))</f>
        <v/>
      </c>
      <c r="U100" s="59">
        <f>IF(A100="","",IFERROR(IF(OR(INDEX('Bid-NoBid'!$U:$U,MATCH(A100,'Bid-NoBid'!$A:$A,0))="",LEFT(INDEX('Bid-NoBid'!$U:$U,MATCH(A100,'Bid-NoBid'!$A:$A,0)),10)="Incomplete"),"Screen: "&amp;AC100,INDEX('Bid-NoBid'!$U:$U,MATCH(A100,'Bid-NoBid'!$A:$A,0))),"Screen: "&amp;AC100))</f>
        <v/>
      </c>
      <c r="V100" s="60" t="n"/>
      <c r="W100" s="60" t="n"/>
      <c r="X100" s="60" t="n"/>
      <c r="Y100" s="60" t="n"/>
      <c r="Z100" s="60" t="n"/>
      <c r="AA100" s="65" t="n"/>
      <c r="AB100" s="66" t="n"/>
      <c r="AC100" s="66" t="n"/>
      <c r="AD100" s="66" t="n"/>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66" t="n"/>
      <c r="AJ100" s="66" t="n"/>
      <c r="AK100" s="66" t="n"/>
      <c r="AL100" s="59">
        <f>IF(AND(OR(W100="Watching",W100="Preparing"),ISNUMBER(Q100)),IF(AND(Q100&gt;='Friday Summary'!$C$4,Q100&lt;='Friday Summary'!$C$4+14),Q100+ROW()/1000000,""),"")</f>
        <v/>
      </c>
    </row>
    <row r="101" ht="15" customHeight="1" s="51">
      <c r="A101" s="59">
        <f>IF(B101="","","OP-"&amp;TEXT(ROW()-4,"000"))</f>
        <v/>
      </c>
      <c r="B101" s="60" t="n"/>
      <c r="C101" s="61" t="n"/>
      <c r="D101" s="60" t="n"/>
      <c r="E101" s="60" t="n"/>
      <c r="F101" s="60" t="n"/>
      <c r="G101" s="60" t="n"/>
      <c r="H101" s="60" t="n"/>
      <c r="I101" s="60" t="n"/>
      <c r="J101" s="60" t="n"/>
      <c r="K101" s="60" t="n"/>
      <c r="L101" s="60" t="n"/>
      <c r="M101" s="62" t="n"/>
      <c r="N101" s="60" t="n"/>
      <c r="O101" s="61" t="n"/>
      <c r="P101" s="61" t="n"/>
      <c r="Q101" s="63" t="n"/>
      <c r="R101" s="60" t="n"/>
      <c r="S101" s="60" t="n"/>
      <c r="T101" s="64">
        <f>IF(A101="","",IFERROR(INDEX('Bid-NoBid'!$T:$T,MATCH(A101,'Bid-NoBid'!$A:$A,0)),""))</f>
        <v/>
      </c>
      <c r="U101" s="59">
        <f>IF(A101="","",IFERROR(IF(OR(INDEX('Bid-NoBid'!$U:$U,MATCH(A101,'Bid-NoBid'!$A:$A,0))="",LEFT(INDEX('Bid-NoBid'!$U:$U,MATCH(A101,'Bid-NoBid'!$A:$A,0)),10)="Incomplete"),"Screen: "&amp;AC101,INDEX('Bid-NoBid'!$U:$U,MATCH(A101,'Bid-NoBid'!$A:$A,0))),"Screen: "&amp;AC101))</f>
        <v/>
      </c>
      <c r="V101" s="60" t="n"/>
      <c r="W101" s="60" t="n"/>
      <c r="X101" s="60" t="n"/>
      <c r="Y101" s="60" t="n"/>
      <c r="Z101" s="60" t="n"/>
      <c r="AA101" s="65" t="n"/>
      <c r="AB101" s="66" t="n"/>
      <c r="AC101" s="66" t="n"/>
      <c r="AD101" s="66" t="n"/>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66" t="n"/>
      <c r="AJ101" s="66" t="n"/>
      <c r="AK101" s="66" t="n"/>
      <c r="AL101" s="59">
        <f>IF(AND(OR(W101="Watching",W101="Preparing"),ISNUMBER(Q101)),IF(AND(Q101&gt;='Friday Summary'!$C$4,Q101&lt;='Friday Summary'!$C$4+14),Q101+ROW()/1000000,""),"")</f>
        <v/>
      </c>
    </row>
    <row r="102" ht="15" customHeight="1" s="51">
      <c r="A102" s="59">
        <f>IF(B102="","","OP-"&amp;TEXT(ROW()-4,"000"))</f>
        <v/>
      </c>
      <c r="B102" s="60" t="n"/>
      <c r="C102" s="61" t="n"/>
      <c r="D102" s="60" t="n"/>
      <c r="E102" s="60" t="n"/>
      <c r="F102" s="60" t="n"/>
      <c r="G102" s="60" t="n"/>
      <c r="H102" s="60" t="n"/>
      <c r="I102" s="60" t="n"/>
      <c r="J102" s="60" t="n"/>
      <c r="K102" s="60" t="n"/>
      <c r="L102" s="60" t="n"/>
      <c r="M102" s="62" t="n"/>
      <c r="N102" s="60" t="n"/>
      <c r="O102" s="61" t="n"/>
      <c r="P102" s="61" t="n"/>
      <c r="Q102" s="63" t="n"/>
      <c r="R102" s="60" t="n"/>
      <c r="S102" s="60" t="n"/>
      <c r="T102" s="64">
        <f>IF(A102="","",IFERROR(INDEX('Bid-NoBid'!$T:$T,MATCH(A102,'Bid-NoBid'!$A:$A,0)),""))</f>
        <v/>
      </c>
      <c r="U102" s="59">
        <f>IF(A102="","",IFERROR(IF(OR(INDEX('Bid-NoBid'!$U:$U,MATCH(A102,'Bid-NoBid'!$A:$A,0))="",LEFT(INDEX('Bid-NoBid'!$U:$U,MATCH(A102,'Bid-NoBid'!$A:$A,0)),10)="Incomplete"),"Screen: "&amp;AC102,INDEX('Bid-NoBid'!$U:$U,MATCH(A102,'Bid-NoBid'!$A:$A,0))),"Screen: "&amp;AC102))</f>
        <v/>
      </c>
      <c r="V102" s="60" t="n"/>
      <c r="W102" s="60" t="n"/>
      <c r="X102" s="60" t="n"/>
      <c r="Y102" s="60" t="n"/>
      <c r="Z102" s="60" t="n"/>
      <c r="AA102" s="65" t="n"/>
      <c r="AB102" s="66" t="n"/>
      <c r="AC102" s="66" t="n"/>
      <c r="AD102" s="66" t="n"/>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66" t="n"/>
      <c r="AJ102" s="66" t="n"/>
      <c r="AK102" s="66" t="n"/>
      <c r="AL102" s="59">
        <f>IF(AND(OR(W102="Watching",W102="Preparing"),ISNUMBER(Q102)),IF(AND(Q102&gt;='Friday Summary'!$C$4,Q102&lt;='Friday Summary'!$C$4+14),Q102+ROW()/1000000,""),"")</f>
        <v/>
      </c>
    </row>
    <row r="103" ht="15" customHeight="1" s="51">
      <c r="A103" s="59">
        <f>IF(B103="","","OP-"&amp;TEXT(ROW()-4,"000"))</f>
        <v/>
      </c>
      <c r="B103" s="60" t="n"/>
      <c r="C103" s="61" t="n"/>
      <c r="D103" s="60" t="n"/>
      <c r="E103" s="60" t="n"/>
      <c r="F103" s="60" t="n"/>
      <c r="G103" s="60" t="n"/>
      <c r="H103" s="60" t="n"/>
      <c r="I103" s="60" t="n"/>
      <c r="J103" s="60" t="n"/>
      <c r="K103" s="60" t="n"/>
      <c r="L103" s="60" t="n"/>
      <c r="M103" s="62" t="n"/>
      <c r="N103" s="60" t="n"/>
      <c r="O103" s="61" t="n"/>
      <c r="P103" s="61" t="n"/>
      <c r="Q103" s="63" t="n"/>
      <c r="R103" s="60" t="n"/>
      <c r="S103" s="60" t="n"/>
      <c r="T103" s="64">
        <f>IF(A103="","",IFERROR(INDEX('Bid-NoBid'!$T:$T,MATCH(A103,'Bid-NoBid'!$A:$A,0)),""))</f>
        <v/>
      </c>
      <c r="U103" s="59">
        <f>IF(A103="","",IFERROR(IF(OR(INDEX('Bid-NoBid'!$U:$U,MATCH(A103,'Bid-NoBid'!$A:$A,0))="",LEFT(INDEX('Bid-NoBid'!$U:$U,MATCH(A103,'Bid-NoBid'!$A:$A,0)),10)="Incomplete"),"Screen: "&amp;AC103,INDEX('Bid-NoBid'!$U:$U,MATCH(A103,'Bid-NoBid'!$A:$A,0))),"Screen: "&amp;AC103))</f>
        <v/>
      </c>
      <c r="V103" s="60" t="n"/>
      <c r="W103" s="60" t="n"/>
      <c r="X103" s="60" t="n"/>
      <c r="Y103" s="60" t="n"/>
      <c r="Z103" s="60" t="n"/>
      <c r="AA103" s="65" t="n"/>
      <c r="AB103" s="66" t="n"/>
      <c r="AC103" s="66" t="n"/>
      <c r="AD103" s="66" t="n"/>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66" t="n"/>
      <c r="AJ103" s="66" t="n"/>
      <c r="AK103" s="66" t="n"/>
      <c r="AL103" s="59">
        <f>IF(AND(OR(W103="Watching",W103="Preparing"),ISNUMBER(Q103)),IF(AND(Q103&gt;='Friday Summary'!$C$4,Q103&lt;='Friday Summary'!$C$4+14),Q103+ROW()/1000000,""),"")</f>
        <v/>
      </c>
    </row>
    <row r="104" ht="15" customHeight="1" s="51">
      <c r="A104" s="59">
        <f>IF(B104="","","OP-"&amp;TEXT(ROW()-4,"000"))</f>
        <v/>
      </c>
      <c r="B104" s="60" t="n"/>
      <c r="C104" s="61" t="n"/>
      <c r="D104" s="60" t="n"/>
      <c r="E104" s="60" t="n"/>
      <c r="F104" s="60" t="n"/>
      <c r="G104" s="60" t="n"/>
      <c r="H104" s="60" t="n"/>
      <c r="I104" s="60" t="n"/>
      <c r="J104" s="60" t="n"/>
      <c r="K104" s="60" t="n"/>
      <c r="L104" s="60" t="n"/>
      <c r="M104" s="62" t="n"/>
      <c r="N104" s="60" t="n"/>
      <c r="O104" s="61" t="n"/>
      <c r="P104" s="61" t="n"/>
      <c r="Q104" s="63" t="n"/>
      <c r="R104" s="60" t="n"/>
      <c r="S104" s="60" t="n"/>
      <c r="T104" s="64">
        <f>IF(A104="","",IFERROR(INDEX('Bid-NoBid'!$T:$T,MATCH(A104,'Bid-NoBid'!$A:$A,0)),""))</f>
        <v/>
      </c>
      <c r="U104" s="59">
        <f>IF(A104="","",IFERROR(IF(OR(INDEX('Bid-NoBid'!$U:$U,MATCH(A104,'Bid-NoBid'!$A:$A,0))="",LEFT(INDEX('Bid-NoBid'!$U:$U,MATCH(A104,'Bid-NoBid'!$A:$A,0)),10)="Incomplete"),"Screen: "&amp;AC104,INDEX('Bid-NoBid'!$U:$U,MATCH(A104,'Bid-NoBid'!$A:$A,0))),"Screen: "&amp;AC104))</f>
        <v/>
      </c>
      <c r="V104" s="60" t="n"/>
      <c r="W104" s="60" t="n"/>
      <c r="X104" s="60" t="n"/>
      <c r="Y104" s="60" t="n"/>
      <c r="Z104" s="60" t="n"/>
      <c r="AA104" s="65" t="n"/>
      <c r="AB104" s="66" t="n"/>
      <c r="AC104" s="66" t="n"/>
      <c r="AD104" s="66" t="n"/>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66" t="n"/>
      <c r="AJ104" s="66" t="n"/>
      <c r="AK104" s="66" t="n"/>
      <c r="AL104" s="59">
        <f>IF(AND(OR(W104="Watching",W104="Preparing"),ISNUMBER(Q104)),IF(AND(Q104&gt;='Friday Summary'!$C$4,Q104&lt;='Friday Summary'!$C$4+14),Q104+ROW()/1000000,""),"")</f>
        <v/>
      </c>
    </row>
    <row r="105" ht="15" customHeight="1" s="51">
      <c r="A105" s="59">
        <f>IF(B105="","","OP-"&amp;TEXT(ROW()-4,"000"))</f>
        <v/>
      </c>
      <c r="B105" s="60" t="n"/>
      <c r="C105" s="61" t="n"/>
      <c r="D105" s="60" t="n"/>
      <c r="E105" s="60" t="n"/>
      <c r="F105" s="60" t="n"/>
      <c r="G105" s="60" t="n"/>
      <c r="H105" s="60" t="n"/>
      <c r="I105" s="60" t="n"/>
      <c r="J105" s="60" t="n"/>
      <c r="K105" s="60" t="n"/>
      <c r="L105" s="60" t="n"/>
      <c r="M105" s="62" t="n"/>
      <c r="N105" s="60" t="n"/>
      <c r="O105" s="61" t="n"/>
      <c r="P105" s="61" t="n"/>
      <c r="Q105" s="63" t="n"/>
      <c r="R105" s="60" t="n"/>
      <c r="S105" s="60" t="n"/>
      <c r="T105" s="64">
        <f>IF(A105="","",IFERROR(INDEX('Bid-NoBid'!$T:$T,MATCH(A105,'Bid-NoBid'!$A:$A,0)),""))</f>
        <v/>
      </c>
      <c r="U105" s="59">
        <f>IF(A105="","",IFERROR(IF(OR(INDEX('Bid-NoBid'!$U:$U,MATCH(A105,'Bid-NoBid'!$A:$A,0))="",LEFT(INDEX('Bid-NoBid'!$U:$U,MATCH(A105,'Bid-NoBid'!$A:$A,0)),10)="Incomplete"),"Screen: "&amp;AC105,INDEX('Bid-NoBid'!$U:$U,MATCH(A105,'Bid-NoBid'!$A:$A,0))),"Screen: "&amp;AC105))</f>
        <v/>
      </c>
      <c r="V105" s="60" t="n"/>
      <c r="W105" s="60" t="n"/>
      <c r="X105" s="60" t="n"/>
      <c r="Y105" s="60" t="n"/>
      <c r="Z105" s="60" t="n"/>
      <c r="AA105" s="65" t="n"/>
      <c r="AB105" s="66" t="n"/>
      <c r="AC105" s="66" t="n"/>
      <c r="AD105" s="66" t="n"/>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66" t="n"/>
      <c r="AJ105" s="66" t="n"/>
      <c r="AK105" s="66" t="n"/>
      <c r="AL105" s="59">
        <f>IF(AND(OR(W105="Watching",W105="Preparing"),ISNUMBER(Q105)),IF(AND(Q105&gt;='Friday Summary'!$C$4,Q105&lt;='Friday Summary'!$C$4+14),Q105+ROW()/1000000,""),"")</f>
        <v/>
      </c>
    </row>
    <row r="106" ht="15" customHeight="1" s="51">
      <c r="A106" s="59">
        <f>IF(B106="","","OP-"&amp;TEXT(ROW()-4,"000"))</f>
        <v/>
      </c>
      <c r="B106" s="60" t="n"/>
      <c r="C106" s="61" t="n"/>
      <c r="D106" s="60" t="n"/>
      <c r="E106" s="60" t="n"/>
      <c r="F106" s="60" t="n"/>
      <c r="G106" s="60" t="n"/>
      <c r="H106" s="60" t="n"/>
      <c r="I106" s="60" t="n"/>
      <c r="J106" s="60" t="n"/>
      <c r="K106" s="60" t="n"/>
      <c r="L106" s="60" t="n"/>
      <c r="M106" s="62" t="n"/>
      <c r="N106" s="60" t="n"/>
      <c r="O106" s="61" t="n"/>
      <c r="P106" s="61" t="n"/>
      <c r="Q106" s="63" t="n"/>
      <c r="R106" s="60" t="n"/>
      <c r="S106" s="60" t="n"/>
      <c r="T106" s="64">
        <f>IF(A106="","",IFERROR(INDEX('Bid-NoBid'!$T:$T,MATCH(A106,'Bid-NoBid'!$A:$A,0)),""))</f>
        <v/>
      </c>
      <c r="U106" s="59">
        <f>IF(A106="","",IFERROR(IF(OR(INDEX('Bid-NoBid'!$U:$U,MATCH(A106,'Bid-NoBid'!$A:$A,0))="",LEFT(INDEX('Bid-NoBid'!$U:$U,MATCH(A106,'Bid-NoBid'!$A:$A,0)),10)="Incomplete"),"Screen: "&amp;AC106,INDEX('Bid-NoBid'!$U:$U,MATCH(A106,'Bid-NoBid'!$A:$A,0))),"Screen: "&amp;AC106))</f>
        <v/>
      </c>
      <c r="V106" s="60" t="n"/>
      <c r="W106" s="60" t="n"/>
      <c r="X106" s="60" t="n"/>
      <c r="Y106" s="60" t="n"/>
      <c r="Z106" s="60" t="n"/>
      <c r="AA106" s="65" t="n"/>
      <c r="AB106" s="66" t="n"/>
      <c r="AC106" s="66" t="n"/>
      <c r="AD106" s="66" t="n"/>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66" t="n"/>
      <c r="AJ106" s="66" t="n"/>
      <c r="AK106" s="66" t="n"/>
      <c r="AL106" s="59">
        <f>IF(AND(OR(W106="Watching",W106="Preparing"),ISNUMBER(Q106)),IF(AND(Q106&gt;='Friday Summary'!$C$4,Q106&lt;='Friday Summary'!$C$4+14),Q106+ROW()/1000000,""),"")</f>
        <v/>
      </c>
    </row>
    <row r="107" ht="15" customHeight="1" s="51">
      <c r="A107" s="59">
        <f>IF(B107="","","OP-"&amp;TEXT(ROW()-4,"000"))</f>
        <v/>
      </c>
      <c r="B107" s="60" t="n"/>
      <c r="C107" s="61" t="n"/>
      <c r="D107" s="60" t="n"/>
      <c r="E107" s="60" t="n"/>
      <c r="F107" s="60" t="n"/>
      <c r="G107" s="60" t="n"/>
      <c r="H107" s="60" t="n"/>
      <c r="I107" s="60" t="n"/>
      <c r="J107" s="60" t="n"/>
      <c r="K107" s="60" t="n"/>
      <c r="L107" s="60" t="n"/>
      <c r="M107" s="62" t="n"/>
      <c r="N107" s="60" t="n"/>
      <c r="O107" s="61" t="n"/>
      <c r="P107" s="61" t="n"/>
      <c r="Q107" s="63" t="n"/>
      <c r="R107" s="60" t="n"/>
      <c r="S107" s="60" t="n"/>
      <c r="T107" s="64">
        <f>IF(A107="","",IFERROR(INDEX('Bid-NoBid'!$T:$T,MATCH(A107,'Bid-NoBid'!$A:$A,0)),""))</f>
        <v/>
      </c>
      <c r="U107" s="59">
        <f>IF(A107="","",IFERROR(IF(OR(INDEX('Bid-NoBid'!$U:$U,MATCH(A107,'Bid-NoBid'!$A:$A,0))="",LEFT(INDEX('Bid-NoBid'!$U:$U,MATCH(A107,'Bid-NoBid'!$A:$A,0)),10)="Incomplete"),"Screen: "&amp;AC107,INDEX('Bid-NoBid'!$U:$U,MATCH(A107,'Bid-NoBid'!$A:$A,0))),"Screen: "&amp;AC107))</f>
        <v/>
      </c>
      <c r="V107" s="60" t="n"/>
      <c r="W107" s="60" t="n"/>
      <c r="X107" s="60" t="n"/>
      <c r="Y107" s="60" t="n"/>
      <c r="Z107" s="60" t="n"/>
      <c r="AA107" s="65" t="n"/>
      <c r="AB107" s="66" t="n"/>
      <c r="AC107" s="66" t="n"/>
      <c r="AD107" s="66" t="n"/>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66" t="n"/>
      <c r="AJ107" s="66" t="n"/>
      <c r="AK107" s="66" t="n"/>
      <c r="AL107" s="59">
        <f>IF(AND(OR(W107="Watching",W107="Preparing"),ISNUMBER(Q107)),IF(AND(Q107&gt;='Friday Summary'!$C$4,Q107&lt;='Friday Summary'!$C$4+14),Q107+ROW()/1000000,""),"")</f>
        <v/>
      </c>
    </row>
    <row r="108" ht="15" customHeight="1" s="51">
      <c r="A108" s="59">
        <f>IF(B108="","","OP-"&amp;TEXT(ROW()-4,"000"))</f>
        <v/>
      </c>
      <c r="B108" s="60" t="n"/>
      <c r="C108" s="61" t="n"/>
      <c r="D108" s="60" t="n"/>
      <c r="E108" s="60" t="n"/>
      <c r="F108" s="60" t="n"/>
      <c r="G108" s="60" t="n"/>
      <c r="H108" s="60" t="n"/>
      <c r="I108" s="60" t="n"/>
      <c r="J108" s="60" t="n"/>
      <c r="K108" s="60" t="n"/>
      <c r="L108" s="60" t="n"/>
      <c r="M108" s="62" t="n"/>
      <c r="N108" s="60" t="n"/>
      <c r="O108" s="61" t="n"/>
      <c r="P108" s="61" t="n"/>
      <c r="Q108" s="63" t="n"/>
      <c r="R108" s="60" t="n"/>
      <c r="S108" s="60" t="n"/>
      <c r="T108" s="64">
        <f>IF(A108="","",IFERROR(INDEX('Bid-NoBid'!$T:$T,MATCH(A108,'Bid-NoBid'!$A:$A,0)),""))</f>
        <v/>
      </c>
      <c r="U108" s="59">
        <f>IF(A108="","",IFERROR(IF(OR(INDEX('Bid-NoBid'!$U:$U,MATCH(A108,'Bid-NoBid'!$A:$A,0))="",LEFT(INDEX('Bid-NoBid'!$U:$U,MATCH(A108,'Bid-NoBid'!$A:$A,0)),10)="Incomplete"),"Screen: "&amp;AC108,INDEX('Bid-NoBid'!$U:$U,MATCH(A108,'Bid-NoBid'!$A:$A,0))),"Screen: "&amp;AC108))</f>
        <v/>
      </c>
      <c r="V108" s="60" t="n"/>
      <c r="W108" s="60" t="n"/>
      <c r="X108" s="60" t="n"/>
      <c r="Y108" s="60" t="n"/>
      <c r="Z108" s="60" t="n"/>
      <c r="AA108" s="65" t="n"/>
      <c r="AB108" s="66" t="n"/>
      <c r="AC108" s="66" t="n"/>
      <c r="AD108" s="66" t="n"/>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66" t="n"/>
      <c r="AJ108" s="66" t="n"/>
      <c r="AK108" s="66" t="n"/>
      <c r="AL108" s="59">
        <f>IF(AND(OR(W108="Watching",W108="Preparing"),ISNUMBER(Q108)),IF(AND(Q108&gt;='Friday Summary'!$C$4,Q108&lt;='Friday Summary'!$C$4+14),Q108+ROW()/1000000,""),"")</f>
        <v/>
      </c>
    </row>
    <row r="109" ht="15" customHeight="1" s="51">
      <c r="A109" s="59">
        <f>IF(B109="","","OP-"&amp;TEXT(ROW()-4,"000"))</f>
        <v/>
      </c>
      <c r="B109" s="60" t="n"/>
      <c r="C109" s="61" t="n"/>
      <c r="D109" s="60" t="n"/>
      <c r="E109" s="60" t="n"/>
      <c r="F109" s="60" t="n"/>
      <c r="G109" s="60" t="n"/>
      <c r="H109" s="60" t="n"/>
      <c r="I109" s="60" t="n"/>
      <c r="J109" s="60" t="n"/>
      <c r="K109" s="60" t="n"/>
      <c r="L109" s="60" t="n"/>
      <c r="M109" s="62" t="n"/>
      <c r="N109" s="60" t="n"/>
      <c r="O109" s="61" t="n"/>
      <c r="P109" s="61" t="n"/>
      <c r="Q109" s="63" t="n"/>
      <c r="R109" s="60" t="n"/>
      <c r="S109" s="60" t="n"/>
      <c r="T109" s="64">
        <f>IF(A109="","",IFERROR(INDEX('Bid-NoBid'!$T:$T,MATCH(A109,'Bid-NoBid'!$A:$A,0)),""))</f>
        <v/>
      </c>
      <c r="U109" s="59">
        <f>IF(A109="","",IFERROR(IF(OR(INDEX('Bid-NoBid'!$U:$U,MATCH(A109,'Bid-NoBid'!$A:$A,0))="",LEFT(INDEX('Bid-NoBid'!$U:$U,MATCH(A109,'Bid-NoBid'!$A:$A,0)),10)="Incomplete"),"Screen: "&amp;AC109,INDEX('Bid-NoBid'!$U:$U,MATCH(A109,'Bid-NoBid'!$A:$A,0))),"Screen: "&amp;AC109))</f>
        <v/>
      </c>
      <c r="V109" s="60" t="n"/>
      <c r="W109" s="60" t="n"/>
      <c r="X109" s="60" t="n"/>
      <c r="Y109" s="60" t="n"/>
      <c r="Z109" s="60" t="n"/>
      <c r="AA109" s="65" t="n"/>
      <c r="AB109" s="66" t="n"/>
      <c r="AC109" s="66" t="n"/>
      <c r="AD109" s="66" t="n"/>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66" t="n"/>
      <c r="AJ109" s="66" t="n"/>
      <c r="AK109" s="66" t="n"/>
      <c r="AL109" s="59">
        <f>IF(AND(OR(W109="Watching",W109="Preparing"),ISNUMBER(Q109)),IF(AND(Q109&gt;='Friday Summary'!$C$4,Q109&lt;='Friday Summary'!$C$4+14),Q109+ROW()/1000000,""),"")</f>
        <v/>
      </c>
    </row>
    <row r="110" ht="15" customHeight="1" s="51">
      <c r="A110" s="59">
        <f>IF(B110="","","OP-"&amp;TEXT(ROW()-4,"000"))</f>
        <v/>
      </c>
      <c r="B110" s="60" t="n"/>
      <c r="C110" s="61" t="n"/>
      <c r="D110" s="60" t="n"/>
      <c r="E110" s="60" t="n"/>
      <c r="F110" s="60" t="n"/>
      <c r="G110" s="60" t="n"/>
      <c r="H110" s="60" t="n"/>
      <c r="I110" s="60" t="n"/>
      <c r="J110" s="60" t="n"/>
      <c r="K110" s="60" t="n"/>
      <c r="L110" s="60" t="n"/>
      <c r="M110" s="62" t="n"/>
      <c r="N110" s="60" t="n"/>
      <c r="O110" s="61" t="n"/>
      <c r="P110" s="61" t="n"/>
      <c r="Q110" s="63" t="n"/>
      <c r="R110" s="60" t="n"/>
      <c r="S110" s="60" t="n"/>
      <c r="T110" s="64">
        <f>IF(A110="","",IFERROR(INDEX('Bid-NoBid'!$T:$T,MATCH(A110,'Bid-NoBid'!$A:$A,0)),""))</f>
        <v/>
      </c>
      <c r="U110" s="59">
        <f>IF(A110="","",IFERROR(IF(OR(INDEX('Bid-NoBid'!$U:$U,MATCH(A110,'Bid-NoBid'!$A:$A,0))="",LEFT(INDEX('Bid-NoBid'!$U:$U,MATCH(A110,'Bid-NoBid'!$A:$A,0)),10)="Incomplete"),"Screen: "&amp;AC110,INDEX('Bid-NoBid'!$U:$U,MATCH(A110,'Bid-NoBid'!$A:$A,0))),"Screen: "&amp;AC110))</f>
        <v/>
      </c>
      <c r="V110" s="60" t="n"/>
      <c r="W110" s="60" t="n"/>
      <c r="X110" s="60" t="n"/>
      <c r="Y110" s="60" t="n"/>
      <c r="Z110" s="60" t="n"/>
      <c r="AA110" s="65" t="n"/>
      <c r="AB110" s="66" t="n"/>
      <c r="AC110" s="66" t="n"/>
      <c r="AD110" s="66" t="n"/>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66" t="n"/>
      <c r="AJ110" s="66" t="n"/>
      <c r="AK110" s="66" t="n"/>
      <c r="AL110" s="59">
        <f>IF(AND(OR(W110="Watching",W110="Preparing"),ISNUMBER(Q110)),IF(AND(Q110&gt;='Friday Summary'!$C$4,Q110&lt;='Friday Summary'!$C$4+14),Q110+ROW()/1000000,""),"")</f>
        <v/>
      </c>
    </row>
    <row r="111" ht="15" customHeight="1" s="51">
      <c r="A111" s="59">
        <f>IF(B111="","","OP-"&amp;TEXT(ROW()-4,"000"))</f>
        <v/>
      </c>
      <c r="B111" s="60" t="n"/>
      <c r="C111" s="61" t="n"/>
      <c r="D111" s="60" t="n"/>
      <c r="E111" s="60" t="n"/>
      <c r="F111" s="60" t="n"/>
      <c r="G111" s="60" t="n"/>
      <c r="H111" s="60" t="n"/>
      <c r="I111" s="60" t="n"/>
      <c r="J111" s="60" t="n"/>
      <c r="K111" s="60" t="n"/>
      <c r="L111" s="60" t="n"/>
      <c r="M111" s="62" t="n"/>
      <c r="N111" s="60" t="n"/>
      <c r="O111" s="61" t="n"/>
      <c r="P111" s="61" t="n"/>
      <c r="Q111" s="63" t="n"/>
      <c r="R111" s="60" t="n"/>
      <c r="S111" s="60" t="n"/>
      <c r="T111" s="64">
        <f>IF(A111="","",IFERROR(INDEX('Bid-NoBid'!$T:$T,MATCH(A111,'Bid-NoBid'!$A:$A,0)),""))</f>
        <v/>
      </c>
      <c r="U111" s="59">
        <f>IF(A111="","",IFERROR(IF(OR(INDEX('Bid-NoBid'!$U:$U,MATCH(A111,'Bid-NoBid'!$A:$A,0))="",LEFT(INDEX('Bid-NoBid'!$U:$U,MATCH(A111,'Bid-NoBid'!$A:$A,0)),10)="Incomplete"),"Screen: "&amp;AC111,INDEX('Bid-NoBid'!$U:$U,MATCH(A111,'Bid-NoBid'!$A:$A,0))),"Screen: "&amp;AC111))</f>
        <v/>
      </c>
      <c r="V111" s="60" t="n"/>
      <c r="W111" s="60" t="n"/>
      <c r="X111" s="60" t="n"/>
      <c r="Y111" s="60" t="n"/>
      <c r="Z111" s="60" t="n"/>
      <c r="AA111" s="65" t="n"/>
      <c r="AB111" s="66" t="n"/>
      <c r="AC111" s="66" t="n"/>
      <c r="AD111" s="66" t="n"/>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66" t="n"/>
      <c r="AJ111" s="66" t="n"/>
      <c r="AK111" s="66" t="n"/>
      <c r="AL111" s="59">
        <f>IF(AND(OR(W111="Watching",W111="Preparing"),ISNUMBER(Q111)),IF(AND(Q111&gt;='Friday Summary'!$C$4,Q111&lt;='Friday Summary'!$C$4+14),Q111+ROW()/1000000,""),"")</f>
        <v/>
      </c>
    </row>
    <row r="112" ht="15" customHeight="1" s="51">
      <c r="A112" s="59">
        <f>IF(B112="","","OP-"&amp;TEXT(ROW()-4,"000"))</f>
        <v/>
      </c>
      <c r="B112" s="60" t="n"/>
      <c r="C112" s="61" t="n"/>
      <c r="D112" s="60" t="n"/>
      <c r="E112" s="60" t="n"/>
      <c r="F112" s="60" t="n"/>
      <c r="G112" s="60" t="n"/>
      <c r="H112" s="60" t="n"/>
      <c r="I112" s="60" t="n"/>
      <c r="J112" s="60" t="n"/>
      <c r="K112" s="60" t="n"/>
      <c r="L112" s="60" t="n"/>
      <c r="M112" s="62" t="n"/>
      <c r="N112" s="60" t="n"/>
      <c r="O112" s="61" t="n"/>
      <c r="P112" s="61" t="n"/>
      <c r="Q112" s="63" t="n"/>
      <c r="R112" s="60" t="n"/>
      <c r="S112" s="60" t="n"/>
      <c r="T112" s="64">
        <f>IF(A112="","",IFERROR(INDEX('Bid-NoBid'!$T:$T,MATCH(A112,'Bid-NoBid'!$A:$A,0)),""))</f>
        <v/>
      </c>
      <c r="U112" s="59">
        <f>IF(A112="","",IFERROR(IF(OR(INDEX('Bid-NoBid'!$U:$U,MATCH(A112,'Bid-NoBid'!$A:$A,0))="",LEFT(INDEX('Bid-NoBid'!$U:$U,MATCH(A112,'Bid-NoBid'!$A:$A,0)),10)="Incomplete"),"Screen: "&amp;AC112,INDEX('Bid-NoBid'!$U:$U,MATCH(A112,'Bid-NoBid'!$A:$A,0))),"Screen: "&amp;AC112))</f>
        <v/>
      </c>
      <c r="V112" s="60" t="n"/>
      <c r="W112" s="60" t="n"/>
      <c r="X112" s="60" t="n"/>
      <c r="Y112" s="60" t="n"/>
      <c r="Z112" s="60" t="n"/>
      <c r="AA112" s="65" t="n"/>
      <c r="AB112" s="66" t="n"/>
      <c r="AC112" s="66" t="n"/>
      <c r="AD112" s="66" t="n"/>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66" t="n"/>
      <c r="AJ112" s="66" t="n"/>
      <c r="AK112" s="66" t="n"/>
      <c r="AL112" s="59">
        <f>IF(AND(OR(W112="Watching",W112="Preparing"),ISNUMBER(Q112)),IF(AND(Q112&gt;='Friday Summary'!$C$4,Q112&lt;='Friday Summary'!$C$4+14),Q112+ROW()/1000000,""),"")</f>
        <v/>
      </c>
    </row>
    <row r="113" ht="15" customHeight="1" s="51">
      <c r="A113" s="59">
        <f>IF(B113="","","OP-"&amp;TEXT(ROW()-4,"000"))</f>
        <v/>
      </c>
      <c r="B113" s="60" t="n"/>
      <c r="C113" s="61" t="n"/>
      <c r="D113" s="60" t="n"/>
      <c r="E113" s="60" t="n"/>
      <c r="F113" s="60" t="n"/>
      <c r="G113" s="60" t="n"/>
      <c r="H113" s="60" t="n"/>
      <c r="I113" s="60" t="n"/>
      <c r="J113" s="60" t="n"/>
      <c r="K113" s="60" t="n"/>
      <c r="L113" s="60" t="n"/>
      <c r="M113" s="62" t="n"/>
      <c r="N113" s="60" t="n"/>
      <c r="O113" s="61" t="n"/>
      <c r="P113" s="61" t="n"/>
      <c r="Q113" s="63" t="n"/>
      <c r="R113" s="60" t="n"/>
      <c r="S113" s="60" t="n"/>
      <c r="T113" s="64">
        <f>IF(A113="","",IFERROR(INDEX('Bid-NoBid'!$T:$T,MATCH(A113,'Bid-NoBid'!$A:$A,0)),""))</f>
        <v/>
      </c>
      <c r="U113" s="59">
        <f>IF(A113="","",IFERROR(IF(OR(INDEX('Bid-NoBid'!$U:$U,MATCH(A113,'Bid-NoBid'!$A:$A,0))="",LEFT(INDEX('Bid-NoBid'!$U:$U,MATCH(A113,'Bid-NoBid'!$A:$A,0)),10)="Incomplete"),"Screen: "&amp;AC113,INDEX('Bid-NoBid'!$U:$U,MATCH(A113,'Bid-NoBid'!$A:$A,0))),"Screen: "&amp;AC113))</f>
        <v/>
      </c>
      <c r="V113" s="60" t="n"/>
      <c r="W113" s="60" t="n"/>
      <c r="X113" s="60" t="n"/>
      <c r="Y113" s="60" t="n"/>
      <c r="Z113" s="60" t="n"/>
      <c r="AA113" s="65" t="n"/>
      <c r="AB113" s="66" t="n"/>
      <c r="AC113" s="66" t="n"/>
      <c r="AD113" s="66" t="n"/>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66" t="n"/>
      <c r="AJ113" s="66" t="n"/>
      <c r="AK113" s="66" t="n"/>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2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50"/>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2026-10-05T05:03:50Z</dcterms:modified>
  <cp:revision>0</cp:revision>
</cp:coreProperties>
</file>