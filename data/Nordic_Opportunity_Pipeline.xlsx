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46325.66666666666</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Deadline changed at source 29-Oct (was 29-Oct 14:00). 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70" t="inlineStr">
        <is>
          <t>75F2/2026/2027/W/07</t>
        </is>
      </c>
      <c r="C233" s="71" t="n">
        <v>46323</v>
      </c>
      <c r="D233" s="70" t="inlineStr">
        <is>
          <t>NeST</t>
        </is>
      </c>
      <c r="E233" s="70" t="inlineStr">
        <is>
          <t>https://nest.go.tz/tenders/published-tenders</t>
        </is>
      </c>
      <c r="F233" s="70" t="inlineStr">
        <is>
          <t>Same District Council</t>
        </is>
      </c>
      <c r="G233" s="70" t="inlineStr">
        <is>
          <t>government</t>
        </is>
      </c>
      <c r="H233" s="70" t="inlineStr">
        <is>
          <t>Construction of Catch Drains, Compacted Embankment and Desilting Works at Terite Gully, Ruvu Ward, Same District Council</t>
        </is>
      </c>
      <c r="I233" s="70" t="inlineStr">
        <is>
          <t>From NeST notice (1 lot) – read the tender document</t>
        </is>
      </c>
      <c r="J233" s="70" t="inlineStr">
        <is>
          <t>Kilimanjaro (Same) (from client's office – confirm site)</t>
        </is>
      </c>
      <c r="K233" s="70" t="inlineStr">
        <is>
          <t>civil</t>
        </is>
      </c>
      <c r="L233" s="70" t="inlineStr">
        <is>
          <t>NeST login needed</t>
        </is>
      </c>
      <c r="M233" s="62" t="n"/>
      <c r="N233" s="70" t="inlineStr">
        <is>
          <t>unknown</t>
        </is>
      </c>
      <c r="O233" s="71" t="inlineStr">
        <is>
          <t>NeST login needed</t>
        </is>
      </c>
      <c r="P233" s="71" t="inlineStr">
        <is>
          <t>NeST login needed</t>
        </is>
      </c>
      <c r="Q233" s="72" t="n">
        <v>46329.41666666666</v>
      </c>
      <c r="R233" s="70" t="inlineStr">
        <is>
          <t>NeST login needed</t>
        </is>
      </c>
      <c r="S233" s="70" t="inlineStr">
        <is>
          <t>N</t>
        </is>
      </c>
      <c r="T233" s="64">
        <f>IF(A233="","",IFERROR(INDEX('Bid-NoBid'!$T:$T,MATCH(A233,'Bid-NoBid'!$A:$A,0)),""))</f>
        <v/>
      </c>
      <c r="U233" s="59">
        <f>IF(A233="","",IFERROR(IF(OR(INDEX('Bid-NoBid'!$U:$U,MATCH(A233,'Bid-NoBid'!$A:$A,0))="",LEFT(INDEX('Bid-NoBid'!$U:$U,MATCH(A233,'Bid-NoBid'!$A:$A,0)),10)="Incomplete"),"Screen: "&amp;AC233,INDEX('Bid-NoBid'!$U:$U,MATCH(A233,'Bid-NoBid'!$A:$A,0))),"Screen: "&amp;AC233))</f>
        <v/>
      </c>
      <c r="V233" s="60" t="n"/>
      <c r="W233" s="70" t="inlineStr">
        <is>
          <t>Watching</t>
        </is>
      </c>
      <c r="X233" s="70" t="inlineStr">
        <is>
          <t>Frank</t>
        </is>
      </c>
      <c r="Y233" s="60" t="n"/>
      <c r="Z233" s="60" t="n"/>
      <c r="AA233" s="73" t="n">
        <v>46322</v>
      </c>
      <c r="AB233" s="74" t="inlineStr">
        <is>
          <t>Standard Invitation for Quotations -Works / Planned Tender</t>
        </is>
      </c>
      <c r="AC233" s="74" t="inlineStr">
        <is>
          <t>Check</t>
        </is>
      </c>
      <c r="AD233" s="74" t="inlineStr">
        <is>
          <t>Auto (Standard Invitation for Quotations -Works / Planned Tender): Construction tender kept for review (would have been dropped: Remote civil works)</t>
        </is>
      </c>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74" t="inlineStr">
        <is>
          <t>Read the notice and decide with the QS Director whether to pursue</t>
        </is>
      </c>
      <c r="AJ233" s="74" t="inlineStr">
        <is>
          <t>Auto-scan</t>
        </is>
      </c>
      <c r="AK233" s="74" t="inlineStr">
        <is>
          <t>5aa31084-8950-4a9b-b36c-d381934e28a5</t>
        </is>
      </c>
      <c r="AL233" s="59">
        <f>IF(AND(OR(W233="Watching",W233="Preparing"),ISNUMBER(Q233)),IF(AND(Q233&gt;='Friday Summary'!$C$4,Q233&lt;='Friday Summary'!$C$4+14),Q233+ROW()/1000000,""),"")</f>
        <v/>
      </c>
    </row>
    <row r="234" ht="15" customHeight="1" s="51">
      <c r="A234" s="59">
        <f>IF(B234="","","OP-"&amp;TEXT(ROW()-4,"000"))</f>
        <v/>
      </c>
      <c r="B234" s="70" t="inlineStr">
        <is>
          <t>87V3/2026/2027/W/05</t>
        </is>
      </c>
      <c r="C234" s="71" t="n">
        <v>46323</v>
      </c>
      <c r="D234" s="70" t="inlineStr">
        <is>
          <t>NeST</t>
        </is>
      </c>
      <c r="E234" s="70" t="inlineStr">
        <is>
          <t>https://nest.go.tz/tenders/published-tenders</t>
        </is>
      </c>
      <c r="F234" s="70" t="inlineStr">
        <is>
          <t>Karagwe District Council</t>
        </is>
      </c>
      <c r="G234" s="70" t="inlineStr">
        <is>
          <t>government</t>
        </is>
      </c>
      <c r="H234" s="70" t="inlineStr">
        <is>
          <t>CONSTRUCTION OF A CONFERENCE HALL AT KARAGWE DISTRICT COUNCIL</t>
        </is>
      </c>
      <c r="I234" s="70" t="inlineStr">
        <is>
          <t>From NeST notice (1 lot) – read the tender document</t>
        </is>
      </c>
      <c r="J234" s="70" t="inlineStr">
        <is>
          <t>Kagera (from client's office – confirm site)</t>
        </is>
      </c>
      <c r="K234" s="70" t="inlineStr">
        <is>
          <t>building</t>
        </is>
      </c>
      <c r="L234" s="70" t="inlineStr">
        <is>
          <t>NeST login needed</t>
        </is>
      </c>
      <c r="M234" s="62" t="n"/>
      <c r="N234" s="70" t="inlineStr">
        <is>
          <t>unknown</t>
        </is>
      </c>
      <c r="O234" s="71" t="inlineStr">
        <is>
          <t>NeST login needed</t>
        </is>
      </c>
      <c r="P234" s="71" t="inlineStr">
        <is>
          <t>NeST login needed</t>
        </is>
      </c>
      <c r="Q234" s="72" t="n">
        <v>46329.58333333334</v>
      </c>
      <c r="R234" s="70" t="inlineStr">
        <is>
          <t>NeST login needed</t>
        </is>
      </c>
      <c r="S234" s="70" t="inlineStr">
        <is>
          <t>N</t>
        </is>
      </c>
      <c r="T234" s="64">
        <f>IF(A234="","",IFERROR(INDEX('Bid-NoBid'!$T:$T,MATCH(A234,'Bid-NoBid'!$A:$A,0)),""))</f>
        <v/>
      </c>
      <c r="U234" s="59">
        <f>IF(A234="","",IFERROR(IF(OR(INDEX('Bid-NoBid'!$U:$U,MATCH(A234,'Bid-NoBid'!$A:$A,0))="",LEFT(INDEX('Bid-NoBid'!$U:$U,MATCH(A234,'Bid-NoBid'!$A:$A,0)),10)="Incomplete"),"Screen: "&amp;AC234,INDEX('Bid-NoBid'!$U:$U,MATCH(A234,'Bid-NoBid'!$A:$A,0))),"Screen: "&amp;AC234))</f>
        <v/>
      </c>
      <c r="V234" s="60" t="n"/>
      <c r="W234" s="70" t="inlineStr">
        <is>
          <t>Watching</t>
        </is>
      </c>
      <c r="X234" s="70" t="inlineStr">
        <is>
          <t>Frank</t>
        </is>
      </c>
      <c r="Y234" s="60" t="n"/>
      <c r="Z234" s="60" t="n"/>
      <c r="AA234" s="73" t="n">
        <v>46322</v>
      </c>
      <c r="AB234" s="74" t="inlineStr">
        <is>
          <t>Design and Build / Tender</t>
        </is>
      </c>
      <c r="AC234" s="74" t="inlineStr">
        <is>
          <t>Check</t>
        </is>
      </c>
      <c r="AD234" s="74" t="inlineStr">
        <is>
          <t>Auto (Design and Build / Tender): Construction tender kept for review (would have been dropped: Remote and closing soon)</t>
        </is>
      </c>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74" t="inlineStr">
        <is>
          <t>Read the notice and decide with the QS Director whether to pursue</t>
        </is>
      </c>
      <c r="AJ234" s="74" t="inlineStr">
        <is>
          <t>Auto-scan</t>
        </is>
      </c>
      <c r="AK234" s="74" t="inlineStr">
        <is>
          <t>647a1f97-cca3-46c4-89b5-8fd473591032</t>
        </is>
      </c>
      <c r="AL234" s="59">
        <f>IF(AND(OR(W234="Watching",W234="Preparing"),ISNUMBER(Q234)),IF(AND(Q234&gt;='Friday Summary'!$C$4,Q234&lt;='Friday Summary'!$C$4+14),Q234+ROW()/1000000,""),"")</f>
        <v/>
      </c>
    </row>
    <row r="235" ht="15" customHeight="1" s="51">
      <c r="A235" s="59">
        <f>IF(B235="","","OP-"&amp;TEXT(ROW()-4,"000"))</f>
        <v/>
      </c>
      <c r="B235" s="70" t="inlineStr">
        <is>
          <t>00005/2026/2027/W/02</t>
        </is>
      </c>
      <c r="C235" s="71" t="n">
        <v>46323</v>
      </c>
      <c r="D235" s="70" t="inlineStr">
        <is>
          <t>NeST</t>
        </is>
      </c>
      <c r="E235" s="70" t="inlineStr">
        <is>
          <t>https://nest.go.tz/tenders/published-tenders</t>
        </is>
      </c>
      <c r="F235" s="70" t="inlineStr">
        <is>
          <t>National Irrigation Commission</t>
        </is>
      </c>
      <c r="G235" s="70" t="inlineStr">
        <is>
          <t>government</t>
        </is>
      </c>
      <c r="H235" s="70" t="inlineStr">
        <is>
          <t>Construction of Pump House, Supply and install pumps at Lukenge Irrigation Scheme Mvomero District Morogoro Region</t>
        </is>
      </c>
      <c r="I235" s="70" t="inlineStr">
        <is>
          <t>From NeST notice (1 lot) – read the tender document</t>
        </is>
      </c>
      <c r="J235" s="70" t="inlineStr">
        <is>
          <t>Morogoro</t>
        </is>
      </c>
      <c r="K235" s="70" t="inlineStr">
        <is>
          <t>civil</t>
        </is>
      </c>
      <c r="L235" s="70" t="inlineStr">
        <is>
          <t>NeST login needed</t>
        </is>
      </c>
      <c r="M235" s="62" t="n"/>
      <c r="N235" s="70" t="inlineStr">
        <is>
          <t>unknown</t>
        </is>
      </c>
      <c r="O235" s="71" t="inlineStr">
        <is>
          <t>NeST login needed</t>
        </is>
      </c>
      <c r="P235" s="71" t="inlineStr">
        <is>
          <t>NeST login needed</t>
        </is>
      </c>
      <c r="Q235" s="72" t="n">
        <v>46330.45833333334</v>
      </c>
      <c r="R235" s="70" t="inlineStr">
        <is>
          <t>NeST login needed</t>
        </is>
      </c>
      <c r="S235" s="70" t="inlineStr">
        <is>
          <t>N</t>
        </is>
      </c>
      <c r="T235" s="64">
        <f>IF(A235="","",IFERROR(INDEX('Bid-NoBid'!$T:$T,MATCH(A235,'Bid-NoBid'!$A:$A,0)),""))</f>
        <v/>
      </c>
      <c r="U235" s="59">
        <f>IF(A235="","",IFERROR(IF(OR(INDEX('Bid-NoBid'!$U:$U,MATCH(A235,'Bid-NoBid'!$A:$A,0))="",LEFT(INDEX('Bid-NoBid'!$U:$U,MATCH(A235,'Bid-NoBid'!$A:$A,0)),10)="Incomplete"),"Screen: "&amp;AC235,INDEX('Bid-NoBid'!$U:$U,MATCH(A235,'Bid-NoBid'!$A:$A,0))),"Screen: "&amp;AC235))</f>
        <v/>
      </c>
      <c r="V235" s="60" t="n"/>
      <c r="W235" s="70" t="inlineStr">
        <is>
          <t>Watching</t>
        </is>
      </c>
      <c r="X235" s="70" t="inlineStr">
        <is>
          <t>Frank</t>
        </is>
      </c>
      <c r="Y235" s="60" t="n"/>
      <c r="Z235" s="60" t="n"/>
      <c r="AA235" s="73" t="n">
        <v>46322</v>
      </c>
      <c r="AB235" s="74" t="inlineStr">
        <is>
          <t>Small Works / Tender</t>
        </is>
      </c>
      <c r="AC235" s="74" t="inlineStr">
        <is>
          <t>Check</t>
        </is>
      </c>
      <c r="AD235" s="74" t="inlineStr">
        <is>
          <t>Auto (Small Works / Tender): Civil works – confirm site, CRB class and margin</t>
        </is>
      </c>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74" t="inlineStr">
        <is>
          <t>Read the notice and decide with the QS Director whether to pursue</t>
        </is>
      </c>
      <c r="AJ235" s="74" t="inlineStr">
        <is>
          <t>Auto-scan</t>
        </is>
      </c>
      <c r="AK235" s="74" t="inlineStr">
        <is>
          <t>f9aae22b-a82a-432d-8c8e-250960c9da82</t>
        </is>
      </c>
      <c r="AL235" s="59">
        <f>IF(AND(OR(W235="Watching",W235="Preparing"),ISNUMBER(Q235)),IF(AND(Q235&gt;='Friday Summary'!$C$4,Q235&lt;='Friday Summary'!$C$4+14),Q235+ROW()/1000000,""),"")</f>
        <v/>
      </c>
    </row>
    <row r="236" ht="15" customHeight="1" s="51">
      <c r="A236" s="59">
        <f>IF(B236="","","OP-"&amp;TEXT(ROW()-4,"000"))</f>
        <v/>
      </c>
      <c r="B236" s="70" t="inlineStr">
        <is>
          <t>TR24/001/2026/2027/W/03</t>
        </is>
      </c>
      <c r="C236" s="71" t="n">
        <v>46323</v>
      </c>
      <c r="D236" s="70" t="inlineStr">
        <is>
          <t>NeST</t>
        </is>
      </c>
      <c r="E236" s="70" t="inlineStr">
        <is>
          <t>https://nest.go.tz/tenders/published-tenders</t>
        </is>
      </c>
      <c r="F236" s="70" t="inlineStr">
        <is>
          <t>Gas Company (tanzania) Limited</t>
        </is>
      </c>
      <c r="G236" s="70" t="inlineStr">
        <is>
          <t>parastatal (verify)</t>
        </is>
      </c>
      <c r="H236" s="70" t="inlineStr">
        <is>
          <t>Maintenance of Access Roads - Gas Pipeline</t>
        </is>
      </c>
      <c r="I236" s="70" t="inlineStr">
        <is>
          <t>From NeST notice (1 lot) – read the tender document</t>
        </is>
      </c>
      <c r="J236" s="70" t="inlineStr">
        <is>
          <t>Dar es Salaam (Ilala) (from client's office – confirm site)</t>
        </is>
      </c>
      <c r="K236" s="70" t="inlineStr">
        <is>
          <t>civil</t>
        </is>
      </c>
      <c r="L236" s="70" t="inlineStr">
        <is>
          <t>NeST login needed</t>
        </is>
      </c>
      <c r="M236" s="62" t="n"/>
      <c r="N236" s="70" t="inlineStr">
        <is>
          <t>unknown</t>
        </is>
      </c>
      <c r="O236" s="71" t="inlineStr">
        <is>
          <t>NeST login needed</t>
        </is>
      </c>
      <c r="P236" s="71" t="inlineStr">
        <is>
          <t>NeST login needed</t>
        </is>
      </c>
      <c r="Q236" s="72" t="n">
        <v>46332.58333333334</v>
      </c>
      <c r="R236" s="70" t="inlineStr">
        <is>
          <t>NeST login needed</t>
        </is>
      </c>
      <c r="S236" s="70" t="inlineStr">
        <is>
          <t>N</t>
        </is>
      </c>
      <c r="T236" s="64">
        <f>IF(A236="","",IFERROR(INDEX('Bid-NoBid'!$T:$T,MATCH(A236,'Bid-NoBid'!$A:$A,0)),""))</f>
        <v/>
      </c>
      <c r="U236" s="59">
        <f>IF(A236="","",IFERROR(IF(OR(INDEX('Bid-NoBid'!$U:$U,MATCH(A236,'Bid-NoBid'!$A:$A,0))="",LEFT(INDEX('Bid-NoBid'!$U:$U,MATCH(A236,'Bid-NoBid'!$A:$A,0)),10)="Incomplete"),"Screen: "&amp;AC236,INDEX('Bid-NoBid'!$U:$U,MATCH(A236,'Bid-NoBid'!$A:$A,0))),"Screen: "&amp;AC236))</f>
        <v/>
      </c>
      <c r="V236" s="60" t="n"/>
      <c r="W236" s="70" t="inlineStr">
        <is>
          <t>Watching</t>
        </is>
      </c>
      <c r="X236" s="70" t="inlineStr">
        <is>
          <t>Frank</t>
        </is>
      </c>
      <c r="Y236" s="60" t="n"/>
      <c r="Z236" s="60" t="n"/>
      <c r="AA236" s="73" t="n">
        <v>46322</v>
      </c>
      <c r="AB236" s="74" t="inlineStr">
        <is>
          <t>Small Works / Tender</t>
        </is>
      </c>
      <c r="AC236" s="74" t="inlineStr">
        <is>
          <t>Check</t>
        </is>
      </c>
      <c r="AD236" s="74" t="inlineStr">
        <is>
          <t>Auto (Small Works / Tender): Civil works in Dar/Coast – confirm CRB class and margin</t>
        </is>
      </c>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74" t="inlineStr">
        <is>
          <t>Read the notice and decide with the QS Director whether to pursue</t>
        </is>
      </c>
      <c r="AJ236" s="74" t="inlineStr">
        <is>
          <t>Auto-scan</t>
        </is>
      </c>
      <c r="AK236" s="74" t="inlineStr">
        <is>
          <t>d5b364cc-da56-430e-850c-835f22a063c7</t>
        </is>
      </c>
      <c r="AL236" s="59">
        <f>IF(AND(OR(W236="Watching",W236="Preparing"),ISNUMBER(Q236)),IF(AND(Q236&gt;='Friday Summary'!$C$4,Q236&lt;='Friday Summary'!$C$4+14),Q236+ROW()/1000000,""),"")</f>
        <v/>
      </c>
    </row>
    <row r="237" ht="15" customHeight="1" s="51">
      <c r="A237" s="59">
        <f>IF(B237="","","OP-"&amp;TEXT(ROW()-4,"000"))</f>
        <v/>
      </c>
      <c r="B237" s="70" t="inlineStr">
        <is>
          <t>72C6/2026/2027/W/05</t>
        </is>
      </c>
      <c r="C237" s="71" t="n">
        <v>46324</v>
      </c>
      <c r="D237" s="70" t="inlineStr">
        <is>
          <t>NeST</t>
        </is>
      </c>
      <c r="E237" s="70" t="inlineStr">
        <is>
          <t>https://nest.go.tz/tenders/published-tenders</t>
        </is>
      </c>
      <c r="F237" s="70" t="inlineStr">
        <is>
          <t>Chamwino District Council</t>
        </is>
      </c>
      <c r="G237" s="70" t="inlineStr">
        <is>
          <t>government</t>
        </is>
      </c>
      <c r="H237" s="70" t="inlineStr">
        <is>
          <t>Construction of a Livestock Dipping Tank</t>
        </is>
      </c>
      <c r="I237" s="70" t="inlineStr">
        <is>
          <t>From NeST notice (1 lot) – read the tender document</t>
        </is>
      </c>
      <c r="J237" s="70" t="inlineStr">
        <is>
          <t>Dodoma (Chamwino) (from client's office – confirm site)</t>
        </is>
      </c>
      <c r="K237" s="70" t="inlineStr">
        <is>
          <t>building</t>
        </is>
      </c>
      <c r="L237" s="70" t="inlineStr">
        <is>
          <t>NeST login needed</t>
        </is>
      </c>
      <c r="M237" s="62" t="n"/>
      <c r="N237" s="70" t="inlineStr">
        <is>
          <t>unknown</t>
        </is>
      </c>
      <c r="O237" s="71" t="inlineStr">
        <is>
          <t>NeST login needed</t>
        </is>
      </c>
      <c r="P237" s="71" t="inlineStr">
        <is>
          <t>NeST login needed</t>
        </is>
      </c>
      <c r="Q237" s="72" t="n">
        <v>46328.58333333334</v>
      </c>
      <c r="R237" s="70" t="inlineStr">
        <is>
          <t>NeST login needed</t>
        </is>
      </c>
      <c r="S237" s="70" t="inlineStr">
        <is>
          <t>N</t>
        </is>
      </c>
      <c r="T237" s="64">
        <f>IF(A237="","",IFERROR(INDEX('Bid-NoBid'!$T:$T,MATCH(A237,'Bid-NoBid'!$A:$A,0)),""))</f>
        <v/>
      </c>
      <c r="U237" s="59">
        <f>IF(A237="","",IFERROR(IF(OR(INDEX('Bid-NoBid'!$U:$U,MATCH(A237,'Bid-NoBid'!$A:$A,0))="",LEFT(INDEX('Bid-NoBid'!$U:$U,MATCH(A237,'Bid-NoBid'!$A:$A,0)),10)="Incomplete"),"Screen: "&amp;AC237,INDEX('Bid-NoBid'!$U:$U,MATCH(A237,'Bid-NoBid'!$A:$A,0))),"Screen: "&amp;AC237))</f>
        <v/>
      </c>
      <c r="V237" s="60" t="n"/>
      <c r="W237" s="70" t="inlineStr">
        <is>
          <t>Watching</t>
        </is>
      </c>
      <c r="X237" s="70" t="inlineStr">
        <is>
          <t>Frank</t>
        </is>
      </c>
      <c r="Y237" s="60" t="n"/>
      <c r="Z237" s="60" t="n"/>
      <c r="AA237" s="73" t="n">
        <v>46321</v>
      </c>
      <c r="AB237" s="74" t="inlineStr">
        <is>
          <t>Standard Invitation for Quotations -Works / Planned Tender</t>
        </is>
      </c>
      <c r="AC237" s="74" t="inlineStr">
        <is>
          <t>Check</t>
        </is>
      </c>
      <c r="AD237" s="74" t="inlineStr">
        <is>
          <t>Auto (Standard Invitation for Quotations -Works / Planned Tender): Quotation route – value may be below TZS 200m</t>
        </is>
      </c>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74" t="inlineStr">
        <is>
          <t>Read the notice and decide with the QS Director whether to pursue</t>
        </is>
      </c>
      <c r="AJ237" s="74" t="inlineStr">
        <is>
          <t>Auto-scan</t>
        </is>
      </c>
      <c r="AK237" s="74" t="inlineStr">
        <is>
          <t>e130eb08-1b14-473b-bf91-eb579d8a1f9f</t>
        </is>
      </c>
      <c r="AL237" s="59">
        <f>IF(AND(OR(W237="Watching",W237="Preparing"),ISNUMBER(Q237)),IF(AND(Q237&gt;='Friday Summary'!$C$4,Q237&lt;='Friday Summary'!$C$4+14),Q237+ROW()/1000000,""),"")</f>
        <v/>
      </c>
    </row>
    <row r="238" ht="15" customHeight="1" s="51">
      <c r="A238" s="59">
        <f>IF(B238="","","OP-"&amp;TEXT(ROW()-4,"000"))</f>
        <v/>
      </c>
      <c r="B238" s="70" t="inlineStr">
        <is>
          <t>TR43/2026/2027/W/01</t>
        </is>
      </c>
      <c r="C238" s="71" t="n">
        <v>46324</v>
      </c>
      <c r="D238" s="70" t="inlineStr">
        <is>
          <t>NeST</t>
        </is>
      </c>
      <c r="E238" s="70" t="inlineStr">
        <is>
          <t>https://nest.go.tz/tenders/published-tenders</t>
        </is>
      </c>
      <c r="F238" s="70" t="inlineStr">
        <is>
          <t>Tanzania Library Service Board</t>
        </is>
      </c>
      <c r="G238" s="70" t="inlineStr">
        <is>
          <t>government</t>
        </is>
      </c>
      <c r="H238" s="70" t="inlineStr">
        <is>
          <t>Construction and Rehabilitation of SLADS buildings in Bagamoyo and Dar es Salaam Campus.</t>
        </is>
      </c>
      <c r="I238" s="70" t="inlineStr">
        <is>
          <t>From NeST notice (1 lot) – read the tender document</t>
        </is>
      </c>
      <c r="J238" s="70" t="inlineStr">
        <is>
          <t>Pwani (Bagamoyo)</t>
        </is>
      </c>
      <c r="K238" s="70" t="inlineStr">
        <is>
          <t>renovation</t>
        </is>
      </c>
      <c r="L238" s="70" t="inlineStr">
        <is>
          <t>NeST login needed</t>
        </is>
      </c>
      <c r="M238" s="62" t="n"/>
      <c r="N238" s="70" t="inlineStr">
        <is>
          <t>unknown</t>
        </is>
      </c>
      <c r="O238" s="71" t="inlineStr">
        <is>
          <t>NeST login needed</t>
        </is>
      </c>
      <c r="P238" s="71" t="inlineStr">
        <is>
          <t>NeST login needed</t>
        </is>
      </c>
      <c r="Q238" s="72" t="n">
        <v>46329.4375</v>
      </c>
      <c r="R238" s="70" t="inlineStr">
        <is>
          <t>NeST login needed</t>
        </is>
      </c>
      <c r="S238" s="70" t="inlineStr">
        <is>
          <t>N</t>
        </is>
      </c>
      <c r="T238" s="64">
        <f>IF(A238="","",IFERROR(INDEX('Bid-NoBid'!$T:$T,MATCH(A238,'Bid-NoBid'!$A:$A,0)),""))</f>
        <v/>
      </c>
      <c r="U238" s="59">
        <f>IF(A238="","",IFERROR(IF(OR(INDEX('Bid-NoBid'!$U:$U,MATCH(A238,'Bid-NoBid'!$A:$A,0))="",LEFT(INDEX('Bid-NoBid'!$U:$U,MATCH(A238,'Bid-NoBid'!$A:$A,0)),10)="Incomplete"),"Screen: "&amp;AC238,INDEX('Bid-NoBid'!$U:$U,MATCH(A238,'Bid-NoBid'!$A:$A,0))),"Screen: "&amp;AC238))</f>
        <v/>
      </c>
      <c r="V238" s="60" t="n"/>
      <c r="W238" s="70" t="inlineStr">
        <is>
          <t>Watching</t>
        </is>
      </c>
      <c r="X238" s="70" t="inlineStr">
        <is>
          <t>Frank</t>
        </is>
      </c>
      <c r="Y238" s="60" t="n"/>
      <c r="Z238" s="60" t="n"/>
      <c r="AA238" s="73" t="n">
        <v>46323</v>
      </c>
      <c r="AB238" s="74" t="inlineStr">
        <is>
          <t>Small Works / Tender</t>
        </is>
      </c>
      <c r="AC238" s="74" t="inlineStr">
        <is>
          <t>Pursue</t>
        </is>
      </c>
      <c r="AD238" s="74" t="inlineStr">
        <is>
          <t>Auto (Small Works / Tender): Building works within reach of Dar</t>
        </is>
      </c>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74" t="inlineStr">
        <is>
          <t>Get the tender document, confirm value, CRB class, site visit and bid security; brief the MD</t>
        </is>
      </c>
      <c r="AJ238" s="74" t="inlineStr">
        <is>
          <t>Auto-scan</t>
        </is>
      </c>
      <c r="AK238" s="74" t="inlineStr">
        <is>
          <t>1ae2a333-1528-498d-9ecb-670624eb6cd1</t>
        </is>
      </c>
      <c r="AL238" s="59">
        <f>IF(AND(OR(W238="Watching",W238="Preparing"),ISNUMBER(Q238)),IF(AND(Q238&gt;='Friday Summary'!$C$4,Q238&lt;='Friday Summary'!$C$4+14),Q238+ROW()/1000000,""),"")</f>
        <v/>
      </c>
    </row>
    <row r="239" ht="15" customHeight="1" s="51">
      <c r="A239" s="59">
        <f>IF(B239="","","OP-"&amp;TEXT(ROW()-4,"000"))</f>
        <v/>
      </c>
      <c r="B239" s="70" t="inlineStr">
        <is>
          <t>72C5/2026/2027/W/05</t>
        </is>
      </c>
      <c r="C239" s="71" t="n">
        <v>46324</v>
      </c>
      <c r="D239" s="70" t="inlineStr">
        <is>
          <t>NeST</t>
        </is>
      </c>
      <c r="E239" s="70" t="inlineStr">
        <is>
          <t>https://nest.go.tz/tenders/published-tenders</t>
        </is>
      </c>
      <c r="F239" s="70" t="inlineStr">
        <is>
          <t>Bahi District Council</t>
        </is>
      </c>
      <c r="G239" s="70" t="inlineStr">
        <is>
          <t>government</t>
        </is>
      </c>
      <c r="H239" s="70" t="inlineStr">
        <is>
          <t>Construction of a typical point-Source water project</t>
        </is>
      </c>
      <c r="I239" s="70" t="inlineStr">
        <is>
          <t>From NeST notice (1 lot) – read the tender document</t>
        </is>
      </c>
      <c r="J239" s="70" t="inlineStr">
        <is>
          <t>Dodoma (from client's office – confirm site)</t>
        </is>
      </c>
      <c r="K239" s="70" t="inlineStr">
        <is>
          <t>civil</t>
        </is>
      </c>
      <c r="L239" s="70" t="inlineStr">
        <is>
          <t>NeST login needed</t>
        </is>
      </c>
      <c r="M239" s="62" t="n"/>
      <c r="N239" s="70" t="inlineStr">
        <is>
          <t>unknown</t>
        </is>
      </c>
      <c r="O239" s="71" t="inlineStr">
        <is>
          <t>NeST login needed</t>
        </is>
      </c>
      <c r="P239" s="71" t="inlineStr">
        <is>
          <t>NeST login needed</t>
        </is>
      </c>
      <c r="Q239" s="72" t="n">
        <v>46329.58333333334</v>
      </c>
      <c r="R239" s="70" t="inlineStr">
        <is>
          <t>NeST login needed</t>
        </is>
      </c>
      <c r="S239" s="70" t="inlineStr">
        <is>
          <t>N</t>
        </is>
      </c>
      <c r="T239" s="64">
        <f>IF(A239="","",IFERROR(INDEX('Bid-NoBid'!$T:$T,MATCH(A239,'Bid-NoBid'!$A:$A,0)),""))</f>
        <v/>
      </c>
      <c r="U239" s="59">
        <f>IF(A239="","",IFERROR(IF(OR(INDEX('Bid-NoBid'!$U:$U,MATCH(A239,'Bid-NoBid'!$A:$A,0))="",LEFT(INDEX('Bid-NoBid'!$U:$U,MATCH(A239,'Bid-NoBid'!$A:$A,0)),10)="Incomplete"),"Screen: "&amp;AC239,INDEX('Bid-NoBid'!$U:$U,MATCH(A239,'Bid-NoBid'!$A:$A,0))),"Screen: "&amp;AC239))</f>
        <v/>
      </c>
      <c r="V239" s="60" t="n"/>
      <c r="W239" s="70" t="inlineStr">
        <is>
          <t>Watching</t>
        </is>
      </c>
      <c r="X239" s="70" t="inlineStr">
        <is>
          <t>Frank</t>
        </is>
      </c>
      <c r="Y239" s="60" t="n"/>
      <c r="Z239" s="60" t="n"/>
      <c r="AA239" s="73" t="n">
        <v>46323</v>
      </c>
      <c r="AB239" s="74" t="inlineStr">
        <is>
          <t>Small Works / Tender</t>
        </is>
      </c>
      <c r="AC239" s="74" t="inlineStr">
        <is>
          <t>Check</t>
        </is>
      </c>
      <c r="AD239" s="74" t="inlineStr">
        <is>
          <t>Auto (Small Works / Tender): Civil works – confirm site, CRB class and margin</t>
        </is>
      </c>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74" t="inlineStr">
        <is>
          <t>Read the notice and decide with the QS Director whether to pursue</t>
        </is>
      </c>
      <c r="AJ239" s="74" t="inlineStr">
        <is>
          <t>Auto-scan</t>
        </is>
      </c>
      <c r="AK239" s="74" t="inlineStr">
        <is>
          <t>a0774212-e861-4784-823b-a29911b64594</t>
        </is>
      </c>
      <c r="AL239" s="59">
        <f>IF(AND(OR(W239="Watching",W239="Preparing"),ISNUMBER(Q239)),IF(AND(Q239&gt;='Friday Summary'!$C$4,Q239&lt;='Friday Summary'!$C$4+14),Q239+ROW()/1000000,""),"")</f>
        <v/>
      </c>
    </row>
    <row r="240" ht="15" customHeight="1" s="51">
      <c r="A240" s="59">
        <f>IF(B240="","","OP-"&amp;TEXT(ROW()-4,"000"))</f>
        <v/>
      </c>
      <c r="B240" s="70" t="inlineStr">
        <is>
          <t>52/2026/2027/W/22</t>
        </is>
      </c>
      <c r="C240" s="71" t="n">
        <v>46324</v>
      </c>
      <c r="D240" s="70" t="inlineStr">
        <is>
          <t>NeST</t>
        </is>
      </c>
      <c r="E240" s="70" t="inlineStr">
        <is>
          <t>https://nest.go.tz/tenders/published-tenders</t>
        </is>
      </c>
      <c r="F240" s="70" t="inlineStr">
        <is>
          <t>Ministry of Health</t>
        </is>
      </c>
      <c r="G240" s="70" t="inlineStr">
        <is>
          <t>government</t>
        </is>
      </c>
      <c r="H240" s="70" t="inlineStr">
        <is>
          <t>Proposed Construction of academic Complex at Tanga collage of Health and allied Science-DHR (TMCHIP)</t>
        </is>
      </c>
      <c r="I240" s="70" t="inlineStr">
        <is>
          <t>From NeST notice (1 lot) – read the tender document</t>
        </is>
      </c>
      <c r="J240" s="70" t="inlineStr">
        <is>
          <t>Tanga</t>
        </is>
      </c>
      <c r="K240" s="70" t="inlineStr">
        <is>
          <t>building</t>
        </is>
      </c>
      <c r="L240" s="70" t="inlineStr">
        <is>
          <t>NeST login needed</t>
        </is>
      </c>
      <c r="M240" s="62" t="n"/>
      <c r="N240" s="70" t="inlineStr">
        <is>
          <t>unknown</t>
        </is>
      </c>
      <c r="O240" s="71" t="inlineStr">
        <is>
          <t>NeST login needed</t>
        </is>
      </c>
      <c r="P240" s="71" t="inlineStr">
        <is>
          <t>NeST login needed</t>
        </is>
      </c>
      <c r="Q240" s="72" t="n">
        <v>46331.625</v>
      </c>
      <c r="R240" s="70" t="inlineStr">
        <is>
          <t>NeST login needed</t>
        </is>
      </c>
      <c r="S240" s="70" t="inlineStr">
        <is>
          <t>N</t>
        </is>
      </c>
      <c r="T240" s="64">
        <f>IF(A240="","",IFERROR(INDEX('Bid-NoBid'!$T:$T,MATCH(A240,'Bid-NoBid'!$A:$A,0)),""))</f>
        <v/>
      </c>
      <c r="U240" s="59">
        <f>IF(A240="","",IFERROR(IF(OR(INDEX('Bid-NoBid'!$U:$U,MATCH(A240,'Bid-NoBid'!$A:$A,0))="",LEFT(INDEX('Bid-NoBid'!$U:$U,MATCH(A240,'Bid-NoBid'!$A:$A,0)),10)="Incomplete"),"Screen: "&amp;AC240,INDEX('Bid-NoBid'!$U:$U,MATCH(A240,'Bid-NoBid'!$A:$A,0))),"Screen: "&amp;AC240))</f>
        <v/>
      </c>
      <c r="V240" s="60" t="n"/>
      <c r="W240" s="70" t="inlineStr">
        <is>
          <t>Watching</t>
        </is>
      </c>
      <c r="X240" s="70" t="inlineStr">
        <is>
          <t>Frank</t>
        </is>
      </c>
      <c r="Y240" s="60" t="n"/>
      <c r="Z240" s="60" t="n"/>
      <c r="AA240" s="73" t="n">
        <v>46324</v>
      </c>
      <c r="AB240" s="74" t="inlineStr">
        <is>
          <t>Small Works / Tender</t>
        </is>
      </c>
      <c r="AC240" s="74" t="inlineStr">
        <is>
          <t>Pursue</t>
        </is>
      </c>
      <c r="AD240" s="74" t="inlineStr">
        <is>
          <t>Auto (Small Works / Tender): Building works within reach of Dar</t>
        </is>
      </c>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74" t="inlineStr">
        <is>
          <t>Deadline changed at source 30-Oct (was 05-Nov 14:00). Get the tender document, confirm value, CRB class, site visit and bid security; brief the MD</t>
        </is>
      </c>
      <c r="AJ240" s="74" t="inlineStr">
        <is>
          <t>Auto-scan</t>
        </is>
      </c>
      <c r="AK240" s="74" t="inlineStr">
        <is>
          <t>73a313ea-031f-433a-9f14-3b8192fcc4d2</t>
        </is>
      </c>
      <c r="AL240" s="59">
        <f>IF(AND(OR(W240="Watching",W240="Preparing"),ISNUMBER(Q240)),IF(AND(Q240&gt;='Friday Summary'!$C$4,Q240&lt;='Friday Summary'!$C$4+14),Q240+ROW()/1000000,""),"")</f>
        <v/>
      </c>
    </row>
    <row r="241" ht="15" customHeight="1" s="51">
      <c r="A241" s="59">
        <f>IF(B241="","","OP-"&amp;TEXT(ROW()-4,"000"))</f>
        <v/>
      </c>
      <c r="B241" s="70" t="inlineStr">
        <is>
          <t>80L2/2026/2027/W/02</t>
        </is>
      </c>
      <c r="C241" s="71" t="n">
        <v>46324</v>
      </c>
      <c r="D241" s="70" t="inlineStr">
        <is>
          <t>NeST</t>
        </is>
      </c>
      <c r="E241" s="70" t="inlineStr">
        <is>
          <t>https://nest.go.tz/tenders/published-tenders</t>
        </is>
      </c>
      <c r="F241" s="70" t="inlineStr">
        <is>
          <t>Masasi District Council</t>
        </is>
      </c>
      <c r="G241" s="70" t="inlineStr">
        <is>
          <t>government</t>
        </is>
      </c>
      <c r="H241" s="70" t="inlineStr">
        <is>
          <t>Construction of Ground water tank 31,000ltrs and installation hand water pump with Installation of rain gutter system on near building structure built in Mitesa Secondary School, Lipumburu Secondary School, Mlingula Secondary School, Msikisi Secondary School, Namajani Secondary School,Mpanyani Secondary School,Temeke Secondary School, Jida Secondary Schoo,Matawale Secondary School and Masasi Technical Secondary School</t>
        </is>
      </c>
      <c r="I241" s="70" t="inlineStr">
        <is>
          <t>From NeST notice (3 lots) – read the tender document</t>
        </is>
      </c>
      <c r="J241" s="70" t="inlineStr">
        <is>
          <t>Dar es Salaam (Temeke)</t>
        </is>
      </c>
      <c r="K241" s="70" t="inlineStr">
        <is>
          <t>building</t>
        </is>
      </c>
      <c r="L241" s="70" t="inlineStr">
        <is>
          <t>NeST login needed</t>
        </is>
      </c>
      <c r="M241" s="62" t="n"/>
      <c r="N241" s="70" t="inlineStr">
        <is>
          <t>unknown</t>
        </is>
      </c>
      <c r="O241" s="71" t="inlineStr">
        <is>
          <t>NeST login needed</t>
        </is>
      </c>
      <c r="P241" s="71" t="inlineStr">
        <is>
          <t>NeST login needed</t>
        </is>
      </c>
      <c r="Q241" s="72" t="n">
        <v>46331.58333333334</v>
      </c>
      <c r="R241" s="70" t="inlineStr">
        <is>
          <t>NeST login needed</t>
        </is>
      </c>
      <c r="S241" s="70" t="inlineStr">
        <is>
          <t>N</t>
        </is>
      </c>
      <c r="T241" s="64">
        <f>IF(A241="","",IFERROR(INDEX('Bid-NoBid'!$T:$T,MATCH(A241,'Bid-NoBid'!$A:$A,0)),""))</f>
        <v/>
      </c>
      <c r="U241" s="59">
        <f>IF(A241="","",IFERROR(IF(OR(INDEX('Bid-NoBid'!$U:$U,MATCH(A241,'Bid-NoBid'!$A:$A,0))="",LEFT(INDEX('Bid-NoBid'!$U:$U,MATCH(A241,'Bid-NoBid'!$A:$A,0)),10)="Incomplete"),"Screen: "&amp;AC241,INDEX('Bid-NoBid'!$U:$U,MATCH(A241,'Bid-NoBid'!$A:$A,0))),"Screen: "&amp;AC241))</f>
        <v/>
      </c>
      <c r="V241" s="60" t="n"/>
      <c r="W241" s="70" t="inlineStr">
        <is>
          <t>Watching</t>
        </is>
      </c>
      <c r="X241" s="70" t="inlineStr">
        <is>
          <t>Frank</t>
        </is>
      </c>
      <c r="Y241" s="60" t="n"/>
      <c r="Z241" s="60" t="n"/>
      <c r="AA241" s="73" t="n">
        <v>46324</v>
      </c>
      <c r="AB241" s="74" t="inlineStr">
        <is>
          <t>Small Works / Tender</t>
        </is>
      </c>
      <c r="AC241" s="74" t="inlineStr">
        <is>
          <t>Pursue</t>
        </is>
      </c>
      <c r="AD241" s="74" t="inlineStr">
        <is>
          <t>Auto (Small Works / Tender): Building works within reach of Dar</t>
        </is>
      </c>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74" t="inlineStr">
        <is>
          <t>Get the tender document, confirm value, CRB class, site visit and bid security; brief the MD</t>
        </is>
      </c>
      <c r="AJ241" s="74" t="inlineStr">
        <is>
          <t>Auto-scan</t>
        </is>
      </c>
      <c r="AK241" s="74" t="inlineStr">
        <is>
          <t>b215d10f-d82f-46c5-a6db-e40060d280fd</t>
        </is>
      </c>
      <c r="AL241" s="59">
        <f>IF(AND(OR(W241="Watching",W241="Preparing"),ISNUMBER(Q241)),IF(AND(Q241&gt;='Friday Summary'!$C$4,Q241&lt;='Friday Summary'!$C$4+14),Q241+ROW()/1000000,""),"")</f>
        <v/>
      </c>
    </row>
    <row r="242" ht="15" customHeight="1" s="51">
      <c r="A242" s="59">
        <f>IF(B242="","","OP-"&amp;TEXT(ROW()-4,"000"))</f>
        <v/>
      </c>
      <c r="B242" s="70" t="inlineStr">
        <is>
          <t>52/2026/2027/W/25</t>
        </is>
      </c>
      <c r="C242" s="71" t="n">
        <v>46324</v>
      </c>
      <c r="D242" s="70" t="inlineStr">
        <is>
          <t>NeST</t>
        </is>
      </c>
      <c r="E242" s="70" t="inlineStr">
        <is>
          <t>https://nest.go.tz/tenders/published-tenders</t>
        </is>
      </c>
      <c r="F242" s="70" t="inlineStr">
        <is>
          <t>Ministry of Health</t>
        </is>
      </c>
      <c r="G242" s="70" t="inlineStr">
        <is>
          <t>government</t>
        </is>
      </c>
      <c r="H242" s="70" t="inlineStr">
        <is>
          <t>COMPLETION OF CONFERENCE BUILDING FOR EDUCATIONAL DEVELOPMENT IN HEALTH ARUSHA (CEDHA)</t>
        </is>
      </c>
      <c r="I242" s="70" t="inlineStr">
        <is>
          <t>From NeST notice (1 lot) – read the tender document</t>
        </is>
      </c>
      <c r="J242" s="70" t="inlineStr">
        <is>
          <t>Arusha</t>
        </is>
      </c>
      <c r="K242" s="70" t="inlineStr">
        <is>
          <t>building</t>
        </is>
      </c>
      <c r="L242" s="70" t="inlineStr">
        <is>
          <t>NeST login needed</t>
        </is>
      </c>
      <c r="M242" s="62" t="n"/>
      <c r="N242" s="70" t="inlineStr">
        <is>
          <t>unknown</t>
        </is>
      </c>
      <c r="O242" s="71" t="inlineStr">
        <is>
          <t>NeST login needed</t>
        </is>
      </c>
      <c r="P242" s="71" t="inlineStr">
        <is>
          <t>NeST login needed</t>
        </is>
      </c>
      <c r="Q242" s="72" t="n">
        <v>46331.58333333334</v>
      </c>
      <c r="R242" s="70" t="inlineStr">
        <is>
          <t>NeST login needed</t>
        </is>
      </c>
      <c r="S242" s="70" t="inlineStr">
        <is>
          <t>N</t>
        </is>
      </c>
      <c r="T242" s="64">
        <f>IF(A242="","",IFERROR(INDEX('Bid-NoBid'!$T:$T,MATCH(A242,'Bid-NoBid'!$A:$A,0)),""))</f>
        <v/>
      </c>
      <c r="U242" s="59">
        <f>IF(A242="","",IFERROR(IF(OR(INDEX('Bid-NoBid'!$U:$U,MATCH(A242,'Bid-NoBid'!$A:$A,0))="",LEFT(INDEX('Bid-NoBid'!$U:$U,MATCH(A242,'Bid-NoBid'!$A:$A,0)),10)="Incomplete"),"Screen: "&amp;AC242,INDEX('Bid-NoBid'!$U:$U,MATCH(A242,'Bid-NoBid'!$A:$A,0))),"Screen: "&amp;AC242))</f>
        <v/>
      </c>
      <c r="V242" s="60" t="n"/>
      <c r="W242" s="70" t="inlineStr">
        <is>
          <t>Watching</t>
        </is>
      </c>
      <c r="X242" s="70" t="inlineStr">
        <is>
          <t>Frank</t>
        </is>
      </c>
      <c r="Y242" s="60" t="n"/>
      <c r="Z242" s="60" t="n"/>
      <c r="AA242" s="73" t="n">
        <v>46324</v>
      </c>
      <c r="AB242" s="74" t="inlineStr">
        <is>
          <t>Small Works / Tender</t>
        </is>
      </c>
      <c r="AC242" s="74" t="inlineStr">
        <is>
          <t>Check</t>
        </is>
      </c>
      <c r="AD242" s="74" t="inlineStr">
        <is>
          <t>Auto (Small Works / Tender): Building works but remote from Dar</t>
        </is>
      </c>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74" t="inlineStr">
        <is>
          <t>Read the notice and decide with the QS Director whether to pursue</t>
        </is>
      </c>
      <c r="AJ242" s="74" t="inlineStr">
        <is>
          <t>Auto-scan</t>
        </is>
      </c>
      <c r="AK242" s="74" t="inlineStr">
        <is>
          <t>77233593-3658-46c9-95fb-b0afd6759b5b</t>
        </is>
      </c>
      <c r="AL242" s="59">
        <f>IF(AND(OR(W242="Watching",W242="Preparing"),ISNUMBER(Q242)),IF(AND(Q242&gt;='Friday Summary'!$C$4,Q242&lt;='Friday Summary'!$C$4+14),Q242+ROW()/1000000,""),"")</f>
        <v/>
      </c>
    </row>
    <row r="243" ht="15" customHeight="1" s="51">
      <c r="A243" s="59">
        <f>IF(B243="","","OP-"&amp;TEXT(ROW()-4,"000"))</f>
        <v/>
      </c>
      <c r="B243" s="70" t="inlineStr">
        <is>
          <t>S10/2026/2027/W/09</t>
        </is>
      </c>
      <c r="C243" s="71" t="n">
        <v>46324</v>
      </c>
      <c r="D243" s="70" t="inlineStr">
        <is>
          <t>NeST</t>
        </is>
      </c>
      <c r="E243" s="70" t="inlineStr">
        <is>
          <t>https://nest.go.tz/tenders/published-tenders</t>
        </is>
      </c>
      <c r="F243" s="70" t="inlineStr">
        <is>
          <t>Tanzania Rural and Urban Roads Agency</t>
        </is>
      </c>
      <c r="G243" s="70" t="inlineStr">
        <is>
          <t>government</t>
        </is>
      </c>
      <c r="H243" s="70" t="inlineStr">
        <is>
          <t>Construction of TARURA HQ Building at Block M, Plot 11, 12, and 13 in Njedengwa Investment Area, Dodoma CC</t>
        </is>
      </c>
      <c r="I243" s="70" t="inlineStr">
        <is>
          <t>From NeST notice (1 lot) – read the tender document</t>
        </is>
      </c>
      <c r="J243" s="70" t="inlineStr">
        <is>
          <t>Dodoma</t>
        </is>
      </c>
      <c r="K243" s="70" t="inlineStr">
        <is>
          <t>building</t>
        </is>
      </c>
      <c r="L243" s="70" t="inlineStr">
        <is>
          <t>NeST login needed</t>
        </is>
      </c>
      <c r="M243" s="62" t="n"/>
      <c r="N243" s="70" t="inlineStr">
        <is>
          <t>unknown</t>
        </is>
      </c>
      <c r="O243" s="71" t="inlineStr">
        <is>
          <t>NeST login needed</t>
        </is>
      </c>
      <c r="P243" s="71" t="inlineStr">
        <is>
          <t>NeST login needed</t>
        </is>
      </c>
      <c r="Q243" s="72" t="n">
        <v>46338.625</v>
      </c>
      <c r="R243" s="70" t="inlineStr">
        <is>
          <t>NeST login needed</t>
        </is>
      </c>
      <c r="S243" s="70" t="inlineStr">
        <is>
          <t>N</t>
        </is>
      </c>
      <c r="T243" s="64">
        <f>IF(A243="","",IFERROR(INDEX('Bid-NoBid'!$T:$T,MATCH(A243,'Bid-NoBid'!$A:$A,0)),""))</f>
        <v/>
      </c>
      <c r="U243" s="59">
        <f>IF(A243="","",IFERROR(IF(OR(INDEX('Bid-NoBid'!$U:$U,MATCH(A243,'Bid-NoBid'!$A:$A,0))="",LEFT(INDEX('Bid-NoBid'!$U:$U,MATCH(A243,'Bid-NoBid'!$A:$A,0)),10)="Incomplete"),"Screen: "&amp;AC243,INDEX('Bid-NoBid'!$U:$U,MATCH(A243,'Bid-NoBid'!$A:$A,0))),"Screen: "&amp;AC243))</f>
        <v/>
      </c>
      <c r="V243" s="60" t="n"/>
      <c r="W243" s="70" t="inlineStr">
        <is>
          <t>Watching</t>
        </is>
      </c>
      <c r="X243" s="70" t="inlineStr">
        <is>
          <t>Frank</t>
        </is>
      </c>
      <c r="Y243" s="60" t="n"/>
      <c r="Z243" s="60" t="n"/>
      <c r="AA243" s="73" t="n">
        <v>46324</v>
      </c>
      <c r="AB243" s="74" t="inlineStr">
        <is>
          <t>Small Works / Tender</t>
        </is>
      </c>
      <c r="AC243" s="74" t="inlineStr">
        <is>
          <t>Pursue</t>
        </is>
      </c>
      <c r="AD243" s="74" t="inlineStr">
        <is>
          <t>Auto (Small Works / Tender): Building works within reach of Dar</t>
        </is>
      </c>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74" t="inlineStr">
        <is>
          <t>Get the tender document, confirm value, CRB class, site visit and bid security; brief the MD</t>
        </is>
      </c>
      <c r="AJ243" s="74" t="inlineStr">
        <is>
          <t>Auto-scan</t>
        </is>
      </c>
      <c r="AK243" s="74" t="inlineStr">
        <is>
          <t>a751575d-daba-4d06-a3ff-8231446635b3</t>
        </is>
      </c>
      <c r="AL243" s="59">
        <f>IF(AND(OR(W243="Watching",W243="Preparing"),ISNUMBER(Q243)),IF(AND(Q243&gt;='Friday Summary'!$C$4,Q243&lt;='Friday Summary'!$C$4+14),Q243+ROW()/1000000,""),"")</f>
        <v/>
      </c>
    </row>
    <row r="244" ht="15" customHeight="1" s="51">
      <c r="A244" s="59">
        <f>IF(B244="","","OP-"&amp;TEXT(ROW()-4,"000"))</f>
        <v/>
      </c>
      <c r="B244" s="70" t="inlineStr">
        <is>
          <t>(not shown)</t>
        </is>
      </c>
      <c r="C244" s="71" t="n">
        <v>46324</v>
      </c>
      <c r="D244" s="70" t="inlineStr">
        <is>
          <t>press</t>
        </is>
      </c>
      <c r="E244" s="70" t="inlineStr">
        <is>
          <t>https://www.ddotenders.co.tz/tender.php?page=home</t>
        </is>
      </c>
      <c r="F244" s="70" t="inlineStr">
        <is>
          <t>NSSF</t>
        </is>
      </c>
      <c r="G244" s="70" t="inlineStr">
        <is>
          <t>government</t>
        </is>
      </c>
      <c r="H244" s="70" t="inlineStr">
        <is>
          <t>Lease hotel space</t>
        </is>
      </c>
      <c r="I244" s="70" t="inlineStr">
        <is>
          <t>From press notice (1 lot) – read the tender document</t>
        </is>
      </c>
      <c r="J244" s="70" t="inlineStr">
        <is>
          <t>Dar es Salaam</t>
        </is>
      </c>
      <c r="K244" s="70" t="inlineStr">
        <is>
          <t>building</t>
        </is>
      </c>
      <c r="L244" s="70" t="inlineStr">
        <is>
          <t>See tender document</t>
        </is>
      </c>
      <c r="M244" s="62" t="n"/>
      <c r="N244" s="70" t="inlineStr">
        <is>
          <t>unknown</t>
        </is>
      </c>
      <c r="O244" s="71" t="inlineStr">
        <is>
          <t>See tender document</t>
        </is>
      </c>
      <c r="P244" s="71" t="inlineStr">
        <is>
          <t>See tender document</t>
        </is>
      </c>
      <c r="Q244" s="72" t="n">
        <v>46383.41666666666</v>
      </c>
      <c r="R244" s="70" t="inlineStr">
        <is>
          <t>See tender document</t>
        </is>
      </c>
      <c r="S244" s="70" t="inlineStr">
        <is>
          <t>N</t>
        </is>
      </c>
      <c r="T244" s="64">
        <f>IF(A244="","",IFERROR(INDEX('Bid-NoBid'!$T:$T,MATCH(A244,'Bid-NoBid'!$A:$A,0)),""))</f>
        <v/>
      </c>
      <c r="U244" s="59">
        <f>IF(A244="","",IFERROR(IF(OR(INDEX('Bid-NoBid'!$U:$U,MATCH(A244,'Bid-NoBid'!$A:$A,0))="",LEFT(INDEX('Bid-NoBid'!$U:$U,MATCH(A244,'Bid-NoBid'!$A:$A,0)),10)="Incomplete"),"Screen: "&amp;AC244,INDEX('Bid-NoBid'!$U:$U,MATCH(A244,'Bid-NoBid'!$A:$A,0))),"Screen: "&amp;AC244))</f>
        <v/>
      </c>
      <c r="V244" s="60" t="n"/>
      <c r="W244" s="70" t="inlineStr">
        <is>
          <t>Watching</t>
        </is>
      </c>
      <c r="X244" s="70" t="inlineStr">
        <is>
          <t>Frank</t>
        </is>
      </c>
      <c r="Y244" s="60" t="n"/>
      <c r="Z244" s="60" t="n"/>
      <c r="AA244" s="73" t="n">
        <v>46324</v>
      </c>
      <c r="AB244" s="74" t="inlineStr">
        <is>
          <t>DDO Tenders (newspaper / private / donor)</t>
        </is>
      </c>
      <c r="AC244" s="74" t="inlineStr">
        <is>
          <t>Pursue</t>
        </is>
      </c>
      <c r="AD244" s="74" t="inlineStr">
        <is>
          <t>Auto (DDO Tenders): Building works within reach of Dar · deadline read from the web page – confirm</t>
        </is>
      </c>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74" t="inlineStr">
        <is>
          <t>Get the tender document, confirm value, CRB class, site visit and bid security; brief the MD</t>
        </is>
      </c>
      <c r="AJ244" s="74" t="inlineStr">
        <is>
          <t>Auto-scan</t>
        </is>
      </c>
      <c r="AK244" s="74" t="inlineStr">
        <is>
          <t>DDO:3108</t>
        </is>
      </c>
      <c r="AL244" s="59">
        <f>IF(AND(OR(W244="Watching",W244="Preparing"),ISNUMBER(Q244)),IF(AND(Q244&gt;='Friday Summary'!$C$4,Q244&lt;='Friday Summary'!$C$4+14),Q244+ROW()/1000000,""),"")</f>
        <v/>
      </c>
    </row>
    <row r="245" ht="15" customHeight="1" s="51">
      <c r="A245" s="59">
        <f>IF(B245="","","OP-"&amp;TEXT(ROW()-4,"000"))</f>
        <v/>
      </c>
      <c r="B245" s="70" t="inlineStr">
        <is>
          <t>75F2/2026/2027/W/09</t>
        </is>
      </c>
      <c r="C245" s="71" t="n">
        <v>46325</v>
      </c>
      <c r="D245" s="70" t="inlineStr">
        <is>
          <t>NeST</t>
        </is>
      </c>
      <c r="E245" s="70" t="inlineStr">
        <is>
          <t>https://nest.go.tz/tenders/published-tenders</t>
        </is>
      </c>
      <c r="F245" s="70" t="inlineStr">
        <is>
          <t>Same District Council</t>
        </is>
      </c>
      <c r="G245" s="70" t="inlineStr">
        <is>
          <t>government</t>
        </is>
      </c>
      <c r="H245" s="70" t="inlineStr">
        <is>
          <t>Rehabilitation of Livestock Watering Charco Dam, including Catch Drains, Desilting and Construction of Two Concrete Drifts at Njoro Ward, Same District Council</t>
        </is>
      </c>
      <c r="I245" s="70" t="inlineStr">
        <is>
          <t>From NeST notice (1 lot) – read the tender document</t>
        </is>
      </c>
      <c r="J245" s="70" t="inlineStr">
        <is>
          <t>Kilimanjaro (Same) (from client's office – confirm site)</t>
        </is>
      </c>
      <c r="K245" s="70" t="inlineStr">
        <is>
          <t>renovation</t>
        </is>
      </c>
      <c r="L245" s="70" t="inlineStr">
        <is>
          <t>NeST login needed</t>
        </is>
      </c>
      <c r="M245" s="62" t="n"/>
      <c r="N245" s="70" t="inlineStr">
        <is>
          <t>unknown</t>
        </is>
      </c>
      <c r="O245" s="71" t="inlineStr">
        <is>
          <t>NeST login needed</t>
        </is>
      </c>
      <c r="P245" s="71" t="inlineStr">
        <is>
          <t>NeST login needed</t>
        </is>
      </c>
      <c r="Q245" s="72" t="n">
        <v>46331.41666666666</v>
      </c>
      <c r="R245" s="70" t="inlineStr">
        <is>
          <t>NeST login needed</t>
        </is>
      </c>
      <c r="S245" s="70" t="inlineStr">
        <is>
          <t>N</t>
        </is>
      </c>
      <c r="T245" s="64">
        <f>IF(A245="","",IFERROR(INDEX('Bid-NoBid'!$T:$T,MATCH(A245,'Bid-NoBid'!$A:$A,0)),""))</f>
        <v/>
      </c>
      <c r="U245" s="59">
        <f>IF(A245="","",IFERROR(IF(OR(INDEX('Bid-NoBid'!$U:$U,MATCH(A245,'Bid-NoBid'!$A:$A,0))="",LEFT(INDEX('Bid-NoBid'!$U:$U,MATCH(A245,'Bid-NoBid'!$A:$A,0)),10)="Incomplete"),"Screen: "&amp;AC245,INDEX('Bid-NoBid'!$U:$U,MATCH(A245,'Bid-NoBid'!$A:$A,0))),"Screen: "&amp;AC245))</f>
        <v/>
      </c>
      <c r="V245" s="60" t="n"/>
      <c r="W245" s="70" t="inlineStr">
        <is>
          <t>Watching</t>
        </is>
      </c>
      <c r="X245" s="70" t="inlineStr">
        <is>
          <t>Frank</t>
        </is>
      </c>
      <c r="Y245" s="60" t="n"/>
      <c r="Z245" s="60" t="n"/>
      <c r="AA245" s="73" t="n">
        <v>46324</v>
      </c>
      <c r="AB245" s="74" t="inlineStr">
        <is>
          <t>Standard Invitation for Quotations -Works / Planned Tender</t>
        </is>
      </c>
      <c r="AC245" s="74" t="inlineStr">
        <is>
          <t>Check</t>
        </is>
      </c>
      <c r="AD245" s="74" t="inlineStr">
        <is>
          <t>Auto (Standard Invitation for Quotations -Works / Planned Tender): Construction tender kept for review (would have been dropped: Remote and closing soon)</t>
        </is>
      </c>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74" t="inlineStr">
        <is>
          <t>Read the notice and decide with the QS Director whether to pursue</t>
        </is>
      </c>
      <c r="AJ245" s="74" t="inlineStr">
        <is>
          <t>Auto-scan</t>
        </is>
      </c>
      <c r="AK245" s="74" t="inlineStr">
        <is>
          <t>b6c48224-be8d-41a7-afbc-548c47411583</t>
        </is>
      </c>
      <c r="AL245" s="59">
        <f>IF(AND(OR(W245="Watching",W245="Preparing"),ISNUMBER(Q245)),IF(AND(Q245&gt;='Friday Summary'!$C$4,Q245&lt;='Friday Summary'!$C$4+14),Q245+ROW()/1000000,""),"")</f>
        <v/>
      </c>
    </row>
    <row r="246" ht="15" customHeight="1" s="51">
      <c r="A246" s="59">
        <f>IF(B246="","","OP-"&amp;TEXT(ROW()-4,"000"))</f>
        <v/>
      </c>
      <c r="B246" s="70" t="inlineStr">
        <is>
          <t>S10/015/2026/2027/W/05</t>
        </is>
      </c>
      <c r="C246" s="71" t="n">
        <v>46325</v>
      </c>
      <c r="D246" s="70" t="inlineStr">
        <is>
          <t>NeST</t>
        </is>
      </c>
      <c r="E246" s="70" t="inlineStr">
        <is>
          <t>https://nest.go.tz/tenders/published-tenders</t>
        </is>
      </c>
      <c r="F246" s="70" t="inlineStr">
        <is>
          <t>TARURA - Mtwara Regional Office</t>
        </is>
      </c>
      <c r="G246" s="70" t="inlineStr">
        <is>
          <t>government</t>
        </is>
      </c>
      <c r="H246" s="70" t="inlineStr">
        <is>
          <t>Periodic Maintenance Works along Indian Qtrs Road, Tandika Road and other various Roads, and Construction of Concrete Culverts across Makonde Road, TANU-Magomeni Sokosela Road (Sokolidema) within Mtwara Mikindani Municipality</t>
        </is>
      </c>
      <c r="I246" s="70" t="inlineStr">
        <is>
          <t>From NeST notice (1 lot) – read the tender document</t>
        </is>
      </c>
      <c r="J246" s="70" t="inlineStr">
        <is>
          <t>Mtwara</t>
        </is>
      </c>
      <c r="K246" s="70" t="inlineStr">
        <is>
          <t>civil</t>
        </is>
      </c>
      <c r="L246" s="70" t="inlineStr">
        <is>
          <t>NeST login needed</t>
        </is>
      </c>
      <c r="M246" s="62" t="n"/>
      <c r="N246" s="70" t="inlineStr">
        <is>
          <t>unknown</t>
        </is>
      </c>
      <c r="O246" s="71" t="inlineStr">
        <is>
          <t>NeST login needed</t>
        </is>
      </c>
      <c r="P246" s="71" t="inlineStr">
        <is>
          <t>NeST login needed</t>
        </is>
      </c>
      <c r="Q246" s="72" t="n">
        <v>46331.41666666666</v>
      </c>
      <c r="R246" s="70" t="inlineStr">
        <is>
          <t>NeST login needed</t>
        </is>
      </c>
      <c r="S246" s="70" t="inlineStr">
        <is>
          <t>N</t>
        </is>
      </c>
      <c r="T246" s="64">
        <f>IF(A246="","",IFERROR(INDEX('Bid-NoBid'!$T:$T,MATCH(A246,'Bid-NoBid'!$A:$A,0)),""))</f>
        <v/>
      </c>
      <c r="U246" s="59">
        <f>IF(A246="","",IFERROR(IF(OR(INDEX('Bid-NoBid'!$U:$U,MATCH(A246,'Bid-NoBid'!$A:$A,0))="",LEFT(INDEX('Bid-NoBid'!$U:$U,MATCH(A246,'Bid-NoBid'!$A:$A,0)),10)="Incomplete"),"Screen: "&amp;AC246,INDEX('Bid-NoBid'!$U:$U,MATCH(A246,'Bid-NoBid'!$A:$A,0))),"Screen: "&amp;AC246))</f>
        <v/>
      </c>
      <c r="V246" s="60" t="n"/>
      <c r="W246" s="70" t="inlineStr">
        <is>
          <t>Watching</t>
        </is>
      </c>
      <c r="X246" s="70" t="inlineStr">
        <is>
          <t>Frank</t>
        </is>
      </c>
      <c r="Y246" s="60" t="n"/>
      <c r="Z246" s="60" t="n"/>
      <c r="AA246" s="73" t="n">
        <v>46324</v>
      </c>
      <c r="AB246" s="74" t="inlineStr">
        <is>
          <t>Small Works / Tender</t>
        </is>
      </c>
      <c r="AC246" s="74" t="inlineStr">
        <is>
          <t>Check</t>
        </is>
      </c>
      <c r="AD246" s="74" t="inlineStr">
        <is>
          <t>Auto (Small Works / Tender): Construction tender kept for review (would have been dropped: Remote civil works)</t>
        </is>
      </c>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74" t="inlineStr">
        <is>
          <t>Read the notice and decide with the QS Director whether to pursue</t>
        </is>
      </c>
      <c r="AJ246" s="74" t="inlineStr">
        <is>
          <t>Auto-scan</t>
        </is>
      </c>
      <c r="AK246" s="74" t="inlineStr">
        <is>
          <t>767c50c9-ddf3-466c-917f-ce9bee5db042</t>
        </is>
      </c>
      <c r="AL246" s="59">
        <f>IF(AND(OR(W246="Watching",W246="Preparing"),ISNUMBER(Q246)),IF(AND(Q246&gt;='Friday Summary'!$C$4,Q246&lt;='Friday Summary'!$C$4+14),Q246+ROW()/1000000,""),"")</f>
        <v/>
      </c>
    </row>
    <row r="247" ht="15" customHeight="1" s="51">
      <c r="A247" s="59">
        <f>IF(B247="","","OP-"&amp;TEXT(ROW()-4,"000"))</f>
        <v/>
      </c>
      <c r="B247" s="70" t="inlineStr">
        <is>
          <t>7205/2026/2027/W/13</t>
        </is>
      </c>
      <c r="C247" s="71" t="n">
        <v>46325</v>
      </c>
      <c r="D247" s="70" t="inlineStr">
        <is>
          <t>NeST</t>
        </is>
      </c>
      <c r="E247" s="70" t="inlineStr">
        <is>
          <t>https://nest.go.tz/tenders/published-tenders</t>
        </is>
      </c>
      <c r="F247" s="70" t="inlineStr">
        <is>
          <t>City Council of Dodoma</t>
        </is>
      </c>
      <c r="G247" s="70" t="inlineStr">
        <is>
          <t>government</t>
        </is>
      </c>
      <c r="H247" s="70" t="inlineStr">
        <is>
          <t>Construction of Chinyoya Secondary school at Kilimani ward in the City Council of Dodoma</t>
        </is>
      </c>
      <c r="I247" s="70" t="inlineStr">
        <is>
          <t>From NeST notice (1 lot) – read the tender document</t>
        </is>
      </c>
      <c r="J247" s="70" t="inlineStr">
        <is>
          <t>Dodoma</t>
        </is>
      </c>
      <c r="K247" s="70" t="inlineStr">
        <is>
          <t>building</t>
        </is>
      </c>
      <c r="L247" s="70" t="inlineStr">
        <is>
          <t>NeST login needed</t>
        </is>
      </c>
      <c r="M247" s="62" t="n"/>
      <c r="N247" s="70" t="inlineStr">
        <is>
          <t>unknown</t>
        </is>
      </c>
      <c r="O247" s="71" t="inlineStr">
        <is>
          <t>NeST login needed</t>
        </is>
      </c>
      <c r="P247" s="71" t="inlineStr">
        <is>
          <t>NeST login needed</t>
        </is>
      </c>
      <c r="Q247" s="72" t="n">
        <v>46331.41666666666</v>
      </c>
      <c r="R247" s="70" t="inlineStr">
        <is>
          <t>NeST login needed</t>
        </is>
      </c>
      <c r="S247" s="70" t="inlineStr">
        <is>
          <t>N</t>
        </is>
      </c>
      <c r="T247" s="64">
        <f>IF(A247="","",IFERROR(INDEX('Bid-NoBid'!$T:$T,MATCH(A247,'Bid-NoBid'!$A:$A,0)),""))</f>
        <v/>
      </c>
      <c r="U247" s="59">
        <f>IF(A247="","",IFERROR(IF(OR(INDEX('Bid-NoBid'!$U:$U,MATCH(A247,'Bid-NoBid'!$A:$A,0))="",LEFT(INDEX('Bid-NoBid'!$U:$U,MATCH(A247,'Bid-NoBid'!$A:$A,0)),10)="Incomplete"),"Screen: "&amp;AC247,INDEX('Bid-NoBid'!$U:$U,MATCH(A247,'Bid-NoBid'!$A:$A,0))),"Screen: "&amp;AC247))</f>
        <v/>
      </c>
      <c r="V247" s="60" t="n"/>
      <c r="W247" s="70" t="inlineStr">
        <is>
          <t>Watching</t>
        </is>
      </c>
      <c r="X247" s="70" t="inlineStr">
        <is>
          <t>Frank</t>
        </is>
      </c>
      <c r="Y247" s="60" t="n"/>
      <c r="Z247" s="60" t="n"/>
      <c r="AA247" s="73" t="n">
        <v>46324</v>
      </c>
      <c r="AB247" s="74" t="inlineStr">
        <is>
          <t>Small Works / Tender</t>
        </is>
      </c>
      <c r="AC247" s="74" t="inlineStr">
        <is>
          <t>Pursue</t>
        </is>
      </c>
      <c r="AD247" s="74" t="inlineStr">
        <is>
          <t>Auto (Small Works / Tender): Building works within reach of Dar</t>
        </is>
      </c>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74" t="inlineStr">
        <is>
          <t>Get the tender document, confirm value, CRB class, site visit and bid security; brief the MD</t>
        </is>
      </c>
      <c r="AJ247" s="74" t="inlineStr">
        <is>
          <t>Auto-scan</t>
        </is>
      </c>
      <c r="AK247" s="74" t="inlineStr">
        <is>
          <t>63499a79-7b39-4f52-814c-37d3d6da0043</t>
        </is>
      </c>
      <c r="AL247" s="59">
        <f>IF(AND(OR(W247="Watching",W247="Preparing"),ISNUMBER(Q247)),IF(AND(Q247&gt;='Friday Summary'!$C$4,Q247&lt;='Friday Summary'!$C$4+14),Q247+ROW()/1000000,""),"")</f>
        <v/>
      </c>
    </row>
    <row r="248" ht="15" customHeight="1" s="51">
      <c r="A248" s="59">
        <f>IF(B248="","","OP-"&amp;TEXT(ROW()-4,"000"))</f>
        <v/>
      </c>
      <c r="B248" s="70" t="inlineStr">
        <is>
          <t>TR36/008/2026/2027/W/11</t>
        </is>
      </c>
      <c r="C248" s="71" t="n">
        <v>46325</v>
      </c>
      <c r="D248" s="70" t="inlineStr">
        <is>
          <t>NeST</t>
        </is>
      </c>
      <c r="E248" s="70" t="inlineStr">
        <is>
          <t>https://nest.go.tz/tenders/published-tenders</t>
        </is>
      </c>
      <c r="F248" s="70" t="inlineStr">
        <is>
          <t>TANROADS - Kigoma Regional Office</t>
        </is>
      </c>
      <c r="G248" s="70" t="inlineStr">
        <is>
          <t>government</t>
        </is>
      </c>
      <c r="H248" s="70" t="inlineStr">
        <is>
          <t>Construction of Overhead Pedestrian Bridge along Trunk Roads for safety improvement</t>
        </is>
      </c>
      <c r="I248" s="70" t="inlineStr">
        <is>
          <t>From NeST notice (1 lot) – read the tender document</t>
        </is>
      </c>
      <c r="J248" s="70" t="inlineStr">
        <is>
          <t>Kigoma (from client's office – confirm site)</t>
        </is>
      </c>
      <c r="K248" s="70" t="inlineStr">
        <is>
          <t>civil</t>
        </is>
      </c>
      <c r="L248" s="70" t="inlineStr">
        <is>
          <t>NeST login needed</t>
        </is>
      </c>
      <c r="M248" s="62" t="n"/>
      <c r="N248" s="70" t="inlineStr">
        <is>
          <t>unknown</t>
        </is>
      </c>
      <c r="O248" s="71" t="inlineStr">
        <is>
          <t>NeST login needed</t>
        </is>
      </c>
      <c r="P248" s="71" t="inlineStr">
        <is>
          <t>NeST login needed</t>
        </is>
      </c>
      <c r="Q248" s="72" t="n">
        <v>46332.58333333334</v>
      </c>
      <c r="R248" s="70" t="inlineStr">
        <is>
          <t>NeST login needed</t>
        </is>
      </c>
      <c r="S248" s="70" t="inlineStr">
        <is>
          <t>N</t>
        </is>
      </c>
      <c r="T248" s="64">
        <f>IF(A248="","",IFERROR(INDEX('Bid-NoBid'!$T:$T,MATCH(A248,'Bid-NoBid'!$A:$A,0)),""))</f>
        <v/>
      </c>
      <c r="U248" s="59">
        <f>IF(A248="","",IFERROR(IF(OR(INDEX('Bid-NoBid'!$U:$U,MATCH(A248,'Bid-NoBid'!$A:$A,0))="",LEFT(INDEX('Bid-NoBid'!$U:$U,MATCH(A248,'Bid-NoBid'!$A:$A,0)),10)="Incomplete"),"Screen: "&amp;AC248,INDEX('Bid-NoBid'!$U:$U,MATCH(A248,'Bid-NoBid'!$A:$A,0))),"Screen: "&amp;AC248))</f>
        <v/>
      </c>
      <c r="V248" s="60" t="n"/>
      <c r="W248" s="70" t="inlineStr">
        <is>
          <t>Watching</t>
        </is>
      </c>
      <c r="X248" s="70" t="inlineStr">
        <is>
          <t>Frank</t>
        </is>
      </c>
      <c r="Y248" s="60" t="n"/>
      <c r="Z248" s="60" t="n"/>
      <c r="AA248" s="73" t="n">
        <v>46325</v>
      </c>
      <c r="AB248" s="74" t="inlineStr">
        <is>
          <t>Small Works / Tender</t>
        </is>
      </c>
      <c r="AC248" s="74" t="inlineStr">
        <is>
          <t>Check</t>
        </is>
      </c>
      <c r="AD248" s="74" t="inlineStr">
        <is>
          <t>Auto (Small Works / Tender): Construction tender kept for review (would have been dropped: Remote civil works)</t>
        </is>
      </c>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74" t="inlineStr">
        <is>
          <t>Read the notice and decide with the QS Director whether to pursue</t>
        </is>
      </c>
      <c r="AJ248" s="74" t="inlineStr">
        <is>
          <t>Auto-scan</t>
        </is>
      </c>
      <c r="AK248" s="74" t="inlineStr">
        <is>
          <t>8dea43b7-65d3-4ba5-8877-5e71907d54c8</t>
        </is>
      </c>
      <c r="AL248" s="59">
        <f>IF(AND(OR(W248="Watching",W248="Preparing"),ISNUMBER(Q248)),IF(AND(Q248&gt;='Friday Summary'!$C$4,Q248&lt;='Friday Summary'!$C$4+14),Q248+ROW()/1000000,""),"")</f>
        <v/>
      </c>
    </row>
    <row r="249" ht="15" customHeight="1" s="51">
      <c r="A249" s="59">
        <f>IF(B249="","","OP-"&amp;TEXT(ROW()-4,"000"))</f>
        <v/>
      </c>
      <c r="B249" s="70" t="inlineStr">
        <is>
          <t>TR152/002/2026/2027/W/03</t>
        </is>
      </c>
      <c r="C249" s="71" t="n">
        <v>46325</v>
      </c>
      <c r="D249" s="70" t="inlineStr">
        <is>
          <t>NeST</t>
        </is>
      </c>
      <c r="E249" s="70" t="inlineStr">
        <is>
          <t>https://nest.go.tz/tenders/published-tenders</t>
        </is>
      </c>
      <c r="F249" s="70" t="inlineStr">
        <is>
          <t>Bank of Tanzania Academy</t>
        </is>
      </c>
      <c r="G249" s="70" t="inlineStr">
        <is>
          <t>government</t>
        </is>
      </c>
      <c r="H249" s="70" t="inlineStr">
        <is>
          <t>Renovation of external area of the administration block at the Bank of Tanzania Academy, Mwanza</t>
        </is>
      </c>
      <c r="I249" s="70" t="inlineStr">
        <is>
          <t>From NeST notice (1 lot) – read the tender document</t>
        </is>
      </c>
      <c r="J249" s="70" t="inlineStr">
        <is>
          <t>Mwanza</t>
        </is>
      </c>
      <c r="K249" s="70" t="inlineStr">
        <is>
          <t>renovation</t>
        </is>
      </c>
      <c r="L249" s="70" t="inlineStr">
        <is>
          <t>NeST login needed</t>
        </is>
      </c>
      <c r="M249" s="62" t="n"/>
      <c r="N249" s="70" t="inlineStr">
        <is>
          <t>unknown</t>
        </is>
      </c>
      <c r="O249" s="71" t="inlineStr">
        <is>
          <t>NeST login needed</t>
        </is>
      </c>
      <c r="P249" s="71" t="inlineStr">
        <is>
          <t>NeST login needed</t>
        </is>
      </c>
      <c r="Q249" s="72" t="n">
        <v>46335.60416666666</v>
      </c>
      <c r="R249" s="70" t="inlineStr">
        <is>
          <t>NeST login needed</t>
        </is>
      </c>
      <c r="S249" s="70" t="inlineStr">
        <is>
          <t>N</t>
        </is>
      </c>
      <c r="T249" s="64">
        <f>IF(A249="","",IFERROR(INDEX('Bid-NoBid'!$T:$T,MATCH(A249,'Bid-NoBid'!$A:$A,0)),""))</f>
        <v/>
      </c>
      <c r="U249" s="59">
        <f>IF(A249="","",IFERROR(IF(OR(INDEX('Bid-NoBid'!$U:$U,MATCH(A249,'Bid-NoBid'!$A:$A,0))="",LEFT(INDEX('Bid-NoBid'!$U:$U,MATCH(A249,'Bid-NoBid'!$A:$A,0)),10)="Incomplete"),"Screen: "&amp;AC249,INDEX('Bid-NoBid'!$U:$U,MATCH(A249,'Bid-NoBid'!$A:$A,0))),"Screen: "&amp;AC249))</f>
        <v/>
      </c>
      <c r="V249" s="60" t="n"/>
      <c r="W249" s="70" t="inlineStr">
        <is>
          <t>Watching</t>
        </is>
      </c>
      <c r="X249" s="70" t="inlineStr">
        <is>
          <t>Frank</t>
        </is>
      </c>
      <c r="Y249" s="60" t="n"/>
      <c r="Z249" s="60" t="n"/>
      <c r="AA249" s="73" t="n">
        <v>46325</v>
      </c>
      <c r="AB249" s="74" t="inlineStr">
        <is>
          <t>Small Works / Tender</t>
        </is>
      </c>
      <c r="AC249" s="74" t="inlineStr">
        <is>
          <t>Check</t>
        </is>
      </c>
      <c r="AD249" s="74" t="inlineStr">
        <is>
          <t>Auto (Small Works / Tender): Building works but remote from Dar</t>
        </is>
      </c>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74" t="inlineStr">
        <is>
          <t>Read the notice and decide with the QS Director whether to pursue</t>
        </is>
      </c>
      <c r="AJ249" s="74" t="inlineStr">
        <is>
          <t>Auto-scan</t>
        </is>
      </c>
      <c r="AK249" s="74" t="inlineStr">
        <is>
          <t>348ca378-109a-4979-909b-85090caac06a</t>
        </is>
      </c>
      <c r="AL249" s="59">
        <f>IF(AND(OR(W249="Watching",W249="Preparing"),ISNUMBER(Q249)),IF(AND(Q249&gt;='Friday Summary'!$C$4,Q249&lt;='Friday Summary'!$C$4+14),Q249+ROW()/1000000,""),"")</f>
        <v/>
      </c>
    </row>
    <row r="250" ht="15" customHeight="1" s="51">
      <c r="A250" s="59">
        <f>IF(B250="","","OP-"&amp;TEXT(ROW()-4,"000"))</f>
        <v/>
      </c>
      <c r="B250" s="70" t="inlineStr">
        <is>
          <t>TR201/CCP/P155759/2026/2027/W/01</t>
        </is>
      </c>
      <c r="C250" s="71" t="n">
        <v>46325</v>
      </c>
      <c r="D250" s="70" t="inlineStr">
        <is>
          <t>NeST</t>
        </is>
      </c>
      <c r="E250" s="70" t="inlineStr">
        <is>
          <t>https://nest.go.tz/tenders/published-tenders</t>
        </is>
      </c>
      <c r="F250" s="70" t="inlineStr">
        <is>
          <t>Rufiji District Council</t>
        </is>
      </c>
      <c r="G250" s="70" t="inlineStr">
        <is>
          <t>government</t>
        </is>
      </c>
      <c r="H250" s="70" t="inlineStr">
        <is>
          <t>Construction of the Wall/Embankment at Mohoro.</t>
        </is>
      </c>
      <c r="I250" s="70" t="inlineStr">
        <is>
          <t>From NeST notice (1 lot) – read the tender document</t>
        </is>
      </c>
      <c r="J250" s="70" t="inlineStr">
        <is>
          <t>Pwani (Rufiji) (from client's office – confirm site)</t>
        </is>
      </c>
      <c r="K250" s="70" t="inlineStr">
        <is>
          <t>building</t>
        </is>
      </c>
      <c r="L250" s="70" t="inlineStr">
        <is>
          <t>NeST login needed</t>
        </is>
      </c>
      <c r="M250" s="62" t="n"/>
      <c r="N250" s="70" t="inlineStr">
        <is>
          <t>unknown</t>
        </is>
      </c>
      <c r="O250" s="71" t="inlineStr">
        <is>
          <t>NeST login needed</t>
        </is>
      </c>
      <c r="P250" s="71" t="inlineStr">
        <is>
          <t>NeST login needed</t>
        </is>
      </c>
      <c r="Q250" s="72" t="n">
        <v>46337.58333333334</v>
      </c>
      <c r="R250" s="70" t="inlineStr">
        <is>
          <t>NeST login needed</t>
        </is>
      </c>
      <c r="S250" s="70" t="inlineStr">
        <is>
          <t>N</t>
        </is>
      </c>
      <c r="T250" s="64">
        <f>IF(A250="","",IFERROR(INDEX('Bid-NoBid'!$T:$T,MATCH(A250,'Bid-NoBid'!$A:$A,0)),""))</f>
        <v/>
      </c>
      <c r="U250" s="59">
        <f>IF(A250="","",IFERROR(IF(OR(INDEX('Bid-NoBid'!$U:$U,MATCH(A250,'Bid-NoBid'!$A:$A,0))="",LEFT(INDEX('Bid-NoBid'!$U:$U,MATCH(A250,'Bid-NoBid'!$A:$A,0)),10)="Incomplete"),"Screen: "&amp;AC250,INDEX('Bid-NoBid'!$U:$U,MATCH(A250,'Bid-NoBid'!$A:$A,0))),"Screen: "&amp;AC250))</f>
        <v/>
      </c>
      <c r="V250" s="60" t="n"/>
      <c r="W250" s="70" t="inlineStr">
        <is>
          <t>Watching</t>
        </is>
      </c>
      <c r="X250" s="70" t="inlineStr">
        <is>
          <t>Frank</t>
        </is>
      </c>
      <c r="Y250" s="60" t="n"/>
      <c r="Z250" s="60" t="n"/>
      <c r="AA250" s="73" t="n">
        <v>46324</v>
      </c>
      <c r="AB250" s="74" t="inlineStr">
        <is>
          <t>World Bank - Request for Bids (Small Works) / Tender</t>
        </is>
      </c>
      <c r="AC250" s="74" t="inlineStr">
        <is>
          <t>Pursue</t>
        </is>
      </c>
      <c r="AD250" s="74" t="inlineStr">
        <is>
          <t>Auto (World Bank - Request for Bids): Building works within reach of Dar</t>
        </is>
      </c>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74" t="inlineStr">
        <is>
          <t>Get the tender document, confirm value, CRB class, site visit and bid security; brief the MD</t>
        </is>
      </c>
      <c r="AJ250" s="74" t="inlineStr">
        <is>
          <t>Auto-scan</t>
        </is>
      </c>
      <c r="AK250" s="74" t="inlineStr">
        <is>
          <t>11be6d69-fa8a-4f84-add6-519b9b4ddc42</t>
        </is>
      </c>
      <c r="AL250" s="59">
        <f>IF(AND(OR(W250="Watching",W250="Preparing"),ISNUMBER(Q250)),IF(AND(Q250&gt;='Friday Summary'!$C$4,Q250&lt;='Friday Summary'!$C$4+14),Q250+ROW()/1000000,""),"")</f>
        <v/>
      </c>
    </row>
    <row r="251" ht="15" customHeight="1" s="51">
      <c r="A251" s="59">
        <f>IF(B251="","","OP-"&amp;TEXT(ROW()-4,"000"))</f>
        <v/>
      </c>
      <c r="B251" s="70" t="inlineStr">
        <is>
          <t>(not shown)</t>
        </is>
      </c>
      <c r="C251" s="71" t="n">
        <v>46325</v>
      </c>
      <c r="D251" s="70" t="inlineStr">
        <is>
          <t>press</t>
        </is>
      </c>
      <c r="E251" s="70" t="inlineStr">
        <is>
          <t>https://www.tanzaniatenders.com/tender/lease-space-operating-kitchen-3-kia-staff-canteen-90aa936.php</t>
        </is>
      </c>
      <c r="F251" s="70" t="inlineStr">
        <is>
          <t>See advert</t>
        </is>
      </c>
      <c r="G251" s="70" t="inlineStr">
        <is>
          <t>government</t>
        </is>
      </c>
      <c r="H251" s="70" t="inlineStr">
        <is>
          <t>Lease of Space for Operating Kitchen 3 at Kia Staff Canteen</t>
        </is>
      </c>
      <c r="I251" s="70" t="inlineStr">
        <is>
          <t>From press notice (1 lot) – read the tender document</t>
        </is>
      </c>
      <c r="J251" s="70" t="inlineStr">
        <is>
          <t>Not stated – read the notice</t>
        </is>
      </c>
      <c r="K251" s="70" t="inlineStr">
        <is>
          <t>building</t>
        </is>
      </c>
      <c r="L251" s="70" t="inlineStr">
        <is>
          <t>See tender document</t>
        </is>
      </c>
      <c r="M251" s="62" t="n"/>
      <c r="N251" s="70" t="inlineStr">
        <is>
          <t>unknown</t>
        </is>
      </c>
      <c r="O251" s="71" t="inlineStr">
        <is>
          <t>See tender document</t>
        </is>
      </c>
      <c r="P251" s="71" t="inlineStr">
        <is>
          <t>See tender document</t>
        </is>
      </c>
      <c r="Q251" s="72" t="n">
        <v>46331.41666666666</v>
      </c>
      <c r="R251" s="70" t="inlineStr">
        <is>
          <t>See tender document</t>
        </is>
      </c>
      <c r="S251" s="70" t="inlineStr">
        <is>
          <t>N</t>
        </is>
      </c>
      <c r="T251" s="64">
        <f>IF(A251="","",IFERROR(INDEX('Bid-NoBid'!$T:$T,MATCH(A251,'Bid-NoBid'!$A:$A,0)),""))</f>
        <v/>
      </c>
      <c r="U251" s="59">
        <f>IF(A251="","",IFERROR(IF(OR(INDEX('Bid-NoBid'!$U:$U,MATCH(A251,'Bid-NoBid'!$A:$A,0))="",LEFT(INDEX('Bid-NoBid'!$U:$U,MATCH(A251,'Bid-NoBid'!$A:$A,0)),10)="Incomplete"),"Screen: "&amp;AC251,INDEX('Bid-NoBid'!$U:$U,MATCH(A251,'Bid-NoBid'!$A:$A,0))),"Screen: "&amp;AC251))</f>
        <v/>
      </c>
      <c r="V251" s="60" t="n"/>
      <c r="W251" s="70" t="inlineStr">
        <is>
          <t>Watching</t>
        </is>
      </c>
      <c r="X251" s="70" t="inlineStr">
        <is>
          <t>Frank</t>
        </is>
      </c>
      <c r="Y251" s="60" t="n"/>
      <c r="Z251" s="60" t="n"/>
      <c r="AA251" s="73" t="n"/>
      <c r="AB251" s="74" t="inlineStr">
        <is>
          <t>TanzaniaTenders.com (newspapers / portals / private)</t>
        </is>
      </c>
      <c r="AC251" s="74" t="inlineStr">
        <is>
          <t>Check</t>
        </is>
      </c>
      <c r="AD251" s="74" t="inlineStr">
        <is>
          <t>Auto (TanzaniaTenders.com): Site not stated in the listing – read the notice · deadline read from the web page – confirm</t>
        </is>
      </c>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74" t="inlineStr">
        <is>
          <t>Read the notice and decide with the QS Director whether to pursue</t>
        </is>
      </c>
      <c r="AJ251" s="74" t="inlineStr">
        <is>
          <t>Auto-scan</t>
        </is>
      </c>
      <c r="AK251" s="74" t="inlineStr">
        <is>
          <t>TZT:151693622</t>
        </is>
      </c>
      <c r="AL251" s="59">
        <f>IF(AND(OR(W251="Watching",W251="Preparing"),ISNUMBER(Q251)),IF(AND(Q251&gt;='Friday Summary'!$C$4,Q251&lt;='Friday Summary'!$C$4+14),Q251+ROW()/1000000,""),"")</f>
        <v/>
      </c>
    </row>
    <row r="252" ht="15" customHeight="1" s="51">
      <c r="A252" s="59">
        <f>IF(B252="","","OP-"&amp;TEXT(ROW()-4,"000"))</f>
        <v/>
      </c>
      <c r="B252" s="70" t="inlineStr">
        <is>
          <t>(not shown)</t>
        </is>
      </c>
      <c r="C252" s="71" t="n">
        <v>46325</v>
      </c>
      <c r="D252" s="70" t="inlineStr">
        <is>
          <t>press</t>
        </is>
      </c>
      <c r="E252" s="70" t="inlineStr">
        <is>
          <t>https://www.tanzaniatenders.com/tender/lease-space-operating-soft-drink-service-kia-staff-canteen-90aa90e.php</t>
        </is>
      </c>
      <c r="F252" s="70" t="inlineStr">
        <is>
          <t>See advert</t>
        </is>
      </c>
      <c r="G252" s="70" t="inlineStr">
        <is>
          <t>government</t>
        </is>
      </c>
      <c r="H252" s="70" t="inlineStr">
        <is>
          <t>Lease of Space for Operating Soft Drink Service at Kia Staff Canteen</t>
        </is>
      </c>
      <c r="I252" s="70" t="inlineStr">
        <is>
          <t>From press notice (1 lot) – read the tender document</t>
        </is>
      </c>
      <c r="J252" s="70" t="inlineStr">
        <is>
          <t>Not stated – read the notice</t>
        </is>
      </c>
      <c r="K252" s="70" t="inlineStr">
        <is>
          <t>building</t>
        </is>
      </c>
      <c r="L252" s="70" t="inlineStr">
        <is>
          <t>See tender document</t>
        </is>
      </c>
      <c r="M252" s="62" t="n"/>
      <c r="N252" s="70" t="inlineStr">
        <is>
          <t>unknown</t>
        </is>
      </c>
      <c r="O252" s="71" t="inlineStr">
        <is>
          <t>See tender document</t>
        </is>
      </c>
      <c r="P252" s="71" t="inlineStr">
        <is>
          <t>See tender document</t>
        </is>
      </c>
      <c r="Q252" s="72" t="n">
        <v>46331.41666666666</v>
      </c>
      <c r="R252" s="70" t="inlineStr">
        <is>
          <t>See tender document</t>
        </is>
      </c>
      <c r="S252" s="70" t="inlineStr">
        <is>
          <t>N</t>
        </is>
      </c>
      <c r="T252" s="64">
        <f>IF(A252="","",IFERROR(INDEX('Bid-NoBid'!$T:$T,MATCH(A252,'Bid-NoBid'!$A:$A,0)),""))</f>
        <v/>
      </c>
      <c r="U252" s="59">
        <f>IF(A252="","",IFERROR(IF(OR(INDEX('Bid-NoBid'!$U:$U,MATCH(A252,'Bid-NoBid'!$A:$A,0))="",LEFT(INDEX('Bid-NoBid'!$U:$U,MATCH(A252,'Bid-NoBid'!$A:$A,0)),10)="Incomplete"),"Screen: "&amp;AC252,INDEX('Bid-NoBid'!$U:$U,MATCH(A252,'Bid-NoBid'!$A:$A,0))),"Screen: "&amp;AC252))</f>
        <v/>
      </c>
      <c r="V252" s="60" t="n"/>
      <c r="W252" s="70" t="inlineStr">
        <is>
          <t>Watching</t>
        </is>
      </c>
      <c r="X252" s="70" t="inlineStr">
        <is>
          <t>Frank</t>
        </is>
      </c>
      <c r="Y252" s="60" t="n"/>
      <c r="Z252" s="60" t="n"/>
      <c r="AA252" s="73" t="n"/>
      <c r="AB252" s="74" t="inlineStr">
        <is>
          <t>TanzaniaTenders.com (newspapers / portals / private)</t>
        </is>
      </c>
      <c r="AC252" s="74" t="inlineStr">
        <is>
          <t>Check</t>
        </is>
      </c>
      <c r="AD252" s="74" t="inlineStr">
        <is>
          <t>Auto (TanzaniaTenders.com): Site not stated in the listing – read the notice · deadline read from the web page – confirm</t>
        </is>
      </c>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74" t="inlineStr">
        <is>
          <t>Read the notice and decide with the QS Director whether to pursue</t>
        </is>
      </c>
      <c r="AJ252" s="74" t="inlineStr">
        <is>
          <t>Auto-scan</t>
        </is>
      </c>
      <c r="AK252" s="74" t="inlineStr">
        <is>
          <t>TZT:151693582</t>
        </is>
      </c>
      <c r="AL252" s="59">
        <f>IF(AND(OR(W252="Watching",W252="Preparing"),ISNUMBER(Q252)),IF(AND(Q252&gt;='Friday Summary'!$C$4,Q252&lt;='Friday Summary'!$C$4+14),Q252+ROW()/1000000,""),"")</f>
        <v/>
      </c>
    </row>
    <row r="253" ht="15" customHeight="1" s="51">
      <c r="A253" s="59">
        <f>IF(B253="","","OP-"&amp;TEXT(ROW()-4,"000"))</f>
        <v/>
      </c>
      <c r="B253" s="70" t="inlineStr">
        <is>
          <t>(not shown)</t>
        </is>
      </c>
      <c r="C253" s="71" t="n">
        <v>46325</v>
      </c>
      <c r="D253" s="70" t="inlineStr">
        <is>
          <t>press</t>
        </is>
      </c>
      <c r="E253" s="70" t="inlineStr">
        <is>
          <t>https://www.tanzaniatenders.com/tender/lease-space-operating-kitchen-1-kia-staff-canteen-90aa8a5.php</t>
        </is>
      </c>
      <c r="F253" s="70" t="inlineStr">
        <is>
          <t>See advert</t>
        </is>
      </c>
      <c r="G253" s="70" t="inlineStr">
        <is>
          <t>government</t>
        </is>
      </c>
      <c r="H253" s="70" t="inlineStr">
        <is>
          <t>Lease of Space for Operating Kitchen 1 at Kia Staff Canteen</t>
        </is>
      </c>
      <c r="I253" s="70" t="inlineStr">
        <is>
          <t>From press notice (1 lot) – read the tender document</t>
        </is>
      </c>
      <c r="J253" s="70" t="inlineStr">
        <is>
          <t>Not stated – read the notice</t>
        </is>
      </c>
      <c r="K253" s="70" t="inlineStr">
        <is>
          <t>building</t>
        </is>
      </c>
      <c r="L253" s="70" t="inlineStr">
        <is>
          <t>See tender document</t>
        </is>
      </c>
      <c r="M253" s="62" t="n"/>
      <c r="N253" s="70" t="inlineStr">
        <is>
          <t>unknown</t>
        </is>
      </c>
      <c r="O253" s="71" t="inlineStr">
        <is>
          <t>See tender document</t>
        </is>
      </c>
      <c r="P253" s="71" t="inlineStr">
        <is>
          <t>See tender document</t>
        </is>
      </c>
      <c r="Q253" s="72" t="n">
        <v>46332.41666666666</v>
      </c>
      <c r="R253" s="70" t="inlineStr">
        <is>
          <t>See tender document</t>
        </is>
      </c>
      <c r="S253" s="70" t="inlineStr">
        <is>
          <t>N</t>
        </is>
      </c>
      <c r="T253" s="64">
        <f>IF(A253="","",IFERROR(INDEX('Bid-NoBid'!$T:$T,MATCH(A253,'Bid-NoBid'!$A:$A,0)),""))</f>
        <v/>
      </c>
      <c r="U253" s="59">
        <f>IF(A253="","",IFERROR(IF(OR(INDEX('Bid-NoBid'!$U:$U,MATCH(A253,'Bid-NoBid'!$A:$A,0))="",LEFT(INDEX('Bid-NoBid'!$U:$U,MATCH(A253,'Bid-NoBid'!$A:$A,0)),10)="Incomplete"),"Screen: "&amp;AC253,INDEX('Bid-NoBid'!$U:$U,MATCH(A253,'Bid-NoBid'!$A:$A,0))),"Screen: "&amp;AC253))</f>
        <v/>
      </c>
      <c r="V253" s="60" t="n"/>
      <c r="W253" s="70" t="inlineStr">
        <is>
          <t>Watching</t>
        </is>
      </c>
      <c r="X253" s="70" t="inlineStr">
        <is>
          <t>Frank</t>
        </is>
      </c>
      <c r="Y253" s="60" t="n"/>
      <c r="Z253" s="60" t="n"/>
      <c r="AA253" s="73" t="n"/>
      <c r="AB253" s="74" t="inlineStr">
        <is>
          <t>TanzaniaTenders.com (newspapers / portals / private)</t>
        </is>
      </c>
      <c r="AC253" s="74" t="inlineStr">
        <is>
          <t>Check</t>
        </is>
      </c>
      <c r="AD253" s="74" t="inlineStr">
        <is>
          <t>Auto (TanzaniaTenders.com): Site not stated in the listing – read the notice · deadline read from the web page – confirm</t>
        </is>
      </c>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74" t="inlineStr">
        <is>
          <t>Read the notice and decide with the QS Director whether to pursue</t>
        </is>
      </c>
      <c r="AJ253" s="74" t="inlineStr">
        <is>
          <t>Auto-scan</t>
        </is>
      </c>
      <c r="AK253" s="74" t="inlineStr">
        <is>
          <t>TZT:151693477</t>
        </is>
      </c>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v>1</v>
      </c>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v>1</v>
      </c>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v>4</v>
      </c>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v>5</v>
      </c>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v>4</v>
      </c>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v>5</v>
      </c>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v>4</v>
      </c>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v>4</v>
      </c>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v>5</v>
      </c>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v>1</v>
      </c>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v>4</v>
      </c>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v>5</v>
      </c>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v>1</v>
      </c>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v>3</v>
      </c>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v>4</v>
      </c>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v>1</v>
      </c>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v>1</v>
      </c>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v>5</v>
      </c>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row r="84">
      <c r="A84" s="113" t="n">
        <v>46323</v>
      </c>
      <c r="B84" s="103" t="inlineStr">
        <is>
          <t>Automatic scan (all sources)</t>
        </is>
      </c>
      <c r="C84" s="103" t="inlineStr"/>
      <c r="D8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4 new added to Pipeline (Standard Invitation for Quotations -Works: 1, Design and Build: 1, Small Works: 2); 4 screened out; 0 deadline change(s)</t>
        </is>
      </c>
      <c r="E84" s="103" t="n">
        <v>4</v>
      </c>
      <c r="F84" s="103" t="inlineStr">
        <is>
          <t>Auto-scanner</t>
        </is>
      </c>
    </row>
    <row r="85">
      <c r="A85" s="113" t="n">
        <v>46324</v>
      </c>
      <c r="B85" s="103" t="inlineStr">
        <is>
          <t>Automatic scan (all sources)</t>
        </is>
      </c>
      <c r="C85" s="103" t="inlineStr"/>
      <c r="D85"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7 new added to Pipeline (Standard Invitation for Quotations -Works: 1, Small Works: 6); 3 screened out; 1 deadline change(s)</t>
        </is>
      </c>
      <c r="E85" s="103" t="n">
        <v>7</v>
      </c>
      <c r="F85" s="103" t="inlineStr">
        <is>
          <t>Auto-scanner</t>
        </is>
      </c>
    </row>
    <row r="86">
      <c r="A86" s="113" t="n">
        <v>46324</v>
      </c>
      <c r="B86" s="103" t="inlineStr">
        <is>
          <t>Automatic scan (all sources)</t>
        </is>
      </c>
      <c r="C86" s="103" t="inlineStr"/>
      <c r="D86"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(DDO Tenders: 1); 0 screened out; 0 deadline change(s)</t>
        </is>
      </c>
      <c r="E86" s="103" t="n">
        <v>1</v>
      </c>
      <c r="F86" s="103" t="inlineStr">
        <is>
          <t>Auto-scanner</t>
        </is>
      </c>
    </row>
    <row r="87">
      <c r="A87" s="113" t="n">
        <v>46325</v>
      </c>
      <c r="B87" s="103" t="inlineStr">
        <is>
          <t>Automatic scan (all sources)</t>
        </is>
      </c>
      <c r="C87" s="103" t="inlineStr"/>
      <c r="D87"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6 new added to Pipeline (Standard Invitation for Quotations -Works: 1, Small Works: 4, World Bank - Request for Bids: 1); 6 screened out; 1 deadline change(s)</t>
        </is>
      </c>
      <c r="E87" s="103" t="n">
        <v>6</v>
      </c>
      <c r="F87" s="103" t="inlineStr">
        <is>
          <t>Auto-scanner</t>
        </is>
      </c>
    </row>
    <row r="88">
      <c r="A88" s="113" t="n">
        <v>46325</v>
      </c>
      <c r="B88" s="103" t="inlineStr">
        <is>
          <t>Automatic scan (all sources)</t>
        </is>
      </c>
      <c r="C88" s="103" t="inlineStr"/>
      <c r="D88"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88" s="103" t="n">
        <v>3</v>
      </c>
      <c r="F8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4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row r="134">
      <c r="A134" s="114" t="n">
        <v>46323</v>
      </c>
      <c r="B134" s="111" t="inlineStr">
        <is>
          <t>TR36/026/2026/2027/W/18</t>
        </is>
      </c>
      <c r="C134" s="111" t="inlineStr">
        <is>
          <t>TANROADS - Tanga Regional Office</t>
        </is>
      </c>
      <c r="D134" s="111" t="inlineStr">
        <is>
          <t>Installation of Solar Street Lights along Trunk Roads</t>
        </is>
      </c>
      <c r="E134" s="111" t="inlineStr">
        <is>
          <t>Tanga (from client's office – confirm site)</t>
        </is>
      </c>
      <c r="F134" s="111" t="inlineStr">
        <is>
          <t>MEP</t>
        </is>
      </c>
      <c r="G134" s="115" t="n">
        <v>46330.58333333334</v>
      </c>
      <c r="H134" s="111" t="inlineStr">
        <is>
          <t>Auto (Small Works / Tender): Specialist MEP works – pass to an electrical/mechanical subcontractor</t>
        </is>
      </c>
      <c r="I134" s="111" t="inlineStr">
        <is>
          <t>a559e412-72ca-4039-94d1-906f156b496b</t>
        </is>
      </c>
      <c r="J134" s="111" t="inlineStr">
        <is>
          <t>NeST</t>
        </is>
      </c>
      <c r="K134" s="111" t="inlineStr">
        <is>
          <t>https://nest.go.tz/tenders/published-tenders</t>
        </is>
      </c>
    </row>
    <row r="135">
      <c r="A135" s="114" t="n">
        <v>46323</v>
      </c>
      <c r="B135" s="111" t="inlineStr">
        <is>
          <t>TR36/001/2026/2027/W/67</t>
        </is>
      </c>
      <c r="C135" s="111" t="inlineStr">
        <is>
          <t>TANROADS - Arusha Regional Office</t>
        </is>
      </c>
      <c r="D135" s="111" t="inlineStr">
        <is>
          <t>Road Safety, Environmental and Social Activities (HQ Based) FY 2026/2027 in Arusha Region.</t>
        </is>
      </c>
      <c r="E135" s="111" t="inlineStr">
        <is>
          <t>Arusha</t>
        </is>
      </c>
      <c r="F135" s="111" t="inlineStr">
        <is>
          <t>civil</t>
        </is>
      </c>
      <c r="G135" s="115" t="n">
        <v>46330.58333333334</v>
      </c>
      <c r="H135" s="111" t="inlineStr">
        <is>
          <t>Auto (Small Works / Tender): Remote civil works</t>
        </is>
      </c>
      <c r="I135" s="111" t="inlineStr">
        <is>
          <t>917a2c18-fa91-4623-8fbf-a3f8d938ff54</t>
        </is>
      </c>
      <c r="J135" s="111" t="inlineStr">
        <is>
          <t>NeST</t>
        </is>
      </c>
      <c r="K135" s="111" t="inlineStr">
        <is>
          <t>https://nest.go.tz/tenders/published-tenders</t>
        </is>
      </c>
    </row>
    <row r="136">
      <c r="A136" s="114" t="n">
        <v>46323</v>
      </c>
      <c r="B136" s="111" t="inlineStr">
        <is>
          <t>TR36/001/2026/2027/W/38</t>
        </is>
      </c>
      <c r="C136" s="111" t="inlineStr">
        <is>
          <t>TANROADS - Arusha Regional Office</t>
        </is>
      </c>
      <c r="D136" s="111" t="inlineStr">
        <is>
          <t>Periodic Maintenance works and Routine /Recurrent works along Longido - SIHA (UP)</t>
        </is>
      </c>
      <c r="E136" s="111" t="inlineStr">
        <is>
          <t>Arusha (from client's office – confirm site)</t>
        </is>
      </c>
      <c r="F136" s="111" t="inlineStr">
        <is>
          <t>civil</t>
        </is>
      </c>
      <c r="G136" s="115" t="n">
        <v>46330.58333333334</v>
      </c>
      <c r="H136" s="111" t="inlineStr">
        <is>
          <t>Auto (Small Works / Tender): Remote civil works</t>
        </is>
      </c>
      <c r="I136" s="111" t="inlineStr">
        <is>
          <t>8cffa3cb-59ee-4b3d-a4d0-751d576406c5</t>
        </is>
      </c>
      <c r="J136" s="111" t="inlineStr">
        <is>
          <t>NeST</t>
        </is>
      </c>
      <c r="K136" s="111" t="inlineStr">
        <is>
          <t>https://nest.go.tz/tenders/published-tenders</t>
        </is>
      </c>
    </row>
    <row r="137">
      <c r="A137" s="114" t="n">
        <v>46323</v>
      </c>
      <c r="B137" s="111" t="inlineStr">
        <is>
          <t>S10/016/2026/2027/W/53</t>
        </is>
      </c>
      <c r="C137" s="111" t="inlineStr">
        <is>
          <t>TARURA - Mwanza Regional Office</t>
        </is>
      </c>
      <c r="D137" s="111" t="inlineStr">
        <is>
          <t>Upgrading of Ibondo - Kasungamile - Chamabanda, Kinoja - Sayuni - Marekano and Majinda - Ishokela Roads to Gravel Standard in Sengerema District</t>
        </is>
      </c>
      <c r="E137" s="111" t="inlineStr">
        <is>
          <t>Mwanza (Ilemela) (from client's office – confirm site)</t>
        </is>
      </c>
      <c r="F137" s="111" t="inlineStr">
        <is>
          <t>civil</t>
        </is>
      </c>
      <c r="G137" s="115" t="n">
        <v>46329.45833333334</v>
      </c>
      <c r="H137" s="111" t="inlineStr">
        <is>
          <t>Auto (Small Works / Tender): Remote civil works</t>
        </is>
      </c>
      <c r="I137" s="111" t="inlineStr">
        <is>
          <t>4e59b22b-18c4-46ca-8983-7fc9333b1aac</t>
        </is>
      </c>
      <c r="J137" s="111" t="inlineStr">
        <is>
          <t>NeST</t>
        </is>
      </c>
      <c r="K137" s="111" t="inlineStr">
        <is>
          <t>https://nest.go.tz/tenders/published-tenders</t>
        </is>
      </c>
    </row>
    <row r="138">
      <c r="A138" s="114" t="n">
        <v>46324</v>
      </c>
      <c r="B138" s="111" t="inlineStr">
        <is>
          <t>TR36/001/2026/2027/W/54</t>
        </is>
      </c>
      <c r="C138" s="111" t="inlineStr">
        <is>
          <t>TANROADS - Arusha Regional Office</t>
        </is>
      </c>
      <c r="D138" s="111" t="inlineStr">
        <is>
          <t>Rehabilitation works of Mto wa Mbu - Loliondo - 217km and Wasso - Kleins Gate Roads.</t>
        </is>
      </c>
      <c r="E138" s="111" t="inlineStr">
        <is>
          <t>Arusha (Loliondo)</t>
        </is>
      </c>
      <c r="F138" s="111" t="inlineStr">
        <is>
          <t>civil</t>
        </is>
      </c>
      <c r="G138" s="115" t="n">
        <v>46331.58333333334</v>
      </c>
      <c r="H138" s="111" t="inlineStr">
        <is>
          <t>Auto (Small Works / Tender): Remote civil works</t>
        </is>
      </c>
      <c r="I138" s="111" t="inlineStr">
        <is>
          <t>7e4672d3-573c-437b-8887-788b95cc623e</t>
        </is>
      </c>
      <c r="J138" s="111" t="inlineStr">
        <is>
          <t>NeST</t>
        </is>
      </c>
      <c r="K138" s="111" t="inlineStr">
        <is>
          <t>https://nest.go.tz/tenders/published-tenders</t>
        </is>
      </c>
    </row>
    <row r="139">
      <c r="A139" s="114" t="n">
        <v>46324</v>
      </c>
      <c r="B139" s="111" t="inlineStr">
        <is>
          <t>72C6/2026/2027/W/06</t>
        </is>
      </c>
      <c r="C139" s="111" t="inlineStr">
        <is>
          <t>Chamwino District Council</t>
        </is>
      </c>
      <c r="D139" s="111" t="inlineStr">
        <is>
          <t>Drip Irrigation System Project Covering Ten (10) Acres in Msamalo Ward</t>
        </is>
      </c>
      <c r="E139" s="111" t="inlineStr">
        <is>
          <t>Dodoma (Chamwino) (from client's office – confirm site)</t>
        </is>
      </c>
      <c r="F139" s="111" t="inlineStr">
        <is>
          <t>civil</t>
        </is>
      </c>
      <c r="G139" s="115" t="n">
        <v>46328.58333333334</v>
      </c>
      <c r="H139" s="111" t="inlineStr">
        <is>
          <t>Auto (Standard Invitation for Quotations -Works / Planned Tender): Remote civil works</t>
        </is>
      </c>
      <c r="I139" s="111" t="inlineStr">
        <is>
          <t>0ecf90a5-ccf7-482c-a181-cfd90dff20d9</t>
        </is>
      </c>
      <c r="J139" s="111" t="inlineStr">
        <is>
          <t>NeST</t>
        </is>
      </c>
      <c r="K139" s="111" t="inlineStr">
        <is>
          <t>https://nest.go.tz/tenders/published-tenders</t>
        </is>
      </c>
    </row>
    <row r="140">
      <c r="A140" s="114" t="n">
        <v>46324</v>
      </c>
      <c r="B140" s="111" t="inlineStr">
        <is>
          <t>72C6/2026/2027/W/07</t>
        </is>
      </c>
      <c r="C140" s="111" t="inlineStr">
        <is>
          <t>Chamwino District Council</t>
        </is>
      </c>
      <c r="D140" s="111" t="inlineStr">
        <is>
          <t>Rainwater Storage Dam Excavation Project in Nzali Village, Chilonwa Ward</t>
        </is>
      </c>
      <c r="E140" s="111" t="inlineStr">
        <is>
          <t>Dodoma (Chamwino) (from client's office – confirm site)</t>
        </is>
      </c>
      <c r="F140" s="111" t="inlineStr">
        <is>
          <t>civil</t>
        </is>
      </c>
      <c r="G140" s="115" t="n">
        <v>46328.58333333334</v>
      </c>
      <c r="H140" s="111" t="inlineStr">
        <is>
          <t>Auto (Standard Invitation for Quotations -Works / Planned Tender): Remote civil works</t>
        </is>
      </c>
      <c r="I140" s="111" t="inlineStr">
        <is>
          <t>3e58b5ef-84c5-4f27-9fb1-ef3d73714633</t>
        </is>
      </c>
      <c r="J140" s="111" t="inlineStr">
        <is>
          <t>NeST</t>
        </is>
      </c>
      <c r="K140" s="111" t="inlineStr">
        <is>
          <t>https://nest.go.tz/tenders/published-tenders</t>
        </is>
      </c>
    </row>
    <row r="141">
      <c r="A141" s="114" t="n">
        <v>46325</v>
      </c>
      <c r="B141" s="111" t="inlineStr">
        <is>
          <t>00005/2026/2027/W/37</t>
        </is>
      </c>
      <c r="C141" s="111" t="inlineStr">
        <is>
          <t>National Irrigation Commission</t>
        </is>
      </c>
      <c r="D141" s="111" t="inlineStr">
        <is>
          <t>Rehabilitation of Six Small Scale Irrigation projects in Mbozi District (4), Ileje District (1) and Momba District (1), Songwe Region</t>
        </is>
      </c>
      <c r="E141" s="111" t="inlineStr">
        <is>
          <t>Songwe</t>
        </is>
      </c>
      <c r="F141" s="111" t="inlineStr">
        <is>
          <t>civil</t>
        </is>
      </c>
      <c r="G141" s="115" t="n">
        <v>46332.45833333334</v>
      </c>
      <c r="H141" s="111" t="inlineStr">
        <is>
          <t>Auto (Small Works / Tender): Remote civil works</t>
        </is>
      </c>
      <c r="I141" s="111" t="inlineStr">
        <is>
          <t>daa62c16-6f69-4387-85d0-a1c480f339d7</t>
        </is>
      </c>
      <c r="J141" s="111" t="inlineStr">
        <is>
          <t>NeST</t>
        </is>
      </c>
      <c r="K141" s="111" t="inlineStr">
        <is>
          <t>https://nest.go.tz/tenders/published-tenders</t>
        </is>
      </c>
    </row>
    <row r="142">
      <c r="A142" s="114" t="n">
        <v>46325</v>
      </c>
      <c r="B142" s="111" t="inlineStr">
        <is>
          <t>00005/2026/2027/W/35</t>
        </is>
      </c>
      <c r="C142" s="111" t="inlineStr">
        <is>
          <t>National Irrigation Commission</t>
        </is>
      </c>
      <c r="D142" s="111" t="inlineStr">
        <is>
          <t>Rehabilitation of Four Small Scale Irrigation projects in Arusha Region (2) and Kilimanjaro Region (2)</t>
        </is>
      </c>
      <c r="E142" s="111" t="inlineStr">
        <is>
          <t>Arusha</t>
        </is>
      </c>
      <c r="F142" s="111" t="inlineStr">
        <is>
          <t>civil</t>
        </is>
      </c>
      <c r="G142" s="115" t="n">
        <v>46332.45833333334</v>
      </c>
      <c r="H142" s="111" t="inlineStr">
        <is>
          <t>Auto (Small Works / Tender): Remote civil works</t>
        </is>
      </c>
      <c r="I142" s="111" t="inlineStr">
        <is>
          <t>5e610f3e-c758-4e4a-904c-0822af8d0d32</t>
        </is>
      </c>
      <c r="J142" s="111" t="inlineStr">
        <is>
          <t>NeST</t>
        </is>
      </c>
      <c r="K142" s="111" t="inlineStr">
        <is>
          <t>https://nest.go.tz/tenders/published-tenders</t>
        </is>
      </c>
    </row>
    <row r="143">
      <c r="A143" s="114" t="n">
        <v>46325</v>
      </c>
      <c r="B143" s="111" t="inlineStr">
        <is>
          <t>S10/007/2026/2027/W/28</t>
        </is>
      </c>
      <c r="C143" s="111" t="inlineStr">
        <is>
          <t>TARURA - Katavi Regional Office</t>
        </is>
      </c>
      <c r="D143" s="111" t="inlineStr">
        <is>
          <t>TENDER FOR SPOT IMPROVEMENT OF NSIMBO DISTRICT ROADS.</t>
        </is>
      </c>
      <c r="E143" s="111" t="inlineStr">
        <is>
          <t>Katavi (Mpanda) (from client's office – confirm site)</t>
        </is>
      </c>
      <c r="F143" s="111" t="inlineStr">
        <is>
          <t>civil</t>
        </is>
      </c>
      <c r="G143" s="115" t="n">
        <v>46332.58333333334</v>
      </c>
      <c r="H143" s="111" t="inlineStr">
        <is>
          <t>Auto (Small Works / Tender): Remote civil works</t>
        </is>
      </c>
      <c r="I143" s="111" t="inlineStr">
        <is>
          <t>c20fd49d-5965-4fe2-a7c0-91e68278b352</t>
        </is>
      </c>
      <c r="J143" s="111" t="inlineStr">
        <is>
          <t>NeST</t>
        </is>
      </c>
      <c r="K143" s="111" t="inlineStr">
        <is>
          <t>https://nest.go.tz/tenders/published-tenders</t>
        </is>
      </c>
    </row>
    <row r="144">
      <c r="A144" s="114" t="n">
        <v>46325</v>
      </c>
      <c r="B144" s="111" t="inlineStr">
        <is>
          <t>S10/004/2026/2027/W/68</t>
        </is>
      </c>
      <c r="C144" s="111" t="inlineStr">
        <is>
          <t>TARURA - Geita Regional Office</t>
        </is>
      </c>
      <c r="D144" s="111" t="inlineStr">
        <is>
          <t>Rehabilitation of Ipalamasa-Mwabasabi (6.0KM) Road At Chato District.</t>
        </is>
      </c>
      <c r="E144" s="111" t="inlineStr">
        <is>
          <t>Geita (from client's office – confirm site)</t>
        </is>
      </c>
      <c r="F144" s="111" t="inlineStr">
        <is>
          <t>civil</t>
        </is>
      </c>
      <c r="G144" s="115" t="n">
        <v>46331.41666666666</v>
      </c>
      <c r="H144" s="111" t="inlineStr">
        <is>
          <t>Auto (Small Works / Tender): Remote civil works</t>
        </is>
      </c>
      <c r="I144" s="111" t="inlineStr">
        <is>
          <t>aebc90a3-0ed2-4eba-a830-0c34ceddeaec</t>
        </is>
      </c>
      <c r="J144" s="111" t="inlineStr">
        <is>
          <t>NeST</t>
        </is>
      </c>
      <c r="K144" s="111" t="inlineStr">
        <is>
          <t>https://nest.go.tz/tenders/published-tenders</t>
        </is>
      </c>
    </row>
    <row r="145">
      <c r="A145" s="114" t="n">
        <v>46325</v>
      </c>
      <c r="B145" s="111" t="inlineStr">
        <is>
          <t>S10/004/2026/2027/W/67</t>
        </is>
      </c>
      <c r="C145" s="111" t="inlineStr">
        <is>
          <t>TARURA - Geita Regional Office</t>
        </is>
      </c>
      <c r="D145" s="111" t="inlineStr">
        <is>
          <t>Upgrading to gravel standard Alex - Madame road 1km, John Masanja - Songambele road 2.5km &amp; rise of embankment 250m, Mashineni kwa Mhaya - Diwani Ezekiel road 1km, Buyaba - Mzee Kaswahili road 0.8km and Igenge - Nyakahengere road 4.44km</t>
        </is>
      </c>
      <c r="E145" s="111" t="inlineStr">
        <is>
          <t>Geita (from client's office – confirm site)</t>
        </is>
      </c>
      <c r="F145" s="111" t="inlineStr">
        <is>
          <t>civil</t>
        </is>
      </c>
      <c r="G145" s="115" t="n">
        <v>46331.41666666666</v>
      </c>
      <c r="H145" s="111" t="inlineStr">
        <is>
          <t>Auto (Small Works / Tender): Remote civil works</t>
        </is>
      </c>
      <c r="I145" s="111" t="inlineStr">
        <is>
          <t>ddc18460-bf03-4591-a691-17b8e97958d5</t>
        </is>
      </c>
      <c r="J145" s="111" t="inlineStr">
        <is>
          <t>NeST</t>
        </is>
      </c>
      <c r="K145" s="111" t="inlineStr">
        <is>
          <t>https://nest.go.tz/tenders/published-tenders</t>
        </is>
      </c>
    </row>
    <row r="146">
      <c r="A146" s="114" t="n">
        <v>46325</v>
      </c>
      <c r="B146" s="111" t="inlineStr">
        <is>
          <t>78J10/2026/2027/W/22</t>
        </is>
      </c>
      <c r="C146" s="111" t="inlineStr">
        <is>
          <t>Tunduma Town Council</t>
        </is>
      </c>
      <c r="D146" s="111" t="inlineStr">
        <is>
          <t>PROPOSED FOR UPGRADING GRAVEL ROAD NETWORK AT KATETE (6KM)</t>
        </is>
      </c>
      <c r="E146" s="111" t="inlineStr">
        <is>
          <t>Songwe (from client's office – confirm site)</t>
        </is>
      </c>
      <c r="F146" s="111" t="inlineStr">
        <is>
          <t>civil</t>
        </is>
      </c>
      <c r="G146" s="115" t="n">
        <v>46330.41666666666</v>
      </c>
      <c r="H146" s="111" t="inlineStr">
        <is>
          <t>Auto (Standard Invitation for Quotations -Works / Planned Tender): Remote civil works</t>
        </is>
      </c>
      <c r="I146" s="111" t="inlineStr">
        <is>
          <t>aae8d159-ea8a-465c-bb2d-5cd78950b243</t>
        </is>
      </c>
      <c r="J146" s="111" t="inlineStr">
        <is>
          <t>NeST</t>
        </is>
      </c>
      <c r="K14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2026-10-30T09:49:11Z</dcterms:modified>
  <cp:revision>0</cp:revision>
</cp:coreProperties>
</file>