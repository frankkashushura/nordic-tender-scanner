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Read Me" sheetId="1" state="visible" r:id="rId1"/>
    <sheet name="Pipeline" sheetId="2" state="visible" r:id="rId2"/>
    <sheet name="Bid-NoBid" sheetId="3" state="visible" r:id="rId3"/>
    <sheet name="Friday Summary" sheetId="4" state="visible" r:id="rId4"/>
    <sheet name="Panel 3 Feed" sheetId="5" state="visible" r:id="rId5"/>
    <sheet name="Watch List" sheetId="6" state="visible" r:id="rId6"/>
    <sheet name="Scan Log" sheetId="7" state="visible" r:id="rId7"/>
    <sheet name="Lists" sheetId="8" state="visible" r:id="rId8"/>
    <sheet name="Scoring Guide" sheetId="9" state="visible" r:id="rId9"/>
    <sheet name="Screened Out" sheetId="10" state="visible" r:id="rId10"/>
  </sheets>
  <definedNames>
    <definedName name="_xlnm._FilterDatabase" localSheetId="1" hidden="1">'Pipeline'!$A$4:$AL$504</definedName>
  </definedNames>
  <calcPr calcId="124519" fullCalcOnLoad="1" refMode="A1" iterate="0" iterateCount="100" iterateDelta="0.0001"/>
</workbook>
</file>

<file path=xl/styles.xml><?xml version="1.0" encoding="utf-8"?>
<styleSheet xmlns="http://schemas.openxmlformats.org/spreadsheetml/2006/main">
  <numFmts count="10">
    <numFmt numFmtId="164" formatCode="dd\-mmm\-yy"/>
    <numFmt numFmtId="165" formatCode="#,##0;\(#,##0\);\-"/>
    <numFmt numFmtId="166" formatCode="dd\-mmm\-yy\ hh:mm"/>
    <numFmt numFmtId="167" formatCode="0.0"/>
    <numFmt numFmtId="168" formatCode="mm/dd/yy\ hh:mm\ AM/PM"/>
    <numFmt numFmtId="169" formatCode="ddd\ dd\-mmm\-yyyy"/>
    <numFmt numFmtId="170" formatCode="ddd\ dd\-mmm\ hh:mm"/>
    <numFmt numFmtId="171" formatCode="dd-mmm-yy"/>
    <numFmt numFmtId="172" formatCode="dd-mmm-yy hh:mm"/>
    <numFmt numFmtId="173" formatCode="yyyy-mm-dd h:mm:ss"/>
  </numFmts>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F3A4D"/>
      <sz val="14"/>
    </font>
    <font>
      <name val="Arial"/>
      <charset val="1"/>
      <family val="0"/>
      <i val="1"/>
      <color rgb="FF555555"/>
      <sz val="9"/>
    </font>
    <font>
      <name val="Arial"/>
      <charset val="1"/>
      <family val="0"/>
      <b val="1"/>
      <color rgb="FF1F3A4D"/>
      <sz val="10"/>
    </font>
    <font>
      <name val="Arial"/>
      <charset val="1"/>
      <family val="0"/>
      <sz val="10"/>
    </font>
    <font>
      <name val="Arial"/>
      <charset val="1"/>
      <family val="0"/>
      <b val="1"/>
      <color rgb="FF1F3A4D"/>
      <sz val="9"/>
    </font>
    <font>
      <name val="Arial"/>
      <charset val="1"/>
      <family val="0"/>
      <b val="1"/>
      <color rgb="FFFFFFFF"/>
      <sz val="10"/>
    </font>
    <font>
      <name val="Arial"/>
      <charset val="1"/>
      <family val="0"/>
      <color rgb="FF0000FF"/>
      <sz val="10"/>
    </font>
    <font>
      <name val="Arial"/>
      <family val="2"/>
      <sz val="10"/>
    </font>
    <font>
      <name val="Arial"/>
      <charset val="1"/>
      <family val="0"/>
      <b val="1"/>
      <sz val="10"/>
    </font>
    <font>
      <name val="Arial"/>
      <charset val="1"/>
      <family val="0"/>
      <color rgb="FF008000"/>
      <sz val="10"/>
    </font>
    <font>
      <name val="Arial"/>
      <charset val="1"/>
      <family val="0"/>
      <b val="1"/>
      <color rgb="FF1F3A4D"/>
      <sz val="11"/>
    </font>
    <font>
      <name val="Arial"/>
      <charset val="1"/>
      <family val="0"/>
      <color rgb="FF888888"/>
      <sz val="10"/>
    </font>
    <font>
      <name val="Arial"/>
      <charset val="1"/>
      <family val="0"/>
      <i val="1"/>
      <sz val="9"/>
    </font>
    <font>
      <name val="Arial"/>
      <color rgb="000000FF"/>
      <sz val="10"/>
    </font>
    <font>
      <name val="Arial"/>
      <b val="1"/>
      <color rgb="001F3A4D"/>
      <sz val="14"/>
    </font>
    <font>
      <name val="Arial"/>
      <i val="1"/>
      <sz val="9"/>
    </font>
    <font>
      <name val="Arial"/>
      <b val="1"/>
      <color rgb="00FFFFFF"/>
    </font>
    <font>
      <name val="Arial"/>
      <sz val="10"/>
    </font>
  </fonts>
  <fills count="7">
    <fill>
      <patternFill/>
    </fill>
    <fill>
      <patternFill patternType="gray125"/>
    </fill>
    <fill>
      <patternFill patternType="solid">
        <fgColor rgb="FF1F3A4D"/>
        <bgColor rgb="FF003366"/>
      </patternFill>
    </fill>
    <fill>
      <patternFill patternType="solid">
        <fgColor rgb="FF3F6E86"/>
        <bgColor rgb="FF555555"/>
      </patternFill>
    </fill>
    <fill>
      <patternFill patternType="solid">
        <fgColor rgb="FFF6FAFB"/>
        <bgColor rgb="FFFFFFFF"/>
      </patternFill>
    </fill>
    <fill>
      <patternFill patternType="solid">
        <fgColor rgb="FFFFF2CC"/>
        <bgColor rgb="FFFCE4B6"/>
      </patternFill>
    </fill>
    <fill>
      <patternFill patternType="solid">
        <fgColor rgb="001F3A4D"/>
      </patternFill>
    </fill>
  </fills>
  <borders count="2">
    <border>
      <left/>
      <right/>
      <top/>
      <bottom/>
      <diagonal/>
    </border>
    <border>
      <left style="thin">
        <color rgb="FFC9CFD3"/>
      </left>
      <right style="thin">
        <color rgb="FFC9CFD3"/>
      </right>
      <top style="thin">
        <color rgb="FFC9CFD3"/>
      </top>
      <bottom style="thin">
        <color rgb="FFC9CFD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9" fillId="3" borderId="1" applyAlignment="1" pivotButton="0" quotePrefix="0" xfId="0">
      <alignment horizontal="general" vertical="center" wrapText="1"/>
    </xf>
    <xf numFmtId="0" fontId="7" fillId="0" borderId="1" applyAlignment="1" pivotButton="0" quotePrefix="0" xfId="0">
      <alignment horizontal="general" vertical="top" wrapText="1"/>
    </xf>
    <xf numFmtId="0" fontId="10" fillId="0" borderId="1" applyAlignment="1" pivotButton="0" quotePrefix="0" xfId="0">
      <alignment horizontal="general" vertical="top" wrapText="1"/>
    </xf>
    <xf numFmtId="164" fontId="10" fillId="0" borderId="1" applyAlignment="1" pivotButton="0" quotePrefix="0" xfId="0">
      <alignment horizontal="general" vertical="top" wrapText="1"/>
    </xf>
    <xf numFmtId="165" fontId="10" fillId="0" borderId="1" applyAlignment="1" pivotButton="0" quotePrefix="0" xfId="0">
      <alignment horizontal="general" vertical="top" wrapText="1"/>
    </xf>
    <xf numFmtId="166" fontId="10" fillId="0" borderId="1" applyAlignment="1" pivotButton="0" quotePrefix="0" xfId="0">
      <alignment horizontal="general" vertical="top" wrapText="1"/>
    </xf>
    <xf numFmtId="1" fontId="7" fillId="0" borderId="1" applyAlignment="1" pivotButton="0" quotePrefix="0" xfId="0">
      <alignment horizontal="general" vertical="top" wrapText="1"/>
    </xf>
    <xf numFmtId="164" fontId="10" fillId="4" borderId="1" applyAlignment="1" pivotButton="0" quotePrefix="0" xfId="0">
      <alignment horizontal="general" vertical="top" wrapText="1"/>
    </xf>
    <xf numFmtId="0" fontId="10" fillId="4" borderId="1" applyAlignment="1" pivotButton="0" quotePrefix="0" xfId="0">
      <alignment horizontal="general" vertical="top" wrapText="1"/>
    </xf>
    <xf numFmtId="167" fontId="7" fillId="0" borderId="1" applyAlignment="1" pivotButton="0" quotePrefix="0" xfId="0">
      <alignment horizontal="general" vertical="top" wrapText="1"/>
    </xf>
    <xf numFmtId="9" fontId="10" fillId="4" borderId="1" applyAlignment="1" pivotButton="0" quotePrefix="0" xfId="0">
      <alignment horizontal="general" vertical="top" wrapText="1"/>
    </xf>
    <xf numFmtId="168" fontId="7" fillId="0" borderId="1" applyAlignment="1" pivotButton="0" quotePrefix="0" xfId="0">
      <alignment horizontal="general" vertical="top" wrapText="1"/>
    </xf>
    <xf numFmtId="0" fontId="12" fillId="0" borderId="0" applyAlignment="1" pivotButton="0" quotePrefix="0" xfId="0">
      <alignment horizontal="right" vertical="bottom"/>
    </xf>
    <xf numFmtId="0" fontId="13" fillId="0" borderId="0" applyAlignment="1" pivotButton="0" quotePrefix="0" xfId="0">
      <alignment horizontal="center" vertical="bottom"/>
    </xf>
    <xf numFmtId="0" fontId="13" fillId="0" borderId="1" applyAlignment="1" pivotButton="0" quotePrefix="0" xfId="0">
      <alignment horizontal="general" vertical="bottom"/>
    </xf>
    <xf numFmtId="0" fontId="13" fillId="0" borderId="1" applyAlignment="1" pivotButton="0" quotePrefix="0" xfId="0">
      <alignment horizontal="general" vertical="top" wrapText="1"/>
    </xf>
    <xf numFmtId="0" fontId="10" fillId="0" borderId="1" applyAlignment="1" pivotButton="0" quotePrefix="0" xfId="0">
      <alignment horizontal="general" vertical="bottom"/>
    </xf>
    <xf numFmtId="0" fontId="7" fillId="0" borderId="1" applyAlignment="1" pivotButton="0" quotePrefix="0" xfId="0">
      <alignment horizontal="general" vertical="bottom"/>
    </xf>
    <xf numFmtId="167" fontId="7" fillId="0" borderId="1" applyAlignment="1" pivotButton="0" quotePrefix="0" xfId="0">
      <alignment horizontal="general" vertical="bottom"/>
    </xf>
    <xf numFmtId="0" fontId="12" fillId="0" borderId="1" applyAlignment="1" pivotButton="0" quotePrefix="0" xfId="0">
      <alignment horizontal="general" vertical="bottom"/>
    </xf>
    <xf numFmtId="164" fontId="10" fillId="0" borderId="1" applyAlignment="1" pivotButton="0" quotePrefix="0" xfId="0">
      <alignment horizontal="general" vertical="bottom"/>
    </xf>
    <xf numFmtId="0" fontId="12" fillId="0" borderId="0" applyAlignment="1" pivotButton="0" quotePrefix="0" xfId="0">
      <alignment horizontal="general" vertical="bottom"/>
    </xf>
    <xf numFmtId="169" fontId="10" fillId="5" borderId="0" applyAlignment="1" pivotButton="0" quotePrefix="0" xfId="0">
      <alignment horizontal="general" vertical="bottom"/>
    </xf>
    <xf numFmtId="169" fontId="0" fillId="0" borderId="0" applyAlignment="1" pivotButton="0" quotePrefix="0" xfId="0">
      <alignment horizontal="general" vertical="bottom"/>
    </xf>
    <xf numFmtId="0" fontId="7" fillId="0" borderId="0" applyAlignment="1" pivotButton="0" quotePrefix="0" xfId="0">
      <alignment horizontal="general" vertical="bottom"/>
    </xf>
    <xf numFmtId="1" fontId="12" fillId="0" borderId="0" applyAlignment="1" pivotButton="0" quotePrefix="0" xfId="0">
      <alignment horizontal="right" vertical="bottom"/>
    </xf>
    <xf numFmtId="49" fontId="12" fillId="0" borderId="0" applyAlignment="1" pivotButton="0" quotePrefix="0" xfId="0">
      <alignment horizontal="right" vertical="bottom"/>
    </xf>
    <xf numFmtId="165" fontId="12" fillId="0" borderId="0" applyAlignment="1" pivotButton="0" quotePrefix="0" xfId="0">
      <alignment horizontal="right" vertical="bottom"/>
    </xf>
    <xf numFmtId="0" fontId="14" fillId="0" borderId="0" applyAlignment="1" pivotButton="0" quotePrefix="0" xfId="0">
      <alignment horizontal="general" vertical="bottom"/>
    </xf>
    <xf numFmtId="0" fontId="9" fillId="2" borderId="1" applyAlignment="1" pivotButton="0" quotePrefix="0" xfId="0">
      <alignment horizontal="general" vertical="bottom"/>
    </xf>
    <xf numFmtId="0" fontId="15" fillId="0" borderId="0" applyAlignment="1" pivotButton="0" quotePrefix="0" xfId="0">
      <alignment horizontal="general" vertical="bottom"/>
    </xf>
    <xf numFmtId="17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16" fillId="0" borderId="0" applyAlignment="1" pivotButton="0" quotePrefix="0" xfId="0">
      <alignment horizontal="general" vertical="bottom"/>
    </xf>
    <xf numFmtId="165" fontId="13" fillId="0" borderId="1" applyAlignment="1" pivotButton="0" quotePrefix="0" xfId="0">
      <alignment horizontal="general" vertical="bottom"/>
    </xf>
    <xf numFmtId="166" fontId="13" fillId="0" borderId="1" applyAlignment="1" pivotButton="0" quotePrefix="0" xfId="0">
      <alignment horizontal="general" vertical="bottom"/>
    </xf>
    <xf numFmtId="1" fontId="13" fillId="0" borderId="1" applyAlignment="1" pivotButton="0" quotePrefix="0" xfId="0">
      <alignment horizontal="general" vertical="bottom"/>
    </xf>
    <xf numFmtId="9" fontId="13" fillId="0" borderId="1" applyAlignment="1" pivotButton="0" quotePrefix="0" xfId="0">
      <alignment horizontal="general" vertical="bottom"/>
    </xf>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0" fontId="9" fillId="2" borderId="0" applyAlignment="1" pivotButton="0" quotePrefix="0" xfId="0">
      <alignment horizontal="general" vertical="bottom"/>
    </xf>
    <xf numFmtId="0" fontId="10" fillId="5" borderId="0" applyAlignment="1" pivotButton="0" quotePrefix="0" xfId="0">
      <alignment horizontal="general" vertical="top" wrapText="1"/>
    </xf>
    <xf numFmtId="0" fontId="10"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9" fillId="3" borderId="1" applyAlignment="1" pivotButton="0" quotePrefix="0" xfId="0">
      <alignment horizontal="general" vertical="center" wrapText="1"/>
    </xf>
    <xf numFmtId="0" fontId="7" fillId="0" borderId="1" applyAlignment="1" pivotButton="0" quotePrefix="0" xfId="0">
      <alignment horizontal="general" vertical="top" wrapText="1"/>
    </xf>
    <xf numFmtId="0" fontId="10" fillId="0" borderId="1" applyAlignment="1" pivotButton="0" quotePrefix="0" xfId="0">
      <alignment horizontal="general" vertical="top" wrapText="1"/>
    </xf>
    <xf numFmtId="164" fontId="10" fillId="0" borderId="1" applyAlignment="1" pivotButton="0" quotePrefix="0" xfId="0">
      <alignment horizontal="general" vertical="top" wrapText="1"/>
    </xf>
    <xf numFmtId="165" fontId="10" fillId="0" borderId="1" applyAlignment="1" pivotButton="0" quotePrefix="0" xfId="0">
      <alignment horizontal="general" vertical="top" wrapText="1"/>
    </xf>
    <xf numFmtId="166" fontId="10" fillId="0" borderId="1" applyAlignment="1" pivotButton="0" quotePrefix="0" xfId="0">
      <alignment horizontal="general" vertical="top" wrapText="1"/>
    </xf>
    <xf numFmtId="1" fontId="7" fillId="0" borderId="1" applyAlignment="1" pivotButton="0" quotePrefix="0" xfId="0">
      <alignment horizontal="general" vertical="top" wrapText="1"/>
    </xf>
    <xf numFmtId="164" fontId="10" fillId="4" borderId="1" applyAlignment="1" pivotButton="0" quotePrefix="0" xfId="0">
      <alignment horizontal="general" vertical="top" wrapText="1"/>
    </xf>
    <xf numFmtId="0" fontId="10" fillId="4" borderId="1" applyAlignment="1" pivotButton="0" quotePrefix="0" xfId="0">
      <alignment horizontal="general" vertical="top" wrapText="1"/>
    </xf>
    <xf numFmtId="167" fontId="7" fillId="0" borderId="1" applyAlignment="1" pivotButton="0" quotePrefix="0" xfId="0">
      <alignment horizontal="general" vertical="top" wrapText="1"/>
    </xf>
    <xf numFmtId="9" fontId="10" fillId="4" borderId="1" applyAlignment="1" pivotButton="0" quotePrefix="0" xfId="0">
      <alignment horizontal="general" vertical="top" wrapText="1"/>
    </xf>
    <xf numFmtId="168" fontId="7" fillId="0" borderId="1" applyAlignment="1" pivotButton="0" quotePrefix="0" xfId="0">
      <alignment horizontal="general" vertical="top" wrapText="1"/>
    </xf>
    <xf numFmtId="0" fontId="17" fillId="0" borderId="1" applyAlignment="1" pivotButton="0" quotePrefix="0" xfId="0">
      <alignment vertical="top" wrapText="1"/>
    </xf>
    <xf numFmtId="164" fontId="17" fillId="0" borderId="1" applyAlignment="1" pivotButton="0" quotePrefix="0" xfId="0">
      <alignment vertical="top" wrapText="1"/>
    </xf>
    <xf numFmtId="166" fontId="17" fillId="0" borderId="1" applyAlignment="1" pivotButton="0" quotePrefix="0" xfId="0">
      <alignment vertical="top" wrapText="1"/>
    </xf>
    <xf numFmtId="164" fontId="17" fillId="4" borderId="1" applyAlignment="1" pivotButton="0" quotePrefix="0" xfId="0">
      <alignment vertical="top" wrapText="1"/>
    </xf>
    <xf numFmtId="0" fontId="17" fillId="4" borderId="1" applyAlignment="1" pivotButton="0" quotePrefix="0" xfId="0">
      <alignment vertical="top" wrapText="1"/>
    </xf>
    <xf numFmtId="0" fontId="12" fillId="0" borderId="0" applyAlignment="1" pivotButton="0" quotePrefix="0" xfId="0">
      <alignment horizontal="right" vertical="bottom"/>
    </xf>
    <xf numFmtId="0" fontId="13" fillId="0" borderId="0" applyAlignment="1" pivotButton="0" quotePrefix="0" xfId="0">
      <alignment horizontal="center" vertical="bottom"/>
    </xf>
    <xf numFmtId="0" fontId="13" fillId="0" borderId="1" applyAlignment="1" pivotButton="0" quotePrefix="0" xfId="0">
      <alignment horizontal="general" vertical="bottom"/>
    </xf>
    <xf numFmtId="0" fontId="13" fillId="0" borderId="1" applyAlignment="1" pivotButton="0" quotePrefix="0" xfId="0">
      <alignment horizontal="general" vertical="top" wrapText="1"/>
    </xf>
    <xf numFmtId="0" fontId="10" fillId="0" borderId="1" applyAlignment="1" pivotButton="0" quotePrefix="0" xfId="0">
      <alignment horizontal="general" vertical="bottom"/>
    </xf>
    <xf numFmtId="0" fontId="7" fillId="0" borderId="1" applyAlignment="1" pivotButton="0" quotePrefix="0" xfId="0">
      <alignment horizontal="general" vertical="bottom"/>
    </xf>
    <xf numFmtId="167" fontId="7" fillId="0" borderId="1" applyAlignment="1" pivotButton="0" quotePrefix="0" xfId="0">
      <alignment horizontal="general" vertical="bottom"/>
    </xf>
    <xf numFmtId="0" fontId="12" fillId="0" borderId="1" applyAlignment="1" pivotButton="0" quotePrefix="0" xfId="0">
      <alignment horizontal="general" vertical="bottom"/>
    </xf>
    <xf numFmtId="164" fontId="10" fillId="0" borderId="1" applyAlignment="1" pivotButton="0" quotePrefix="0" xfId="0">
      <alignment horizontal="general" vertical="bottom"/>
    </xf>
    <xf numFmtId="0" fontId="12" fillId="0" borderId="0" applyAlignment="1" pivotButton="0" quotePrefix="0" xfId="0">
      <alignment horizontal="general" vertical="bottom"/>
    </xf>
    <xf numFmtId="169" fontId="10" fillId="5" borderId="0" applyAlignment="1" pivotButton="0" quotePrefix="0" xfId="0">
      <alignment horizontal="general" vertical="bottom"/>
    </xf>
    <xf numFmtId="169" fontId="0" fillId="0" borderId="0" applyAlignment="1" pivotButton="0" quotePrefix="0" xfId="0">
      <alignment horizontal="general" vertical="bottom"/>
    </xf>
    <xf numFmtId="0" fontId="7" fillId="0" borderId="0" applyAlignment="1" pivotButton="0" quotePrefix="0" xfId="0">
      <alignment horizontal="general" vertical="bottom"/>
    </xf>
    <xf numFmtId="1" fontId="12" fillId="0" borderId="0" applyAlignment="1" pivotButton="0" quotePrefix="0" xfId="0">
      <alignment horizontal="right" vertical="bottom"/>
    </xf>
    <xf numFmtId="49" fontId="12" fillId="0" borderId="0" applyAlignment="1" pivotButton="0" quotePrefix="0" xfId="0">
      <alignment horizontal="right" vertical="bottom"/>
    </xf>
    <xf numFmtId="165" fontId="12" fillId="0" borderId="0" applyAlignment="1" pivotButton="0" quotePrefix="0" xfId="0">
      <alignment horizontal="right" vertical="bottom"/>
    </xf>
    <xf numFmtId="0" fontId="14" fillId="0" borderId="0" applyAlignment="1" pivotButton="0" quotePrefix="0" xfId="0">
      <alignment horizontal="general" vertical="bottom"/>
    </xf>
    <xf numFmtId="0" fontId="9" fillId="2" borderId="1" applyAlignment="1" pivotButton="0" quotePrefix="0" xfId="0">
      <alignment horizontal="general" vertical="bottom"/>
    </xf>
    <xf numFmtId="0" fontId="15" fillId="0" borderId="0" applyAlignment="1" pivotButton="0" quotePrefix="0" xfId="0">
      <alignment horizontal="general" vertical="bottom"/>
    </xf>
    <xf numFmtId="170" fontId="7" fillId="0" borderId="1" applyAlignment="1" pivotButton="0" quotePrefix="0" xfId="0">
      <alignment horizontal="general" vertical="top" wrapText="1"/>
    </xf>
    <xf numFmtId="0" fontId="16" fillId="0" borderId="0" applyAlignment="1" pivotButton="0" quotePrefix="0" xfId="0">
      <alignment horizontal="general" vertical="bottom"/>
    </xf>
    <xf numFmtId="165" fontId="13" fillId="0" borderId="1" applyAlignment="1" pivotButton="0" quotePrefix="0" xfId="0">
      <alignment horizontal="general" vertical="bottom"/>
    </xf>
    <xf numFmtId="166" fontId="13" fillId="0" borderId="1" applyAlignment="1" pivotButton="0" quotePrefix="0" xfId="0">
      <alignment horizontal="general" vertical="bottom"/>
    </xf>
    <xf numFmtId="1" fontId="13" fillId="0" borderId="1" applyAlignment="1" pivotButton="0" quotePrefix="0" xfId="0">
      <alignment horizontal="general" vertical="bottom"/>
    </xf>
    <xf numFmtId="9" fontId="13" fillId="0" borderId="1" applyAlignment="1" pivotButton="0" quotePrefix="0" xfId="0">
      <alignment horizontal="general" vertical="bottom"/>
    </xf>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171" fontId="17" fillId="0" borderId="0" applyAlignment="1" pivotButton="0" quotePrefix="0" xfId="0">
      <alignment vertical="top" wrapText="1"/>
    </xf>
    <xf numFmtId="0" fontId="17" fillId="0" borderId="0" applyAlignment="1" pivotButton="0" quotePrefix="0" xfId="0">
      <alignment vertical="top" wrapText="1"/>
    </xf>
    <xf numFmtId="0" fontId="9" fillId="2" borderId="0" applyAlignment="1" pivotButton="0" quotePrefix="0" xfId="0">
      <alignment horizontal="general" vertical="bottom"/>
    </xf>
    <xf numFmtId="0" fontId="10" fillId="5" borderId="0" applyAlignment="1" pivotButton="0" quotePrefix="0" xfId="0">
      <alignment horizontal="general" vertical="top" wrapText="1"/>
    </xf>
    <xf numFmtId="0" fontId="10" fillId="5" borderId="0" applyAlignment="1" pivotButton="0" quotePrefix="0" xfId="0">
      <alignment horizontal="general" vertical="bottom"/>
    </xf>
    <xf numFmtId="0" fontId="18" fillId="0" borderId="0" pivotButton="0" quotePrefix="0" xfId="0"/>
    <xf numFmtId="0" fontId="19" fillId="0" borderId="0" pivotButton="0" quotePrefix="0" xfId="0"/>
    <xf numFmtId="0" fontId="20" fillId="6" borderId="0" pivotButton="0" quotePrefix="0" xfId="0"/>
    <xf numFmtId="171" fontId="21" fillId="0" borderId="0" applyAlignment="1" pivotButton="0" quotePrefix="0" xfId="0">
      <alignment vertical="top" wrapText="1"/>
    </xf>
    <xf numFmtId="0" fontId="21" fillId="0" borderId="0" applyAlignment="1" pivotButton="0" quotePrefix="0" xfId="0">
      <alignment vertical="top" wrapText="1"/>
    </xf>
    <xf numFmtId="172" fontId="21" fillId="0" borderId="0" applyAlignment="1" pivotButton="0" quotePrefix="0" xfId="0">
      <alignment vertical="top" wrapText="1"/>
    </xf>
    <xf numFmtId="171" fontId="17" fillId="0" borderId="0" applyAlignment="1" pivotButton="0" quotePrefix="0" xfId="0">
      <alignment vertical="top" wrapText="1"/>
    </xf>
    <xf numFmtId="171" fontId="21" fillId="0" borderId="0" applyAlignment="1" pivotButton="0" quotePrefix="0" xfId="0">
      <alignment vertical="top" wrapText="1"/>
    </xf>
    <xf numFmtId="172" fontId="21"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1">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3F6E86"/>
          <bgColor rgb="FF000000"/>
        </patternFill>
      </fill>
    </dxf>
    <dxf>
      <fill>
        <patternFill patternType="solid">
          <fgColor rgb="FFF6FAFB"/>
          <bgColor rgb="FF000000"/>
        </patternFill>
      </fill>
    </dxf>
    <dxf>
      <fill>
        <patternFill patternType="solid">
          <fgColor rgb="FFD8EFDF"/>
          <bgColor rgb="FF000000"/>
        </patternFill>
      </fill>
    </dxf>
    <dxf>
      <fill>
        <patternFill patternType="solid">
          <fgColor rgb="FFE4E4E4"/>
          <bgColor rgb="FF000000"/>
        </patternFill>
      </fill>
    </dxf>
    <dxf>
      <fill>
        <patternFill patternType="solid">
          <fgColor rgb="FFFCE4B6"/>
          <bgColor rgb="FF000000"/>
        </patternFill>
      </fill>
    </dxf>
    <dxf>
      <fill>
        <patternFill patternType="solid">
          <fgColor rgb="FFF8D7D3"/>
          <bgColor rgb="FF000000"/>
        </patternFill>
      </fill>
    </dxf>
    <dxf>
      <fill>
        <patternFill patternType="solid">
          <fgColor rgb="FF8A5300"/>
          <bgColor rgb="FF000000"/>
        </patternFill>
      </fill>
    </dxf>
    <dxf>
      <fill>
        <patternFill patternType="solid">
          <fgColor rgb="FF9C2A1F"/>
          <bgColor rgb="FF000000"/>
        </patternFill>
      </fill>
    </dxf>
    <dxf>
      <font>
        <name val="Arial"/>
        <charset val="1"/>
        <family val="0"/>
        <b val="1"/>
        <color rgb="FF9C2A1F"/>
      </font>
      <fill>
        <patternFill>
          <bgColor rgb="FFF8D7D3"/>
        </patternFill>
      </fill>
    </dxf>
    <dxf>
      <font>
        <name val="Arial"/>
        <charset val="1"/>
        <family val="0"/>
        <b val="1"/>
        <color rgb="FF8A5300"/>
      </font>
      <fill>
        <patternFill>
          <bgColor rgb="FFFCE4B6"/>
        </patternFill>
      </fill>
    </dxf>
    <dxf>
      <font>
        <name val="Arial"/>
        <charset val="1"/>
        <family val="0"/>
        <b val="1"/>
        <color rgb="FF1F6B3A"/>
      </font>
      <fill>
        <patternFill>
          <bgColor rgb="FFD8EFDF"/>
        </patternFill>
      </fill>
    </dxf>
    <dxf>
      <font>
        <name val="Arial"/>
        <charset val="1"/>
        <family val="0"/>
        <b val="1"/>
        <color rgb="FF555555"/>
      </font>
      <fill>
        <patternFill>
          <bgColor rgb="FFE4E4E4"/>
        </patternFill>
      </fill>
    </dxf>
    <dxf>
      <font>
        <name val="Arial"/>
        <charset val="1"/>
        <family val="0"/>
        <b val="1"/>
        <color rgb="FF9C2A1F"/>
      </font>
    </dxf>
    <dxf>
      <fill>
        <patternFill>
          <bgColor rgb="FFD8EFDF"/>
        </patternFill>
      </fill>
    </dxf>
    <dxf>
      <fill>
        <patternFill>
          <bgColor rgb="FFFCE4B6"/>
        </patternFill>
      </fill>
    </dxf>
    <dxf>
      <fill>
        <patternFill>
          <bgColor rgb="FFE4E4E4"/>
        </patternFill>
      </fill>
    </dxf>
    <dxf>
      <fill>
        <patternFill>
          <bgColor rgb="FFF8D7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F6B3A"/>
      <rgbColor rgb="FFC9CFD3"/>
      <rgbColor rgb="FF888888"/>
      <rgbColor rgb="FF9999FF"/>
      <rgbColor rgb="FF993366"/>
      <rgbColor rgb="FFFFF2CC"/>
      <rgbColor rgb="FFF6FAFB"/>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D8EFDF"/>
      <rgbColor rgb="FFF8D7D3"/>
      <rgbColor rgb="FF99CCFF"/>
      <rgbColor rgb="FFFF99CC"/>
      <rgbColor rgb="FFCC99FF"/>
      <rgbColor rgb="FFFCE4B6"/>
      <rgbColor rgb="FF3366FF"/>
      <rgbColor rgb="FF33CCCC"/>
      <rgbColor rgb="FF99CC00"/>
      <rgbColor rgb="FFFFCC00"/>
      <rgbColor rgb="FFD98A0B"/>
      <rgbColor rgb="FFFF6600"/>
      <rgbColor rgb="FF3F6E86"/>
      <rgbColor rgb="FF969696"/>
      <rgbColor rgb="FF003366"/>
      <rgbColor rgb="FF339966"/>
      <rgbColor rgb="FF003300"/>
      <rgbColor rgb="FF333300"/>
      <rgbColor rgb="FF9C2A1F"/>
      <rgbColor rgb="FF993366"/>
      <rgbColor rgb="FF555555"/>
      <rgbColor rgb="FF1F3A4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Unknown Author</author>
  </authors>
  <commentList>
    <comment ref="E4" authorId="0" shapeId="0">
      <text>
        <t>NeST shows no per-tender link to the public; search the tender no. on this page.</t>
      </text>
    </comment>
    <comment ref="L4" authorId="0" shapeId="0">
      <text>
        <t>'NeST login needed' = the field is only visible to registered tenderers. Replace after logging in.</t>
      </text>
    </comment>
    <comment ref="M4" authorId="0" shapeId="0">
      <text>
        <t>Leave blank until read from the tender document or the PE's procurement plan. Never guess (Programme rule 2).</t>
      </text>
    </comment>
    <comment ref="U4" authorId="0" shapeId="0">
      <text>
        <t>Shows the F-02 result once all 12 criteria are scored on Bid-NoBid; until then shows the initial screen.</t>
      </text>
    </comment>
    <comment ref="AG4" authorId="0" shapeId="0">
      <text>
        <t>F-01 escalation rules: value ≥ TZS 3bn, or deadline under 10 days and no MD decision yet. JV tenders: escalate manually.</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B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50" min="1" max="1"/>
    <col width="120" customWidth="1" style="50" min="2" max="2"/>
  </cols>
  <sheetData>
    <row r="1" ht="17.35" customHeight="1" s="51">
      <c r="A1" s="52" t="inlineStr">
        <is>
          <t>Nordic Opportunity Pipeline – Read Me</t>
        </is>
      </c>
    </row>
    <row r="2" ht="15" customHeight="1" s="51">
      <c r="A2" s="53" t="inlineStr">
        <is>
          <t>Assignment F-01 (with F-02 scoring) · Nordic Construction Company Ltd · Version 0.4 (multi-source scanner) · 24 Sep 2026</t>
        </is>
      </c>
    </row>
    <row r="4" ht="15" customHeight="1" s="51">
      <c r="A4" s="54" t="inlineStr">
        <is>
          <t>Purpose</t>
        </is>
      </c>
      <c r="B4" s="55" t="inlineStr">
        <is>
          <t>One place to record every relevant tender, RFP, prequalification and EOI, screen it, score it (F-02) and feed Panel 3 of the MD Dashboard (F-03).</t>
        </is>
      </c>
    </row>
    <row r="5" ht="15" customHeight="1" s="51">
      <c r="A5" s="54" t="inlineStr">
        <is>
          <t>Scope</t>
        </is>
      </c>
      <c r="B5" s="55" t="inlineStr">
        <is>
          <t>Building, civil, fit-out, renovation (and MEP for referral) valued from TZS 200 million upward. Consultancy-only tenders are out of scope.</t>
        </is>
      </c>
    </row>
    <row r="6" ht="35.05" customHeight="1" s="51">
      <c r="A6" s="54" t="inlineStr">
        <is>
          <t>Sheets</t>
        </is>
      </c>
      <c r="B6" s="55" t="inlineStr">
        <is>
          <t>Pipeline – main register (Appendix F columns + helper columns) · Bid-NoBid – F-02 score per ID · Scoring Guide – gates, criteria, weights, thresholds · Friday Summary – counts and the 14-day due list · Panel 3 Feed – linked rows for the MD Dashboard · Watch List – banks and corporates without public tenders · Scan Log – what was checked and when · Lists – drop-down options.</t>
        </is>
      </c>
    </row>
    <row r="7" ht="15" customHeight="1" s="51">
      <c r="A7" s="54" t="inlineStr">
        <is>
          <t>Colour code</t>
        </is>
      </c>
      <c r="B7" s="55" t="inlineStr">
        <is>
          <t>Blue text = type here. Black = formula, do not overwrite. Green = linked from another sheet. Yellow fill = settings (weights, thresholds, report date).</t>
        </is>
      </c>
    </row>
    <row r="8" ht="23.85" customHeight="1" s="51">
      <c r="A8" s="54" t="inlineStr">
        <is>
          <t>Adding a tender</t>
        </is>
      </c>
      <c r="B8" s="55" t="inlineStr">
        <is>
          <t>Type the Tender no. in the next empty Pipeline row – the ID (OP-###) appears automatically and the row appears on Bid-NoBid and Panel 3 Feed. Fill the blue cells; use the drop-downs.</t>
        </is>
      </c>
    </row>
    <row r="9" ht="23.85" customHeight="1" s="51">
      <c r="A9" s="54" t="inlineStr">
        <is>
          <t>'NeST login needed'</t>
        </is>
      </c>
      <c r="B9" s="55" t="inlineStr">
        <is>
          <t>NeST shows only title, entity, dates and tender no. to the public. CRB class, estimated value, site visit and bid security are inside the tender document, visible after logging in with Nordic's NeST account (login details held by the QS Director, not in this file).</t>
        </is>
      </c>
    </row>
    <row r="10" ht="23.85" customHeight="1" s="51">
      <c r="A10" s="54" t="inlineStr">
        <is>
          <t>Recommendation</t>
        </is>
      </c>
      <c r="B10" s="55" t="inlineStr">
        <is>
          <t>Shows 'Screen: Pursue / Check / Drop' (a first view from the notice) until all 12 criteria are scored on Bid-NoBid; then it shows Bid / Conditional (MD) / No-Bid.</t>
        </is>
      </c>
    </row>
    <row r="11" ht="23.85" customHeight="1" s="51">
      <c r="A11" s="54" t="inlineStr">
        <is>
          <t>Alerts</t>
        </is>
      </c>
      <c r="B11" s="55" t="inlineStr">
        <is>
          <t>Deadline alert follows the Appendix E rule: RED if submission ≤ 7 days and status is not 'Preparing'; AMBER ≤ 14 days; GREEN beyond. Escalate to MD = value ≥ TZS 3bn, or deadline under 10 days with no MD decision yet (F-01 rules). JV tenders: escalate manually.</t>
        </is>
      </c>
    </row>
    <row r="12" ht="23.85" customHeight="1" s="51">
      <c r="A12" s="54" t="inlineStr">
        <is>
          <t>Rule on numbers</t>
        </is>
      </c>
      <c r="B12" s="55" t="inlineStr">
        <is>
          <t>Never type an estimated value, CRB class or bid security that you have not read in the tender document or the PE's procurement plan. Leave blank or 'unverified'.</t>
        </is>
      </c>
    </row>
    <row r="13" ht="68.65000000000001" customHeight="1" s="51">
      <c r="A13" s="54" t="inlineStr">
        <is>
          <t>Automatic feed</t>
        </is>
      </c>
      <c r="B13" s="55" t="inlineStr">
        <is>
          <t>The Tanzania Tender Scanner runs every 15 minutes on an office PC and checks: NeST (all Mainland public tenders), the World Bank's notices for Tanzania (civil works), the TANROADS website, the ZPPDA Zanzibar tender portal, and the CRDB and NMB tender pages. It keeps construction and civil-works tenders only, screens them, and adds new ones here with Found by = 'Auto-scan' and the source in the Source column. Others go to the Screened Out sheet. It updates deadlines that change at the source and writes a Scan Log line whenever it changes something. It only writes into empty rows – it never changes your scores, decisions or notes. While this file is open it cannot save, so close it when you finish; new tenders are added at the first scan after it is closed.</t>
        </is>
      </c>
    </row>
    <row r="14" ht="23.85" customHeight="1" s="51">
      <c r="A14" s="54" t="inlineStr">
        <is>
          <t>Do not</t>
        </is>
      </c>
      <c r="B14" s="55" t="inlineStr">
        <is>
          <t>Do not insert or delete rows or columns on Pipeline or Bid-NoBid, and do not add pictures or charts to this file – the scanner cannot preserve pictures. Keep the file name and folder the same, or update scanner_config.json.</t>
        </is>
      </c>
    </row>
    <row r="15" ht="23.85" customHeight="1" s="51">
      <c r="A15" s="54" t="inlineStr">
        <is>
          <t>Data in v0.1</t>
        </is>
      </c>
      <c r="B15" s="55" t="inlineStr">
        <is>
          <t>31 opportunities from the NeST Published Tenders list, read 24 Sep 2026 (326 published; 85 in Works). Watch list seeded with target clients from the programme and the Likong'o close-out report. Criterion 8 (location) pre-scored only; all other scores await evidence.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F3A4D"/>
    <outlinePr summaryBelow="1" summaryRight="1"/>
    <pageSetUpPr fitToPage="0"/>
  </sheetPr>
  <dimension ref="A1:AL504"/>
  <sheetViews>
    <sheetView showFormulas="0" showGridLines="0" showRowColHeaders="1" showZeros="1" rightToLeft="0" tabSelected="1"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zeroHeight="0" outlineLevelRow="0"/>
  <cols>
    <col width="8" customWidth="1" style="50" min="1" max="1"/>
    <col width="24" customWidth="1" style="50" min="2" max="2"/>
    <col width="11" customWidth="1" style="50" min="3" max="3"/>
    <col width="10" customWidth="1" style="50" min="4" max="4"/>
    <col width="26" customWidth="1" style="50" min="5" max="5"/>
    <col width="28" customWidth="1" style="50" min="6" max="6"/>
    <col width="13" customWidth="1" style="50" min="7" max="7"/>
    <col width="46" customWidth="1" style="50" min="8" max="8"/>
    <col width="34" customWidth="1" style="50" min="9" max="9"/>
    <col width="20" customWidth="1" style="50" min="10" max="10"/>
    <col width="11" customWidth="1" style="50" min="11" max="11"/>
    <col width="14" customWidth="1" style="50" min="12" max="12"/>
    <col width="16" customWidth="1" style="50" min="13" max="13"/>
    <col width="10" customWidth="1" style="50" min="14" max="14"/>
    <col width="12" customWidth="1" style="50" min="15" max="15"/>
    <col width="13" customWidth="1" style="50" min="16" max="16"/>
    <col width="16" customWidth="1" style="50" min="17" max="17"/>
    <col width="14" customWidth="1" style="50" min="18" max="18"/>
    <col width="12" customWidth="1" style="50" min="19" max="19"/>
    <col width="10" customWidth="1" style="50" min="20" max="20"/>
    <col width="26" customWidth="1" style="50" min="21" max="21"/>
    <col width="12" customWidth="1" style="50" min="22" max="22"/>
    <col width="14" customWidth="1" style="50" min="23" max="23"/>
    <col width="10" customWidth="1" style="50" min="24" max="24"/>
    <col width="20" customWidth="1" style="50" min="25" max="25"/>
    <col width="36" customWidth="1" style="50" min="26" max="26"/>
    <col width="11" customWidth="1" style="50" min="27" max="27"/>
    <col width="18" customWidth="1" style="50" min="28" max="28"/>
    <col width="10" customWidth="1" style="50" min="29" max="29"/>
    <col width="40" customWidth="1" style="50" min="30" max="30"/>
    <col width="9" customWidth="1" style="50" min="31" max="31"/>
    <col width="10" customWidth="1" style="50" min="32" max="32"/>
    <col width="11" customWidth="1" style="50" min="33" max="33"/>
    <col width="10" customWidth="1" style="50" min="34" max="34"/>
    <col width="38" customWidth="1" style="50" min="35" max="35"/>
    <col width="10" customWidth="1" style="50" min="36" max="36"/>
    <col width="12" customWidth="1" style="50" min="37" max="37"/>
    <col hidden="1" width="10" customWidth="1" style="50" min="38" max="38"/>
  </cols>
  <sheetData>
    <row r="1" ht="17.35" customHeight="1" s="51">
      <c r="A1" s="52" t="inlineStr">
        <is>
          <t>Nordic Opportunity Pipeline</t>
        </is>
      </c>
    </row>
    <row r="2" ht="15" customHeight="1" s="51">
      <c r="A2" s="53" t="inlineStr">
        <is>
          <t>F-01 · Appendix F layout · one row per tender, RFP, prequalification or EOI · blue = type here, black = formula · v0.3, 24 Sep 2026 · new tenders are added automatically every 15 minutes by the Tanzania Tender Scanner</t>
        </is>
      </c>
    </row>
    <row r="3" ht="15" customHeight="1" s="51">
      <c r="A3" s="56" t="inlineStr">
        <is>
          <t>APPENDIX F COLUMNS</t>
        </is>
      </c>
      <c r="AA3" s="56" t="inlineStr">
        <is>
          <t>HELPER COLUMNS (screening, alerts, dashboard feed)</t>
        </is>
      </c>
    </row>
    <row r="4" ht="42" customHeight="1" s="51">
      <c r="A4" s="57" t="inlineStr">
        <is>
          <t>ID</t>
        </is>
      </c>
      <c r="B4" s="57" t="inlineStr">
        <is>
          <t>Tender no.</t>
        </is>
      </c>
      <c r="C4" s="57" t="inlineStr">
        <is>
          <t>Date found</t>
        </is>
      </c>
      <c r="D4" s="57" t="inlineStr">
        <is>
          <t>Source</t>
        </is>
      </c>
      <c r="E4" s="57" t="inlineStr">
        <is>
          <t>Source URL</t>
        </is>
      </c>
      <c r="F4" s="57" t="inlineStr">
        <is>
          <t>Client</t>
        </is>
      </c>
      <c r="G4" s="57" t="inlineStr">
        <is>
          <t>Client type</t>
        </is>
      </c>
      <c r="H4" s="57" t="inlineStr">
        <is>
          <t>Tender title</t>
        </is>
      </c>
      <c r="I4" s="57" t="inlineStr">
        <is>
          <t>Scope summary</t>
        </is>
      </c>
      <c r="J4" s="57" t="inlineStr">
        <is>
          <t>Location</t>
        </is>
      </c>
      <c r="K4" s="57" t="inlineStr">
        <is>
          <t>Category</t>
        </is>
      </c>
      <c r="L4" s="57" t="inlineStr">
        <is>
          <t>CRB class required</t>
        </is>
      </c>
      <c r="M4" s="57" t="inlineStr">
        <is>
          <t>Est. value TZS</t>
        </is>
      </c>
      <c r="N4" s="57" t="inlineStr">
        <is>
          <t>Funding confirmed</t>
        </is>
      </c>
      <c r="O4" s="57" t="inlineStr">
        <is>
          <t>Site visit date</t>
        </is>
      </c>
      <c r="P4" s="57" t="inlineStr">
        <is>
          <t>Clarification deadline</t>
        </is>
      </c>
      <c r="Q4" s="57" t="inlineStr">
        <is>
          <t>Submission date</t>
        </is>
      </c>
      <c r="R4" s="57" t="inlineStr">
        <is>
          <t>Bid security</t>
        </is>
      </c>
      <c r="S4" s="57" t="inlineStr">
        <is>
          <t>Documents purchased</t>
        </is>
      </c>
      <c r="T4" s="57" t="inlineStr">
        <is>
          <t>Bid/No-Bid score</t>
        </is>
      </c>
      <c r="U4" s="57" t="inlineStr">
        <is>
          <t>Recommendation</t>
        </is>
      </c>
      <c r="V4" s="57" t="inlineStr">
        <is>
          <t>MD decision</t>
        </is>
      </c>
      <c r="W4" s="57" t="inlineStr">
        <is>
          <t>Status</t>
        </is>
      </c>
      <c r="X4" s="57" t="inlineStr">
        <is>
          <t>Owner</t>
        </is>
      </c>
      <c r="Y4" s="57" t="inlineStr">
        <is>
          <t>Outcome</t>
        </is>
      </c>
      <c r="Z4" s="57" t="inlineStr">
        <is>
          <t>Lessons</t>
        </is>
      </c>
      <c r="AA4" s="58" t="inlineStr">
        <is>
          <t>Date advertised</t>
        </is>
      </c>
      <c r="AB4" s="58" t="inlineStr">
        <is>
          <t>Notice type</t>
        </is>
      </c>
      <c r="AC4" s="58" t="inlineStr">
        <is>
          <t>Initial screen</t>
        </is>
      </c>
      <c r="AD4" s="58" t="inlineStr">
        <is>
          <t>Screen reason</t>
        </is>
      </c>
      <c r="AE4" s="58" t="inlineStr">
        <is>
          <t>Days to deadline</t>
        </is>
      </c>
      <c r="AF4" s="58" t="inlineStr">
        <is>
          <t>Deadline alert</t>
        </is>
      </c>
      <c r="AG4" s="58" t="inlineStr">
        <is>
          <t>Escalate to MD?</t>
        </is>
      </c>
      <c r="AH4" s="58" t="inlineStr">
        <is>
          <t>Win probability</t>
        </is>
      </c>
      <c r="AI4" s="58" t="inlineStr">
        <is>
          <t>Next action</t>
        </is>
      </c>
      <c r="AJ4" s="58" t="inlineStr">
        <is>
          <t>Found by</t>
        </is>
      </c>
      <c r="AK4" s="58" t="inlineStr">
        <is>
          <t>Source ID</t>
        </is>
      </c>
      <c r="AL4" s="58" t="inlineStr">
        <is>
          <t>Due-14 key</t>
        </is>
      </c>
    </row>
    <row r="5" ht="57.45" customHeight="1" s="51">
      <c r="A5" s="59">
        <f>IF(B5="","","OP-"&amp;TEXT(ROW()-4,"000"))</f>
        <v/>
      </c>
      <c r="B5" s="60" t="inlineStr">
        <is>
          <t>7205/2026/2027/W/09</t>
        </is>
      </c>
      <c r="C5" s="61" t="n">
        <v>46289</v>
      </c>
      <c r="D5" s="60" t="inlineStr">
        <is>
          <t>NeST</t>
        </is>
      </c>
      <c r="E5" s="60" t="inlineStr">
        <is>
          <t>https://nest.go.tz/tenders/published-tenders</t>
        </is>
      </c>
      <c r="F5" s="60" t="inlineStr">
        <is>
          <t>City Council of Dodoma</t>
        </is>
      </c>
      <c r="G5" s="60" t="inlineStr">
        <is>
          <t>government</t>
        </is>
      </c>
      <c r="H5" s="60" t="inlineStr">
        <is>
          <t>Proposed construction of the City Council of Dodoma Head Office</t>
        </is>
      </c>
      <c r="I5" s="60" t="inlineStr">
        <is>
          <t>New multi-storey council head office building in Dodoma City</t>
        </is>
      </c>
      <c r="J5" s="60" t="inlineStr">
        <is>
          <t>Dodoma</t>
        </is>
      </c>
      <c r="K5" s="60" t="inlineStr">
        <is>
          <t>building</t>
        </is>
      </c>
      <c r="L5" s="60" t="inlineStr">
        <is>
          <t>NeST login needed</t>
        </is>
      </c>
      <c r="M5" s="62" t="n"/>
      <c r="N5" s="60" t="inlineStr">
        <is>
          <t>unknown</t>
        </is>
      </c>
      <c r="O5" s="61" t="inlineStr">
        <is>
          <t>NeST login needed</t>
        </is>
      </c>
      <c r="P5" s="61" t="inlineStr">
        <is>
          <t>NeST login needed</t>
        </is>
      </c>
      <c r="Q5" s="63" t="n">
        <v>46303.41666666666</v>
      </c>
      <c r="R5" s="60" t="inlineStr">
        <is>
          <t>NeST login needed</t>
        </is>
      </c>
      <c r="S5" s="60" t="inlineStr">
        <is>
          <t>N</t>
        </is>
      </c>
      <c r="T5" s="64">
        <f>IF(A5="","",IFERROR(INDEX('Bid-NoBid'!$T:$T,MATCH(A5,'Bid-NoBid'!$A:$A,0)),""))</f>
        <v/>
      </c>
      <c r="U5" s="59">
        <f>IF(A5="","",IFERROR(IF(OR(INDEX('Bid-NoBid'!$U:$U,MATCH(A5,'Bid-NoBid'!$A:$A,0))="",LEFT(INDEX('Bid-NoBid'!$U:$U,MATCH(A5,'Bid-NoBid'!$A:$A,0)),10)="Incomplete"),"Screen: "&amp;AC5,INDEX('Bid-NoBid'!$U:$U,MATCH(A5,'Bid-NoBid'!$A:$A,0))),"Screen: "&amp;AC5))</f>
        <v/>
      </c>
      <c r="V5" s="60" t="n"/>
      <c r="W5" s="60" t="inlineStr">
        <is>
          <t>Watching</t>
        </is>
      </c>
      <c r="X5" s="60" t="inlineStr">
        <is>
          <t>Frank</t>
        </is>
      </c>
      <c r="Y5" s="60" t="n"/>
      <c r="Z5" s="60" t="n"/>
      <c r="AA5" s="65" t="n">
        <v>46288</v>
      </c>
      <c r="AB5" s="66" t="inlineStr">
        <is>
          <t>Small Works</t>
        </is>
      </c>
      <c r="AC5" s="66" t="inlineStr">
        <is>
          <t>Pursue</t>
        </is>
      </c>
      <c r="AD5" s="66" t="inlineStr">
        <is>
          <t>Flagship public building; 15-day window gives time to price; likely large value, so MD must see it</t>
        </is>
      </c>
      <c r="AE5" s="67">
        <f>IF(ISNUMBER(Q5),ROUNDDOWN(Q5-NOW(),1),"")</f>
        <v/>
      </c>
      <c r="AF5" s="59">
        <f>IF(OR(A5="",AE5=""),"",IF(NOT(OR(W5="Watching",W5="Preparing")),"",IF(AE5&lt;0,"PASSED",IF(AND(AE5&lt;=7,W5&lt;&gt;"Preparing"),"RED",IF(AE5&lt;=14,"AMBER","GREEN")))))</f>
        <v/>
      </c>
      <c r="AG5" s="59">
        <f>IF(OR(A5="",NOT(OR(W5="Watching",W5="Preparing"))),"",IF(AND(ISNUMBER(M5),M5&gt;=3000000000),"YES – ≥ TZS 3bn",IF(AND(ISNUMBER(AE5),AE5&gt;=0,AE5&lt;10,V5=""),"YES – &lt;10 days","")))</f>
        <v/>
      </c>
      <c r="AH5" s="68" t="n"/>
      <c r="AI5" s="66" t="inlineStr">
        <is>
          <t>Log in to NeST, download document, confirm CRB class, value and site visit; brief MD</t>
        </is>
      </c>
      <c r="AJ5" s="66" t="inlineStr">
        <is>
          <t>Manual scan</t>
        </is>
      </c>
      <c r="AK5" s="66" t="inlineStr">
        <is>
          <t>36adabf5-6ac2-4a6b-bc14-a74e83964305</t>
        </is>
      </c>
      <c r="AL5" s="69">
        <f>IF(AND(OR(W5="Watching",W5="Preparing"),ISNUMBER(Q5)),IF(AND(Q5&gt;='Friday Summary'!$C$4,Q5&lt;='Friday Summary'!$C$4+14),Q5+ROW()/1000000,""),"")</f>
        <v/>
      </c>
    </row>
    <row r="6" ht="57.45" customHeight="1" s="51">
      <c r="A6" s="59">
        <f>IF(B6="","","OP-"&amp;TEXT(ROW()-4,"000"))</f>
        <v/>
      </c>
      <c r="B6" s="60" t="inlineStr">
        <is>
          <t>TR33/2026/2027/W/01</t>
        </is>
      </c>
      <c r="C6" s="61" t="n">
        <v>46289</v>
      </c>
      <c r="D6" s="60" t="inlineStr">
        <is>
          <t>NeST</t>
        </is>
      </c>
      <c r="E6" s="60" t="inlineStr">
        <is>
          <t>https://nest.go.tz/tenders/published-tenders</t>
        </is>
      </c>
      <c r="F6" s="60" t="inlineStr">
        <is>
          <t>President's Office – Ethics Secretariat</t>
        </is>
      </c>
      <c r="G6" s="60" t="inlineStr">
        <is>
          <t>government</t>
        </is>
      </c>
      <c r="H6" s="60" t="inlineStr">
        <is>
          <t>Proposed construction of office buildings and structures at Eastern Zonal Office (Morogoro)</t>
        </is>
      </c>
      <c r="I6" s="60" t="inlineStr">
        <is>
          <t>Office buildings and associated structures for the Eastern Zone office</t>
        </is>
      </c>
      <c r="J6" s="60" t="inlineStr">
        <is>
          <t>Morogoro</t>
        </is>
      </c>
      <c r="K6" s="60" t="inlineStr">
        <is>
          <t>building</t>
        </is>
      </c>
      <c r="L6" s="60" t="inlineStr">
        <is>
          <t>NeST login needed</t>
        </is>
      </c>
      <c r="M6" s="62" t="n"/>
      <c r="N6" s="60" t="inlineStr">
        <is>
          <t>unknown</t>
        </is>
      </c>
      <c r="O6" s="61" t="inlineStr">
        <is>
          <t>NeST login needed</t>
        </is>
      </c>
      <c r="P6" s="61" t="inlineStr">
        <is>
          <t>NeST login needed</t>
        </is>
      </c>
      <c r="Q6" s="63" t="n">
        <v>46301.52083333334</v>
      </c>
      <c r="R6" s="60" t="inlineStr">
        <is>
          <t>NeST login needed</t>
        </is>
      </c>
      <c r="S6" s="60" t="inlineStr">
        <is>
          <t>N</t>
        </is>
      </c>
      <c r="T6" s="64">
        <f>IF(A6="","",IFERROR(INDEX('Bid-NoBid'!$T:$T,MATCH(A6,'Bid-NoBid'!$A:$A,0)),""))</f>
        <v/>
      </c>
      <c r="U6" s="59">
        <f>IF(A6="","",IFERROR(IF(OR(INDEX('Bid-NoBid'!$U:$U,MATCH(A6,'Bid-NoBid'!$A:$A,0))="",LEFT(INDEX('Bid-NoBid'!$U:$U,MATCH(A6,'Bid-NoBid'!$A:$A,0)),10)="Incomplete"),"Screen: "&amp;AC6,INDEX('Bid-NoBid'!$U:$U,MATCH(A6,'Bid-NoBid'!$A:$A,0))),"Screen: "&amp;AC6))</f>
        <v/>
      </c>
      <c r="V6" s="60" t="n"/>
      <c r="W6" s="60" t="inlineStr">
        <is>
          <t>Watching</t>
        </is>
      </c>
      <c r="X6" s="60" t="inlineStr">
        <is>
          <t>Frank</t>
        </is>
      </c>
      <c r="Y6" s="60" t="n"/>
      <c r="Z6" s="60" t="n"/>
      <c r="AA6" s="65" t="n">
        <v>46283</v>
      </c>
      <c r="AB6" s="66" t="inlineStr">
        <is>
          <t>Small Works</t>
        </is>
      </c>
      <c r="AC6" s="66" t="inlineStr">
        <is>
          <t>Pursue</t>
        </is>
      </c>
      <c r="AD6" s="66" t="inlineStr">
        <is>
          <t>Building works within reach of Dar; 11 days left</t>
        </is>
      </c>
      <c r="AE6" s="67">
        <f>IF(ISNUMBER(Q6),ROUNDDOWN(Q6-NOW(),1),"")</f>
        <v/>
      </c>
      <c r="AF6" s="59">
        <f>IF(OR(A6="",AE6=""),"",IF(NOT(OR(W6="Watching",W6="Preparing")),"",IF(AE6&lt;0,"PASSED",IF(AND(AE6&lt;=7,W6&lt;&gt;"Preparing"),"RED",IF(AE6&lt;=14,"AMBER","GREEN")))))</f>
        <v/>
      </c>
      <c r="AG6" s="59">
        <f>IF(OR(A6="",NOT(OR(W6="Watching",W6="Preparing"))),"",IF(AND(ISNUMBER(M6),M6&gt;=3000000000),"YES – ≥ TZS 3bn",IF(AND(ISNUMBER(AE6),AE6&gt;=0,AE6&lt;10,V6=""),"YES – &lt;10 days","")))</f>
        <v/>
      </c>
      <c r="AH6" s="68" t="n"/>
      <c r="AI6" s="66" t="inlineStr">
        <is>
          <t>Deadline changed at source 02-Oct (was 05-Oct 12:30). Download document; check CRB class and bid security</t>
        </is>
      </c>
      <c r="AJ6" s="66" t="inlineStr">
        <is>
          <t>Manual scan</t>
        </is>
      </c>
      <c r="AK6" s="66" t="inlineStr">
        <is>
          <t>8021c469-1ab2-4f17-8090-49aee45b3951</t>
        </is>
      </c>
      <c r="AL6" s="69">
        <f>IF(AND(OR(W6="Watching",W6="Preparing"),ISNUMBER(Q6)),IF(AND(Q6&gt;='Friday Summary'!$C$4,Q6&lt;='Friday Summary'!$C$4+14),Q6+ROW()/1000000,""),"")</f>
        <v/>
      </c>
    </row>
    <row r="7" ht="57.45" customHeight="1" s="51">
      <c r="A7" s="59">
        <f>IF(B7="","","OP-"&amp;TEXT(ROW()-4,"000"))</f>
        <v/>
      </c>
      <c r="B7" s="60" t="inlineStr">
        <is>
          <t>TR126/2026/2027/W/10</t>
        </is>
      </c>
      <c r="C7" s="61" t="n">
        <v>46289</v>
      </c>
      <c r="D7" s="60" t="inlineStr">
        <is>
          <t>NeST</t>
        </is>
      </c>
      <c r="E7" s="60" t="inlineStr">
        <is>
          <t>https://nest.go.tz/tenders/published-tenders</t>
        </is>
      </c>
      <c r="F7" s="60" t="inlineStr">
        <is>
          <t>Tanzania Railways Corporation (TRC)</t>
        </is>
      </c>
      <c r="G7" s="60" t="inlineStr">
        <is>
          <t>parastatal</t>
        </is>
      </c>
      <c r="H7" s="60" t="inlineStr">
        <is>
          <t>Construction of running rooms and houses for TRC staff</t>
        </is>
      </c>
      <c r="I7" s="60" t="inlineStr">
        <is>
          <t>Staff housing and running rooms (locations per tender document)</t>
        </is>
      </c>
      <c r="J7" s="60" t="inlineStr">
        <is>
          <t>TBC – per tender document</t>
        </is>
      </c>
      <c r="K7" s="60" t="inlineStr">
        <is>
          <t>building</t>
        </is>
      </c>
      <c r="L7" s="60" t="inlineStr">
        <is>
          <t>NeST login needed</t>
        </is>
      </c>
      <c r="M7" s="62" t="n"/>
      <c r="N7" s="60" t="inlineStr">
        <is>
          <t>unknown</t>
        </is>
      </c>
      <c r="O7" s="61" t="inlineStr">
        <is>
          <t>NeST login needed</t>
        </is>
      </c>
      <c r="P7" s="61" t="inlineStr">
        <is>
          <t>NeST login needed</t>
        </is>
      </c>
      <c r="Q7" s="63" t="n">
        <v>46301.58333333334</v>
      </c>
      <c r="R7" s="60" t="inlineStr">
        <is>
          <t>NeST login needed</t>
        </is>
      </c>
      <c r="S7" s="60" t="inlineStr">
        <is>
          <t>N</t>
        </is>
      </c>
      <c r="T7" s="64">
        <f>IF(A7="","",IFERROR(INDEX('Bid-NoBid'!$T:$T,MATCH(A7,'Bid-NoBid'!$A:$A,0)),""))</f>
        <v/>
      </c>
      <c r="U7" s="59">
        <f>IF(A7="","",IFERROR(IF(OR(INDEX('Bid-NoBid'!$U:$U,MATCH(A7,'Bid-NoBid'!$A:$A,0))="",LEFT(INDEX('Bid-NoBid'!$U:$U,MATCH(A7,'Bid-NoBid'!$A:$A,0)),10)="Incomplete"),"Screen: "&amp;AC7,INDEX('Bid-NoBid'!$U:$U,MATCH(A7,'Bid-NoBid'!$A:$A,0))),"Screen: "&amp;AC7))</f>
        <v/>
      </c>
      <c r="V7" s="60" t="n"/>
      <c r="W7" s="60" t="inlineStr">
        <is>
          <t>Watching</t>
        </is>
      </c>
      <c r="X7" s="60" t="inlineStr">
        <is>
          <t>Frank</t>
        </is>
      </c>
      <c r="Y7" s="60" t="n"/>
      <c r="Z7" s="60" t="n"/>
      <c r="AA7" s="65" t="n">
        <v>46281</v>
      </c>
      <c r="AB7" s="66" t="inlineStr">
        <is>
          <t>Small Works</t>
        </is>
      </c>
      <c r="AC7" s="66" t="inlineStr">
        <is>
          <t>Pursue</t>
        </is>
      </c>
      <c r="AD7" s="66" t="inlineStr">
        <is>
          <t>Repeat-able parastatal housing client; confirm site locations</t>
        </is>
      </c>
      <c r="AE7" s="67">
        <f>IF(ISNUMBER(Q7),ROUNDDOWN(Q7-NOW(),1),"")</f>
        <v/>
      </c>
      <c r="AF7" s="59">
        <f>IF(OR(A7="",AE7=""),"",IF(NOT(OR(W7="Watching",W7="Preparing")),"",IF(AE7&lt;0,"PASSED",IF(AND(AE7&lt;=7,W7&lt;&gt;"Preparing"),"RED",IF(AE7&lt;=14,"AMBER","GREEN")))))</f>
        <v/>
      </c>
      <c r="AG7" s="59">
        <f>IF(OR(A7="",NOT(OR(W7="Watching",W7="Preparing"))),"",IF(AND(ISNUMBER(M7),M7&gt;=3000000000),"YES – ≥ TZS 3bn",IF(AND(ISNUMBER(AE7),AE7&gt;=0,AE7&lt;10,V7=""),"YES – &lt;10 days","")))</f>
        <v/>
      </c>
      <c r="AH7" s="68" t="n"/>
      <c r="AI7" s="66" t="inlineStr">
        <is>
          <t>Deadline changed at source 03-Oct (was 02-Oct 14:00). Download document; confirm sites and number of lots</t>
        </is>
      </c>
      <c r="AJ7" s="66" t="inlineStr">
        <is>
          <t>Manual scan</t>
        </is>
      </c>
      <c r="AK7" s="66" t="inlineStr">
        <is>
          <t>e617135e-e227-4d65-9771-bd3210e77e15</t>
        </is>
      </c>
      <c r="AL7" s="69">
        <f>IF(AND(OR(W7="Watching",W7="Preparing"),ISNUMBER(Q7)),IF(AND(Q7&gt;='Friday Summary'!$C$4,Q7&lt;='Friday Summary'!$C$4+14),Q7+ROW()/1000000,""),"")</f>
        <v/>
      </c>
    </row>
    <row r="8" ht="46.25" customHeight="1" s="51">
      <c r="A8" s="59">
        <f>IF(B8="","","OP-"&amp;TEXT(ROW()-4,"000"))</f>
        <v/>
      </c>
      <c r="B8" s="60" t="inlineStr">
        <is>
          <t>99/2026/2027/W/03</t>
        </is>
      </c>
      <c r="C8" s="61" t="n">
        <v>46289</v>
      </c>
      <c r="D8" s="60" t="inlineStr">
        <is>
          <t>NeST</t>
        </is>
      </c>
      <c r="E8" s="60" t="inlineStr">
        <is>
          <t>https://nest.go.tz/tenders/published-tenders</t>
        </is>
      </c>
      <c r="F8" s="60" t="inlineStr">
        <is>
          <t>Ministry of Livestock and Fisheries</t>
        </is>
      </c>
      <c r="G8" s="60" t="inlineStr">
        <is>
          <t>government</t>
        </is>
      </c>
      <c r="H8" s="60" t="inlineStr">
        <is>
          <t>Proposed rehabilitation of buildings and construction of fence at Vikuge Pasture Seed Farm, Kibaha</t>
        </is>
      </c>
      <c r="I8" s="60" t="inlineStr">
        <is>
          <t>Rehabilitation of existing buildings plus perimeter fence</t>
        </is>
      </c>
      <c r="J8" s="60" t="inlineStr">
        <is>
          <t>Pwani (Kibaha)</t>
        </is>
      </c>
      <c r="K8" s="60" t="inlineStr">
        <is>
          <t>renovation</t>
        </is>
      </c>
      <c r="L8" s="60" t="inlineStr">
        <is>
          <t>NeST login needed</t>
        </is>
      </c>
      <c r="M8" s="62" t="n"/>
      <c r="N8" s="60" t="inlineStr">
        <is>
          <t>unknown</t>
        </is>
      </c>
      <c r="O8" s="61" t="inlineStr">
        <is>
          <t>NeST login needed</t>
        </is>
      </c>
      <c r="P8" s="61" t="inlineStr">
        <is>
          <t>NeST login needed</t>
        </is>
      </c>
      <c r="Q8" s="63" t="n">
        <v>46297.5625</v>
      </c>
      <c r="R8" s="60" t="inlineStr">
        <is>
          <t>NeST login needed</t>
        </is>
      </c>
      <c r="S8" s="60" t="inlineStr">
        <is>
          <t>N</t>
        </is>
      </c>
      <c r="T8" s="64">
        <f>IF(A8="","",IFERROR(INDEX('Bid-NoBid'!$T:$T,MATCH(A8,'Bid-NoBid'!$A:$A,0)),""))</f>
        <v/>
      </c>
      <c r="U8" s="59">
        <f>IF(A8="","",IFERROR(IF(OR(INDEX('Bid-NoBid'!$U:$U,MATCH(A8,'Bid-NoBid'!$A:$A,0))="",LEFT(INDEX('Bid-NoBid'!$U:$U,MATCH(A8,'Bid-NoBid'!$A:$A,0)),10)="Incomplete"),"Screen: "&amp;AC8,INDEX('Bid-NoBid'!$U:$U,MATCH(A8,'Bid-NoBid'!$A:$A,0))),"Screen: "&amp;AC8))</f>
        <v/>
      </c>
      <c r="V8" s="60" t="n"/>
      <c r="W8" s="60" t="inlineStr">
        <is>
          <t>Watching</t>
        </is>
      </c>
      <c r="X8" s="60" t="inlineStr">
        <is>
          <t>Frank</t>
        </is>
      </c>
      <c r="Y8" s="60" t="n"/>
      <c r="Z8" s="60" t="n"/>
      <c r="AA8" s="65" t="n">
        <v>46287</v>
      </c>
      <c r="AB8" s="66" t="inlineStr">
        <is>
          <t>Small Works</t>
        </is>
      </c>
      <c r="AC8" s="66" t="inlineStr">
        <is>
          <t>Pursue</t>
        </is>
      </c>
      <c r="AD8" s="66" t="inlineStr">
        <is>
          <t>Renovation close to Dar base; 8 days left</t>
        </is>
      </c>
      <c r="AE8" s="67">
        <f>IF(ISNUMBER(Q8),ROUNDDOWN(Q8-NOW(),1),"")</f>
        <v/>
      </c>
      <c r="AF8" s="59">
        <f>IF(OR(A8="",AE8=""),"",IF(NOT(OR(W8="Watching",W8="Preparing")),"",IF(AE8&lt;0,"PASSED",IF(AND(AE8&lt;=7,W8&lt;&gt;"Preparing"),"RED",IF(AE8&lt;=14,"AMBER","GREEN")))))</f>
        <v/>
      </c>
      <c r="AG8" s="59">
        <f>IF(OR(A8="",NOT(OR(W8="Watching",W8="Preparing"))),"",IF(AND(ISNUMBER(M8),M8&gt;=3000000000),"YES – ≥ TZS 3bn",IF(AND(ISNUMBER(AE8),AE8&gt;=0,AE8&lt;10,V8=""),"YES – &lt;10 days","")))</f>
        <v/>
      </c>
      <c r="AH8" s="68" t="n"/>
      <c r="AI8" s="66" t="inlineStr">
        <is>
          <t>Download document; arrange site visit to Kibaha</t>
        </is>
      </c>
      <c r="AJ8" s="66" t="inlineStr">
        <is>
          <t>Manual scan</t>
        </is>
      </c>
      <c r="AK8" s="66" t="inlineStr">
        <is>
          <t>31809cbd-0353-49b1-b8e7-1fd8dcd63d06</t>
        </is>
      </c>
      <c r="AL8" s="69">
        <f>IF(AND(OR(W8="Watching",W8="Preparing"),ISNUMBER(Q8)),IF(AND(Q8&gt;='Friday Summary'!$C$4,Q8&lt;='Friday Summary'!$C$4+14),Q8+ROW()/1000000,""),"")</f>
        <v/>
      </c>
    </row>
    <row r="9" ht="46.25" customHeight="1" s="51">
      <c r="A9" s="59">
        <f>IF(B9="","","OP-"&amp;TEXT(ROW()-4,"000"))</f>
        <v/>
      </c>
      <c r="B9" s="60" t="inlineStr">
        <is>
          <t>71B8/2026/2027/W/10</t>
        </is>
      </c>
      <c r="C9" s="61" t="n">
        <v>46289</v>
      </c>
      <c r="D9" s="60" t="inlineStr">
        <is>
          <t>NeST</t>
        </is>
      </c>
      <c r="E9" s="60" t="inlineStr">
        <is>
          <t>https://nest.go.tz/tenders/published-tenders</t>
        </is>
      </c>
      <c r="F9" s="60" t="inlineStr">
        <is>
          <t>Chalinze District Council</t>
        </is>
      </c>
      <c r="G9" s="60" t="inlineStr">
        <is>
          <t>government</t>
        </is>
      </c>
      <c r="H9" s="60" t="inlineStr">
        <is>
          <t>Proposed construction of Machinga Complex market</t>
        </is>
      </c>
      <c r="I9" s="60" t="inlineStr">
        <is>
          <t>New market complex for small traders</t>
        </is>
      </c>
      <c r="J9" s="60" t="inlineStr">
        <is>
          <t>Pwani (Chalinze)</t>
        </is>
      </c>
      <c r="K9" s="60" t="inlineStr">
        <is>
          <t>building</t>
        </is>
      </c>
      <c r="L9" s="60" t="inlineStr">
        <is>
          <t>NeST login needed</t>
        </is>
      </c>
      <c r="M9" s="62" t="n"/>
      <c r="N9" s="60" t="inlineStr">
        <is>
          <t>unknown</t>
        </is>
      </c>
      <c r="O9" s="61" t="inlineStr">
        <is>
          <t>NeST login needed</t>
        </is>
      </c>
      <c r="P9" s="61" t="inlineStr">
        <is>
          <t>NeST login needed</t>
        </is>
      </c>
      <c r="Q9" s="63" t="n">
        <v>46295.58333333334</v>
      </c>
      <c r="R9" s="60" t="inlineStr">
        <is>
          <t>NeST login needed</t>
        </is>
      </c>
      <c r="S9" s="60" t="inlineStr">
        <is>
          <t>N</t>
        </is>
      </c>
      <c r="T9" s="64">
        <f>IF(A9="","",IFERROR(INDEX('Bid-NoBid'!$T:$T,MATCH(A9,'Bid-NoBid'!$A:$A,0)),""))</f>
        <v/>
      </c>
      <c r="U9" s="59">
        <f>IF(A9="","",IFERROR(IF(OR(INDEX('Bid-NoBid'!$U:$U,MATCH(A9,'Bid-NoBid'!$A:$A,0))="",LEFT(INDEX('Bid-NoBid'!$U:$U,MATCH(A9,'Bid-NoBid'!$A:$A,0)),10)="Incomplete"),"Screen: "&amp;AC9,INDEX('Bid-NoBid'!$U:$U,MATCH(A9,'Bid-NoBid'!$A:$A,0))),"Screen: "&amp;AC9))</f>
        <v/>
      </c>
      <c r="V9" s="60" t="n"/>
      <c r="W9" s="60" t="inlineStr">
        <is>
          <t>Watching</t>
        </is>
      </c>
      <c r="X9" s="60" t="inlineStr">
        <is>
          <t>Frank</t>
        </is>
      </c>
      <c r="Y9" s="60" t="n"/>
      <c r="Z9" s="60" t="n"/>
      <c r="AA9" s="65" t="n">
        <v>46288</v>
      </c>
      <c r="AB9" s="66" t="inlineStr">
        <is>
          <t>Small Works</t>
        </is>
      </c>
      <c r="AC9" s="66" t="inlineStr">
        <is>
          <t>Pursue</t>
        </is>
      </c>
      <c r="AD9" s="66" t="inlineStr">
        <is>
          <t>Building works in Coast region; 6 days left – needs fast decision</t>
        </is>
      </c>
      <c r="AE9" s="67">
        <f>IF(ISNUMBER(Q9),ROUNDDOWN(Q9-NOW(),1),"")</f>
        <v/>
      </c>
      <c r="AF9" s="59">
        <f>IF(OR(A9="",AE9=""),"",IF(NOT(OR(W9="Watching",W9="Preparing")),"",IF(AE9&lt;0,"PASSED",IF(AND(AE9&lt;=7,W9&lt;&gt;"Preparing"),"RED",IF(AE9&lt;=14,"AMBER","GREEN")))))</f>
        <v/>
      </c>
      <c r="AG9" s="59">
        <f>IF(OR(A9="",NOT(OR(W9="Watching",W9="Preparing"))),"",IF(AND(ISNUMBER(M9),M9&gt;=3000000000),"YES – ≥ TZS 3bn",IF(AND(ISNUMBER(AE9),AE9&gt;=0,AE9&lt;10,V9=""),"YES – &lt;10 days","")))</f>
        <v/>
      </c>
      <c r="AH9" s="68" t="n"/>
      <c r="AI9" s="66" t="inlineStr">
        <is>
          <t>MD decision by Fri 25 Sep; download document today</t>
        </is>
      </c>
      <c r="AJ9" s="66" t="inlineStr">
        <is>
          <t>Manual scan</t>
        </is>
      </c>
      <c r="AK9" s="66" t="inlineStr">
        <is>
          <t>bd92ae93-02c6-4dfb-955f-d3ecbbd943f6</t>
        </is>
      </c>
      <c r="AL9" s="69">
        <f>IF(AND(OR(W9="Watching",W9="Preparing"),ISNUMBER(Q9)),IF(AND(Q9&gt;='Friday Summary'!$C$4,Q9&lt;='Friday Summary'!$C$4+14),Q9+ROW()/1000000,""),"")</f>
        <v/>
      </c>
    </row>
    <row r="10" ht="46.25" customHeight="1" s="51">
      <c r="A10" s="59">
        <f>IF(B10="","","OP-"&amp;TEXT(ROW()-4,"000"))</f>
        <v/>
      </c>
      <c r="B10" s="60" t="inlineStr">
        <is>
          <t>3400/2026/2027/W/04</t>
        </is>
      </c>
      <c r="C10" s="61" t="n">
        <v>46289</v>
      </c>
      <c r="D10" s="60" t="inlineStr">
        <is>
          <t>NeST</t>
        </is>
      </c>
      <c r="E10" s="60" t="inlineStr">
        <is>
          <t>https://nest.go.tz/tenders/published-tenders</t>
        </is>
      </c>
      <c r="F10" s="60" t="inlineStr">
        <is>
          <t>Tanzania Concrete Poles Manufacturing Co. Ltd</t>
        </is>
      </c>
      <c r="G10" s="60" t="inlineStr">
        <is>
          <t>parastatal (verify)</t>
        </is>
      </c>
      <c r="H10" s="60" t="inlineStr">
        <is>
          <t>Prequalification of building contractors</t>
        </is>
      </c>
      <c r="I10" s="60" t="inlineStr">
        <is>
          <t>Prequalification to a list of building contractors (no price)</t>
        </is>
      </c>
      <c r="J10" s="60" t="inlineStr">
        <is>
          <t>TBC</t>
        </is>
      </c>
      <c r="K10" s="60" t="inlineStr">
        <is>
          <t>building</t>
        </is>
      </c>
      <c r="L10" s="60" t="inlineStr">
        <is>
          <t>NeST login needed</t>
        </is>
      </c>
      <c r="M10" s="62" t="n"/>
      <c r="N10" s="60" t="inlineStr">
        <is>
          <t>unknown</t>
        </is>
      </c>
      <c r="O10" s="61" t="inlineStr">
        <is>
          <t>NeST login needed</t>
        </is>
      </c>
      <c r="P10" s="61" t="inlineStr">
        <is>
          <t>NeST login needed</t>
        </is>
      </c>
      <c r="Q10" s="63" t="n">
        <v>46290.58333333334</v>
      </c>
      <c r="R10" s="60" t="inlineStr">
        <is>
          <t>NeST login needed</t>
        </is>
      </c>
      <c r="S10" s="60" t="inlineStr">
        <is>
          <t>N</t>
        </is>
      </c>
      <c r="T10" s="64">
        <f>IF(A10="","",IFERROR(INDEX('Bid-NoBid'!$T:$T,MATCH(A10,'Bid-NoBid'!$A:$A,0)),""))</f>
        <v/>
      </c>
      <c r="U10" s="59">
        <f>IF(A10="","",IFERROR(IF(OR(INDEX('Bid-NoBid'!$U:$U,MATCH(A10,'Bid-NoBid'!$A:$A,0))="",LEFT(INDEX('Bid-NoBid'!$U:$U,MATCH(A10,'Bid-NoBid'!$A:$A,0)),10)="Incomplete"),"Screen: "&amp;AC10,INDEX('Bid-NoBid'!$U:$U,MATCH(A10,'Bid-NoBid'!$A:$A,0))),"Screen: "&amp;AC10))</f>
        <v/>
      </c>
      <c r="V10" s="60" t="n"/>
      <c r="W10" s="60" t="inlineStr">
        <is>
          <t>Watching</t>
        </is>
      </c>
      <c r="X10" s="60" t="inlineStr">
        <is>
          <t>Frank</t>
        </is>
      </c>
      <c r="Y10" s="60" t="n"/>
      <c r="Z10" s="60" t="n"/>
      <c r="AA10" s="65" t="n">
        <v>46283</v>
      </c>
      <c r="AB10" s="66" t="inlineStr">
        <is>
          <t>Standard Invitation for Quotations -Works</t>
        </is>
      </c>
      <c r="AC10" s="66" t="inlineStr">
        <is>
          <t>Pursue</t>
        </is>
      </c>
      <c r="AD10" s="66" t="inlineStr">
        <is>
          <t>Low-cost prequalification – gets Nordic onto a client list; closes tomorrow</t>
        </is>
      </c>
      <c r="AE10" s="67">
        <f>IF(ISNUMBER(Q10),ROUNDDOWN(Q10-NOW(),1),"")</f>
        <v/>
      </c>
      <c r="AF10" s="59">
        <f>IF(OR(A10="",AE10=""),"",IF(NOT(OR(W10="Watching",W10="Preparing")),"",IF(AE10&lt;0,"PASSED",IF(AND(AE10&lt;=7,W10&lt;&gt;"Preparing"),"RED",IF(AE10&lt;=14,"AMBER","GREEN")))))</f>
        <v/>
      </c>
      <c r="AG10" s="59">
        <f>IF(OR(A10="",NOT(OR(W10="Watching",W10="Preparing"))),"",IF(AND(ISNUMBER(M10),M10&gt;=3000000000),"YES – ≥ TZS 3bn",IF(AND(ISNUMBER(AE10),AE10&gt;=0,AE10&lt;10,V10=""),"YES – &lt;10 days","")))</f>
        <v/>
      </c>
      <c r="AH10" s="68" t="n"/>
      <c r="AI10" s="66" t="inlineStr">
        <is>
          <t>Submit company documents on NeST by 25 Sep 14:00 if MD agrees</t>
        </is>
      </c>
      <c r="AJ10" s="66" t="inlineStr">
        <is>
          <t>Manual scan</t>
        </is>
      </c>
      <c r="AK10" s="66" t="inlineStr">
        <is>
          <t>7fb06603-91ec-4823-8ca1-9d2f4716d07c</t>
        </is>
      </c>
      <c r="AL10" s="69">
        <f>IF(AND(OR(W10="Watching",W10="Preparing"),ISNUMBER(Q10)),IF(AND(Q10&gt;='Friday Summary'!$C$4,Q10&lt;='Friday Summary'!$C$4+14),Q10+ROW()/1000000,""),"")</f>
        <v/>
      </c>
    </row>
    <row r="11" ht="57.45" customHeight="1" s="51">
      <c r="A11" s="59">
        <f>IF(B11="","","OP-"&amp;TEXT(ROW()-4,"000"))</f>
        <v/>
      </c>
      <c r="B11" s="60" t="inlineStr">
        <is>
          <t>88Z4/2026/2027/W/42</t>
        </is>
      </c>
      <c r="C11" s="61" t="n">
        <v>46289</v>
      </c>
      <c r="D11" s="60" t="inlineStr">
        <is>
          <t>NeST</t>
        </is>
      </c>
      <c r="E11" s="60" t="inlineStr">
        <is>
          <t>https://nest.go.tz/tenders/published-tenders</t>
        </is>
      </c>
      <c r="F11" s="60" t="inlineStr">
        <is>
          <t>Ubungo Municipal Council</t>
        </is>
      </c>
      <c r="G11" s="60" t="inlineStr">
        <is>
          <t>government</t>
        </is>
      </c>
      <c r="H11" s="60" t="inlineStr">
        <is>
          <t>Completion of construction of two-storey building for 6 classrooms and ramp at Kawawa Primary School</t>
        </is>
      </c>
      <c r="I11" s="60" t="inlineStr">
        <is>
          <t>Completion works to two-storey classroom block</t>
        </is>
      </c>
      <c r="J11" s="60" t="inlineStr">
        <is>
          <t>Dar es Salaam (Ubungo)</t>
        </is>
      </c>
      <c r="K11" s="60" t="inlineStr">
        <is>
          <t>building</t>
        </is>
      </c>
      <c r="L11" s="60" t="inlineStr">
        <is>
          <t>NeST login needed</t>
        </is>
      </c>
      <c r="M11" s="62" t="n"/>
      <c r="N11" s="60" t="inlineStr">
        <is>
          <t>unknown</t>
        </is>
      </c>
      <c r="O11" s="61" t="inlineStr">
        <is>
          <t>NeST login needed</t>
        </is>
      </c>
      <c r="P11" s="61" t="inlineStr">
        <is>
          <t>NeST login needed</t>
        </is>
      </c>
      <c r="Q11" s="63" t="n">
        <v>46290.58333333334</v>
      </c>
      <c r="R11" s="60" t="inlineStr">
        <is>
          <t>NeST login needed</t>
        </is>
      </c>
      <c r="S11" s="60" t="inlineStr">
        <is>
          <t>N</t>
        </is>
      </c>
      <c r="T11" s="64">
        <f>IF(A11="","",IFERROR(INDEX('Bid-NoBid'!$T:$T,MATCH(A11,'Bid-NoBid'!$A:$A,0)),""))</f>
        <v/>
      </c>
      <c r="U11" s="59">
        <f>IF(A11="","",IFERROR(IF(OR(INDEX('Bid-NoBid'!$U:$U,MATCH(A11,'Bid-NoBid'!$A:$A,0))="",LEFT(INDEX('Bid-NoBid'!$U:$U,MATCH(A11,'Bid-NoBid'!$A:$A,0)),10)="Incomplete"),"Screen: "&amp;AC11,INDEX('Bid-NoBid'!$U:$U,MATCH(A11,'Bid-NoBid'!$A:$A,0))),"Screen: "&amp;AC11))</f>
        <v/>
      </c>
      <c r="V11" s="60" t="n"/>
      <c r="W11" s="60" t="inlineStr">
        <is>
          <t>Watching</t>
        </is>
      </c>
      <c r="X11" s="60" t="inlineStr">
        <is>
          <t>Frank</t>
        </is>
      </c>
      <c r="Y11" s="60" t="n"/>
      <c r="Z11" s="60" t="n"/>
      <c r="AA11" s="65" t="n">
        <v>46283</v>
      </c>
      <c r="AB11" s="66" t="inlineStr">
        <is>
          <t>Small Works</t>
        </is>
      </c>
      <c r="AC11" s="66" t="inlineStr">
        <is>
          <t>Check</t>
        </is>
      </c>
      <c r="AD11" s="66" t="inlineStr">
        <is>
          <t>Dar location and school experience (Likong'o) fit, but closes tomorrow – likely too late</t>
        </is>
      </c>
      <c r="AE11" s="67">
        <f>IF(ISNUMBER(Q11),ROUNDDOWN(Q11-NOW(),1),"")</f>
        <v/>
      </c>
      <c r="AF11" s="59">
        <f>IF(OR(A11="",AE11=""),"",IF(NOT(OR(W11="Watching",W11="Preparing")),"",IF(AE11&lt;0,"PASSED",IF(AND(AE11&lt;=7,W11&lt;&gt;"Preparing"),"RED",IF(AE11&lt;=14,"AMBER","GREEN")))))</f>
        <v/>
      </c>
      <c r="AG11" s="59">
        <f>IF(OR(A11="",NOT(OR(W11="Watching",W11="Preparing"))),"",IF(AND(ISNUMBER(M11),M11&gt;=3000000000),"YES – ≥ TZS 3bn",IF(AND(ISNUMBER(AE11),AE11&gt;=0,AE11&lt;10,V11=""),"YES – &lt;10 days","")))</f>
        <v/>
      </c>
      <c r="AH11" s="68" t="n"/>
      <c r="AI11" s="66" t="inlineStr">
        <is>
          <t>Ask QS Director today whether a bid is possible by 25 Sep 14:00</t>
        </is>
      </c>
      <c r="AJ11" s="66" t="inlineStr">
        <is>
          <t>Manual scan</t>
        </is>
      </c>
      <c r="AK11" s="66" t="inlineStr">
        <is>
          <t>cf629183-3fd7-4914-a528-58a55f549165</t>
        </is>
      </c>
      <c r="AL11" s="69">
        <f>IF(AND(OR(W11="Watching",W11="Preparing"),ISNUMBER(Q11)),IF(AND(Q11&gt;='Friday Summary'!$C$4,Q11&lt;='Friday Summary'!$C$4+14),Q11+ROW()/1000000,""),"")</f>
        <v/>
      </c>
    </row>
    <row r="12" ht="57.45" customHeight="1" s="51">
      <c r="A12" s="59">
        <f>IF(B12="","","OP-"&amp;TEXT(ROW()-4,"000"))</f>
        <v/>
      </c>
      <c r="B12" s="60" t="inlineStr">
        <is>
          <t>52/072/2026/2027/W/13</t>
        </is>
      </c>
      <c r="C12" s="61" t="n">
        <v>46289</v>
      </c>
      <c r="D12" s="60" t="inlineStr">
        <is>
          <t>NeST</t>
        </is>
      </c>
      <c r="E12" s="60" t="inlineStr">
        <is>
          <t>https://nest.go.tz/tenders/published-tenders</t>
        </is>
      </c>
      <c r="F12" s="60" t="inlineStr">
        <is>
          <t>Temeke Regional Referral Hospital</t>
        </is>
      </c>
      <c r="G12" s="60" t="inlineStr">
        <is>
          <t>government</t>
        </is>
      </c>
      <c r="H12" s="60" t="inlineStr">
        <is>
          <t>Renovation of hospital blocks</t>
        </is>
      </c>
      <c r="I12" s="60" t="inlineStr">
        <is>
          <t>Renovation of hospital blocks (quotation)</t>
        </is>
      </c>
      <c r="J12" s="60" t="inlineStr">
        <is>
          <t>Dar es Salaam (Temeke)</t>
        </is>
      </c>
      <c r="K12" s="60" t="inlineStr">
        <is>
          <t>renovation</t>
        </is>
      </c>
      <c r="L12" s="60" t="inlineStr">
        <is>
          <t>NeST login needed</t>
        </is>
      </c>
      <c r="M12" s="62" t="n"/>
      <c r="N12" s="60" t="inlineStr">
        <is>
          <t>unknown</t>
        </is>
      </c>
      <c r="O12" s="61" t="inlineStr">
        <is>
          <t>NeST login needed</t>
        </is>
      </c>
      <c r="P12" s="61" t="inlineStr">
        <is>
          <t>NeST login needed</t>
        </is>
      </c>
      <c r="Q12" s="63" t="n">
        <v>46295.58333333334</v>
      </c>
      <c r="R12" s="60" t="inlineStr">
        <is>
          <t>NeST login needed</t>
        </is>
      </c>
      <c r="S12" s="60" t="inlineStr">
        <is>
          <t>N</t>
        </is>
      </c>
      <c r="T12" s="64">
        <f>IF(A12="","",IFERROR(INDEX('Bid-NoBid'!$T:$T,MATCH(A12,'Bid-NoBid'!$A:$A,0)),""))</f>
        <v/>
      </c>
      <c r="U12" s="59">
        <f>IF(A12="","",IFERROR(IF(OR(INDEX('Bid-NoBid'!$U:$U,MATCH(A12,'Bid-NoBid'!$A:$A,0))="",LEFT(INDEX('Bid-NoBid'!$U:$U,MATCH(A12,'Bid-NoBid'!$A:$A,0)),10)="Incomplete"),"Screen: "&amp;AC12,INDEX('Bid-NoBid'!$U:$U,MATCH(A12,'Bid-NoBid'!$A:$A,0))),"Screen: "&amp;AC12))</f>
        <v/>
      </c>
      <c r="V12" s="60" t="n"/>
      <c r="W12" s="60" t="inlineStr">
        <is>
          <t>Watching</t>
        </is>
      </c>
      <c r="X12" s="60" t="inlineStr">
        <is>
          <t>Frank</t>
        </is>
      </c>
      <c r="Y12" s="60" t="n"/>
      <c r="Z12" s="60" t="n"/>
      <c r="AA12" s="65" t="n">
        <v>46288</v>
      </c>
      <c r="AB12" s="66" t="inlineStr">
        <is>
          <t>Standard Invitation for Quotations -Works</t>
        </is>
      </c>
      <c r="AC12" s="66" t="inlineStr">
        <is>
          <t>Check</t>
        </is>
      </c>
      <c r="AD12" s="66" t="inlineStr">
        <is>
          <t>Dar renovation, but quotation route suggests value may be under TZS 200m</t>
        </is>
      </c>
      <c r="AE12" s="67">
        <f>IF(ISNUMBER(Q12),ROUNDDOWN(Q12-NOW(),1),"")</f>
        <v/>
      </c>
      <c r="AF12" s="59">
        <f>IF(OR(A12="",AE12=""),"",IF(NOT(OR(W12="Watching",W12="Preparing")),"",IF(AE12&lt;0,"PASSED",IF(AND(AE12&lt;=7,W12&lt;&gt;"Preparing"),"RED",IF(AE12&lt;=14,"AMBER","GREEN")))))</f>
        <v/>
      </c>
      <c r="AG12" s="59">
        <f>IF(OR(A12="",NOT(OR(W12="Watching",W12="Preparing"))),"",IF(AND(ISNUMBER(M12),M12&gt;=3000000000),"YES – ≥ TZS 3bn",IF(AND(ISNUMBER(AE12),AE12&gt;=0,AE12&lt;10,V12=""),"YES – &lt;10 days","")))</f>
        <v/>
      </c>
      <c r="AH12" s="68" t="n"/>
      <c r="AI12" s="66" t="inlineStr">
        <is>
          <t>Download document; check scope size against TZS 200m threshold</t>
        </is>
      </c>
      <c r="AJ12" s="66" t="inlineStr">
        <is>
          <t>Manual scan</t>
        </is>
      </c>
      <c r="AK12" s="66" t="inlineStr">
        <is>
          <t>d18f9ef1-b72a-460d-b8f1-44ec5ee41c81</t>
        </is>
      </c>
      <c r="AL12" s="69">
        <f>IF(AND(OR(W12="Watching",W12="Preparing"),ISNUMBER(Q12)),IF(AND(Q12&gt;='Friday Summary'!$C$4,Q12&lt;='Friday Summary'!$C$4+14),Q12+ROW()/1000000,""),"")</f>
        <v/>
      </c>
    </row>
    <row r="13" ht="57.45" customHeight="1" s="51">
      <c r="A13" s="59">
        <f>IF(B13="","","OP-"&amp;TEXT(ROW()-4,"000"))</f>
        <v/>
      </c>
      <c r="B13" s="60" t="inlineStr">
        <is>
          <t>35/2026/2027/W/01</t>
        </is>
      </c>
      <c r="C13" s="61" t="n">
        <v>46289</v>
      </c>
      <c r="D13" s="60" t="inlineStr">
        <is>
          <t>NeST</t>
        </is>
      </c>
      <c r="E13" s="60" t="inlineStr">
        <is>
          <t>https://nest.go.tz/tenders/published-tenders</t>
        </is>
      </c>
      <c r="F13" s="60" t="inlineStr">
        <is>
          <t>National Prosecutions Service (NPS)</t>
        </is>
      </c>
      <c r="G13" s="60" t="inlineStr">
        <is>
          <t>government</t>
        </is>
      </c>
      <c r="H13" s="60" t="inlineStr">
        <is>
          <t>Proposed construction of NPS Regional Office building at Mara, Plot 611 Block C, Bweri, Musoma</t>
        </is>
      </c>
      <c r="I13" s="60" t="inlineStr">
        <is>
          <t>New regional office building</t>
        </is>
      </c>
      <c r="J13" s="60" t="inlineStr">
        <is>
          <t>Mara (Musoma)</t>
        </is>
      </c>
      <c r="K13" s="60" t="inlineStr">
        <is>
          <t>building</t>
        </is>
      </c>
      <c r="L13" s="60" t="inlineStr">
        <is>
          <t>NeST login needed</t>
        </is>
      </c>
      <c r="M13" s="62" t="n"/>
      <c r="N13" s="60" t="inlineStr">
        <is>
          <t>unknown</t>
        </is>
      </c>
      <c r="O13" s="61" t="inlineStr">
        <is>
          <t>NeST login needed</t>
        </is>
      </c>
      <c r="P13" s="61" t="inlineStr">
        <is>
          <t>NeST login needed</t>
        </is>
      </c>
      <c r="Q13" s="63" t="n">
        <v>46295.58333333334</v>
      </c>
      <c r="R13" s="60" t="inlineStr">
        <is>
          <t>NeST login needed</t>
        </is>
      </c>
      <c r="S13" s="60" t="inlineStr">
        <is>
          <t>N</t>
        </is>
      </c>
      <c r="T13" s="64">
        <f>IF(A13="","",IFERROR(INDEX('Bid-NoBid'!$T:$T,MATCH(A13,'Bid-NoBid'!$A:$A,0)),""))</f>
        <v/>
      </c>
      <c r="U13" s="59">
        <f>IF(A13="","",IFERROR(IF(OR(INDEX('Bid-NoBid'!$U:$U,MATCH(A13,'Bid-NoBid'!$A:$A,0))="",LEFT(INDEX('Bid-NoBid'!$U:$U,MATCH(A13,'Bid-NoBid'!$A:$A,0)),10)="Incomplete"),"Screen: "&amp;AC13,INDEX('Bid-NoBid'!$U:$U,MATCH(A13,'Bid-NoBid'!$A:$A,0))),"Screen: "&amp;AC13))</f>
        <v/>
      </c>
      <c r="V13" s="60" t="n"/>
      <c r="W13" s="60" t="inlineStr">
        <is>
          <t>Watching</t>
        </is>
      </c>
      <c r="X13" s="60" t="inlineStr">
        <is>
          <t>Frank</t>
        </is>
      </c>
      <c r="Y13" s="60" t="n"/>
      <c r="Z13" s="60" t="n"/>
      <c r="AA13" s="65" t="n">
        <v>46288</v>
      </c>
      <c r="AB13" s="66" t="inlineStr">
        <is>
          <t>Small Works</t>
        </is>
      </c>
      <c r="AC13" s="66" t="inlineStr">
        <is>
          <t>Check</t>
        </is>
      </c>
      <c r="AD13" s="66" t="inlineStr">
        <is>
          <t>Good building type but remote from Dar and only 6 days left</t>
        </is>
      </c>
      <c r="AE13" s="67">
        <f>IF(ISNUMBER(Q13),ROUNDDOWN(Q13-NOW(),1),"")</f>
        <v/>
      </c>
      <c r="AF13" s="59">
        <f>IF(OR(A13="",AE13=""),"",IF(NOT(OR(W13="Watching",W13="Preparing")),"",IF(AE13&lt;0,"PASSED",IF(AND(AE13&lt;=7,W13&lt;&gt;"Preparing"),"RED",IF(AE13&lt;=14,"AMBER","GREEN")))))</f>
        <v/>
      </c>
      <c r="AG13" s="59">
        <f>IF(OR(A13="",NOT(OR(W13="Watching",W13="Preparing"))),"",IF(AND(ISNUMBER(M13),M13&gt;=3000000000),"YES – ≥ TZS 3bn",IF(AND(ISNUMBER(AE13),AE13&gt;=0,AE13&lt;10,V13=""),"YES – &lt;10 days","")))</f>
        <v/>
      </c>
      <c r="AH13" s="68" t="n"/>
      <c r="AI13" s="66" t="inlineStr">
        <is>
          <t>Check CRB class and whether a Mwanza/Mara team is available</t>
        </is>
      </c>
      <c r="AJ13" s="66" t="inlineStr">
        <is>
          <t>Manual scan</t>
        </is>
      </c>
      <c r="AK13" s="66" t="inlineStr">
        <is>
          <t>039aa3e3-4ce1-4bfd-b38a-5bf4743ab974</t>
        </is>
      </c>
      <c r="AL13" s="69">
        <f>IF(AND(OR(W13="Watching",W13="Preparing"),ISNUMBER(Q13)),IF(AND(Q13&gt;='Friday Summary'!$C$4,Q13&lt;='Friday Summary'!$C$4+14),Q13+ROW()/1000000,""),"")</f>
        <v/>
      </c>
    </row>
    <row r="14" ht="57.45" customHeight="1" s="51">
      <c r="A14" s="59">
        <f>IF(B14="","","OP-"&amp;TEXT(ROW()-4,"000"))</f>
        <v/>
      </c>
      <c r="B14" s="60" t="inlineStr">
        <is>
          <t>43/2026/2027/W/04</t>
        </is>
      </c>
      <c r="C14" s="61" t="n">
        <v>46289</v>
      </c>
      <c r="D14" s="60" t="inlineStr">
        <is>
          <t>NeST</t>
        </is>
      </c>
      <c r="E14" s="60" t="inlineStr">
        <is>
          <t>https://nest.go.tz/tenders/published-tenders</t>
        </is>
      </c>
      <c r="F14" s="60" t="inlineStr">
        <is>
          <t>Ministry of Agriculture</t>
        </is>
      </c>
      <c r="G14" s="60" t="inlineStr">
        <is>
          <t>government</t>
        </is>
      </c>
      <c r="H14" s="60" t="inlineStr">
        <is>
          <t>Proposed construction and rehabilitation of infrastructure for thirteen (13) Youth Agribusiness Incubation Centres (YABICs)</t>
        </is>
      </c>
      <c r="I14" s="60" t="inlineStr">
        <is>
          <t>Construction/rehabilitation at 13 centres (multi-site)</t>
        </is>
      </c>
      <c r="J14" s="60" t="inlineStr">
        <is>
          <t>Multiple regions</t>
        </is>
      </c>
      <c r="K14" s="60" t="inlineStr">
        <is>
          <t>building</t>
        </is>
      </c>
      <c r="L14" s="60" t="inlineStr">
        <is>
          <t>NeST login needed</t>
        </is>
      </c>
      <c r="M14" s="62" t="n"/>
      <c r="N14" s="60" t="inlineStr">
        <is>
          <t>unknown</t>
        </is>
      </c>
      <c r="O14" s="61" t="inlineStr">
        <is>
          <t>NeST login needed</t>
        </is>
      </c>
      <c r="P14" s="61" t="inlineStr">
        <is>
          <t>NeST login needed</t>
        </is>
      </c>
      <c r="Q14" s="63" t="n">
        <v>46295.58333333334</v>
      </c>
      <c r="R14" s="60" t="inlineStr">
        <is>
          <t>NeST login needed</t>
        </is>
      </c>
      <c r="S14" s="60" t="inlineStr">
        <is>
          <t>N</t>
        </is>
      </c>
      <c r="T14" s="64">
        <f>IF(A14="","",IFERROR(INDEX('Bid-NoBid'!$T:$T,MATCH(A14,'Bid-NoBid'!$A:$A,0)),""))</f>
        <v/>
      </c>
      <c r="U14" s="59">
        <f>IF(A14="","",IFERROR(IF(OR(INDEX('Bid-NoBid'!$U:$U,MATCH(A14,'Bid-NoBid'!$A:$A,0))="",LEFT(INDEX('Bid-NoBid'!$U:$U,MATCH(A14,'Bid-NoBid'!$A:$A,0)),10)="Incomplete"),"Screen: "&amp;AC14,INDEX('Bid-NoBid'!$U:$U,MATCH(A14,'Bid-NoBid'!$A:$A,0))),"Screen: "&amp;AC14))</f>
        <v/>
      </c>
      <c r="V14" s="60" t="n"/>
      <c r="W14" s="60" t="inlineStr">
        <is>
          <t>Watching</t>
        </is>
      </c>
      <c r="X14" s="60" t="inlineStr">
        <is>
          <t>Frank</t>
        </is>
      </c>
      <c r="Y14" s="60" t="n"/>
      <c r="Z14" s="60" t="n"/>
      <c r="AA14" s="65" t="n">
        <v>46287</v>
      </c>
      <c r="AB14" s="66" t="inlineStr">
        <is>
          <t>Small Works</t>
        </is>
      </c>
      <c r="AC14" s="66" t="inlineStr">
        <is>
          <t>Check</t>
        </is>
      </c>
      <c r="AD14" s="66" t="inlineStr">
        <is>
          <t>Multi-site programme – logistics risk; check lots and locations</t>
        </is>
      </c>
      <c r="AE14" s="67">
        <f>IF(ISNUMBER(Q14),ROUNDDOWN(Q14-NOW(),1),"")</f>
        <v/>
      </c>
      <c r="AF14" s="59">
        <f>IF(OR(A14="",AE14=""),"",IF(NOT(OR(W14="Watching",W14="Preparing")),"",IF(AE14&lt;0,"PASSED",IF(AND(AE14&lt;=7,W14&lt;&gt;"Preparing"),"RED",IF(AE14&lt;=14,"AMBER","GREEN")))))</f>
        <v/>
      </c>
      <c r="AG14" s="59">
        <f>IF(OR(A14="",NOT(OR(W14="Watching",W14="Preparing"))),"",IF(AND(ISNUMBER(M14),M14&gt;=3000000000),"YES – ≥ TZS 3bn",IF(AND(ISNUMBER(AE14),AE14&gt;=0,AE14&lt;10,V14=""),"YES – &lt;10 days","")))</f>
        <v/>
      </c>
      <c r="AH14" s="68" t="n"/>
      <c r="AI14" s="66" t="inlineStr">
        <is>
          <t>Download document; see if lots can be bid separately</t>
        </is>
      </c>
      <c r="AJ14" s="66" t="inlineStr">
        <is>
          <t>Manual scan</t>
        </is>
      </c>
      <c r="AK14" s="66" t="inlineStr">
        <is>
          <t>0b80faa8-5fe7-4559-800e-4609f3668ee9</t>
        </is>
      </c>
      <c r="AL14" s="69">
        <f>IF(AND(OR(W14="Watching",W14="Preparing"),ISNUMBER(Q14)),IF(AND(Q14&gt;='Friday Summary'!$C$4,Q14&lt;='Friday Summary'!$C$4+14),Q14+ROW()/1000000,""),"")</f>
        <v/>
      </c>
    </row>
    <row r="15" ht="57.45" customHeight="1" s="51">
      <c r="A15" s="59">
        <f>IF(B15="","","OP-"&amp;TEXT(ROW()-4,"000"))</f>
        <v/>
      </c>
      <c r="B15" s="60" t="inlineStr">
        <is>
          <t>7512/2026/2027/W/10</t>
        </is>
      </c>
      <c r="C15" s="61" t="n">
        <v>46289</v>
      </c>
      <c r="D15" s="60" t="inlineStr">
        <is>
          <t>NeST</t>
        </is>
      </c>
      <c r="E15" s="60" t="inlineStr">
        <is>
          <t>https://nest.go.tz/tenders/published-tenders</t>
        </is>
      </c>
      <c r="F15" s="60" t="inlineStr">
        <is>
          <t>Moshi Municipal Council</t>
        </is>
      </c>
      <c r="G15" s="60" t="inlineStr">
        <is>
          <t>government</t>
        </is>
      </c>
      <c r="H15" s="60" t="inlineStr">
        <is>
          <t>Proposed construction of new secondary school at Karanga Ward</t>
        </is>
      </c>
      <c r="I15" s="60" t="inlineStr">
        <is>
          <t>New secondary school</t>
        </is>
      </c>
      <c r="J15" s="60" t="inlineStr">
        <is>
          <t>Kilimanjaro (Moshi)</t>
        </is>
      </c>
      <c r="K15" s="60" t="inlineStr">
        <is>
          <t>building</t>
        </is>
      </c>
      <c r="L15" s="60" t="inlineStr">
        <is>
          <t>NeST login needed</t>
        </is>
      </c>
      <c r="M15" s="62" t="n"/>
      <c r="N15" s="60" t="inlineStr">
        <is>
          <t>unknown</t>
        </is>
      </c>
      <c r="O15" s="61" t="inlineStr">
        <is>
          <t>NeST login needed</t>
        </is>
      </c>
      <c r="P15" s="61" t="inlineStr">
        <is>
          <t>NeST login needed</t>
        </is>
      </c>
      <c r="Q15" s="63" t="n">
        <v>46295.41666666666</v>
      </c>
      <c r="R15" s="60" t="inlineStr">
        <is>
          <t>NeST login needed</t>
        </is>
      </c>
      <c r="S15" s="60" t="inlineStr">
        <is>
          <t>N</t>
        </is>
      </c>
      <c r="T15" s="64">
        <f>IF(A15="","",IFERROR(INDEX('Bid-NoBid'!$T:$T,MATCH(A15,'Bid-NoBid'!$A:$A,0)),""))</f>
        <v/>
      </c>
      <c r="U15" s="59">
        <f>IF(A15="","",IFERROR(IF(OR(INDEX('Bid-NoBid'!$U:$U,MATCH(A15,'Bid-NoBid'!$A:$A,0))="",LEFT(INDEX('Bid-NoBid'!$U:$U,MATCH(A15,'Bid-NoBid'!$A:$A,0)),10)="Incomplete"),"Screen: "&amp;AC15,INDEX('Bid-NoBid'!$U:$U,MATCH(A15,'Bid-NoBid'!$A:$A,0))),"Screen: "&amp;AC15))</f>
        <v/>
      </c>
      <c r="V15" s="60" t="n"/>
      <c r="W15" s="60" t="inlineStr">
        <is>
          <t>Watching</t>
        </is>
      </c>
      <c r="X15" s="60" t="inlineStr">
        <is>
          <t>Frank</t>
        </is>
      </c>
      <c r="Y15" s="60" t="n"/>
      <c r="Z15" s="60" t="n"/>
      <c r="AA15" s="65" t="n">
        <v>46288</v>
      </c>
      <c r="AB15" s="66" t="inlineStr">
        <is>
          <t>Small Works</t>
        </is>
      </c>
      <c r="AC15" s="66" t="inlineStr">
        <is>
          <t>Check</t>
        </is>
      </c>
      <c r="AD15" s="66" t="inlineStr">
        <is>
          <t>School experience fits; remote and 6 days left</t>
        </is>
      </c>
      <c r="AE15" s="67">
        <f>IF(ISNUMBER(Q15),ROUNDDOWN(Q15-NOW(),1),"")</f>
        <v/>
      </c>
      <c r="AF15" s="59">
        <f>IF(OR(A15="",AE15=""),"",IF(NOT(OR(W15="Watching",W15="Preparing")),"",IF(AE15&lt;0,"PASSED",IF(AND(AE15&lt;=7,W15&lt;&gt;"Preparing"),"RED",IF(AE15&lt;=14,"AMBER","GREEN")))))</f>
        <v/>
      </c>
      <c r="AG15" s="59">
        <f>IF(OR(A15="",NOT(OR(W15="Watching",W15="Preparing"))),"",IF(AND(ISNUMBER(M15),M15&gt;=3000000000),"YES – ≥ TZS 3bn",IF(AND(ISNUMBER(AE15),AE15&gt;=0,AE15&lt;10,V15=""),"YES – &lt;10 days","")))</f>
        <v/>
      </c>
      <c r="AH15" s="68" t="n"/>
      <c r="AI15" s="66" t="inlineStr">
        <is>
          <t>Check value and CRB class</t>
        </is>
      </c>
      <c r="AJ15" s="66" t="inlineStr">
        <is>
          <t>Manual scan</t>
        </is>
      </c>
      <c r="AK15" s="66" t="inlineStr">
        <is>
          <t>7af4f481-9db1-4a99-a2f9-2d33bb37d0cd</t>
        </is>
      </c>
      <c r="AL15" s="69">
        <f>IF(AND(OR(W15="Watching",W15="Preparing"),ISNUMBER(Q15)),IF(AND(Q15&gt;='Friday Summary'!$C$4,Q15&lt;='Friday Summary'!$C$4+14),Q15+ROW()/1000000,""),"")</f>
        <v/>
      </c>
    </row>
    <row r="16" ht="57.45" customHeight="1" s="51">
      <c r="A16" s="59">
        <f>IF(B16="","","OP-"&amp;TEXT(ROW()-4,"000"))</f>
        <v/>
      </c>
      <c r="B16" s="60" t="inlineStr">
        <is>
          <t>75F4/2026/2027/W/16</t>
        </is>
      </c>
      <c r="C16" s="61" t="n">
        <v>46289</v>
      </c>
      <c r="D16" s="60" t="inlineStr">
        <is>
          <t>NeST</t>
        </is>
      </c>
      <c r="E16" s="60" t="inlineStr">
        <is>
          <t>https://nest.go.tz/tenders/published-tenders</t>
        </is>
      </c>
      <c r="F16" s="60" t="inlineStr">
        <is>
          <t>Hai District Council</t>
        </is>
      </c>
      <c r="G16" s="60" t="inlineStr">
        <is>
          <t>government</t>
        </is>
      </c>
      <c r="H16" s="60" t="inlineStr">
        <is>
          <t>Renovation works at Sere Ufundi and Kware primary schools</t>
        </is>
      </c>
      <c r="I16" s="60" t="inlineStr">
        <is>
          <t>Renovation of two primary schools</t>
        </is>
      </c>
      <c r="J16" s="60" t="inlineStr">
        <is>
          <t>Kilimanjaro (Hai)</t>
        </is>
      </c>
      <c r="K16" s="60" t="inlineStr">
        <is>
          <t>renovation</t>
        </is>
      </c>
      <c r="L16" s="60" t="inlineStr">
        <is>
          <t>NeST login needed</t>
        </is>
      </c>
      <c r="M16" s="62" t="n"/>
      <c r="N16" s="60" t="inlineStr">
        <is>
          <t>unknown</t>
        </is>
      </c>
      <c r="O16" s="61" t="inlineStr">
        <is>
          <t>NeST login needed</t>
        </is>
      </c>
      <c r="P16" s="61" t="inlineStr">
        <is>
          <t>NeST login needed</t>
        </is>
      </c>
      <c r="Q16" s="63" t="n">
        <v>46295.58333333334</v>
      </c>
      <c r="R16" s="60" t="inlineStr">
        <is>
          <t>NeST login needed</t>
        </is>
      </c>
      <c r="S16" s="60" t="inlineStr">
        <is>
          <t>N</t>
        </is>
      </c>
      <c r="T16" s="64">
        <f>IF(A16="","",IFERROR(INDEX('Bid-NoBid'!$T:$T,MATCH(A16,'Bid-NoBid'!$A:$A,0)),""))</f>
        <v/>
      </c>
      <c r="U16" s="59">
        <f>IF(A16="","",IFERROR(IF(OR(INDEX('Bid-NoBid'!$U:$U,MATCH(A16,'Bid-NoBid'!$A:$A,0))="",LEFT(INDEX('Bid-NoBid'!$U:$U,MATCH(A16,'Bid-NoBid'!$A:$A,0)),10)="Incomplete"),"Screen: "&amp;AC16,INDEX('Bid-NoBid'!$U:$U,MATCH(A16,'Bid-NoBid'!$A:$A,0))),"Screen: "&amp;AC16))</f>
        <v/>
      </c>
      <c r="V16" s="60" t="n"/>
      <c r="W16" s="60" t="inlineStr">
        <is>
          <t>Watching</t>
        </is>
      </c>
      <c r="X16" s="60" t="inlineStr">
        <is>
          <t>Frank</t>
        </is>
      </c>
      <c r="Y16" s="60" t="n"/>
      <c r="Z16" s="60" t="n"/>
      <c r="AA16" s="65" t="n">
        <v>46288</v>
      </c>
      <c r="AB16" s="66" t="inlineStr">
        <is>
          <t>Small Works</t>
        </is>
      </c>
      <c r="AC16" s="66" t="inlineStr">
        <is>
          <t>Drop</t>
        </is>
      </c>
      <c r="AD16" s="66" t="inlineStr">
        <is>
          <t>Likely small value and remote</t>
        </is>
      </c>
      <c r="AE16" s="67">
        <f>IF(ISNUMBER(Q16),ROUNDDOWN(Q16-NOW(),1),"")</f>
        <v/>
      </c>
      <c r="AF16" s="59">
        <f>IF(OR(A16="",AE16=""),"",IF(NOT(OR(W16="Watching",W16="Preparing")),"",IF(AE16&lt;0,"PASSED",IF(AND(AE16&lt;=7,W16&lt;&gt;"Preparing"),"RED",IF(AE16&lt;=14,"AMBER","GREEN")))))</f>
        <v/>
      </c>
      <c r="AG16" s="59">
        <f>IF(OR(A16="",NOT(OR(W16="Watching",W16="Preparing"))),"",IF(AND(ISNUMBER(M16),M16&gt;=3000000000),"YES – ≥ TZS 3bn",IF(AND(ISNUMBER(AE16),AE16&gt;=0,AE16&lt;10,V16=""),"YES – &lt;10 days","")))</f>
        <v/>
      </c>
      <c r="AH16" s="68" t="n"/>
      <c r="AI16" s="66" t="inlineStr">
        <is>
          <t>Record only</t>
        </is>
      </c>
      <c r="AJ16" s="66" t="inlineStr">
        <is>
          <t>Manual scan</t>
        </is>
      </c>
      <c r="AK16" s="66" t="inlineStr">
        <is>
          <t>5ad50d18-a16f-48b2-a35f-d06ad3239815</t>
        </is>
      </c>
      <c r="AL16" s="69">
        <f>IF(AND(OR(W16="Watching",W16="Preparing"),ISNUMBER(Q16)),IF(AND(Q16&gt;='Friday Summary'!$C$4,Q16&lt;='Friday Summary'!$C$4+14),Q16+ROW()/1000000,""),"")</f>
        <v/>
      </c>
    </row>
    <row r="17" ht="46.25" customHeight="1" s="51">
      <c r="A17" s="59">
        <f>IF(B17="","","OP-"&amp;TEXT(ROW()-4,"000"))</f>
        <v/>
      </c>
      <c r="B17" s="60" t="inlineStr">
        <is>
          <t>54S6/2026/2027/W/16</t>
        </is>
      </c>
      <c r="C17" s="61" t="n">
        <v>46289</v>
      </c>
      <c r="D17" s="60" t="inlineStr">
        <is>
          <t>NeST</t>
        </is>
      </c>
      <c r="E17" s="60" t="inlineStr">
        <is>
          <t>https://nest.go.tz/tenders/published-tenders</t>
        </is>
      </c>
      <c r="F17" s="60" t="inlineStr">
        <is>
          <t>Wanging'ombe District Council</t>
        </is>
      </c>
      <c r="G17" s="60" t="inlineStr">
        <is>
          <t>government</t>
        </is>
      </c>
      <c r="H17" s="60" t="inlineStr">
        <is>
          <t>Proposed construction of multipurpose hall at Igwachanja, Wanging'ombe DC, Njombe</t>
        </is>
      </c>
      <c r="I17" s="60" t="inlineStr">
        <is>
          <t>New multipurpose hall</t>
        </is>
      </c>
      <c r="J17" s="60" t="inlineStr">
        <is>
          <t>Njombe</t>
        </is>
      </c>
      <c r="K17" s="60" t="inlineStr">
        <is>
          <t>building</t>
        </is>
      </c>
      <c r="L17" s="60" t="inlineStr">
        <is>
          <t>NeST login needed</t>
        </is>
      </c>
      <c r="M17" s="62" t="n"/>
      <c r="N17" s="60" t="inlineStr">
        <is>
          <t>unknown</t>
        </is>
      </c>
      <c r="O17" s="61" t="inlineStr">
        <is>
          <t>NeST login needed</t>
        </is>
      </c>
      <c r="P17" s="61" t="inlineStr">
        <is>
          <t>NeST login needed</t>
        </is>
      </c>
      <c r="Q17" s="63" t="n">
        <v>46294.41666666666</v>
      </c>
      <c r="R17" s="60" t="inlineStr">
        <is>
          <t>NeST login needed</t>
        </is>
      </c>
      <c r="S17" s="60" t="inlineStr">
        <is>
          <t>N</t>
        </is>
      </c>
      <c r="T17" s="64">
        <f>IF(A17="","",IFERROR(INDEX('Bid-NoBid'!$T:$T,MATCH(A17,'Bid-NoBid'!$A:$A,0)),""))</f>
        <v/>
      </c>
      <c r="U17" s="59">
        <f>IF(A17="","",IFERROR(IF(OR(INDEX('Bid-NoBid'!$U:$U,MATCH(A17,'Bid-NoBid'!$A:$A,0))="",LEFT(INDEX('Bid-NoBid'!$U:$U,MATCH(A17,'Bid-NoBid'!$A:$A,0)),10)="Incomplete"),"Screen: "&amp;AC17,INDEX('Bid-NoBid'!$U:$U,MATCH(A17,'Bid-NoBid'!$A:$A,0))),"Screen: "&amp;AC17))</f>
        <v/>
      </c>
      <c r="V17" s="60" t="n"/>
      <c r="W17" s="60" t="inlineStr">
        <is>
          <t>Watching</t>
        </is>
      </c>
      <c r="X17" s="60" t="inlineStr">
        <is>
          <t>Frank</t>
        </is>
      </c>
      <c r="Y17" s="60" t="n"/>
      <c r="Z17" s="60" t="n"/>
      <c r="AA17" s="65" t="n">
        <v>46287</v>
      </c>
      <c r="AB17" s="66" t="inlineStr">
        <is>
          <t>Small Works</t>
        </is>
      </c>
      <c r="AC17" s="66" t="inlineStr">
        <is>
          <t>Drop</t>
        </is>
      </c>
      <c r="AD17" s="66" t="inlineStr">
        <is>
          <t>Remote, 5 days left</t>
        </is>
      </c>
      <c r="AE17" s="67">
        <f>IF(ISNUMBER(Q17),ROUNDDOWN(Q17-NOW(),1),"")</f>
        <v/>
      </c>
      <c r="AF17" s="59">
        <f>IF(OR(A17="",AE17=""),"",IF(NOT(OR(W17="Watching",W17="Preparing")),"",IF(AE17&lt;0,"PASSED",IF(AND(AE17&lt;=7,W17&lt;&gt;"Preparing"),"RED",IF(AE17&lt;=14,"AMBER","GREEN")))))</f>
        <v/>
      </c>
      <c r="AG17" s="59">
        <f>IF(OR(A17="",NOT(OR(W17="Watching",W17="Preparing"))),"",IF(AND(ISNUMBER(M17),M17&gt;=3000000000),"YES – ≥ TZS 3bn",IF(AND(ISNUMBER(AE17),AE17&gt;=0,AE17&lt;10,V17=""),"YES – &lt;10 days","")))</f>
        <v/>
      </c>
      <c r="AH17" s="68" t="n"/>
      <c r="AI17" s="66" t="inlineStr">
        <is>
          <t>Record only</t>
        </is>
      </c>
      <c r="AJ17" s="66" t="inlineStr">
        <is>
          <t>Manual scan</t>
        </is>
      </c>
      <c r="AK17" s="66" t="inlineStr">
        <is>
          <t>6cd674dd-b61d-441c-8ebc-72f4f870a84b</t>
        </is>
      </c>
      <c r="AL17" s="69">
        <f>IF(AND(OR(W17="Watching",W17="Preparing"),ISNUMBER(Q17)),IF(AND(Q17&gt;='Friday Summary'!$C$4,Q17&lt;='Friday Summary'!$C$4+14),Q17+ROW()/1000000,""),"")</f>
        <v/>
      </c>
    </row>
    <row r="18" ht="46.25" customHeight="1" s="51">
      <c r="A18" s="59">
        <f>IF(B18="","","OP-"&amp;TEXT(ROW()-4,"000"))</f>
        <v/>
      </c>
      <c r="B18" s="60" t="inlineStr">
        <is>
          <t>83P6/2026/2027/W/01</t>
        </is>
      </c>
      <c r="C18" s="61" t="n">
        <v>46289</v>
      </c>
      <c r="D18" s="60" t="inlineStr">
        <is>
          <t>NeST</t>
        </is>
      </c>
      <c r="E18" s="60" t="inlineStr">
        <is>
          <t>https://nest.go.tz/tenders/published-tenders</t>
        </is>
      </c>
      <c r="F18" s="60" t="inlineStr">
        <is>
          <t>Bukombe District Council</t>
        </is>
      </c>
      <c r="G18" s="60" t="inlineStr">
        <is>
          <t>government</t>
        </is>
      </c>
      <c r="H18" s="60" t="inlineStr">
        <is>
          <t>Construction of Ilalwe Health Centre</t>
        </is>
      </c>
      <c r="I18" s="60" t="inlineStr">
        <is>
          <t>New health centre</t>
        </is>
      </c>
      <c r="J18" s="60" t="inlineStr">
        <is>
          <t>Geita (Bukombe)</t>
        </is>
      </c>
      <c r="K18" s="60" t="inlineStr">
        <is>
          <t>building</t>
        </is>
      </c>
      <c r="L18" s="60" t="inlineStr">
        <is>
          <t>NeST login needed</t>
        </is>
      </c>
      <c r="M18" s="62" t="n"/>
      <c r="N18" s="60" t="inlineStr">
        <is>
          <t>unknown</t>
        </is>
      </c>
      <c r="O18" s="61" t="inlineStr">
        <is>
          <t>NeST login needed</t>
        </is>
      </c>
      <c r="P18" s="61" t="inlineStr">
        <is>
          <t>NeST login needed</t>
        </is>
      </c>
      <c r="Q18" s="63" t="n">
        <v>46293.41666666666</v>
      </c>
      <c r="R18" s="60" t="inlineStr">
        <is>
          <t>NeST login needed</t>
        </is>
      </c>
      <c r="S18" s="60" t="inlineStr">
        <is>
          <t>N</t>
        </is>
      </c>
      <c r="T18" s="64">
        <f>IF(A18="","",IFERROR(INDEX('Bid-NoBid'!$T:$T,MATCH(A18,'Bid-NoBid'!$A:$A,0)),""))</f>
        <v/>
      </c>
      <c r="U18" s="59">
        <f>IF(A18="","",IFERROR(IF(OR(INDEX('Bid-NoBid'!$U:$U,MATCH(A18,'Bid-NoBid'!$A:$A,0))="",LEFT(INDEX('Bid-NoBid'!$U:$U,MATCH(A18,'Bid-NoBid'!$A:$A,0)),10)="Incomplete"),"Screen: "&amp;AC18,INDEX('Bid-NoBid'!$U:$U,MATCH(A18,'Bid-NoBid'!$A:$A,0))),"Screen: "&amp;AC18))</f>
        <v/>
      </c>
      <c r="V18" s="60" t="n"/>
      <c r="W18" s="60" t="inlineStr">
        <is>
          <t>Watching</t>
        </is>
      </c>
      <c r="X18" s="60" t="inlineStr">
        <is>
          <t>Frank</t>
        </is>
      </c>
      <c r="Y18" s="60" t="n"/>
      <c r="Z18" s="60" t="n"/>
      <c r="AA18" s="65" t="n">
        <v>46286</v>
      </c>
      <c r="AB18" s="66" t="inlineStr">
        <is>
          <t>Small Works</t>
        </is>
      </c>
      <c r="AC18" s="66" t="inlineStr">
        <is>
          <t>Drop</t>
        </is>
      </c>
      <c r="AD18" s="66" t="inlineStr">
        <is>
          <t>Remote, 4 days left (health-facility experience noted – Chongoleani)</t>
        </is>
      </c>
      <c r="AE18" s="67">
        <f>IF(ISNUMBER(Q18),ROUNDDOWN(Q18-NOW(),1),"")</f>
        <v/>
      </c>
      <c r="AF18" s="59">
        <f>IF(OR(A18="",AE18=""),"",IF(NOT(OR(W18="Watching",W18="Preparing")),"",IF(AE18&lt;0,"PASSED",IF(AND(AE18&lt;=7,W18&lt;&gt;"Preparing"),"RED",IF(AE18&lt;=14,"AMBER","GREEN")))))</f>
        <v/>
      </c>
      <c r="AG18" s="59">
        <f>IF(OR(A18="",NOT(OR(W18="Watching",W18="Preparing"))),"",IF(AND(ISNUMBER(M18),M18&gt;=3000000000),"YES – ≥ TZS 3bn",IF(AND(ISNUMBER(AE18),AE18&gt;=0,AE18&lt;10,V18=""),"YES – &lt;10 days","")))</f>
        <v/>
      </c>
      <c r="AH18" s="68" t="n"/>
      <c r="AI18" s="66" t="inlineStr">
        <is>
          <t>Record only</t>
        </is>
      </c>
      <c r="AJ18" s="66" t="inlineStr">
        <is>
          <t>Manual scan</t>
        </is>
      </c>
      <c r="AK18" s="66" t="inlineStr">
        <is>
          <t>b8896642-950e-4894-b503-8f17f3d122c0</t>
        </is>
      </c>
      <c r="AL18" s="69">
        <f>IF(AND(OR(W18="Watching",W18="Preparing"),ISNUMBER(Q18)),IF(AND(Q18&gt;='Friday Summary'!$C$4,Q18&lt;='Friday Summary'!$C$4+14),Q18+ROW()/1000000,""),"")</f>
        <v/>
      </c>
    </row>
    <row r="19" ht="46.25" customHeight="1" s="51">
      <c r="A19" s="59">
        <f>IF(B19="","","OP-"&amp;TEXT(ROW()-4,"000"))</f>
        <v/>
      </c>
      <c r="B19" s="60" t="inlineStr">
        <is>
          <t>83/2026/2027/W/04</t>
        </is>
      </c>
      <c r="C19" s="61" t="n">
        <v>46289</v>
      </c>
      <c r="D19" s="60" t="inlineStr">
        <is>
          <t>NeST</t>
        </is>
      </c>
      <c r="E19" s="60" t="inlineStr">
        <is>
          <t>https://nest.go.tz/tenders/published-tenders</t>
        </is>
      </c>
      <c r="F19" s="60" t="inlineStr">
        <is>
          <t>Shinyanga Regional Secretariat</t>
        </is>
      </c>
      <c r="G19" s="60" t="inlineStr">
        <is>
          <t>government</t>
        </is>
      </c>
      <c r="H19" s="60" t="inlineStr">
        <is>
          <t>Completion of construction of office building for Kahama District Commissioner's Office</t>
        </is>
      </c>
      <c r="I19" s="60" t="inlineStr">
        <is>
          <t>Completion works to DC office</t>
        </is>
      </c>
      <c r="J19" s="60" t="inlineStr">
        <is>
          <t>Shinyanga (Kahama)</t>
        </is>
      </c>
      <c r="K19" s="60" t="inlineStr">
        <is>
          <t>building</t>
        </is>
      </c>
      <c r="L19" s="60" t="inlineStr">
        <is>
          <t>NeST login needed</t>
        </is>
      </c>
      <c r="M19" s="62" t="n"/>
      <c r="N19" s="60" t="inlineStr">
        <is>
          <t>unknown</t>
        </is>
      </c>
      <c r="O19" s="61" t="inlineStr">
        <is>
          <t>NeST login needed</t>
        </is>
      </c>
      <c r="P19" s="61" t="inlineStr">
        <is>
          <t>NeST login needed</t>
        </is>
      </c>
      <c r="Q19" s="63" t="n">
        <v>46293.58333333334</v>
      </c>
      <c r="R19" s="60" t="inlineStr">
        <is>
          <t>NeST login needed</t>
        </is>
      </c>
      <c r="S19" s="60" t="inlineStr">
        <is>
          <t>N</t>
        </is>
      </c>
      <c r="T19" s="64">
        <f>IF(A19="","",IFERROR(INDEX('Bid-NoBid'!$T:$T,MATCH(A19,'Bid-NoBid'!$A:$A,0)),""))</f>
        <v/>
      </c>
      <c r="U19" s="59">
        <f>IF(A19="","",IFERROR(IF(OR(INDEX('Bid-NoBid'!$U:$U,MATCH(A19,'Bid-NoBid'!$A:$A,0))="",LEFT(INDEX('Bid-NoBid'!$U:$U,MATCH(A19,'Bid-NoBid'!$A:$A,0)),10)="Incomplete"),"Screen: "&amp;AC19,INDEX('Bid-NoBid'!$U:$U,MATCH(A19,'Bid-NoBid'!$A:$A,0))),"Screen: "&amp;AC19))</f>
        <v/>
      </c>
      <c r="V19" s="60" t="n"/>
      <c r="W19" s="60" t="inlineStr">
        <is>
          <t>Watching</t>
        </is>
      </c>
      <c r="X19" s="60" t="inlineStr">
        <is>
          <t>Frank</t>
        </is>
      </c>
      <c r="Y19" s="60" t="n"/>
      <c r="Z19" s="60" t="n"/>
      <c r="AA19" s="65" t="n">
        <v>46286</v>
      </c>
      <c r="AB19" s="66" t="inlineStr">
        <is>
          <t>Small Works</t>
        </is>
      </c>
      <c r="AC19" s="66" t="inlineStr">
        <is>
          <t>Drop</t>
        </is>
      </c>
      <c r="AD19" s="66" t="inlineStr">
        <is>
          <t>Remote, 4 days left</t>
        </is>
      </c>
      <c r="AE19" s="67">
        <f>IF(ISNUMBER(Q19),ROUNDDOWN(Q19-NOW(),1),"")</f>
        <v/>
      </c>
      <c r="AF19" s="59">
        <f>IF(OR(A19="",AE19=""),"",IF(NOT(OR(W19="Watching",W19="Preparing")),"",IF(AE19&lt;0,"PASSED",IF(AND(AE19&lt;=7,W19&lt;&gt;"Preparing"),"RED",IF(AE19&lt;=14,"AMBER","GREEN")))))</f>
        <v/>
      </c>
      <c r="AG19" s="59">
        <f>IF(OR(A19="",NOT(OR(W19="Watching",W19="Preparing"))),"",IF(AND(ISNUMBER(M19),M19&gt;=3000000000),"YES – ≥ TZS 3bn",IF(AND(ISNUMBER(AE19),AE19&gt;=0,AE19&lt;10,V19=""),"YES – &lt;10 days","")))</f>
        <v/>
      </c>
      <c r="AH19" s="68" t="n"/>
      <c r="AI19" s="66" t="inlineStr">
        <is>
          <t>Record only</t>
        </is>
      </c>
      <c r="AJ19" s="66" t="inlineStr">
        <is>
          <t>Manual scan</t>
        </is>
      </c>
      <c r="AK19" s="66" t="inlineStr">
        <is>
          <t>209b32f0-4092-4706-bbf9-bde099f9acef</t>
        </is>
      </c>
      <c r="AL19" s="69">
        <f>IF(AND(OR(W19="Watching",W19="Preparing"),ISNUMBER(Q19)),IF(AND(Q19&gt;='Friday Summary'!$C$4,Q19&lt;='Friday Summary'!$C$4+14),Q19+ROW()/1000000,""),"")</f>
        <v/>
      </c>
    </row>
    <row r="20" ht="57.45" customHeight="1" s="51">
      <c r="A20" s="59">
        <f>IF(B20="","","OP-"&amp;TEXT(ROW()-4,"000"))</f>
        <v/>
      </c>
      <c r="B20" s="60" t="inlineStr">
        <is>
          <t>73/2026/2027/W/02</t>
        </is>
      </c>
      <c r="C20" s="61" t="n">
        <v>46289</v>
      </c>
      <c r="D20" s="60" t="inlineStr">
        <is>
          <t>NeST</t>
        </is>
      </c>
      <c r="E20" s="60" t="inlineStr">
        <is>
          <t>https://nest.go.tz/tenders/published-tenders</t>
        </is>
      </c>
      <c r="F20" s="60" t="inlineStr">
        <is>
          <t>Iringa Regional Secretariat</t>
        </is>
      </c>
      <c r="G20" s="60" t="inlineStr">
        <is>
          <t>government</t>
        </is>
      </c>
      <c r="H20" s="60" t="inlineStr">
        <is>
          <t>Construction of Mufindi District Commissioner's Office Phase II</t>
        </is>
      </c>
      <c r="I20" s="60" t="inlineStr">
        <is>
          <t>Phase II of DC office</t>
        </is>
      </c>
      <c r="J20" s="60" t="inlineStr">
        <is>
          <t>Iringa (Mufindi)</t>
        </is>
      </c>
      <c r="K20" s="60" t="inlineStr">
        <is>
          <t>building</t>
        </is>
      </c>
      <c r="L20" s="60" t="inlineStr">
        <is>
          <t>NeST login needed</t>
        </is>
      </c>
      <c r="M20" s="62" t="n"/>
      <c r="N20" s="60" t="inlineStr">
        <is>
          <t>unknown</t>
        </is>
      </c>
      <c r="O20" s="61" t="inlineStr">
        <is>
          <t>NeST login needed</t>
        </is>
      </c>
      <c r="P20" s="61" t="inlineStr">
        <is>
          <t>NeST login needed</t>
        </is>
      </c>
      <c r="Q20" s="63" t="n">
        <v>46290.58333333334</v>
      </c>
      <c r="R20" s="60" t="inlineStr">
        <is>
          <t>NeST login needed</t>
        </is>
      </c>
      <c r="S20" s="60" t="inlineStr">
        <is>
          <t>N</t>
        </is>
      </c>
      <c r="T20" s="64">
        <f>IF(A20="","",IFERROR(INDEX('Bid-NoBid'!$T:$T,MATCH(A20,'Bid-NoBid'!$A:$A,0)),""))</f>
        <v/>
      </c>
      <c r="U20" s="59">
        <f>IF(A20="","",IFERROR(IF(OR(INDEX('Bid-NoBid'!$U:$U,MATCH(A20,'Bid-NoBid'!$A:$A,0))="",LEFT(INDEX('Bid-NoBid'!$U:$U,MATCH(A20,'Bid-NoBid'!$A:$A,0)),10)="Incomplete"),"Screen: "&amp;AC20,INDEX('Bid-NoBid'!$U:$U,MATCH(A20,'Bid-NoBid'!$A:$A,0))),"Screen: "&amp;AC20))</f>
        <v/>
      </c>
      <c r="V20" s="60" t="n"/>
      <c r="W20" s="60" t="inlineStr">
        <is>
          <t>Watching</t>
        </is>
      </c>
      <c r="X20" s="60" t="inlineStr">
        <is>
          <t>Frank</t>
        </is>
      </c>
      <c r="Y20" s="60" t="n"/>
      <c r="Z20" s="60" t="n"/>
      <c r="AA20" s="65" t="n">
        <v>46283</v>
      </c>
      <c r="AB20" s="66" t="inlineStr">
        <is>
          <t>Small Works</t>
        </is>
      </c>
      <c r="AC20" s="66" t="inlineStr">
        <is>
          <t>Drop</t>
        </is>
      </c>
      <c r="AD20" s="66" t="inlineStr">
        <is>
          <t>Closes tomorrow; remote</t>
        </is>
      </c>
      <c r="AE20" s="67">
        <f>IF(ISNUMBER(Q20),ROUNDDOWN(Q20-NOW(),1),"")</f>
        <v/>
      </c>
      <c r="AF20" s="59">
        <f>IF(OR(A20="",AE20=""),"",IF(NOT(OR(W20="Watching",W20="Preparing")),"",IF(AE20&lt;0,"PASSED",IF(AND(AE20&lt;=7,W20&lt;&gt;"Preparing"),"RED",IF(AE20&lt;=14,"AMBER","GREEN")))))</f>
        <v/>
      </c>
      <c r="AG20" s="59">
        <f>IF(OR(A20="",NOT(OR(W20="Watching",W20="Preparing"))),"",IF(AND(ISNUMBER(M20),M20&gt;=3000000000),"YES – ≥ TZS 3bn",IF(AND(ISNUMBER(AE20),AE20&gt;=0,AE20&lt;10,V20=""),"YES – &lt;10 days","")))</f>
        <v/>
      </c>
      <c r="AH20" s="68" t="n"/>
      <c r="AI20" s="66" t="inlineStr">
        <is>
          <t>Record only</t>
        </is>
      </c>
      <c r="AJ20" s="66" t="inlineStr">
        <is>
          <t>Manual scan</t>
        </is>
      </c>
      <c r="AK20" s="66" t="inlineStr">
        <is>
          <t>139d2324-3658-43c2-a881-bd6a203bfe77</t>
        </is>
      </c>
      <c r="AL20" s="69">
        <f>IF(AND(OR(W20="Watching",W20="Preparing"),ISNUMBER(Q20)),IF(AND(Q20&gt;='Friday Summary'!$C$4,Q20&lt;='Friday Summary'!$C$4+14),Q20+ROW()/1000000,""),"")</f>
        <v/>
      </c>
    </row>
    <row r="21" ht="57.45" customHeight="1" s="51">
      <c r="A21" s="59">
        <f>IF(B21="","","OP-"&amp;TEXT(ROW()-4,"000"))</f>
        <v/>
      </c>
      <c r="B21" s="60" t="inlineStr">
        <is>
          <t>73/2026/2027/W/01</t>
        </is>
      </c>
      <c r="C21" s="61" t="n">
        <v>46289</v>
      </c>
      <c r="D21" s="60" t="inlineStr">
        <is>
          <t>NeST</t>
        </is>
      </c>
      <c r="E21" s="60" t="inlineStr">
        <is>
          <t>https://nest.go.tz/tenders/published-tenders</t>
        </is>
      </c>
      <c r="F21" s="60" t="inlineStr">
        <is>
          <t>Iringa Regional Secretariat</t>
        </is>
      </c>
      <c r="G21" s="60" t="inlineStr">
        <is>
          <t>government</t>
        </is>
      </c>
      <c r="H21" s="60" t="inlineStr">
        <is>
          <t>Construction of Kilolo District Commissioner's Office Phase II</t>
        </is>
      </c>
      <c r="I21" s="60" t="inlineStr">
        <is>
          <t>Phase II of DC office</t>
        </is>
      </c>
      <c r="J21" s="60" t="inlineStr">
        <is>
          <t>Iringa (Kilolo)</t>
        </is>
      </c>
      <c r="K21" s="60" t="inlineStr">
        <is>
          <t>building</t>
        </is>
      </c>
      <c r="L21" s="60" t="inlineStr">
        <is>
          <t>NeST login needed</t>
        </is>
      </c>
      <c r="M21" s="62" t="n"/>
      <c r="N21" s="60" t="inlineStr">
        <is>
          <t>unknown</t>
        </is>
      </c>
      <c r="O21" s="61" t="inlineStr">
        <is>
          <t>NeST login needed</t>
        </is>
      </c>
      <c r="P21" s="61" t="inlineStr">
        <is>
          <t>NeST login needed</t>
        </is>
      </c>
      <c r="Q21" s="63" t="n">
        <v>46290.58333333334</v>
      </c>
      <c r="R21" s="60" t="inlineStr">
        <is>
          <t>NeST login needed</t>
        </is>
      </c>
      <c r="S21" s="60" t="inlineStr">
        <is>
          <t>N</t>
        </is>
      </c>
      <c r="T21" s="64">
        <f>IF(A21="","",IFERROR(INDEX('Bid-NoBid'!$T:$T,MATCH(A21,'Bid-NoBid'!$A:$A,0)),""))</f>
        <v/>
      </c>
      <c r="U21" s="59">
        <f>IF(A21="","",IFERROR(IF(OR(INDEX('Bid-NoBid'!$U:$U,MATCH(A21,'Bid-NoBid'!$A:$A,0))="",LEFT(INDEX('Bid-NoBid'!$U:$U,MATCH(A21,'Bid-NoBid'!$A:$A,0)),10)="Incomplete"),"Screen: "&amp;AC21,INDEX('Bid-NoBid'!$U:$U,MATCH(A21,'Bid-NoBid'!$A:$A,0))),"Screen: "&amp;AC21))</f>
        <v/>
      </c>
      <c r="V21" s="60" t="n"/>
      <c r="W21" s="60" t="inlineStr">
        <is>
          <t>Watching</t>
        </is>
      </c>
      <c r="X21" s="60" t="inlineStr">
        <is>
          <t>Frank</t>
        </is>
      </c>
      <c r="Y21" s="60" t="n"/>
      <c r="Z21" s="60" t="n"/>
      <c r="AA21" s="65" t="n">
        <v>46283</v>
      </c>
      <c r="AB21" s="66" t="inlineStr">
        <is>
          <t>Small Works</t>
        </is>
      </c>
      <c r="AC21" s="66" t="inlineStr">
        <is>
          <t>Drop</t>
        </is>
      </c>
      <c r="AD21" s="66" t="inlineStr">
        <is>
          <t>Closes tomorrow; remote</t>
        </is>
      </c>
      <c r="AE21" s="67">
        <f>IF(ISNUMBER(Q21),ROUNDDOWN(Q21-NOW(),1),"")</f>
        <v/>
      </c>
      <c r="AF21" s="59">
        <f>IF(OR(A21="",AE21=""),"",IF(NOT(OR(W21="Watching",W21="Preparing")),"",IF(AE21&lt;0,"PASSED",IF(AND(AE21&lt;=7,W21&lt;&gt;"Preparing"),"RED",IF(AE21&lt;=14,"AMBER","GREEN")))))</f>
        <v/>
      </c>
      <c r="AG21" s="59">
        <f>IF(OR(A21="",NOT(OR(W21="Watching",W21="Preparing"))),"",IF(AND(ISNUMBER(M21),M21&gt;=3000000000),"YES – ≥ TZS 3bn",IF(AND(ISNUMBER(AE21),AE21&gt;=0,AE21&lt;10,V21=""),"YES – &lt;10 days","")))</f>
        <v/>
      </c>
      <c r="AH21" s="68" t="n"/>
      <c r="AI21" s="66" t="inlineStr">
        <is>
          <t>Record only</t>
        </is>
      </c>
      <c r="AJ21" s="66" t="inlineStr">
        <is>
          <t>Manual scan</t>
        </is>
      </c>
      <c r="AK21" s="66" t="inlineStr">
        <is>
          <t>efa25b99-c946-4145-8912-21ac22055e29</t>
        </is>
      </c>
      <c r="AL21" s="69">
        <f>IF(AND(OR(W21="Watching",W21="Preparing"),ISNUMBER(Q21)),IF(AND(Q21&gt;='Friday Summary'!$C$4,Q21&lt;='Friday Summary'!$C$4+14),Q21+ROW()/1000000,""),"")</f>
        <v/>
      </c>
    </row>
    <row r="22" ht="57.45" customHeight="1" s="51">
      <c r="A22" s="59">
        <f>IF(B22="","","OP-"&amp;TEXT(ROW()-4,"000"))</f>
        <v/>
      </c>
      <c r="B22" s="60" t="inlineStr">
        <is>
          <t>85T5/2026/2027/W/01</t>
        </is>
      </c>
      <c r="C22" s="61" t="n">
        <v>46289</v>
      </c>
      <c r="D22" s="60" t="inlineStr">
        <is>
          <t>NeST</t>
        </is>
      </c>
      <c r="E22" s="60" t="inlineStr">
        <is>
          <t>https://nest.go.tz/tenders/published-tenders</t>
        </is>
      </c>
      <c r="F22" s="60" t="inlineStr">
        <is>
          <t>Sikonge District Council</t>
        </is>
      </c>
      <c r="G22" s="60" t="inlineStr">
        <is>
          <t>government</t>
        </is>
      </c>
      <c r="H22" s="60" t="inlineStr">
        <is>
          <t>Construction of district council building at Sikonge DC (by June 2027)</t>
        </is>
      </c>
      <c r="I22" s="60" t="inlineStr">
        <is>
          <t>New council office building</t>
        </is>
      </c>
      <c r="J22" s="60" t="inlineStr">
        <is>
          <t>Tabora (Sikonge)</t>
        </is>
      </c>
      <c r="K22" s="60" t="inlineStr">
        <is>
          <t>building</t>
        </is>
      </c>
      <c r="L22" s="60" t="inlineStr">
        <is>
          <t>NeST login needed</t>
        </is>
      </c>
      <c r="M22" s="62" t="n"/>
      <c r="N22" s="60" t="inlineStr">
        <is>
          <t>unknown</t>
        </is>
      </c>
      <c r="O22" s="61" t="inlineStr">
        <is>
          <t>NeST login needed</t>
        </is>
      </c>
      <c r="P22" s="61" t="inlineStr">
        <is>
          <t>NeST login needed</t>
        </is>
      </c>
      <c r="Q22" s="63" t="n">
        <v>46290.58333333334</v>
      </c>
      <c r="R22" s="60" t="inlineStr">
        <is>
          <t>NeST login needed</t>
        </is>
      </c>
      <c r="S22" s="60" t="inlineStr">
        <is>
          <t>N</t>
        </is>
      </c>
      <c r="T22" s="64">
        <f>IF(A22="","",IFERROR(INDEX('Bid-NoBid'!$T:$T,MATCH(A22,'Bid-NoBid'!$A:$A,0)),""))</f>
        <v/>
      </c>
      <c r="U22" s="59">
        <f>IF(A22="","",IFERROR(IF(OR(INDEX('Bid-NoBid'!$U:$U,MATCH(A22,'Bid-NoBid'!$A:$A,0))="",LEFT(INDEX('Bid-NoBid'!$U:$U,MATCH(A22,'Bid-NoBid'!$A:$A,0)),10)="Incomplete"),"Screen: "&amp;AC22,INDEX('Bid-NoBid'!$U:$U,MATCH(A22,'Bid-NoBid'!$A:$A,0))),"Screen: "&amp;AC22))</f>
        <v/>
      </c>
      <c r="V22" s="60" t="n"/>
      <c r="W22" s="60" t="inlineStr">
        <is>
          <t>Watching</t>
        </is>
      </c>
      <c r="X22" s="60" t="inlineStr">
        <is>
          <t>Frank</t>
        </is>
      </c>
      <c r="Y22" s="60" t="n"/>
      <c r="Z22" s="60" t="n"/>
      <c r="AA22" s="65" t="n">
        <v>46283</v>
      </c>
      <c r="AB22" s="66" t="inlineStr">
        <is>
          <t>Small Works</t>
        </is>
      </c>
      <c r="AC22" s="66" t="inlineStr">
        <is>
          <t>Drop</t>
        </is>
      </c>
      <c r="AD22" s="66" t="inlineStr">
        <is>
          <t>Closes tomorrow; remote</t>
        </is>
      </c>
      <c r="AE22" s="67">
        <f>IF(ISNUMBER(Q22),ROUNDDOWN(Q22-NOW(),1),"")</f>
        <v/>
      </c>
      <c r="AF22" s="59">
        <f>IF(OR(A22="",AE22=""),"",IF(NOT(OR(W22="Watching",W22="Preparing")),"",IF(AE22&lt;0,"PASSED",IF(AND(AE22&lt;=7,W22&lt;&gt;"Preparing"),"RED",IF(AE22&lt;=14,"AMBER","GREEN")))))</f>
        <v/>
      </c>
      <c r="AG22" s="59">
        <f>IF(OR(A22="",NOT(OR(W22="Watching",W22="Preparing"))),"",IF(AND(ISNUMBER(M22),M22&gt;=3000000000),"YES – ≥ TZS 3bn",IF(AND(ISNUMBER(AE22),AE22&gt;=0,AE22&lt;10,V22=""),"YES – &lt;10 days","")))</f>
        <v/>
      </c>
      <c r="AH22" s="68" t="n"/>
      <c r="AI22" s="66" t="inlineStr">
        <is>
          <t>Record only</t>
        </is>
      </c>
      <c r="AJ22" s="66" t="inlineStr">
        <is>
          <t>Manual scan</t>
        </is>
      </c>
      <c r="AK22" s="66" t="inlineStr">
        <is>
          <t>e37b682a-3e86-4688-a2de-0491a7c94cc3</t>
        </is>
      </c>
      <c r="AL22" s="69">
        <f>IF(AND(OR(W22="Watching",W22="Preparing"),ISNUMBER(Q22)),IF(AND(Q22&gt;='Friday Summary'!$C$4,Q22&lt;='Friday Summary'!$C$4+14),Q22+ROW()/1000000,""),"")</f>
        <v/>
      </c>
    </row>
    <row r="23" ht="57.45" customHeight="1" s="51">
      <c r="A23" s="59">
        <f>IF(B23="","","OP-"&amp;TEXT(ROW()-4,"000"))</f>
        <v/>
      </c>
      <c r="B23" s="60" t="inlineStr">
        <is>
          <t>85T1/2026/2027/W/08</t>
        </is>
      </c>
      <c r="C23" s="61" t="n">
        <v>46289</v>
      </c>
      <c r="D23" s="60" t="inlineStr">
        <is>
          <t>NeST</t>
        </is>
      </c>
      <c r="E23" s="60" t="inlineStr">
        <is>
          <t>https://nest.go.tz/tenders/published-tenders</t>
        </is>
      </c>
      <c r="F23" s="60" t="inlineStr">
        <is>
          <t>Igunga District Council</t>
        </is>
      </c>
      <c r="G23" s="60" t="inlineStr">
        <is>
          <t>government</t>
        </is>
      </c>
      <c r="H23" s="60" t="inlineStr">
        <is>
          <t>Proposed construction of two Head of Department residential houses</t>
        </is>
      </c>
      <c r="I23" s="60" t="inlineStr">
        <is>
          <t>Two staff houses</t>
        </is>
      </c>
      <c r="J23" s="60" t="inlineStr">
        <is>
          <t>Tabora (Igunga)</t>
        </is>
      </c>
      <c r="K23" s="60" t="inlineStr">
        <is>
          <t>building</t>
        </is>
      </c>
      <c r="L23" s="60" t="inlineStr">
        <is>
          <t>NeST login needed</t>
        </is>
      </c>
      <c r="M23" s="62" t="n"/>
      <c r="N23" s="60" t="inlineStr">
        <is>
          <t>unknown</t>
        </is>
      </c>
      <c r="O23" s="61" t="inlineStr">
        <is>
          <t>NeST login needed</t>
        </is>
      </c>
      <c r="P23" s="61" t="inlineStr">
        <is>
          <t>NeST login needed</t>
        </is>
      </c>
      <c r="Q23" s="63" t="n">
        <v>46290.41666666666</v>
      </c>
      <c r="R23" s="60" t="inlineStr">
        <is>
          <t>NeST login needed</t>
        </is>
      </c>
      <c r="S23" s="60" t="inlineStr">
        <is>
          <t>N</t>
        </is>
      </c>
      <c r="T23" s="64">
        <f>IF(A23="","",IFERROR(INDEX('Bid-NoBid'!$T:$T,MATCH(A23,'Bid-NoBid'!$A:$A,0)),""))</f>
        <v/>
      </c>
      <c r="U23" s="59">
        <f>IF(A23="","",IFERROR(IF(OR(INDEX('Bid-NoBid'!$U:$U,MATCH(A23,'Bid-NoBid'!$A:$A,0))="",LEFT(INDEX('Bid-NoBid'!$U:$U,MATCH(A23,'Bid-NoBid'!$A:$A,0)),10)="Incomplete"),"Screen: "&amp;AC23,INDEX('Bid-NoBid'!$U:$U,MATCH(A23,'Bid-NoBid'!$A:$A,0))),"Screen: "&amp;AC23))</f>
        <v/>
      </c>
      <c r="V23" s="60" t="n"/>
      <c r="W23" s="60" t="inlineStr">
        <is>
          <t>Watching</t>
        </is>
      </c>
      <c r="X23" s="60" t="inlineStr">
        <is>
          <t>Frank</t>
        </is>
      </c>
      <c r="Y23" s="60" t="n"/>
      <c r="Z23" s="60" t="n"/>
      <c r="AA23" s="65" t="n">
        <v>46283</v>
      </c>
      <c r="AB23" s="66" t="inlineStr">
        <is>
          <t>Small Works</t>
        </is>
      </c>
      <c r="AC23" s="66" t="inlineStr">
        <is>
          <t>Drop</t>
        </is>
      </c>
      <c r="AD23" s="66" t="inlineStr">
        <is>
          <t>Closes tomorrow; small and remote</t>
        </is>
      </c>
      <c r="AE23" s="67">
        <f>IF(ISNUMBER(Q23),ROUNDDOWN(Q23-NOW(),1),"")</f>
        <v/>
      </c>
      <c r="AF23" s="59">
        <f>IF(OR(A23="",AE23=""),"",IF(NOT(OR(W23="Watching",W23="Preparing")),"",IF(AE23&lt;0,"PASSED",IF(AND(AE23&lt;=7,W23&lt;&gt;"Preparing"),"RED",IF(AE23&lt;=14,"AMBER","GREEN")))))</f>
        <v/>
      </c>
      <c r="AG23" s="59">
        <f>IF(OR(A23="",NOT(OR(W23="Watching",W23="Preparing"))),"",IF(AND(ISNUMBER(M23),M23&gt;=3000000000),"YES – ≥ TZS 3bn",IF(AND(ISNUMBER(AE23),AE23&gt;=0,AE23&lt;10,V23=""),"YES – &lt;10 days","")))</f>
        <v/>
      </c>
      <c r="AH23" s="68" t="n"/>
      <c r="AI23" s="66" t="inlineStr">
        <is>
          <t>Record only</t>
        </is>
      </c>
      <c r="AJ23" s="66" t="inlineStr">
        <is>
          <t>Manual scan</t>
        </is>
      </c>
      <c r="AK23" s="66" t="inlineStr">
        <is>
          <t>9d301e59-9ae1-40f1-aefa-6a8175aaf82d</t>
        </is>
      </c>
      <c r="AL23" s="69">
        <f>IF(AND(OR(W23="Watching",W23="Preparing"),ISNUMBER(Q23)),IF(AND(Q23&gt;='Friday Summary'!$C$4,Q23&lt;='Friday Summary'!$C$4+14),Q23+ROW()/1000000,""),"")</f>
        <v/>
      </c>
    </row>
    <row r="24" ht="57.45" customHeight="1" s="51">
      <c r="A24" s="59">
        <f>IF(B24="","","OP-"&amp;TEXT(ROW()-4,"000"))</f>
        <v/>
      </c>
      <c r="B24" s="60" t="inlineStr">
        <is>
          <t>85T1/2026/2027/W/09</t>
        </is>
      </c>
      <c r="C24" s="61" t="n">
        <v>46289</v>
      </c>
      <c r="D24" s="60" t="inlineStr">
        <is>
          <t>NeST</t>
        </is>
      </c>
      <c r="E24" s="60" t="inlineStr">
        <is>
          <t>https://nest.go.tz/tenders/published-tenders</t>
        </is>
      </c>
      <c r="F24" s="60" t="inlineStr">
        <is>
          <t>Igunga District Council</t>
        </is>
      </c>
      <c r="G24" s="60" t="inlineStr">
        <is>
          <t>government</t>
        </is>
      </c>
      <c r="H24" s="60" t="inlineStr">
        <is>
          <t>Proposed construction completion of District Executive Director residential house</t>
        </is>
      </c>
      <c r="I24" s="60" t="inlineStr">
        <is>
          <t>Completion of one residence</t>
        </is>
      </c>
      <c r="J24" s="60" t="inlineStr">
        <is>
          <t>Tabora (Igunga)</t>
        </is>
      </c>
      <c r="K24" s="60" t="inlineStr">
        <is>
          <t>building</t>
        </is>
      </c>
      <c r="L24" s="60" t="inlineStr">
        <is>
          <t>NeST login needed</t>
        </is>
      </c>
      <c r="M24" s="62" t="n"/>
      <c r="N24" s="60" t="inlineStr">
        <is>
          <t>unknown</t>
        </is>
      </c>
      <c r="O24" s="61" t="inlineStr">
        <is>
          <t>NeST login needed</t>
        </is>
      </c>
      <c r="P24" s="61" t="inlineStr">
        <is>
          <t>NeST login needed</t>
        </is>
      </c>
      <c r="Q24" s="63" t="n">
        <v>46290.41666666666</v>
      </c>
      <c r="R24" s="60" t="inlineStr">
        <is>
          <t>NeST login needed</t>
        </is>
      </c>
      <c r="S24" s="60" t="inlineStr">
        <is>
          <t>N</t>
        </is>
      </c>
      <c r="T24" s="64">
        <f>IF(A24="","",IFERROR(INDEX('Bid-NoBid'!$T:$T,MATCH(A24,'Bid-NoBid'!$A:$A,0)),""))</f>
        <v/>
      </c>
      <c r="U24" s="59">
        <f>IF(A24="","",IFERROR(IF(OR(INDEX('Bid-NoBid'!$U:$U,MATCH(A24,'Bid-NoBid'!$A:$A,0))="",LEFT(INDEX('Bid-NoBid'!$U:$U,MATCH(A24,'Bid-NoBid'!$A:$A,0)),10)="Incomplete"),"Screen: "&amp;AC24,INDEX('Bid-NoBid'!$U:$U,MATCH(A24,'Bid-NoBid'!$A:$A,0))),"Screen: "&amp;AC24))</f>
        <v/>
      </c>
      <c r="V24" s="60" t="n"/>
      <c r="W24" s="60" t="inlineStr">
        <is>
          <t>Watching</t>
        </is>
      </c>
      <c r="X24" s="60" t="inlineStr">
        <is>
          <t>Frank</t>
        </is>
      </c>
      <c r="Y24" s="60" t="n"/>
      <c r="Z24" s="60" t="n"/>
      <c r="AA24" s="65" t="n">
        <v>46283</v>
      </c>
      <c r="AB24" s="66" t="inlineStr">
        <is>
          <t>Small Works</t>
        </is>
      </c>
      <c r="AC24" s="66" t="inlineStr">
        <is>
          <t>Drop</t>
        </is>
      </c>
      <c r="AD24" s="66" t="inlineStr">
        <is>
          <t>Closes tomorrow; small and remote</t>
        </is>
      </c>
      <c r="AE24" s="67">
        <f>IF(ISNUMBER(Q24),ROUNDDOWN(Q24-NOW(),1),"")</f>
        <v/>
      </c>
      <c r="AF24" s="59">
        <f>IF(OR(A24="",AE24=""),"",IF(NOT(OR(W24="Watching",W24="Preparing")),"",IF(AE24&lt;0,"PASSED",IF(AND(AE24&lt;=7,W24&lt;&gt;"Preparing"),"RED",IF(AE24&lt;=14,"AMBER","GREEN")))))</f>
        <v/>
      </c>
      <c r="AG24" s="59">
        <f>IF(OR(A24="",NOT(OR(W24="Watching",W24="Preparing"))),"",IF(AND(ISNUMBER(M24),M24&gt;=3000000000),"YES – ≥ TZS 3bn",IF(AND(ISNUMBER(AE24),AE24&gt;=0,AE24&lt;10,V24=""),"YES – &lt;10 days","")))</f>
        <v/>
      </c>
      <c r="AH24" s="68" t="n"/>
      <c r="AI24" s="66" t="inlineStr">
        <is>
          <t>Record only</t>
        </is>
      </c>
      <c r="AJ24" s="66" t="inlineStr">
        <is>
          <t>Manual scan</t>
        </is>
      </c>
      <c r="AK24" s="66" t="inlineStr">
        <is>
          <t>f636098c-7ebc-4e80-b621-bf778aaee1ba</t>
        </is>
      </c>
      <c r="AL24" s="69">
        <f>IF(AND(OR(W24="Watching",W24="Preparing"),ISNUMBER(Q24)),IF(AND(Q24&gt;='Friday Summary'!$C$4,Q24&lt;='Friday Summary'!$C$4+14),Q24+ROW()/1000000,""),"")</f>
        <v/>
      </c>
    </row>
    <row r="25" ht="46.25" customHeight="1" s="51">
      <c r="A25" s="59">
        <f>IF(B25="","","OP-"&amp;TEXT(ROW()-4,"000"))</f>
        <v/>
      </c>
      <c r="B25" s="60" t="inlineStr">
        <is>
          <t>99/2026/2027/W/07</t>
        </is>
      </c>
      <c r="C25" s="61" t="n">
        <v>46289</v>
      </c>
      <c r="D25" s="60" t="inlineStr">
        <is>
          <t>NeST</t>
        </is>
      </c>
      <c r="E25" s="60" t="inlineStr">
        <is>
          <t>https://nest.go.tz/tenders/published-tenders</t>
        </is>
      </c>
      <c r="F25" s="60" t="inlineStr">
        <is>
          <t>Ministry of Livestock and Fisheries</t>
        </is>
      </c>
      <c r="G25" s="60" t="inlineStr">
        <is>
          <t>government</t>
        </is>
      </c>
      <c r="H25" s="60" t="inlineStr">
        <is>
          <t>Proposed rehabilitation of buildings (office buildings and staff quarters) at Langwira Pasture Seed Farm, Mbarali</t>
        </is>
      </c>
      <c r="I25" s="60" t="inlineStr">
        <is>
          <t>Rehabilitation of offices and staff quarters (quotation)</t>
        </is>
      </c>
      <c r="J25" s="60" t="inlineStr">
        <is>
          <t>Mbeya (Mbarali)</t>
        </is>
      </c>
      <c r="K25" s="60" t="inlineStr">
        <is>
          <t>renovation</t>
        </is>
      </c>
      <c r="L25" s="60" t="inlineStr">
        <is>
          <t>NeST login needed</t>
        </is>
      </c>
      <c r="M25" s="62" t="n"/>
      <c r="N25" s="60" t="inlineStr">
        <is>
          <t>unknown</t>
        </is>
      </c>
      <c r="O25" s="61" t="inlineStr">
        <is>
          <t>NeST login needed</t>
        </is>
      </c>
      <c r="P25" s="61" t="inlineStr">
        <is>
          <t>NeST login needed</t>
        </is>
      </c>
      <c r="Q25" s="63" t="n">
        <v>46294.58333333334</v>
      </c>
      <c r="R25" s="60" t="inlineStr">
        <is>
          <t>NeST login needed</t>
        </is>
      </c>
      <c r="S25" s="60" t="inlineStr">
        <is>
          <t>N</t>
        </is>
      </c>
      <c r="T25" s="64">
        <f>IF(A25="","",IFERROR(INDEX('Bid-NoBid'!$T:$T,MATCH(A25,'Bid-NoBid'!$A:$A,0)),""))</f>
        <v/>
      </c>
      <c r="U25" s="59">
        <f>IF(A25="","",IFERROR(IF(OR(INDEX('Bid-NoBid'!$U:$U,MATCH(A25,'Bid-NoBid'!$A:$A,0))="",LEFT(INDEX('Bid-NoBid'!$U:$U,MATCH(A25,'Bid-NoBid'!$A:$A,0)),10)="Incomplete"),"Screen: "&amp;AC25,INDEX('Bid-NoBid'!$U:$U,MATCH(A25,'Bid-NoBid'!$A:$A,0))),"Screen: "&amp;AC25))</f>
        <v/>
      </c>
      <c r="V25" s="60" t="n"/>
      <c r="W25" s="60" t="inlineStr">
        <is>
          <t>Watching</t>
        </is>
      </c>
      <c r="X25" s="60" t="inlineStr">
        <is>
          <t>Frank</t>
        </is>
      </c>
      <c r="Y25" s="60" t="n"/>
      <c r="Z25" s="60" t="n"/>
      <c r="AA25" s="65" t="n">
        <v>46287</v>
      </c>
      <c r="AB25" s="66" t="inlineStr">
        <is>
          <t>Standard Invitation for Quotations -Works</t>
        </is>
      </c>
      <c r="AC25" s="66" t="inlineStr">
        <is>
          <t>Drop</t>
        </is>
      </c>
      <c r="AD25" s="66" t="inlineStr">
        <is>
          <t>Quotation route, remote</t>
        </is>
      </c>
      <c r="AE25" s="67">
        <f>IF(ISNUMBER(Q25),ROUNDDOWN(Q25-NOW(),1),"")</f>
        <v/>
      </c>
      <c r="AF25" s="59">
        <f>IF(OR(A25="",AE25=""),"",IF(NOT(OR(W25="Watching",W25="Preparing")),"",IF(AE25&lt;0,"PASSED",IF(AND(AE25&lt;=7,W25&lt;&gt;"Preparing"),"RED",IF(AE25&lt;=14,"AMBER","GREEN")))))</f>
        <v/>
      </c>
      <c r="AG25" s="59">
        <f>IF(OR(A25="",NOT(OR(W25="Watching",W25="Preparing"))),"",IF(AND(ISNUMBER(M25),M25&gt;=3000000000),"YES – ≥ TZS 3bn",IF(AND(ISNUMBER(AE25),AE25&gt;=0,AE25&lt;10,V25=""),"YES – &lt;10 days","")))</f>
        <v/>
      </c>
      <c r="AH25" s="68" t="n"/>
      <c r="AI25" s="66" t="inlineStr">
        <is>
          <t>Record only</t>
        </is>
      </c>
      <c r="AJ25" s="66" t="inlineStr">
        <is>
          <t>Manual scan</t>
        </is>
      </c>
      <c r="AK25" s="66" t="inlineStr">
        <is>
          <t>ae57053a-9586-4713-91f9-8cea076e5cfc</t>
        </is>
      </c>
      <c r="AL25" s="69">
        <f>IF(AND(OR(W25="Watching",W25="Preparing"),ISNUMBER(Q25)),IF(AND(Q25&gt;='Friday Summary'!$C$4,Q25&lt;='Friday Summary'!$C$4+14),Q25+ROW()/1000000,""),"")</f>
        <v/>
      </c>
    </row>
    <row r="26" ht="57.45" customHeight="1" s="51">
      <c r="A26" s="59">
        <f>IF(B26="","","OP-"&amp;TEXT(ROW()-4,"000"))</f>
        <v/>
      </c>
      <c r="B26" s="60" t="inlineStr">
        <is>
          <t>TR152/2026/2027/W/13</t>
        </is>
      </c>
      <c r="C26" s="61" t="n">
        <v>46289</v>
      </c>
      <c r="D26" s="60" t="inlineStr">
        <is>
          <t>NeST</t>
        </is>
      </c>
      <c r="E26" s="60" t="inlineStr">
        <is>
          <t>https://nest.go.tz/tenders/published-tenders</t>
        </is>
      </c>
      <c r="F26" s="60" t="inlineStr">
        <is>
          <t>Bank of Tanzania</t>
        </is>
      </c>
      <c r="G26" s="60" t="inlineStr">
        <is>
          <t>government</t>
        </is>
      </c>
      <c r="H26" s="60" t="inlineStr">
        <is>
          <t>Proposed installation of generator and associated electrical connections at Kijitonyama Flats, Dar es Salaam</t>
        </is>
      </c>
      <c r="I26" s="60" t="inlineStr">
        <is>
          <t>Standby generator supply/installation and electrical works</t>
        </is>
      </c>
      <c r="J26" s="60" t="inlineStr">
        <is>
          <t>Dar es Salaam (Kijitonyama)</t>
        </is>
      </c>
      <c r="K26" s="60" t="inlineStr">
        <is>
          <t>MEP</t>
        </is>
      </c>
      <c r="L26" s="60" t="inlineStr">
        <is>
          <t>NeST login needed</t>
        </is>
      </c>
      <c r="M26" s="62" t="n"/>
      <c r="N26" s="60" t="inlineStr">
        <is>
          <t>unknown</t>
        </is>
      </c>
      <c r="O26" s="61" t="inlineStr">
        <is>
          <t>NeST login needed</t>
        </is>
      </c>
      <c r="P26" s="61" t="inlineStr">
        <is>
          <t>NeST login needed</t>
        </is>
      </c>
      <c r="Q26" s="63" t="n">
        <v>46293.45833333334</v>
      </c>
      <c r="R26" s="60" t="inlineStr">
        <is>
          <t>NeST login needed</t>
        </is>
      </c>
      <c r="S26" s="60" t="inlineStr">
        <is>
          <t>N</t>
        </is>
      </c>
      <c r="T26" s="64">
        <f>IF(A26="","",IFERROR(INDEX('Bid-NoBid'!$T:$T,MATCH(A26,'Bid-NoBid'!$A:$A,0)),""))</f>
        <v/>
      </c>
      <c r="U26" s="59">
        <f>IF(A26="","",IFERROR(IF(OR(INDEX('Bid-NoBid'!$U:$U,MATCH(A26,'Bid-NoBid'!$A:$A,0))="",LEFT(INDEX('Bid-NoBid'!$U:$U,MATCH(A26,'Bid-NoBid'!$A:$A,0)),10)="Incomplete"),"Screen: "&amp;AC26,INDEX('Bid-NoBid'!$U:$U,MATCH(A26,'Bid-NoBid'!$A:$A,0))),"Screen: "&amp;AC26))</f>
        <v/>
      </c>
      <c r="V26" s="60" t="n"/>
      <c r="W26" s="60" t="inlineStr">
        <is>
          <t>Watching</t>
        </is>
      </c>
      <c r="X26" s="60" t="inlineStr">
        <is>
          <t>Frank</t>
        </is>
      </c>
      <c r="Y26" s="60" t="n"/>
      <c r="Z26" s="60" t="n"/>
      <c r="AA26" s="65" t="n">
        <v>46283</v>
      </c>
      <c r="AB26" s="66" t="inlineStr">
        <is>
          <t>Small Works</t>
        </is>
      </c>
      <c r="AC26" s="66" t="inlineStr">
        <is>
          <t>Drop</t>
        </is>
      </c>
      <c r="AD26" s="66" t="inlineStr">
        <is>
          <t>Specialist electrical scope – better as an electrical subcontractor's bid; keep BoT as a relationship</t>
        </is>
      </c>
      <c r="AE26" s="67">
        <f>IF(ISNUMBER(Q26),ROUNDDOWN(Q26-NOW(),1),"")</f>
        <v/>
      </c>
      <c r="AF26" s="59">
        <f>IF(OR(A26="",AE26=""),"",IF(NOT(OR(W26="Watching",W26="Preparing")),"",IF(AE26&lt;0,"PASSED",IF(AND(AE26&lt;=7,W26&lt;&gt;"Preparing"),"RED",IF(AE26&lt;=14,"AMBER","GREEN")))))</f>
        <v/>
      </c>
      <c r="AG26" s="59">
        <f>IF(OR(A26="",NOT(OR(W26="Watching",W26="Preparing"))),"",IF(AND(ISNUMBER(M26),M26&gt;=3000000000),"YES – ≥ TZS 3bn",IF(AND(ISNUMBER(AE26),AE26&gt;=0,AE26&lt;10,V26=""),"YES – &lt;10 days","")))</f>
        <v/>
      </c>
      <c r="AH26" s="68" t="n"/>
      <c r="AI26" s="66" t="inlineStr">
        <is>
          <t>Pass to electrical subcontractor contacts (F-05)</t>
        </is>
      </c>
      <c r="AJ26" s="66" t="inlineStr">
        <is>
          <t>Manual scan</t>
        </is>
      </c>
      <c r="AK26" s="66" t="inlineStr">
        <is>
          <t>0a5c0f7a-6d84-4c5f-b30f-35e392c791ad</t>
        </is>
      </c>
      <c r="AL26" s="69">
        <f>IF(AND(OR(W26="Watching",W26="Preparing"),ISNUMBER(Q26)),IF(AND(Q26&gt;='Friday Summary'!$C$4,Q26&lt;='Friday Summary'!$C$4+14),Q26+ROW()/1000000,""),"")</f>
        <v/>
      </c>
    </row>
    <row r="27" ht="46.25" customHeight="1" s="51">
      <c r="A27" s="59">
        <f>IF(B27="","","OP-"&amp;TEXT(ROW()-4,"000"))</f>
        <v/>
      </c>
      <c r="B27" s="60" t="inlineStr">
        <is>
          <t>TR170/2025/2026/W/08</t>
        </is>
      </c>
      <c r="C27" s="61" t="n">
        <v>46289</v>
      </c>
      <c r="D27" s="60" t="inlineStr">
        <is>
          <t>NeST</t>
        </is>
      </c>
      <c r="E27" s="60" t="inlineStr">
        <is>
          <t>https://nest.go.tz/tenders/published-tenders</t>
        </is>
      </c>
      <c r="F27" s="60" t="inlineStr">
        <is>
          <t>Land Transport Regulatory Authority (LATRA)</t>
        </is>
      </c>
      <c r="G27" s="60" t="inlineStr">
        <is>
          <t>government</t>
        </is>
      </c>
      <c r="H27" s="60" t="inlineStr">
        <is>
          <t>Proposed construction of LATRA HQ office building – services and mechanical subcontractors (5 lots)</t>
        </is>
      </c>
      <c r="I27" s="60" t="inlineStr">
        <is>
          <t>Nominated MEP subcontract packages for LATRA HQ</t>
        </is>
      </c>
      <c r="J27" s="60" t="inlineStr">
        <is>
          <t>TBC – LATRA HQ site</t>
        </is>
      </c>
      <c r="K27" s="60" t="inlineStr">
        <is>
          <t>MEP</t>
        </is>
      </c>
      <c r="L27" s="60" t="inlineStr">
        <is>
          <t>NeST login needed</t>
        </is>
      </c>
      <c r="M27" s="62" t="n"/>
      <c r="N27" s="60" t="inlineStr">
        <is>
          <t>unknown</t>
        </is>
      </c>
      <c r="O27" s="61" t="inlineStr">
        <is>
          <t>NeST login needed</t>
        </is>
      </c>
      <c r="P27" s="61" t="inlineStr">
        <is>
          <t>NeST login needed</t>
        </is>
      </c>
      <c r="Q27" s="63" t="n">
        <v>46293.75</v>
      </c>
      <c r="R27" s="60" t="inlineStr">
        <is>
          <t>NeST login needed</t>
        </is>
      </c>
      <c r="S27" s="60" t="inlineStr">
        <is>
          <t>N</t>
        </is>
      </c>
      <c r="T27" s="64">
        <f>IF(A27="","",IFERROR(INDEX('Bid-NoBid'!$T:$T,MATCH(A27,'Bid-NoBid'!$A:$A,0)),""))</f>
        <v/>
      </c>
      <c r="U27" s="59">
        <f>IF(A27="","",IFERROR(IF(OR(INDEX('Bid-NoBid'!$U:$U,MATCH(A27,'Bid-NoBid'!$A:$A,0))="",LEFT(INDEX('Bid-NoBid'!$U:$U,MATCH(A27,'Bid-NoBid'!$A:$A,0)),10)="Incomplete"),"Screen: "&amp;AC27,INDEX('Bid-NoBid'!$U:$U,MATCH(A27,'Bid-NoBid'!$A:$A,0))),"Screen: "&amp;AC27))</f>
        <v/>
      </c>
      <c r="V27" s="60" t="n"/>
      <c r="W27" s="60" t="inlineStr">
        <is>
          <t>Watching</t>
        </is>
      </c>
      <c r="X27" s="60" t="inlineStr">
        <is>
          <t>Frank</t>
        </is>
      </c>
      <c r="Y27" s="60" t="n"/>
      <c r="Z27" s="60" t="n"/>
      <c r="AA27" s="65" t="n">
        <v>46261</v>
      </c>
      <c r="AB27" s="66" t="inlineStr">
        <is>
          <t>Works Subcontracts</t>
        </is>
      </c>
      <c r="AC27" s="66" t="inlineStr">
        <is>
          <t>Drop</t>
        </is>
      </c>
      <c r="AD27" s="66" t="inlineStr">
        <is>
          <t>Specialist MEP subcontracts, not main-contractor work</t>
        </is>
      </c>
      <c r="AE27" s="67">
        <f>IF(ISNUMBER(Q27),ROUNDDOWN(Q27-NOW(),1),"")</f>
        <v/>
      </c>
      <c r="AF27" s="59">
        <f>IF(OR(A27="",AE27=""),"",IF(NOT(OR(W27="Watching",W27="Preparing")),"",IF(AE27&lt;0,"PASSED",IF(AND(AE27&lt;=7,W27&lt;&gt;"Preparing"),"RED",IF(AE27&lt;=14,"AMBER","GREEN")))))</f>
        <v/>
      </c>
      <c r="AG27" s="59">
        <f>IF(OR(A27="",NOT(OR(W27="Watching",W27="Preparing"))),"",IF(AND(ISNUMBER(M27),M27&gt;=3000000000),"YES – ≥ TZS 3bn",IF(AND(ISNUMBER(AE27),AE27&gt;=0,AE27&lt;10,V27=""),"YES – &lt;10 days","")))</f>
        <v/>
      </c>
      <c r="AH27" s="68" t="n"/>
      <c r="AI27" s="66" t="inlineStr">
        <is>
          <t>Record only; note main contractor for future subcontract leads</t>
        </is>
      </c>
      <c r="AJ27" s="66" t="inlineStr">
        <is>
          <t>Manual scan</t>
        </is>
      </c>
      <c r="AK27" s="66" t="inlineStr">
        <is>
          <t>fe9bd2da-f2d3-43aa-8a85-b70ce64f3582</t>
        </is>
      </c>
      <c r="AL27" s="69">
        <f>IF(AND(OR(W27="Watching",W27="Preparing"),ISNUMBER(Q27)),IF(AND(Q27&gt;='Friday Summary'!$C$4,Q27&lt;='Friday Summary'!$C$4+14),Q27+ROW()/1000000,""),"")</f>
        <v/>
      </c>
    </row>
    <row r="28" ht="57.45" customHeight="1" s="51">
      <c r="A28" s="59">
        <f>IF(B28="","","OP-"&amp;TEXT(ROW()-4,"000"))</f>
        <v/>
      </c>
      <c r="B28" s="60" t="inlineStr">
        <is>
          <t>S10/002/2026/2027/W/91</t>
        </is>
      </c>
      <c r="C28" s="61" t="n">
        <v>46289</v>
      </c>
      <c r="D28" s="60" t="inlineStr">
        <is>
          <t>NeST</t>
        </is>
      </c>
      <c r="E28" s="60" t="inlineStr">
        <is>
          <t>https://nest.go.tz/tenders/published-tenders</t>
        </is>
      </c>
      <c r="F28" s="60" t="inlineStr">
        <is>
          <t>TARURA – Dar es Salaam Regional Office</t>
        </is>
      </c>
      <c r="G28" s="60" t="inlineStr">
        <is>
          <t>government</t>
        </is>
      </c>
      <c r="H28" s="60" t="inlineStr">
        <is>
          <t>Upgrading of Transforma–Mzara–Mapemba Road (0.6 km rigid pavement, 2.4 km gravel), Temeke</t>
        </is>
      </c>
      <c r="I28" s="60" t="inlineStr">
        <is>
          <t>Rigid (concrete) pavement 0.6 km and gravel 2.4 km</t>
        </is>
      </c>
      <c r="J28" s="60" t="inlineStr">
        <is>
          <t>Dar es Salaam (Temeke)</t>
        </is>
      </c>
      <c r="K28" s="60" t="inlineStr">
        <is>
          <t>civil</t>
        </is>
      </c>
      <c r="L28" s="60" t="inlineStr">
        <is>
          <t>NeST login needed</t>
        </is>
      </c>
      <c r="M28" s="62" t="n"/>
      <c r="N28" s="60" t="inlineStr">
        <is>
          <t>unknown</t>
        </is>
      </c>
      <c r="O28" s="61" t="inlineStr">
        <is>
          <t>NeST login needed</t>
        </is>
      </c>
      <c r="P28" s="61" t="inlineStr">
        <is>
          <t>NeST login needed</t>
        </is>
      </c>
      <c r="Q28" s="63" t="n">
        <v>46290.58333333334</v>
      </c>
      <c r="R28" s="60" t="inlineStr">
        <is>
          <t>NeST login needed</t>
        </is>
      </c>
      <c r="S28" s="60" t="inlineStr">
        <is>
          <t>N</t>
        </is>
      </c>
      <c r="T28" s="64">
        <f>IF(A28="","",IFERROR(INDEX('Bid-NoBid'!$T:$T,MATCH(A28,'Bid-NoBid'!$A:$A,0)),""))</f>
        <v/>
      </c>
      <c r="U28" s="59">
        <f>IF(A28="","",IFERROR(IF(OR(INDEX('Bid-NoBid'!$U:$U,MATCH(A28,'Bid-NoBid'!$A:$A,0))="",LEFT(INDEX('Bid-NoBid'!$U:$U,MATCH(A28,'Bid-NoBid'!$A:$A,0)),10)="Incomplete"),"Screen: "&amp;AC28,INDEX('Bid-NoBid'!$U:$U,MATCH(A28,'Bid-NoBid'!$A:$A,0))),"Screen: "&amp;AC28))</f>
        <v/>
      </c>
      <c r="V28" s="60" t="n"/>
      <c r="W28" s="60" t="inlineStr">
        <is>
          <t>Watching</t>
        </is>
      </c>
      <c r="X28" s="60" t="inlineStr">
        <is>
          <t>Frank</t>
        </is>
      </c>
      <c r="Y28" s="60" t="n"/>
      <c r="Z28" s="60" t="n"/>
      <c r="AA28" s="65" t="n">
        <v>46283</v>
      </c>
      <c r="AB28" s="66" t="inlineStr">
        <is>
          <t>Small Works</t>
        </is>
      </c>
      <c r="AC28" s="66" t="inlineStr">
        <is>
          <t>Check</t>
        </is>
      </c>
      <c r="AD28" s="66" t="inlineStr">
        <is>
          <t>Dar civil works within Civil Class IV range, but closes tomorrow</t>
        </is>
      </c>
      <c r="AE28" s="67">
        <f>IF(ISNUMBER(Q28),ROUNDDOWN(Q28-NOW(),1),"")</f>
        <v/>
      </c>
      <c r="AF28" s="59">
        <f>IF(OR(A28="",AE28=""),"",IF(NOT(OR(W28="Watching",W28="Preparing")),"",IF(AE28&lt;0,"PASSED",IF(AND(AE28&lt;=7,W28&lt;&gt;"Preparing"),"RED",IF(AE28&lt;=14,"AMBER","GREEN")))))</f>
        <v/>
      </c>
      <c r="AG28" s="59">
        <f>IF(OR(A28="",NOT(OR(W28="Watching",W28="Preparing"))),"",IF(AND(ISNUMBER(M28),M28&gt;=3000000000),"YES – ≥ TZS 3bn",IF(AND(ISNUMBER(AE28),AE28&gt;=0,AE28&lt;10,V28=""),"YES – &lt;10 days","")))</f>
        <v/>
      </c>
      <c r="AH28" s="68" t="n"/>
      <c r="AI28" s="66" t="inlineStr">
        <is>
          <t>Ask QS Director today whether a bid is possible</t>
        </is>
      </c>
      <c r="AJ28" s="66" t="inlineStr">
        <is>
          <t>Manual scan</t>
        </is>
      </c>
      <c r="AK28" s="66" t="inlineStr">
        <is>
          <t>42c1d609-7876-46d2-9117-d72e74180a1d</t>
        </is>
      </c>
      <c r="AL28" s="69">
        <f>IF(AND(OR(W28="Watching",W28="Preparing"),ISNUMBER(Q28)),IF(AND(Q28&gt;='Friday Summary'!$C$4,Q28&lt;='Friday Summary'!$C$4+14),Q28+ROW()/1000000,""),"")</f>
        <v/>
      </c>
    </row>
    <row r="29" ht="57.45" customHeight="1" s="51">
      <c r="A29" s="59">
        <f>IF(B29="","","OP-"&amp;TEXT(ROW()-4,"000"))</f>
        <v/>
      </c>
      <c r="B29" s="60" t="inlineStr">
        <is>
          <t>S10/002/2026/2027/W/89</t>
        </is>
      </c>
      <c r="C29" s="61" t="n">
        <v>46289</v>
      </c>
      <c r="D29" s="60" t="inlineStr">
        <is>
          <t>NeST</t>
        </is>
      </c>
      <c r="E29" s="60" t="inlineStr">
        <is>
          <t>https://nest.go.tz/tenders/published-tenders</t>
        </is>
      </c>
      <c r="F29" s="60" t="inlineStr">
        <is>
          <t>TARURA – Dar es Salaam Regional Office</t>
        </is>
      </c>
      <c r="G29" s="60" t="inlineStr">
        <is>
          <t>government</t>
        </is>
      </c>
      <c r="H29" s="60" t="inlineStr">
        <is>
          <t>Spot improvement of King Paris, Kichangani, Mwinyi, Kilakala, Malawi, Mianzini, Limboa–Mitedi, Kigunga 2 and Chihota roads, and repair of box culverts, Temeke</t>
        </is>
      </c>
      <c r="I29" s="60" t="inlineStr">
        <is>
          <t>Spot improvement of ~10.9 km of roads plus 10 box-culvert repairs</t>
        </is>
      </c>
      <c r="J29" s="60" t="inlineStr">
        <is>
          <t>Dar es Salaam (Temeke)</t>
        </is>
      </c>
      <c r="K29" s="60" t="inlineStr">
        <is>
          <t>civil</t>
        </is>
      </c>
      <c r="L29" s="60" t="inlineStr">
        <is>
          <t>NeST login needed</t>
        </is>
      </c>
      <c r="M29" s="62" t="n"/>
      <c r="N29" s="60" t="inlineStr">
        <is>
          <t>unknown</t>
        </is>
      </c>
      <c r="O29" s="61" t="inlineStr">
        <is>
          <t>NeST login needed</t>
        </is>
      </c>
      <c r="P29" s="61" t="inlineStr">
        <is>
          <t>NeST login needed</t>
        </is>
      </c>
      <c r="Q29" s="63" t="n">
        <v>46295.58333333334</v>
      </c>
      <c r="R29" s="60" t="inlineStr">
        <is>
          <t>NeST login needed</t>
        </is>
      </c>
      <c r="S29" s="60" t="inlineStr">
        <is>
          <t>N</t>
        </is>
      </c>
      <c r="T29" s="64">
        <f>IF(A29="","",IFERROR(INDEX('Bid-NoBid'!$T:$T,MATCH(A29,'Bid-NoBid'!$A:$A,0)),""))</f>
        <v/>
      </c>
      <c r="U29" s="59">
        <f>IF(A29="","",IFERROR(IF(OR(INDEX('Bid-NoBid'!$U:$U,MATCH(A29,'Bid-NoBid'!$A:$A,0))="",LEFT(INDEX('Bid-NoBid'!$U:$U,MATCH(A29,'Bid-NoBid'!$A:$A,0)),10)="Incomplete"),"Screen: "&amp;AC29,INDEX('Bid-NoBid'!$U:$U,MATCH(A29,'Bid-NoBid'!$A:$A,0))),"Screen: "&amp;AC29))</f>
        <v/>
      </c>
      <c r="V29" s="60" t="n"/>
      <c r="W29" s="60" t="inlineStr">
        <is>
          <t>Watching</t>
        </is>
      </c>
      <c r="X29" s="60" t="inlineStr">
        <is>
          <t>Frank</t>
        </is>
      </c>
      <c r="Y29" s="60" t="n"/>
      <c r="Z29" s="60" t="n"/>
      <c r="AA29" s="65" t="n">
        <v>46288</v>
      </c>
      <c r="AB29" s="66" t="inlineStr">
        <is>
          <t>Small Works</t>
        </is>
      </c>
      <c r="AC29" s="66" t="inlineStr">
        <is>
          <t>Check</t>
        </is>
      </c>
      <c r="AD29" s="66" t="inlineStr">
        <is>
          <t>Dar civil works; check CRB class and margin</t>
        </is>
      </c>
      <c r="AE29" s="67">
        <f>IF(ISNUMBER(Q29),ROUNDDOWN(Q29-NOW(),1),"")</f>
        <v/>
      </c>
      <c r="AF29" s="59">
        <f>IF(OR(A29="",AE29=""),"",IF(NOT(OR(W29="Watching",W29="Preparing")),"",IF(AE29&lt;0,"PASSED",IF(AND(AE29&lt;=7,W29&lt;&gt;"Preparing"),"RED",IF(AE29&lt;=14,"AMBER","GREEN")))))</f>
        <v/>
      </c>
      <c r="AG29" s="59">
        <f>IF(OR(A29="",NOT(OR(W29="Watching",W29="Preparing"))),"",IF(AND(ISNUMBER(M29),M29&gt;=3000000000),"YES – ≥ TZS 3bn",IF(AND(ISNUMBER(AE29),AE29&gt;=0,AE29&lt;10,V29=""),"YES – &lt;10 days","")))</f>
        <v/>
      </c>
      <c r="AH29" s="68" t="n"/>
      <c r="AI29" s="66" t="inlineStr">
        <is>
          <t>Download document; confirm CRB class</t>
        </is>
      </c>
      <c r="AJ29" s="66" t="inlineStr">
        <is>
          <t>Manual scan</t>
        </is>
      </c>
      <c r="AK29" s="66" t="inlineStr">
        <is>
          <t>16d2f4fb-63c4-4188-92ec-99d463745c10</t>
        </is>
      </c>
      <c r="AL29" s="69">
        <f>IF(AND(OR(W29="Watching",W29="Preparing"),ISNUMBER(Q29)),IF(AND(Q29&gt;='Friday Summary'!$C$4,Q29&lt;='Friday Summary'!$C$4+14),Q29+ROW()/1000000,""),"")</f>
        <v/>
      </c>
    </row>
    <row r="30" ht="46.25" customHeight="1" s="51">
      <c r="A30" s="59">
        <f>IF(B30="","","OP-"&amp;TEXT(ROW()-4,"000"))</f>
        <v/>
      </c>
      <c r="B30" s="60" t="inlineStr">
        <is>
          <t>S10/002/2026/2027/W/04</t>
        </is>
      </c>
      <c r="C30" s="61" t="n">
        <v>46289</v>
      </c>
      <c r="D30" s="60" t="inlineStr">
        <is>
          <t>NeST</t>
        </is>
      </c>
      <c r="E30" s="60" t="inlineStr">
        <is>
          <t>https://nest.go.tz/tenders/published-tenders</t>
        </is>
      </c>
      <c r="F30" s="60" t="inlineStr">
        <is>
          <t>TARURA – Dar es Salaam Regional Office</t>
        </is>
      </c>
      <c r="G30" s="60" t="inlineStr">
        <is>
          <t>government</t>
        </is>
      </c>
      <c r="H30" s="60" t="inlineStr">
        <is>
          <t>Routine maintenance of NIT–Mburahati, Barafu, Riverside, Changanyikeni, Kawawa–Kiluvya and other roads, Ubungo</t>
        </is>
      </c>
      <c r="I30" s="60" t="inlineStr">
        <is>
          <t>Routine maintenance of 11 roads (~11.2 km)</t>
        </is>
      </c>
      <c r="J30" s="60" t="inlineStr">
        <is>
          <t>Dar es Salaam (Ubungo)</t>
        </is>
      </c>
      <c r="K30" s="60" t="inlineStr">
        <is>
          <t>civil</t>
        </is>
      </c>
      <c r="L30" s="60" t="inlineStr">
        <is>
          <t>NeST login needed</t>
        </is>
      </c>
      <c r="M30" s="62" t="n"/>
      <c r="N30" s="60" t="inlineStr">
        <is>
          <t>unknown</t>
        </is>
      </c>
      <c r="O30" s="61" t="inlineStr">
        <is>
          <t>NeST login needed</t>
        </is>
      </c>
      <c r="P30" s="61" t="inlineStr">
        <is>
          <t>NeST login needed</t>
        </is>
      </c>
      <c r="Q30" s="63" t="n">
        <v>46295.58333333334</v>
      </c>
      <c r="R30" s="60" t="inlineStr">
        <is>
          <t>NeST login needed</t>
        </is>
      </c>
      <c r="S30" s="60" t="inlineStr">
        <is>
          <t>N</t>
        </is>
      </c>
      <c r="T30" s="64">
        <f>IF(A30="","",IFERROR(INDEX('Bid-NoBid'!$T:$T,MATCH(A30,'Bid-NoBid'!$A:$A,0)),""))</f>
        <v/>
      </c>
      <c r="U30" s="59">
        <f>IF(A30="","",IFERROR(IF(OR(INDEX('Bid-NoBid'!$U:$U,MATCH(A30,'Bid-NoBid'!$A:$A,0))="",LEFT(INDEX('Bid-NoBid'!$U:$U,MATCH(A30,'Bid-NoBid'!$A:$A,0)),10)="Incomplete"),"Screen: "&amp;AC30,INDEX('Bid-NoBid'!$U:$U,MATCH(A30,'Bid-NoBid'!$A:$A,0))),"Screen: "&amp;AC30))</f>
        <v/>
      </c>
      <c r="V30" s="60" t="n"/>
      <c r="W30" s="60" t="inlineStr">
        <is>
          <t>Watching</t>
        </is>
      </c>
      <c r="X30" s="60" t="inlineStr">
        <is>
          <t>Frank</t>
        </is>
      </c>
      <c r="Y30" s="60" t="n"/>
      <c r="Z30" s="60" t="n"/>
      <c r="AA30" s="65" t="n">
        <v>46288</v>
      </c>
      <c r="AB30" s="66" t="inlineStr">
        <is>
          <t>Small Works</t>
        </is>
      </c>
      <c r="AC30" s="66" t="inlineStr">
        <is>
          <t>Check</t>
        </is>
      </c>
      <c r="AD30" s="66" t="inlineStr">
        <is>
          <t>Dar location; routine maintenance tends to be low margin</t>
        </is>
      </c>
      <c r="AE30" s="67">
        <f>IF(ISNUMBER(Q30),ROUNDDOWN(Q30-NOW(),1),"")</f>
        <v/>
      </c>
      <c r="AF30" s="59">
        <f>IF(OR(A30="",AE30=""),"",IF(NOT(OR(W30="Watching",W30="Preparing")),"",IF(AE30&lt;0,"PASSED",IF(AND(AE30&lt;=7,W30&lt;&gt;"Preparing"),"RED",IF(AE30&lt;=14,"AMBER","GREEN")))))</f>
        <v/>
      </c>
      <c r="AG30" s="59">
        <f>IF(OR(A30="",NOT(OR(W30="Watching",W30="Preparing"))),"",IF(AND(ISNUMBER(M30),M30&gt;=3000000000),"YES – ≥ TZS 3bn",IF(AND(ISNUMBER(AE30),AE30&gt;=0,AE30&lt;10,V30=""),"YES – &lt;10 days","")))</f>
        <v/>
      </c>
      <c r="AH30" s="68" t="n"/>
      <c r="AI30" s="66" t="inlineStr">
        <is>
          <t>Check value; decide with QS Director</t>
        </is>
      </c>
      <c r="AJ30" s="66" t="inlineStr">
        <is>
          <t>Manual scan</t>
        </is>
      </c>
      <c r="AK30" s="66" t="inlineStr">
        <is>
          <t>2ebcfcda-d511-4115-9682-8ffe2aa02517</t>
        </is>
      </c>
      <c r="AL30" s="69">
        <f>IF(AND(OR(W30="Watching",W30="Preparing"),ISNUMBER(Q30)),IF(AND(Q30&gt;='Friday Summary'!$C$4,Q30&lt;='Friday Summary'!$C$4+14),Q30+ROW()/1000000,""),"")</f>
        <v/>
      </c>
    </row>
    <row r="31" ht="57.45" customHeight="1" s="51">
      <c r="A31" s="59">
        <f>IF(B31="","","OP-"&amp;TEXT(ROW()-4,"000"))</f>
        <v/>
      </c>
      <c r="B31" s="60" t="inlineStr">
        <is>
          <t>S10/002/2026/2027/W/06</t>
        </is>
      </c>
      <c r="C31" s="61" t="n">
        <v>46289</v>
      </c>
      <c r="D31" s="60" t="inlineStr">
        <is>
          <t>NeST</t>
        </is>
      </c>
      <c r="E31" s="60" t="inlineStr">
        <is>
          <t>https://nest.go.tz/tenders/published-tenders</t>
        </is>
      </c>
      <c r="F31" s="60" t="inlineStr">
        <is>
          <t>TARURA – Dar es Salaam Regional Office</t>
        </is>
      </c>
      <c r="G31" s="60" t="inlineStr">
        <is>
          <t>government</t>
        </is>
      </c>
      <c r="H31" s="60" t="inlineStr">
        <is>
          <t>Routine maintenance of Goba Utulivu, Konoike, Mbezi Manyema and other roads and spot improvement of Goba Majengo road (5 km), Ubungo</t>
        </is>
      </c>
      <c r="I31" s="60" t="inlineStr">
        <is>
          <t>Routine maintenance (~16.3 km) plus 5 km spot improvement</t>
        </is>
      </c>
      <c r="J31" s="60" t="inlineStr">
        <is>
          <t>Dar es Salaam (Ubungo)</t>
        </is>
      </c>
      <c r="K31" s="60" t="inlineStr">
        <is>
          <t>civil</t>
        </is>
      </c>
      <c r="L31" s="60" t="inlineStr">
        <is>
          <t>NeST login needed</t>
        </is>
      </c>
      <c r="M31" s="62" t="n"/>
      <c r="N31" s="60" t="inlineStr">
        <is>
          <t>unknown</t>
        </is>
      </c>
      <c r="O31" s="61" t="inlineStr">
        <is>
          <t>NeST login needed</t>
        </is>
      </c>
      <c r="P31" s="61" t="inlineStr">
        <is>
          <t>NeST login needed</t>
        </is>
      </c>
      <c r="Q31" s="63" t="n">
        <v>46295.58333333334</v>
      </c>
      <c r="R31" s="60" t="inlineStr">
        <is>
          <t>NeST login needed</t>
        </is>
      </c>
      <c r="S31" s="60" t="inlineStr">
        <is>
          <t>N</t>
        </is>
      </c>
      <c r="T31" s="64">
        <f>IF(A31="","",IFERROR(INDEX('Bid-NoBid'!$T:$T,MATCH(A31,'Bid-NoBid'!$A:$A,0)),""))</f>
        <v/>
      </c>
      <c r="U31" s="59">
        <f>IF(A31="","",IFERROR(IF(OR(INDEX('Bid-NoBid'!$U:$U,MATCH(A31,'Bid-NoBid'!$A:$A,0))="",LEFT(INDEX('Bid-NoBid'!$U:$U,MATCH(A31,'Bid-NoBid'!$A:$A,0)),10)="Incomplete"),"Screen: "&amp;AC31,INDEX('Bid-NoBid'!$U:$U,MATCH(A31,'Bid-NoBid'!$A:$A,0))),"Screen: "&amp;AC31))</f>
        <v/>
      </c>
      <c r="V31" s="60" t="n"/>
      <c r="W31" s="60" t="inlineStr">
        <is>
          <t>Watching</t>
        </is>
      </c>
      <c r="X31" s="60" t="inlineStr">
        <is>
          <t>Frank</t>
        </is>
      </c>
      <c r="Y31" s="60" t="n"/>
      <c r="Z31" s="60" t="n"/>
      <c r="AA31" s="65" t="n">
        <v>46288</v>
      </c>
      <c r="AB31" s="66" t="inlineStr">
        <is>
          <t>Small Works</t>
        </is>
      </c>
      <c r="AC31" s="66" t="inlineStr">
        <is>
          <t>Check</t>
        </is>
      </c>
      <c r="AD31" s="66" t="inlineStr">
        <is>
          <t>Dar location; routine maintenance tends to be low margin</t>
        </is>
      </c>
      <c r="AE31" s="67">
        <f>IF(ISNUMBER(Q31),ROUNDDOWN(Q31-NOW(),1),"")</f>
        <v/>
      </c>
      <c r="AF31" s="59">
        <f>IF(OR(A31="",AE31=""),"",IF(NOT(OR(W31="Watching",W31="Preparing")),"",IF(AE31&lt;0,"PASSED",IF(AND(AE31&lt;=7,W31&lt;&gt;"Preparing"),"RED",IF(AE31&lt;=14,"AMBER","GREEN")))))</f>
        <v/>
      </c>
      <c r="AG31" s="59">
        <f>IF(OR(A31="",NOT(OR(W31="Watching",W31="Preparing"))),"",IF(AND(ISNUMBER(M31),M31&gt;=3000000000),"YES – ≥ TZS 3bn",IF(AND(ISNUMBER(AE31),AE31&gt;=0,AE31&lt;10,V31=""),"YES – &lt;10 days","")))</f>
        <v/>
      </c>
      <c r="AH31" s="68" t="n"/>
      <c r="AI31" s="66" t="inlineStr">
        <is>
          <t>Check value; decide with QS Director</t>
        </is>
      </c>
      <c r="AJ31" s="66" t="inlineStr">
        <is>
          <t>Manual scan</t>
        </is>
      </c>
      <c r="AK31" s="66" t="inlineStr">
        <is>
          <t>f94f96c3-0427-4ada-ae5b-d59d2d06605d</t>
        </is>
      </c>
      <c r="AL31" s="69">
        <f>IF(AND(OR(W31="Watching",W31="Preparing"),ISNUMBER(Q31)),IF(AND(Q31&gt;='Friday Summary'!$C$4,Q31&lt;='Friday Summary'!$C$4+14),Q31+ROW()/1000000,""),"")</f>
        <v/>
      </c>
    </row>
    <row r="32" ht="57.45" customHeight="1" s="51">
      <c r="A32" s="59">
        <f>IF(B32="","","OP-"&amp;TEXT(ROW()-4,"000"))</f>
        <v/>
      </c>
      <c r="B32" s="60" t="inlineStr">
        <is>
          <t>S10/016/2026/2027/W/51</t>
        </is>
      </c>
      <c r="C32" s="61" t="n">
        <v>46289</v>
      </c>
      <c r="D32" s="60" t="inlineStr">
        <is>
          <t>NeST</t>
        </is>
      </c>
      <c r="E32" s="60" t="inlineStr">
        <is>
          <t>https://nest.go.tz/tenders/published-tenders</t>
        </is>
      </c>
      <c r="F32" s="60" t="inlineStr">
        <is>
          <t>TARURA – Mwanza Regional Office</t>
        </is>
      </c>
      <c r="G32" s="60" t="inlineStr">
        <is>
          <t>government</t>
        </is>
      </c>
      <c r="H32" s="60" t="inlineStr">
        <is>
          <t>Construction of concrete pavement along Gunzert Road, Nyamagana</t>
        </is>
      </c>
      <c r="I32" s="60" t="inlineStr">
        <is>
          <t>Concrete road pavement</t>
        </is>
      </c>
      <c r="J32" s="60" t="inlineStr">
        <is>
          <t>Mwanza (Nyamagana)</t>
        </is>
      </c>
      <c r="K32" s="60" t="inlineStr">
        <is>
          <t>civil</t>
        </is>
      </c>
      <c r="L32" s="60" t="inlineStr">
        <is>
          <t>NeST login needed</t>
        </is>
      </c>
      <c r="M32" s="62" t="n"/>
      <c r="N32" s="60" t="inlineStr">
        <is>
          <t>unknown</t>
        </is>
      </c>
      <c r="O32" s="61" t="inlineStr">
        <is>
          <t>NeST login needed</t>
        </is>
      </c>
      <c r="P32" s="61" t="inlineStr">
        <is>
          <t>NeST login needed</t>
        </is>
      </c>
      <c r="Q32" s="63" t="n">
        <v>46293.45833333334</v>
      </c>
      <c r="R32" s="60" t="inlineStr">
        <is>
          <t>NeST login needed</t>
        </is>
      </c>
      <c r="S32" s="60" t="inlineStr">
        <is>
          <t>N</t>
        </is>
      </c>
      <c r="T32" s="64">
        <f>IF(A32="","",IFERROR(INDEX('Bid-NoBid'!$T:$T,MATCH(A32,'Bid-NoBid'!$A:$A,0)),""))</f>
        <v/>
      </c>
      <c r="U32" s="59">
        <f>IF(A32="","",IFERROR(IF(OR(INDEX('Bid-NoBid'!$U:$U,MATCH(A32,'Bid-NoBid'!$A:$A,0))="",LEFT(INDEX('Bid-NoBid'!$U:$U,MATCH(A32,'Bid-NoBid'!$A:$A,0)),10)="Incomplete"),"Screen: "&amp;AC32,INDEX('Bid-NoBid'!$U:$U,MATCH(A32,'Bid-NoBid'!$A:$A,0))),"Screen: "&amp;AC32))</f>
        <v/>
      </c>
      <c r="V32" s="60" t="n"/>
      <c r="W32" s="60" t="inlineStr">
        <is>
          <t>Watching</t>
        </is>
      </c>
      <c r="X32" s="60" t="inlineStr">
        <is>
          <t>Frank</t>
        </is>
      </c>
      <c r="Y32" s="60" t="n"/>
      <c r="Z32" s="60" t="n"/>
      <c r="AA32" s="65" t="n">
        <v>46286</v>
      </c>
      <c r="AB32" s="66" t="inlineStr">
        <is>
          <t>Small Works</t>
        </is>
      </c>
      <c r="AC32" s="66" t="inlineStr">
        <is>
          <t>Drop</t>
        </is>
      </c>
      <c r="AD32" s="66" t="inlineStr">
        <is>
          <t>Remote, 4 days left</t>
        </is>
      </c>
      <c r="AE32" s="67">
        <f>IF(ISNUMBER(Q32),ROUNDDOWN(Q32-NOW(),1),"")</f>
        <v/>
      </c>
      <c r="AF32" s="59">
        <f>IF(OR(A32="",AE32=""),"",IF(NOT(OR(W32="Watching",W32="Preparing")),"",IF(AE32&lt;0,"PASSED",IF(AND(AE32&lt;=7,W32&lt;&gt;"Preparing"),"RED",IF(AE32&lt;=14,"AMBER","GREEN")))))</f>
        <v/>
      </c>
      <c r="AG32" s="59">
        <f>IF(OR(A32="",NOT(OR(W32="Watching",W32="Preparing"))),"",IF(AND(ISNUMBER(M32),M32&gt;=3000000000),"YES – ≥ TZS 3bn",IF(AND(ISNUMBER(AE32),AE32&gt;=0,AE32&lt;10,V32=""),"YES – &lt;10 days","")))</f>
        <v/>
      </c>
      <c r="AH32" s="68" t="n"/>
      <c r="AI32" s="66" t="inlineStr">
        <is>
          <t>Record only</t>
        </is>
      </c>
      <c r="AJ32" s="66" t="inlineStr">
        <is>
          <t>Manual scan</t>
        </is>
      </c>
      <c r="AK32" s="66" t="inlineStr">
        <is>
          <t>0e620d0b-90e7-45d8-b893-b4597ebaf05d</t>
        </is>
      </c>
      <c r="AL32" s="69">
        <f>IF(AND(OR(W32="Watching",W32="Preparing"),ISNUMBER(Q32)),IF(AND(Q32&gt;='Friday Summary'!$C$4,Q32&lt;='Friday Summary'!$C$4+14),Q32+ROW()/1000000,""),"")</f>
        <v/>
      </c>
    </row>
    <row r="33" ht="46.25" customHeight="1" s="51">
      <c r="A33" s="59">
        <f>IF(B33="","","OP-"&amp;TEXT(ROW()-4,"000"))</f>
        <v/>
      </c>
      <c r="B33" s="60" t="inlineStr">
        <is>
          <t>TR36/2026/2027/W/16</t>
        </is>
      </c>
      <c r="C33" s="61" t="n">
        <v>46289</v>
      </c>
      <c r="D33" s="60" t="inlineStr">
        <is>
          <t>NeST</t>
        </is>
      </c>
      <c r="E33" s="60" t="inlineStr">
        <is>
          <t>https://nest.go.tz/tenders/published-tenders</t>
        </is>
      </c>
      <c r="F33" s="60" t="inlineStr">
        <is>
          <t>TANROADS (HQ)</t>
        </is>
      </c>
      <c r="G33" s="60" t="inlineStr">
        <is>
          <t>government</t>
        </is>
      </c>
      <c r="H33" s="60" t="inlineStr">
        <is>
          <t>Upgrading of Soni–Bumbuli–Dindira–Korogwe Road (77 km) to bitumen standard – Lot 1(A): Soni–Bumbuli (22 km)</t>
        </is>
      </c>
      <c r="I33" s="60" t="inlineStr">
        <is>
          <t>22 km road upgrade to bitumen</t>
        </is>
      </c>
      <c r="J33" s="60" t="inlineStr">
        <is>
          <t>Tanga (Lushoto)</t>
        </is>
      </c>
      <c r="K33" s="60" t="inlineStr">
        <is>
          <t>civil</t>
        </is>
      </c>
      <c r="L33" s="60" t="inlineStr">
        <is>
          <t>NeST login needed</t>
        </is>
      </c>
      <c r="M33" s="62" t="n"/>
      <c r="N33" s="60" t="inlineStr">
        <is>
          <t>unknown</t>
        </is>
      </c>
      <c r="O33" s="61" t="inlineStr">
        <is>
          <t>NeST login needed</t>
        </is>
      </c>
      <c r="P33" s="61" t="inlineStr">
        <is>
          <t>NeST login needed</t>
        </is>
      </c>
      <c r="Q33" s="63" t="n">
        <v>46301.58333333334</v>
      </c>
      <c r="R33" s="60" t="inlineStr">
        <is>
          <t>NeST login needed</t>
        </is>
      </c>
      <c r="S33" s="60" t="inlineStr">
        <is>
          <t>N</t>
        </is>
      </c>
      <c r="T33" s="64">
        <f>IF(A33="","",IFERROR(INDEX('Bid-NoBid'!$T:$T,MATCH(A33,'Bid-NoBid'!$A:$A,0)),""))</f>
        <v/>
      </c>
      <c r="U33" s="59">
        <f>IF(A33="","",IFERROR(IF(OR(INDEX('Bid-NoBid'!$U:$U,MATCH(A33,'Bid-NoBid'!$A:$A,0))="",LEFT(INDEX('Bid-NoBid'!$U:$U,MATCH(A33,'Bid-NoBid'!$A:$A,0)),10)="Incomplete"),"Screen: "&amp;AC33,INDEX('Bid-NoBid'!$U:$U,MATCH(A33,'Bid-NoBid'!$A:$A,0))),"Screen: "&amp;AC33))</f>
        <v/>
      </c>
      <c r="V33" s="60" t="n"/>
      <c r="W33" s="60" t="inlineStr">
        <is>
          <t>Watching</t>
        </is>
      </c>
      <c r="X33" s="60" t="inlineStr">
        <is>
          <t>Frank</t>
        </is>
      </c>
      <c r="Y33" s="60" t="n"/>
      <c r="Z33" s="60" t="n"/>
      <c r="AA33" s="65" t="n">
        <v>46280</v>
      </c>
      <c r="AB33" s="66" t="inlineStr">
        <is>
          <t>Medium and Large Works</t>
        </is>
      </c>
      <c r="AC33" s="66" t="inlineStr">
        <is>
          <t>Drop</t>
        </is>
      </c>
      <c r="AD33" s="66" t="inlineStr">
        <is>
          <t>Large road works likely above Civil Class IV; only possible in a JV (MD decision)</t>
        </is>
      </c>
      <c r="AE33" s="67">
        <f>IF(ISNUMBER(Q33),ROUNDDOWN(Q33-NOW(),1),"")</f>
        <v/>
      </c>
      <c r="AF33" s="59">
        <f>IF(OR(A33="",AE33=""),"",IF(NOT(OR(W33="Watching",W33="Preparing")),"",IF(AE33&lt;0,"PASSED",IF(AND(AE33&lt;=7,W33&lt;&gt;"Preparing"),"RED",IF(AE33&lt;=14,"AMBER","GREEN")))))</f>
        <v/>
      </c>
      <c r="AG33" s="59">
        <f>IF(OR(A33="",NOT(OR(W33="Watching",W33="Preparing"))),"",IF(AND(ISNUMBER(M33),M33&gt;=3000000000),"YES – ≥ TZS 3bn",IF(AND(ISNUMBER(AE33),AE33&gt;=0,AE33&lt;10,V33=""),"YES – &lt;10 days","")))</f>
        <v/>
      </c>
      <c r="AH33" s="68" t="n"/>
      <c r="AI33" s="66" t="inlineStr">
        <is>
          <t>Deadline changed at source 26-Sep (was 29-Sep 14:00). Escalate to MD: JV interest? Otherwise no-bid</t>
        </is>
      </c>
      <c r="AJ33" s="66" t="inlineStr">
        <is>
          <t>Manual scan</t>
        </is>
      </c>
      <c r="AK33" s="66" t="inlineStr">
        <is>
          <t>84708851-0c95-4e53-95b9-12c6e20f4545</t>
        </is>
      </c>
      <c r="AL33" s="69">
        <f>IF(AND(OR(W33="Watching",W33="Preparing"),ISNUMBER(Q33)),IF(AND(Q33&gt;='Friday Summary'!$C$4,Q33&lt;='Friday Summary'!$C$4+14),Q33+ROW()/1000000,""),"")</f>
        <v/>
      </c>
    </row>
    <row r="34" ht="46.25" customHeight="1" s="51">
      <c r="A34" s="59">
        <f>IF(B34="","","OP-"&amp;TEXT(ROW()-4,"000"))</f>
        <v/>
      </c>
      <c r="B34" s="60" t="inlineStr">
        <is>
          <t>TR36/2026/2027/W/15</t>
        </is>
      </c>
      <c r="C34" s="61" t="n">
        <v>46289</v>
      </c>
      <c r="D34" s="60" t="inlineStr">
        <is>
          <t>NeST</t>
        </is>
      </c>
      <c r="E34" s="60" t="inlineStr">
        <is>
          <t>https://nest.go.tz/tenders/published-tenders</t>
        </is>
      </c>
      <c r="F34" s="60" t="inlineStr">
        <is>
          <t>TANROADS (HQ)</t>
        </is>
      </c>
      <c r="G34" s="60" t="inlineStr">
        <is>
          <t>government</t>
        </is>
      </c>
      <c r="H34" s="60" t="inlineStr">
        <is>
          <t>Upgrading of Mika–Utegi–Shitati–Ruari Port Road to bitumen standard – Lot 1: Mika–Utegi–Bukama (27 km) including Mori Bridge</t>
        </is>
      </c>
      <c r="I34" s="60" t="inlineStr">
        <is>
          <t>27 km road upgrade to bitumen including bridge</t>
        </is>
      </c>
      <c r="J34" s="60" t="inlineStr">
        <is>
          <t>Mara (Rorya)</t>
        </is>
      </c>
      <c r="K34" s="60" t="inlineStr">
        <is>
          <t>civil</t>
        </is>
      </c>
      <c r="L34" s="60" t="inlineStr">
        <is>
          <t>NeST login needed</t>
        </is>
      </c>
      <c r="M34" s="62" t="n"/>
      <c r="N34" s="60" t="inlineStr">
        <is>
          <t>unknown</t>
        </is>
      </c>
      <c r="O34" s="61" t="inlineStr">
        <is>
          <t>NeST login needed</t>
        </is>
      </c>
      <c r="P34" s="61" t="inlineStr">
        <is>
          <t>NeST login needed</t>
        </is>
      </c>
      <c r="Q34" s="63" t="n">
        <v>46297.58333333334</v>
      </c>
      <c r="R34" s="60" t="inlineStr">
        <is>
          <t>NeST login needed</t>
        </is>
      </c>
      <c r="S34" s="60" t="inlineStr">
        <is>
          <t>N</t>
        </is>
      </c>
      <c r="T34" s="64">
        <f>IF(A34="","",IFERROR(INDEX('Bid-NoBid'!$T:$T,MATCH(A34,'Bid-NoBid'!$A:$A,0)),""))</f>
        <v/>
      </c>
      <c r="U34" s="59">
        <f>IF(A34="","",IFERROR(IF(OR(INDEX('Bid-NoBid'!$U:$U,MATCH(A34,'Bid-NoBid'!$A:$A,0))="",LEFT(INDEX('Bid-NoBid'!$U:$U,MATCH(A34,'Bid-NoBid'!$A:$A,0)),10)="Incomplete"),"Screen: "&amp;AC34,INDEX('Bid-NoBid'!$U:$U,MATCH(A34,'Bid-NoBid'!$A:$A,0))),"Screen: "&amp;AC34))</f>
        <v/>
      </c>
      <c r="V34" s="60" t="n"/>
      <c r="W34" s="60" t="inlineStr">
        <is>
          <t>Watching</t>
        </is>
      </c>
      <c r="X34" s="60" t="inlineStr">
        <is>
          <t>Frank</t>
        </is>
      </c>
      <c r="Y34" s="60" t="n"/>
      <c r="Z34" s="60" t="n"/>
      <c r="AA34" s="65" t="n">
        <v>46267</v>
      </c>
      <c r="AB34" s="66" t="inlineStr">
        <is>
          <t>Medium and Large Works</t>
        </is>
      </c>
      <c r="AC34" s="66" t="inlineStr">
        <is>
          <t>Drop</t>
        </is>
      </c>
      <c r="AD34" s="66" t="inlineStr">
        <is>
          <t>Large road works likely above Civil Class IV; only possible in a JV (MD decision)</t>
        </is>
      </c>
      <c r="AE34" s="67">
        <f>IF(ISNUMBER(Q34),ROUNDDOWN(Q34-NOW(),1),"")</f>
        <v/>
      </c>
      <c r="AF34" s="59">
        <f>IF(OR(A34="",AE34=""),"",IF(NOT(OR(W34="Watching",W34="Preparing")),"",IF(AE34&lt;0,"PASSED",IF(AND(AE34&lt;=7,W34&lt;&gt;"Preparing"),"RED",IF(AE34&lt;=14,"AMBER","GREEN")))))</f>
        <v/>
      </c>
      <c r="AG34" s="59">
        <f>IF(OR(A34="",NOT(OR(W34="Watching",W34="Preparing"))),"",IF(AND(ISNUMBER(M34),M34&gt;=3000000000),"YES – ≥ TZS 3bn",IF(AND(ISNUMBER(AE34),AE34&gt;=0,AE34&lt;10,V34=""),"YES – &lt;10 days","")))</f>
        <v/>
      </c>
      <c r="AH34" s="68" t="n"/>
      <c r="AI34" s="66" t="inlineStr">
        <is>
          <t>Escalate to MD: JV interest? Otherwise no-bid</t>
        </is>
      </c>
      <c r="AJ34" s="66" t="inlineStr">
        <is>
          <t>Manual scan</t>
        </is>
      </c>
      <c r="AK34" s="66" t="inlineStr">
        <is>
          <t>623047f2-016b-435d-9afa-348a5f8058c5</t>
        </is>
      </c>
      <c r="AL34" s="69">
        <f>IF(AND(OR(W34="Watching",W34="Preparing"),ISNUMBER(Q34)),IF(AND(Q34&gt;='Friday Summary'!$C$4,Q34&lt;='Friday Summary'!$C$4+14),Q34+ROW()/1000000,""),"")</f>
        <v/>
      </c>
    </row>
    <row r="35" ht="57.45" customHeight="1" s="51">
      <c r="A35" s="59">
        <f>IF(B35="","","OP-"&amp;TEXT(ROW()-4,"000"))</f>
        <v/>
      </c>
      <c r="B35" s="60" t="inlineStr">
        <is>
          <t>8626/2026/2027/W/15</t>
        </is>
      </c>
      <c r="C35" s="61" t="n">
        <v>46289</v>
      </c>
      <c r="D35" s="60" t="inlineStr">
        <is>
          <t>NeST</t>
        </is>
      </c>
      <c r="E35" s="60" t="inlineStr">
        <is>
          <t>https://nest.go.tz/tenders/published-tenders</t>
        </is>
      </c>
      <c r="F35" s="60" t="inlineStr">
        <is>
          <t>Tanga City Council</t>
        </is>
      </c>
      <c r="G35" s="60" t="inlineStr">
        <is>
          <t>government</t>
        </is>
      </c>
      <c r="H35" s="60" t="inlineStr">
        <is>
          <t>Proposed construction of administration block at Nguvumali Secondary School</t>
        </is>
      </c>
      <c r="I35" s="60" t="inlineStr">
        <is>
          <t>New administration block (quotation)</t>
        </is>
      </c>
      <c r="J35" s="60" t="inlineStr">
        <is>
          <t>Tanga</t>
        </is>
      </c>
      <c r="K35" s="60" t="inlineStr">
        <is>
          <t>building</t>
        </is>
      </c>
      <c r="L35" s="60" t="inlineStr">
        <is>
          <t>NeST login needed</t>
        </is>
      </c>
      <c r="M35" s="62" t="n"/>
      <c r="N35" s="60" t="inlineStr">
        <is>
          <t>unknown</t>
        </is>
      </c>
      <c r="O35" s="61" t="inlineStr">
        <is>
          <t>NeST login needed</t>
        </is>
      </c>
      <c r="P35" s="61" t="inlineStr">
        <is>
          <t>NeST login needed</t>
        </is>
      </c>
      <c r="Q35" s="63" t="n">
        <v>46289.41666666666</v>
      </c>
      <c r="R35" s="60" t="inlineStr">
        <is>
          <t>NeST login needed</t>
        </is>
      </c>
      <c r="S35" s="60" t="inlineStr">
        <is>
          <t>N</t>
        </is>
      </c>
      <c r="T35" s="64">
        <f>IF(A35="","",IFERROR(INDEX('Bid-NoBid'!$T:$T,MATCH(A35,'Bid-NoBid'!$A:$A,0)),""))</f>
        <v/>
      </c>
      <c r="U35" s="59">
        <f>IF(A35="","",IFERROR(IF(OR(INDEX('Bid-NoBid'!$U:$U,MATCH(A35,'Bid-NoBid'!$A:$A,0))="",LEFT(INDEX('Bid-NoBid'!$U:$U,MATCH(A35,'Bid-NoBid'!$A:$A,0)),10)="Incomplete"),"Screen: "&amp;AC35,INDEX('Bid-NoBid'!$U:$U,MATCH(A35,'Bid-NoBid'!$A:$A,0))),"Screen: "&amp;AC35))</f>
        <v/>
      </c>
      <c r="V35" s="60" t="n"/>
      <c r="W35" s="60" t="inlineStr">
        <is>
          <t>Closed – missed</t>
        </is>
      </c>
      <c r="X35" s="60" t="inlineStr">
        <is>
          <t>Frank</t>
        </is>
      </c>
      <c r="Y35" s="60" t="inlineStr">
        <is>
          <t>Not submitted</t>
        </is>
      </c>
      <c r="Z35" s="60" t="inlineStr">
        <is>
          <t>Advertised 17 Sep with a 7-day window, closed before the first scan. NeST works windows are often 7 days – scan Mon and Thu without fail.</t>
        </is>
      </c>
      <c r="AA35" s="65" t="n">
        <v>46282</v>
      </c>
      <c r="AB35" s="66" t="inlineStr">
        <is>
          <t>Standard Invitation for Quotations -Works</t>
        </is>
      </c>
      <c r="AC35" s="66" t="inlineStr">
        <is>
          <t>Drop</t>
        </is>
      </c>
      <c r="AD35" s="66" t="inlineStr">
        <is>
          <t>Deadline passed 24 Sep 10:00 before first scan – relevant because Nordic is active in Tanga</t>
        </is>
      </c>
      <c r="AE35" s="67">
        <f>IF(ISNUMBER(Q35),ROUNDDOWN(Q35-NOW(),1),"")</f>
        <v/>
      </c>
      <c r="AF35" s="59">
        <f>IF(OR(A35="",AE35=""),"",IF(NOT(OR(W35="Watching",W35="Preparing")),"",IF(AE35&lt;0,"PASSED",IF(AND(AE35&lt;=7,W35&lt;&gt;"Preparing"),"RED",IF(AE35&lt;=14,"AMBER","GREEN")))))</f>
        <v/>
      </c>
      <c r="AG35" s="59">
        <f>IF(OR(A35="",NOT(OR(W35="Watching",W35="Preparing"))),"",IF(AND(ISNUMBER(M35),M35&gt;=3000000000),"YES – ≥ TZS 3bn",IF(AND(ISNUMBER(AE35),AE35&gt;=0,AE35&lt;10,V35=""),"YES – &lt;10 days","")))</f>
        <v/>
      </c>
      <c r="AH35" s="68" t="n"/>
      <c r="AI35" s="66" t="inlineStr">
        <is>
          <t>None – see Lessons</t>
        </is>
      </c>
      <c r="AJ35" s="66" t="inlineStr">
        <is>
          <t>Manual scan</t>
        </is>
      </c>
      <c r="AK35" s="66" t="inlineStr">
        <is>
          <t>436fa632-e675-47fa-b97e-9289a191bd3c</t>
        </is>
      </c>
      <c r="AL35" s="59">
        <f>IF(AND(OR(W35="Watching",W35="Preparing"),ISNUMBER(Q35)),IF(AND(Q35&gt;='Friday Summary'!$C$4,Q35&lt;='Friday Summary'!$C$4+14),Q35+ROW()/1000000,""),"")</f>
        <v/>
      </c>
    </row>
    <row r="36" ht="15" customHeight="1" s="51">
      <c r="A36" s="59">
        <f>IF(B36="","","OP-"&amp;TEXT(ROW()-4,"000"))</f>
        <v/>
      </c>
      <c r="B36" s="70" t="inlineStr">
        <is>
          <t>TR214/2026/2027/W/10</t>
        </is>
      </c>
      <c r="C36" s="71" t="n">
        <v>46291</v>
      </c>
      <c r="D36" s="70" t="inlineStr">
        <is>
          <t>NeST</t>
        </is>
      </c>
      <c r="E36" s="70" t="inlineStr">
        <is>
          <t>https://nest.go.tz/tenders/published-tenders</t>
        </is>
      </c>
      <c r="F36" s="70" t="inlineStr">
        <is>
          <t>Tanzania Fertilizer Company</t>
        </is>
      </c>
      <c r="G36" s="70" t="inlineStr">
        <is>
          <t>parastatal (verify)</t>
        </is>
      </c>
      <c r="H36" s="70" t="inlineStr">
        <is>
          <t>Construction of Retaining wall pre-casted (Jersey Blocks) for blending facility</t>
        </is>
      </c>
      <c r="I36" s="70" t="inlineStr">
        <is>
          <t>From NeST notice (1 lot) – read the tender document</t>
        </is>
      </c>
      <c r="J36" s="70" t="inlineStr">
        <is>
          <t>Dar es Salaam (Ubungo) (from client's office – confirm site)</t>
        </is>
      </c>
      <c r="K36" s="70" t="inlineStr">
        <is>
          <t>building</t>
        </is>
      </c>
      <c r="L36" s="70" t="inlineStr">
        <is>
          <t>NeST login needed</t>
        </is>
      </c>
      <c r="M36" s="62" t="n"/>
      <c r="N36" s="70" t="inlineStr">
        <is>
          <t>unknown</t>
        </is>
      </c>
      <c r="O36" s="71" t="inlineStr">
        <is>
          <t>NeST login needed</t>
        </is>
      </c>
      <c r="P36" s="71" t="inlineStr">
        <is>
          <t>NeST login needed</t>
        </is>
      </c>
      <c r="Q36" s="72" t="n">
        <v>46297.58333333334</v>
      </c>
      <c r="R36" s="70" t="inlineStr">
        <is>
          <t>NeST login needed</t>
        </is>
      </c>
      <c r="S36" s="70" t="inlineStr">
        <is>
          <t>N</t>
        </is>
      </c>
      <c r="T36" s="64">
        <f>IF(A36="","",IFERROR(INDEX('Bid-NoBid'!$T:$T,MATCH(A36,'Bid-NoBid'!$A:$A,0)),""))</f>
        <v/>
      </c>
      <c r="U36" s="59">
        <f>IF(A36="","",IFERROR(IF(OR(INDEX('Bid-NoBid'!$U:$U,MATCH(A36,'Bid-NoBid'!$A:$A,0))="",LEFT(INDEX('Bid-NoBid'!$U:$U,MATCH(A36,'Bid-NoBid'!$A:$A,0)),10)="Incomplete"),"Screen: "&amp;AC36,INDEX('Bid-NoBid'!$U:$U,MATCH(A36,'Bid-NoBid'!$A:$A,0))),"Screen: "&amp;AC36))</f>
        <v/>
      </c>
      <c r="V36" s="60" t="n"/>
      <c r="W36" s="70" t="inlineStr">
        <is>
          <t>Watching</t>
        </is>
      </c>
      <c r="X36" s="70" t="inlineStr">
        <is>
          <t>Frank</t>
        </is>
      </c>
      <c r="Y36" s="60" t="n"/>
      <c r="Z36" s="60" t="n"/>
      <c r="AA36" s="73" t="n">
        <v>46290</v>
      </c>
      <c r="AB36" s="74" t="inlineStr">
        <is>
          <t>Standard Invitation for Quotations -Works / Planned Tender</t>
        </is>
      </c>
      <c r="AC36" s="74" t="inlineStr">
        <is>
          <t>Check</t>
        </is>
      </c>
      <c r="AD36" s="74" t="inlineStr">
        <is>
          <t>Auto (Standard Invitation for Quotations -Works / Planned Tender): Quotation route – value may be below TZS 200m</t>
        </is>
      </c>
      <c r="AE36" s="67">
        <f>IF(ISNUMBER(Q36),ROUNDDOWN(Q36-NOW(),1),"")</f>
        <v/>
      </c>
      <c r="AF36" s="59">
        <f>IF(OR(A36="",AE36=""),"",IF(NOT(OR(W36="Watching",W36="Preparing")),"",IF(AE36&lt;0,"PASSED",IF(AND(AE36&lt;=7,W36&lt;&gt;"Preparing"),"RED",IF(AE36&lt;=14,"AMBER","GREEN")))))</f>
        <v/>
      </c>
      <c r="AG36" s="59">
        <f>IF(OR(A36="",NOT(OR(W36="Watching",W36="Preparing"))),"",IF(AND(ISNUMBER(M36),M36&gt;=3000000000),"YES – ≥ TZS 3bn",IF(AND(ISNUMBER(AE36),AE36&gt;=0,AE36&lt;10,V36=""),"YES – &lt;10 days","")))</f>
        <v/>
      </c>
      <c r="AH36" s="68" t="n"/>
      <c r="AI36" s="74" t="inlineStr">
        <is>
          <t>Read the notice and decide with the QS Director whether to pursue</t>
        </is>
      </c>
      <c r="AJ36" s="74" t="inlineStr">
        <is>
          <t>Auto-scan</t>
        </is>
      </c>
      <c r="AK36" s="74" t="inlineStr">
        <is>
          <t>3759493a-b118-4946-b97b-da9c8bdfc677</t>
        </is>
      </c>
      <c r="AL36" s="59">
        <f>IF(AND(OR(W36="Watching",W36="Preparing"),ISNUMBER(Q36)),IF(AND(Q36&gt;='Friday Summary'!$C$4,Q36&lt;='Friday Summary'!$C$4+14),Q36+ROW()/1000000,""),"")</f>
        <v/>
      </c>
    </row>
    <row r="37" ht="15" customHeight="1" s="51">
      <c r="A37" s="59">
        <f>IF(B37="","","OP-"&amp;TEXT(ROW()-4,"000"))</f>
        <v/>
      </c>
      <c r="B37" s="70" t="inlineStr">
        <is>
          <t>83/2026/2027/W/08</t>
        </is>
      </c>
      <c r="C37" s="71" t="n">
        <v>46291</v>
      </c>
      <c r="D37" s="70" t="inlineStr">
        <is>
          <t>NeST</t>
        </is>
      </c>
      <c r="E37" s="70" t="inlineStr">
        <is>
          <t>https://nest.go.tz/tenders/published-tenders</t>
        </is>
      </c>
      <c r="F37" s="70" t="inlineStr">
        <is>
          <t>Shinyanga Regional Secretariat</t>
        </is>
      </c>
      <c r="G37" s="70" t="inlineStr">
        <is>
          <t>government</t>
        </is>
      </c>
      <c r="H37" s="70" t="inlineStr">
        <is>
          <t>To rehabilitate Regional Commissioner's Office, Confidential Registry and residence house for Assistant Administrative secretaries.</t>
        </is>
      </c>
      <c r="I37" s="70" t="inlineStr">
        <is>
          <t>From NeST notice (1 lot) – read the tender document</t>
        </is>
      </c>
      <c r="J37" s="70" t="inlineStr">
        <is>
          <t>Shinyanga (from client's office – confirm site)</t>
        </is>
      </c>
      <c r="K37" s="70" t="inlineStr">
        <is>
          <t>building</t>
        </is>
      </c>
      <c r="L37" s="70" t="inlineStr">
        <is>
          <t>NeST login needed</t>
        </is>
      </c>
      <c r="M37" s="62" t="n"/>
      <c r="N37" s="70" t="inlineStr">
        <is>
          <t>unknown</t>
        </is>
      </c>
      <c r="O37" s="71" t="inlineStr">
        <is>
          <t>NeST login needed</t>
        </is>
      </c>
      <c r="P37" s="71" t="inlineStr">
        <is>
          <t>NeST login needed</t>
        </is>
      </c>
      <c r="Q37" s="72" t="n">
        <v>46300.58333333334</v>
      </c>
      <c r="R37" s="70" t="inlineStr">
        <is>
          <t>NeST login needed</t>
        </is>
      </c>
      <c r="S37" s="70" t="inlineStr">
        <is>
          <t>N</t>
        </is>
      </c>
      <c r="T37" s="64">
        <f>IF(A37="","",IFERROR(INDEX('Bid-NoBid'!$T:$T,MATCH(A37,'Bid-NoBid'!$A:$A,0)),""))</f>
        <v/>
      </c>
      <c r="U37" s="59">
        <f>IF(A37="","",IFERROR(IF(OR(INDEX('Bid-NoBid'!$U:$U,MATCH(A37,'Bid-NoBid'!$A:$A,0))="",LEFT(INDEX('Bid-NoBid'!$U:$U,MATCH(A37,'Bid-NoBid'!$A:$A,0)),10)="Incomplete"),"Screen: "&amp;AC37,INDEX('Bid-NoBid'!$U:$U,MATCH(A37,'Bid-NoBid'!$A:$A,0))),"Screen: "&amp;AC37))</f>
        <v/>
      </c>
      <c r="V37" s="60" t="n"/>
      <c r="W37" s="70" t="inlineStr">
        <is>
          <t>Watching</t>
        </is>
      </c>
      <c r="X37" s="70" t="inlineStr">
        <is>
          <t>Frank</t>
        </is>
      </c>
      <c r="Y37" s="60" t="n"/>
      <c r="Z37" s="60" t="n"/>
      <c r="AA37" s="73" t="n">
        <v>46290</v>
      </c>
      <c r="AB37" s="74" t="inlineStr">
        <is>
          <t>Small Works / Tender</t>
        </is>
      </c>
      <c r="AC37" s="74" t="inlineStr">
        <is>
          <t>Check</t>
        </is>
      </c>
      <c r="AD37" s="74" t="inlineStr">
        <is>
          <t>Auto (Small Works / Tender): Building works but remote from Dar</t>
        </is>
      </c>
      <c r="AE37" s="67">
        <f>IF(ISNUMBER(Q37),ROUNDDOWN(Q37-NOW(),1),"")</f>
        <v/>
      </c>
      <c r="AF37" s="59">
        <f>IF(OR(A37="",AE37=""),"",IF(NOT(OR(W37="Watching",W37="Preparing")),"",IF(AE37&lt;0,"PASSED",IF(AND(AE37&lt;=7,W37&lt;&gt;"Preparing"),"RED",IF(AE37&lt;=14,"AMBER","GREEN")))))</f>
        <v/>
      </c>
      <c r="AG37" s="59">
        <f>IF(OR(A37="",NOT(OR(W37="Watching",W37="Preparing"))),"",IF(AND(ISNUMBER(M37),M37&gt;=3000000000),"YES – ≥ TZS 3bn",IF(AND(ISNUMBER(AE37),AE37&gt;=0,AE37&lt;10,V37=""),"YES – &lt;10 days","")))</f>
        <v/>
      </c>
      <c r="AH37" s="68" t="n"/>
      <c r="AI37" s="74" t="inlineStr">
        <is>
          <t>Read the notice and decide with the QS Director whether to pursue</t>
        </is>
      </c>
      <c r="AJ37" s="74" t="inlineStr">
        <is>
          <t>Auto-scan</t>
        </is>
      </c>
      <c r="AK37" s="74" t="inlineStr">
        <is>
          <t>31257613-ab2c-4569-b096-277031c9bd9d</t>
        </is>
      </c>
      <c r="AL37" s="59">
        <f>IF(AND(OR(W37="Watching",W37="Preparing"),ISNUMBER(Q37)),IF(AND(Q37&gt;='Friday Summary'!$C$4,Q37&lt;='Friday Summary'!$C$4+14),Q37+ROW()/1000000,""),"")</f>
        <v/>
      </c>
    </row>
    <row r="38" ht="15" customHeight="1" s="51">
      <c r="A38" s="59">
        <f>IF(B38="","","OP-"&amp;TEXT(ROW()-4,"000"))</f>
        <v/>
      </c>
      <c r="B38" s="70" t="inlineStr">
        <is>
          <t>(not shown)</t>
        </is>
      </c>
      <c r="C38" s="71" t="n">
        <v>46291</v>
      </c>
      <c r="D38" s="70" t="inlineStr">
        <is>
          <t>press</t>
        </is>
      </c>
      <c r="E38" s="70" t="inlineStr">
        <is>
          <t>https://www.ddotenders.co.tz/tender.php?page=home</t>
        </is>
      </c>
      <c r="F38" s="70" t="inlineStr">
        <is>
          <t>High Commission of India</t>
        </is>
      </c>
      <c r="G38" s="70" t="inlineStr">
        <is>
          <t>government</t>
        </is>
      </c>
      <c r="H38" s="70" t="inlineStr">
        <is>
          <t>Maintenance of building and equipments</t>
        </is>
      </c>
      <c r="I38" s="70" t="inlineStr">
        <is>
          <t>From press notice (1 lot) – read the tender document</t>
        </is>
      </c>
      <c r="J38" s="70" t="inlineStr">
        <is>
          <t>Dar es Salaam</t>
        </is>
      </c>
      <c r="K38" s="70" t="inlineStr">
        <is>
          <t>building</t>
        </is>
      </c>
      <c r="L38" s="70" t="inlineStr">
        <is>
          <t>See tender document</t>
        </is>
      </c>
      <c r="M38" s="62" t="n"/>
      <c r="N38" s="70" t="inlineStr">
        <is>
          <t>unknown</t>
        </is>
      </c>
      <c r="O38" s="71" t="inlineStr">
        <is>
          <t>See tender document</t>
        </is>
      </c>
      <c r="P38" s="71" t="inlineStr">
        <is>
          <t>See tender document</t>
        </is>
      </c>
      <c r="Q38" s="72" t="n">
        <v>46295.41666666666</v>
      </c>
      <c r="R38" s="70" t="inlineStr">
        <is>
          <t>See tender document</t>
        </is>
      </c>
      <c r="S38" s="70" t="inlineStr">
        <is>
          <t>N</t>
        </is>
      </c>
      <c r="T38" s="64">
        <f>IF(A38="","",IFERROR(INDEX('Bid-NoBid'!$T:$T,MATCH(A38,'Bid-NoBid'!$A:$A,0)),""))</f>
        <v/>
      </c>
      <c r="U38" s="59">
        <f>IF(A38="","",IFERROR(IF(OR(INDEX('Bid-NoBid'!$U:$U,MATCH(A38,'Bid-NoBid'!$A:$A,0))="",LEFT(INDEX('Bid-NoBid'!$U:$U,MATCH(A38,'Bid-NoBid'!$A:$A,0)),10)="Incomplete"),"Screen: "&amp;AC38,INDEX('Bid-NoBid'!$U:$U,MATCH(A38,'Bid-NoBid'!$A:$A,0))),"Screen: "&amp;AC38))</f>
        <v/>
      </c>
      <c r="V38" s="60" t="n"/>
      <c r="W38" s="70" t="inlineStr">
        <is>
          <t>Watching</t>
        </is>
      </c>
      <c r="X38" s="70" t="inlineStr">
        <is>
          <t>Frank</t>
        </is>
      </c>
      <c r="Y38" s="60" t="n"/>
      <c r="Z38" s="60" t="n"/>
      <c r="AA38" s="73" t="n">
        <v>46288</v>
      </c>
      <c r="AB38" s="74" t="inlineStr">
        <is>
          <t>DDO Tenders (newspaper / private / donor)</t>
        </is>
      </c>
      <c r="AC38" s="74" t="inlineStr">
        <is>
          <t>Pursue</t>
        </is>
      </c>
      <c r="AD38" s="74" t="inlineStr">
        <is>
          <t>Auto (DDO Tenders): Building works within reach of Dar · deadline read from the web page – confirm</t>
        </is>
      </c>
      <c r="AE38" s="67">
        <f>IF(ISNUMBER(Q38),ROUNDDOWN(Q38-NOW(),1),"")</f>
        <v/>
      </c>
      <c r="AF38" s="59">
        <f>IF(OR(A38="",AE38=""),"",IF(NOT(OR(W38="Watching",W38="Preparing")),"",IF(AE38&lt;0,"PASSED",IF(AND(AE38&lt;=7,W38&lt;&gt;"Preparing"),"RED",IF(AE38&lt;=14,"AMBER","GREEN")))))</f>
        <v/>
      </c>
      <c r="AG38" s="59">
        <f>IF(OR(A38="",NOT(OR(W38="Watching",W38="Preparing"))),"",IF(AND(ISNUMBER(M38),M38&gt;=3000000000),"YES – ≥ TZS 3bn",IF(AND(ISNUMBER(AE38),AE38&gt;=0,AE38&lt;10,V38=""),"YES – &lt;10 days","")))</f>
        <v/>
      </c>
      <c r="AH38" s="68" t="n"/>
      <c r="AI38" s="74" t="inlineStr">
        <is>
          <t>Get the tender document, confirm value, CRB class, site visit and bid security; brief the MD</t>
        </is>
      </c>
      <c r="AJ38" s="74" t="inlineStr">
        <is>
          <t>Auto-scan</t>
        </is>
      </c>
      <c r="AK38" s="74" t="inlineStr">
        <is>
          <t>DDO:3048</t>
        </is>
      </c>
      <c r="AL38" s="59">
        <f>IF(AND(OR(W38="Watching",W38="Preparing"),ISNUMBER(Q38)),IF(AND(Q38&gt;='Friday Summary'!$C$4,Q38&lt;='Friday Summary'!$C$4+14),Q38+ROW()/1000000,""),"")</f>
        <v/>
      </c>
    </row>
    <row r="39" ht="15" customHeight="1" s="51">
      <c r="A39" s="59">
        <f>IF(B39="","","OP-"&amp;TEXT(ROW()-4,"000"))</f>
        <v/>
      </c>
      <c r="B39" s="70" t="inlineStr">
        <is>
          <t>GIZ/DTC/7000022671/2026</t>
        </is>
      </c>
      <c r="C39" s="71" t="n">
        <v>46291</v>
      </c>
      <c r="D39" s="70" t="inlineStr">
        <is>
          <t>press</t>
        </is>
      </c>
      <c r="E39" s="70" t="inlineStr">
        <is>
          <t>https://www.ddotenders.co.tz/tender.php?page=home</t>
        </is>
      </c>
      <c r="F39" s="70" t="inlineStr">
        <is>
          <t>giz</t>
        </is>
      </c>
      <c r="G39" s="70" t="inlineStr">
        <is>
          <t>government</t>
        </is>
      </c>
      <c r="H39" s="70" t="inlineStr">
        <is>
          <t>Capacity building project</t>
        </is>
      </c>
      <c r="I39" s="70" t="inlineStr">
        <is>
          <t>From press notice (1 lot) – read the tender document</t>
        </is>
      </c>
      <c r="J39" s="70" t="inlineStr">
        <is>
          <t>Dar es Salaam</t>
        </is>
      </c>
      <c r="K39" s="70" t="inlineStr">
        <is>
          <t>building</t>
        </is>
      </c>
      <c r="L39" s="70" t="inlineStr">
        <is>
          <t>See tender document</t>
        </is>
      </c>
      <c r="M39" s="62" t="n"/>
      <c r="N39" s="70" t="inlineStr">
        <is>
          <t>unknown</t>
        </is>
      </c>
      <c r="O39" s="71" t="inlineStr">
        <is>
          <t>See tender document</t>
        </is>
      </c>
      <c r="P39" s="71" t="inlineStr">
        <is>
          <t>See tender document</t>
        </is>
      </c>
      <c r="Q39" s="72" t="n">
        <v>46300.41666666666</v>
      </c>
      <c r="R39" s="70" t="inlineStr">
        <is>
          <t>See tender document</t>
        </is>
      </c>
      <c r="S39" s="70" t="inlineStr">
        <is>
          <t>N</t>
        </is>
      </c>
      <c r="T39" s="64">
        <f>IF(A39="","",IFERROR(INDEX('Bid-NoBid'!$T:$T,MATCH(A39,'Bid-NoBid'!$A:$A,0)),""))</f>
        <v/>
      </c>
      <c r="U39" s="59">
        <f>IF(A39="","",IFERROR(IF(OR(INDEX('Bid-NoBid'!$U:$U,MATCH(A39,'Bid-NoBid'!$A:$A,0))="",LEFT(INDEX('Bid-NoBid'!$U:$U,MATCH(A39,'Bid-NoBid'!$A:$A,0)),10)="Incomplete"),"Screen: "&amp;AC39,INDEX('Bid-NoBid'!$U:$U,MATCH(A39,'Bid-NoBid'!$A:$A,0))),"Screen: "&amp;AC39))</f>
        <v/>
      </c>
      <c r="V39" s="60" t="n"/>
      <c r="W39" s="70" t="inlineStr">
        <is>
          <t>Watching</t>
        </is>
      </c>
      <c r="X39" s="70" t="inlineStr">
        <is>
          <t>Frank</t>
        </is>
      </c>
      <c r="Y39" s="60" t="n"/>
      <c r="Z39" s="60" t="n"/>
      <c r="AA39" s="73" t="n">
        <v>46289</v>
      </c>
      <c r="AB39" s="74" t="inlineStr">
        <is>
          <t>DDO Tenders (newspaper / private / donor)</t>
        </is>
      </c>
      <c r="AC39" s="74" t="inlineStr">
        <is>
          <t>Pursue</t>
        </is>
      </c>
      <c r="AD39" s="74" t="inlineStr">
        <is>
          <t>Auto (DDO Tenders): Building works within reach of Dar · deadline read from the web page – confirm</t>
        </is>
      </c>
      <c r="AE39" s="67">
        <f>IF(ISNUMBER(Q39),ROUNDDOWN(Q39-NOW(),1),"")</f>
        <v/>
      </c>
      <c r="AF39" s="59">
        <f>IF(OR(A39="",AE39=""),"",IF(NOT(OR(W39="Watching",W39="Preparing")),"",IF(AE39&lt;0,"PASSED",IF(AND(AE39&lt;=7,W39&lt;&gt;"Preparing"),"RED",IF(AE39&lt;=14,"AMBER","GREEN")))))</f>
        <v/>
      </c>
      <c r="AG39" s="59">
        <f>IF(OR(A39="",NOT(OR(W39="Watching",W39="Preparing"))),"",IF(AND(ISNUMBER(M39),M39&gt;=3000000000),"YES – ≥ TZS 3bn",IF(AND(ISNUMBER(AE39),AE39&gt;=0,AE39&lt;10,V39=""),"YES – &lt;10 days","")))</f>
        <v/>
      </c>
      <c r="AH39" s="68" t="n"/>
      <c r="AI39" s="74" t="inlineStr">
        <is>
          <t>Get the tender document, confirm value, CRB class, site visit and bid security; brief the MD</t>
        </is>
      </c>
      <c r="AJ39" s="74" t="inlineStr">
        <is>
          <t>Auto-scan</t>
        </is>
      </c>
      <c r="AK39" s="74" t="inlineStr">
        <is>
          <t>DDO:3053</t>
        </is>
      </c>
      <c r="AL39" s="59">
        <f>IF(AND(OR(W39="Watching",W39="Preparing"),ISNUMBER(Q39)),IF(AND(Q39&gt;='Friday Summary'!$C$4,Q39&lt;='Friday Summary'!$C$4+14),Q39+ROW()/1000000,""),"")</f>
        <v/>
      </c>
    </row>
    <row r="40" ht="15" customHeight="1" s="51">
      <c r="A40" s="59">
        <f>IF(B40="","","OP-"&amp;TEXT(ROW()-4,"000"))</f>
        <v/>
      </c>
      <c r="B40" s="70" t="inlineStr">
        <is>
          <t>TPL/2026/ENG/0010</t>
        </is>
      </c>
      <c r="C40" s="71" t="n">
        <v>46291</v>
      </c>
      <c r="D40" s="70" t="inlineStr">
        <is>
          <t>press</t>
        </is>
      </c>
      <c r="E40" s="70" t="inlineStr">
        <is>
          <t>https://www.ddotenders.co.tz/tender.php?page=home</t>
        </is>
      </c>
      <c r="F40" s="70" t="inlineStr">
        <is>
          <t>See advert</t>
        </is>
      </c>
      <c r="G40" s="70" t="inlineStr">
        <is>
          <t>government</t>
        </is>
      </c>
      <c r="H40" s="70" t="inlineStr">
        <is>
          <t>Construction of toilets for police camps</t>
        </is>
      </c>
      <c r="I40" s="70" t="inlineStr">
        <is>
          <t>From press notice (1 lot) – read the tender document</t>
        </is>
      </c>
      <c r="J40" s="70" t="inlineStr">
        <is>
          <t>Dar es Salaam</t>
        </is>
      </c>
      <c r="K40" s="70" t="inlineStr">
        <is>
          <t>building</t>
        </is>
      </c>
      <c r="L40" s="70" t="inlineStr">
        <is>
          <t>See tender document</t>
        </is>
      </c>
      <c r="M40" s="62" t="n"/>
      <c r="N40" s="70" t="inlineStr">
        <is>
          <t>unknown</t>
        </is>
      </c>
      <c r="O40" s="71" t="inlineStr">
        <is>
          <t>See tender document</t>
        </is>
      </c>
      <c r="P40" s="71" t="inlineStr">
        <is>
          <t>See tender document</t>
        </is>
      </c>
      <c r="Q40" s="72" t="n">
        <v>46304.41666666666</v>
      </c>
      <c r="R40" s="70" t="inlineStr">
        <is>
          <t>See tender document</t>
        </is>
      </c>
      <c r="S40" s="70" t="inlineStr">
        <is>
          <t>N</t>
        </is>
      </c>
      <c r="T40" s="64">
        <f>IF(A40="","",IFERROR(INDEX('Bid-NoBid'!$T:$T,MATCH(A40,'Bid-NoBid'!$A:$A,0)),""))</f>
        <v/>
      </c>
      <c r="U40" s="59">
        <f>IF(A40="","",IFERROR(IF(OR(INDEX('Bid-NoBid'!$U:$U,MATCH(A40,'Bid-NoBid'!$A:$A,0))="",LEFT(INDEX('Bid-NoBid'!$U:$U,MATCH(A40,'Bid-NoBid'!$A:$A,0)),10)="Incomplete"),"Screen: "&amp;AC40,INDEX('Bid-NoBid'!$U:$U,MATCH(A40,'Bid-NoBid'!$A:$A,0))),"Screen: "&amp;AC40))</f>
        <v/>
      </c>
      <c r="V40" s="60" t="n"/>
      <c r="W40" s="70" t="inlineStr">
        <is>
          <t>Watching</t>
        </is>
      </c>
      <c r="X40" s="70" t="inlineStr">
        <is>
          <t>Frank</t>
        </is>
      </c>
      <c r="Y40" s="60" t="n"/>
      <c r="Z40" s="60" t="n"/>
      <c r="AA40" s="73" t="n">
        <v>46288</v>
      </c>
      <c r="AB40" s="74" t="inlineStr">
        <is>
          <t>DDO Tenders (newspaper / private / donor)</t>
        </is>
      </c>
      <c r="AC40" s="74" t="inlineStr">
        <is>
          <t>Pursue</t>
        </is>
      </c>
      <c r="AD40" s="74" t="inlineStr">
        <is>
          <t>Auto (DDO Tenders): Building works within reach of Dar · deadline read from the web page – confirm</t>
        </is>
      </c>
      <c r="AE40" s="67">
        <f>IF(ISNUMBER(Q40),ROUNDDOWN(Q40-NOW(),1),"")</f>
        <v/>
      </c>
      <c r="AF40" s="59">
        <f>IF(OR(A40="",AE40=""),"",IF(NOT(OR(W40="Watching",W40="Preparing")),"",IF(AE40&lt;0,"PASSED",IF(AND(AE40&lt;=7,W40&lt;&gt;"Preparing"),"RED",IF(AE40&lt;=14,"AMBER","GREEN")))))</f>
        <v/>
      </c>
      <c r="AG40" s="59">
        <f>IF(OR(A40="",NOT(OR(W40="Watching",W40="Preparing"))),"",IF(AND(ISNUMBER(M40),M40&gt;=3000000000),"YES – ≥ TZS 3bn",IF(AND(ISNUMBER(AE40),AE40&gt;=0,AE40&lt;10,V40=""),"YES – &lt;10 days","")))</f>
        <v/>
      </c>
      <c r="AH40" s="68" t="n"/>
      <c r="AI40" s="74" t="inlineStr">
        <is>
          <t>Get the tender document, confirm value, CRB class, site visit and bid security; brief the MD</t>
        </is>
      </c>
      <c r="AJ40" s="74" t="inlineStr">
        <is>
          <t>Auto-scan</t>
        </is>
      </c>
      <c r="AK40" s="74" t="inlineStr">
        <is>
          <t>DDO:3050</t>
        </is>
      </c>
      <c r="AL40" s="59">
        <f>IF(AND(OR(W40="Watching",W40="Preparing"),ISNUMBER(Q40)),IF(AND(Q40&gt;='Friday Summary'!$C$4,Q40&lt;='Friday Summary'!$C$4+14),Q40+ROW()/1000000,""),"")</f>
        <v/>
      </c>
    </row>
    <row r="41" ht="15" customHeight="1" s="51">
      <c r="A41" s="59">
        <f>IF(B41="","","OP-"&amp;TEXT(ROW()-4,"000"))</f>
        <v/>
      </c>
      <c r="B41" s="70" t="inlineStr">
        <is>
          <t>(not shown)</t>
        </is>
      </c>
      <c r="C41" s="71" t="n">
        <v>46291</v>
      </c>
      <c r="D41" s="70" t="inlineStr">
        <is>
          <t>press</t>
        </is>
      </c>
      <c r="E41" s="70" t="inlineStr">
        <is>
          <t>https://www.ddotenders.co.tz/tender.php?page=home</t>
        </is>
      </c>
      <c r="F41" s="70" t="inlineStr">
        <is>
          <t>TAZAMA Pipelines Limited</t>
        </is>
      </c>
      <c r="G41" s="70" t="inlineStr">
        <is>
          <t>parastatal (verify)</t>
        </is>
      </c>
      <c r="H41" s="70" t="inlineStr">
        <is>
          <t>Construction of Petroleum Pipeline</t>
        </is>
      </c>
      <c r="I41" s="70" t="inlineStr">
        <is>
          <t>From press notice (1 lot) – read the tender document</t>
        </is>
      </c>
      <c r="J41" s="70" t="inlineStr">
        <is>
          <t>Dar es Salaam</t>
        </is>
      </c>
      <c r="K41" s="70" t="inlineStr">
        <is>
          <t>civil</t>
        </is>
      </c>
      <c r="L41" s="70" t="inlineStr">
        <is>
          <t>See tender document</t>
        </is>
      </c>
      <c r="M41" s="62" t="n"/>
      <c r="N41" s="70" t="inlineStr">
        <is>
          <t>unknown</t>
        </is>
      </c>
      <c r="O41" s="71" t="inlineStr">
        <is>
          <t>See tender document</t>
        </is>
      </c>
      <c r="P41" s="71" t="inlineStr">
        <is>
          <t>See tender document</t>
        </is>
      </c>
      <c r="Q41" s="72" t="n">
        <v>46318.41666666666</v>
      </c>
      <c r="R41" s="70" t="inlineStr">
        <is>
          <t>See tender document</t>
        </is>
      </c>
      <c r="S41" s="70" t="inlineStr">
        <is>
          <t>N</t>
        </is>
      </c>
      <c r="T41" s="64">
        <f>IF(A41="","",IFERROR(INDEX('Bid-NoBid'!$T:$T,MATCH(A41,'Bid-NoBid'!$A:$A,0)),""))</f>
        <v/>
      </c>
      <c r="U41" s="59">
        <f>IF(A41="","",IFERROR(IF(OR(INDEX('Bid-NoBid'!$U:$U,MATCH(A41,'Bid-NoBid'!$A:$A,0))="",LEFT(INDEX('Bid-NoBid'!$U:$U,MATCH(A41,'Bid-NoBid'!$A:$A,0)),10)="Incomplete"),"Screen: "&amp;AC41,INDEX('Bid-NoBid'!$U:$U,MATCH(A41,'Bid-NoBid'!$A:$A,0))),"Screen: "&amp;AC41))</f>
        <v/>
      </c>
      <c r="V41" s="60" t="n"/>
      <c r="W41" s="70" t="inlineStr">
        <is>
          <t>Watching</t>
        </is>
      </c>
      <c r="X41" s="70" t="inlineStr">
        <is>
          <t>Frank</t>
        </is>
      </c>
      <c r="Y41" s="60" t="n"/>
      <c r="Z41" s="60" t="n"/>
      <c r="AA41" s="73" t="n">
        <v>46281</v>
      </c>
      <c r="AB41" s="74" t="inlineStr">
        <is>
          <t>DDO Tenders (newspaper / private / donor)</t>
        </is>
      </c>
      <c r="AC41" s="74" t="inlineStr">
        <is>
          <t>Check</t>
        </is>
      </c>
      <c r="AD41" s="74" t="inlineStr">
        <is>
          <t>Auto (DDO Tenders): Civil works in Dar/Coast – confirm CRB class and margin · deadline read from the web page – confirm</t>
        </is>
      </c>
      <c r="AE41" s="67">
        <f>IF(ISNUMBER(Q41),ROUNDDOWN(Q41-NOW(),1),"")</f>
        <v/>
      </c>
      <c r="AF41" s="59">
        <f>IF(OR(A41="",AE41=""),"",IF(NOT(OR(W41="Watching",W41="Preparing")),"",IF(AE41&lt;0,"PASSED",IF(AND(AE41&lt;=7,W41&lt;&gt;"Preparing"),"RED",IF(AE41&lt;=14,"AMBER","GREEN")))))</f>
        <v/>
      </c>
      <c r="AG41" s="59">
        <f>IF(OR(A41="",NOT(OR(W41="Watching",W41="Preparing"))),"",IF(AND(ISNUMBER(M41),M41&gt;=3000000000),"YES – ≥ TZS 3bn",IF(AND(ISNUMBER(AE41),AE41&gt;=0,AE41&lt;10,V41=""),"YES – &lt;10 days","")))</f>
        <v/>
      </c>
      <c r="AH41" s="68" t="n"/>
      <c r="AI41" s="74" t="inlineStr">
        <is>
          <t>Read the notice and decide with the QS Director whether to pursue</t>
        </is>
      </c>
      <c r="AJ41" s="74" t="inlineStr">
        <is>
          <t>Auto-scan</t>
        </is>
      </c>
      <c r="AK41" s="74" t="inlineStr">
        <is>
          <t>DDO:3033</t>
        </is>
      </c>
      <c r="AL41" s="59">
        <f>IF(AND(OR(W41="Watching",W41="Preparing"),ISNUMBER(Q41)),IF(AND(Q41&gt;='Friday Summary'!$C$4,Q41&lt;='Friday Summary'!$C$4+14),Q41+ROW()/1000000,""),"")</f>
        <v/>
      </c>
    </row>
    <row r="42" ht="15" customHeight="1" s="51">
      <c r="A42" s="59">
        <f>IF(B42="","","OP-"&amp;TEXT(ROW()-4,"000"))</f>
        <v/>
      </c>
      <c r="B42" s="70" t="inlineStr">
        <is>
          <t>71B6/2026/2027/W/01</t>
        </is>
      </c>
      <c r="C42" s="71" t="n">
        <v>46291</v>
      </c>
      <c r="D42" s="70" t="inlineStr">
        <is>
          <t>NeST</t>
        </is>
      </c>
      <c r="E42" s="70" t="inlineStr">
        <is>
          <t>https://nest.go.tz/tenders/published-tenders</t>
        </is>
      </c>
      <c r="F42" s="70" t="inlineStr">
        <is>
          <t>Mkuranga District Council</t>
        </is>
      </c>
      <c r="G42" s="70" t="inlineStr">
        <is>
          <t>government</t>
        </is>
      </c>
      <c r="H42" s="70" t="inlineStr">
        <is>
          <t>Proposed construction of One Market center for Entrepreneurship purposes at Mkuranga DC</t>
        </is>
      </c>
      <c r="I42" s="70" t="inlineStr">
        <is>
          <t>From NeST notice (1 lot) – read the tender document</t>
        </is>
      </c>
      <c r="J42" s="70" t="inlineStr">
        <is>
          <t>Pwani (Mkuranga)</t>
        </is>
      </c>
      <c r="K42" s="70" t="inlineStr">
        <is>
          <t>building</t>
        </is>
      </c>
      <c r="L42" s="70" t="inlineStr">
        <is>
          <t>NeST login needed</t>
        </is>
      </c>
      <c r="M42" s="62" t="n"/>
      <c r="N42" s="70" t="inlineStr">
        <is>
          <t>unknown</t>
        </is>
      </c>
      <c r="O42" s="71" t="inlineStr">
        <is>
          <t>NeST login needed</t>
        </is>
      </c>
      <c r="P42" s="71" t="inlineStr">
        <is>
          <t>NeST login needed</t>
        </is>
      </c>
      <c r="Q42" s="72" t="n">
        <v>46297.41666666666</v>
      </c>
      <c r="R42" s="70" t="inlineStr">
        <is>
          <t>NeST login needed</t>
        </is>
      </c>
      <c r="S42" s="70" t="inlineStr">
        <is>
          <t>N</t>
        </is>
      </c>
      <c r="T42" s="64">
        <f>IF(A42="","",IFERROR(INDEX('Bid-NoBid'!$T:$T,MATCH(A42,'Bid-NoBid'!$A:$A,0)),""))</f>
        <v/>
      </c>
      <c r="U42" s="59">
        <f>IF(A42="","",IFERROR(IF(OR(INDEX('Bid-NoBid'!$U:$U,MATCH(A42,'Bid-NoBid'!$A:$A,0))="",LEFT(INDEX('Bid-NoBid'!$U:$U,MATCH(A42,'Bid-NoBid'!$A:$A,0)),10)="Incomplete"),"Screen: "&amp;AC42,INDEX('Bid-NoBid'!$U:$U,MATCH(A42,'Bid-NoBid'!$A:$A,0))),"Screen: "&amp;AC42))</f>
        <v/>
      </c>
      <c r="V42" s="60" t="n"/>
      <c r="W42" s="70" t="inlineStr">
        <is>
          <t>Watching</t>
        </is>
      </c>
      <c r="X42" s="70" t="inlineStr">
        <is>
          <t>Frank</t>
        </is>
      </c>
      <c r="Y42" s="60" t="n"/>
      <c r="Z42" s="60" t="n"/>
      <c r="AA42" s="73" t="n">
        <v>46290</v>
      </c>
      <c r="AB42" s="74" t="inlineStr">
        <is>
          <t>Small Works / Tender</t>
        </is>
      </c>
      <c r="AC42" s="74" t="inlineStr">
        <is>
          <t>Pursue</t>
        </is>
      </c>
      <c r="AD42" s="74" t="inlineStr">
        <is>
          <t>Auto (Small Works / Tender): Building works within reach of Dar</t>
        </is>
      </c>
      <c r="AE42" s="67">
        <f>IF(ISNUMBER(Q42),ROUNDDOWN(Q42-NOW(),1),"")</f>
        <v/>
      </c>
      <c r="AF42" s="59">
        <f>IF(OR(A42="",AE42=""),"",IF(NOT(OR(W42="Watching",W42="Preparing")),"",IF(AE42&lt;0,"PASSED",IF(AND(AE42&lt;=7,W42&lt;&gt;"Preparing"),"RED",IF(AE42&lt;=14,"AMBER","GREEN")))))</f>
        <v/>
      </c>
      <c r="AG42" s="59">
        <f>IF(OR(A42="",NOT(OR(W42="Watching",W42="Preparing"))),"",IF(AND(ISNUMBER(M42),M42&gt;=3000000000),"YES – ≥ TZS 3bn",IF(AND(ISNUMBER(AE42),AE42&gt;=0,AE42&lt;10,V42=""),"YES – &lt;10 days","")))</f>
        <v/>
      </c>
      <c r="AH42" s="68" t="n"/>
      <c r="AI42" s="74" t="inlineStr">
        <is>
          <t>Get the tender document, confirm value, CRB class, site visit and bid security; brief the MD</t>
        </is>
      </c>
      <c r="AJ42" s="74" t="inlineStr">
        <is>
          <t>Auto-scan</t>
        </is>
      </c>
      <c r="AK42" s="74" t="inlineStr">
        <is>
          <t>81ede21a-8848-41d2-acc1-19a0f401563d</t>
        </is>
      </c>
      <c r="AL42" s="59">
        <f>IF(AND(OR(W42="Watching",W42="Preparing"),ISNUMBER(Q42)),IF(AND(Q42&gt;='Friday Summary'!$C$4,Q42&lt;='Friday Summary'!$C$4+14),Q42+ROW()/1000000,""),"")</f>
        <v/>
      </c>
    </row>
    <row r="43" ht="15" customHeight="1" s="51">
      <c r="A43" s="59">
        <f>IF(B43="","","OP-"&amp;TEXT(ROW()-4,"000"))</f>
        <v/>
      </c>
      <c r="B43" s="70" t="inlineStr">
        <is>
          <t>S10/001/2026/2027/W/33</t>
        </is>
      </c>
      <c r="C43" s="71" t="n">
        <v>46292</v>
      </c>
      <c r="D43" s="70" t="inlineStr">
        <is>
          <t>NeST</t>
        </is>
      </c>
      <c r="E43" s="70" t="inlineStr">
        <is>
          <t>https://nest.go.tz/tenders/published-tenders</t>
        </is>
      </c>
      <c r="F43" s="70" t="inlineStr">
        <is>
          <t>TARURA - Arusha Regional Office</t>
        </is>
      </c>
      <c r="G43" s="70" t="inlineStr">
        <is>
          <t>government</t>
        </is>
      </c>
      <c r="H43" s="70" t="inlineStr">
        <is>
          <t>Construction of RC Bridge along Selela - Mbaash road</t>
        </is>
      </c>
      <c r="I43" s="70" t="inlineStr">
        <is>
          <t>From NeST notice (1 lot) – read the tender document</t>
        </is>
      </c>
      <c r="J43" s="70" t="inlineStr">
        <is>
          <t>Arusha (from client's office – confirm site)</t>
        </is>
      </c>
      <c r="K43" s="70" t="inlineStr">
        <is>
          <t>civil</t>
        </is>
      </c>
      <c r="L43" s="70" t="inlineStr">
        <is>
          <t>NeST login needed</t>
        </is>
      </c>
      <c r="M43" s="62" t="n"/>
      <c r="N43" s="70" t="inlineStr">
        <is>
          <t>unknown</t>
        </is>
      </c>
      <c r="O43" s="71" t="inlineStr">
        <is>
          <t>NeST login needed</t>
        </is>
      </c>
      <c r="P43" s="71" t="inlineStr">
        <is>
          <t>NeST login needed</t>
        </is>
      </c>
      <c r="Q43" s="72" t="n">
        <v>46296.41666666666</v>
      </c>
      <c r="R43" s="70" t="inlineStr">
        <is>
          <t>NeST login needed</t>
        </is>
      </c>
      <c r="S43" s="70" t="inlineStr">
        <is>
          <t>N</t>
        </is>
      </c>
      <c r="T43" s="64">
        <f>IF(A43="","",IFERROR(INDEX('Bid-NoBid'!$T:$T,MATCH(A43,'Bid-NoBid'!$A:$A,0)),""))</f>
        <v/>
      </c>
      <c r="U43" s="59">
        <f>IF(A43="","",IFERROR(IF(OR(INDEX('Bid-NoBid'!$U:$U,MATCH(A43,'Bid-NoBid'!$A:$A,0))="",LEFT(INDEX('Bid-NoBid'!$U:$U,MATCH(A43,'Bid-NoBid'!$A:$A,0)),10)="Incomplete"),"Screen: "&amp;AC43,INDEX('Bid-NoBid'!$U:$U,MATCH(A43,'Bid-NoBid'!$A:$A,0))),"Screen: "&amp;AC43))</f>
        <v/>
      </c>
      <c r="V43" s="60" t="n"/>
      <c r="W43" s="70" t="inlineStr">
        <is>
          <t>Watching</t>
        </is>
      </c>
      <c r="X43" s="70" t="inlineStr">
        <is>
          <t>Frank</t>
        </is>
      </c>
      <c r="Y43" s="60" t="n"/>
      <c r="Z43" s="60" t="n"/>
      <c r="AA43" s="73" t="n">
        <v>46289</v>
      </c>
      <c r="AB43" s="74" t="inlineStr">
        <is>
          <t>Small Works / Tender</t>
        </is>
      </c>
      <c r="AC43" s="74" t="inlineStr">
        <is>
          <t>Check</t>
        </is>
      </c>
      <c r="AD43" s="74" t="inlineStr">
        <is>
          <t>Auto (Small Works / Tender): Construction tender kept for review (would have been dropped: Remote civil works)</t>
        </is>
      </c>
      <c r="AE43" s="67">
        <f>IF(ISNUMBER(Q43),ROUNDDOWN(Q43-NOW(),1),"")</f>
        <v/>
      </c>
      <c r="AF43" s="59">
        <f>IF(OR(A43="",AE43=""),"",IF(NOT(OR(W43="Watching",W43="Preparing")),"",IF(AE43&lt;0,"PASSED",IF(AND(AE43&lt;=7,W43&lt;&gt;"Preparing"),"RED",IF(AE43&lt;=14,"AMBER","GREEN")))))</f>
        <v/>
      </c>
      <c r="AG43" s="59">
        <f>IF(OR(A43="",NOT(OR(W43="Watching",W43="Preparing"))),"",IF(AND(ISNUMBER(M43),M43&gt;=3000000000),"YES – ≥ TZS 3bn",IF(AND(ISNUMBER(AE43),AE43&gt;=0,AE43&lt;10,V43=""),"YES – &lt;10 days","")))</f>
        <v/>
      </c>
      <c r="AH43" s="68" t="n"/>
      <c r="AI43" s="74" t="inlineStr">
        <is>
          <t>Read the notice and decide with the QS Director whether to pursue</t>
        </is>
      </c>
      <c r="AJ43" s="74" t="inlineStr">
        <is>
          <t>Auto-scan</t>
        </is>
      </c>
      <c r="AK43" s="74" t="inlineStr">
        <is>
          <t>21d250d4-c78a-4692-b47e-c2aa6d201f38</t>
        </is>
      </c>
      <c r="AL43" s="59">
        <f>IF(AND(OR(W43="Watching",W43="Preparing"),ISNUMBER(Q43)),IF(AND(Q43&gt;='Friday Summary'!$C$4,Q43&lt;='Friday Summary'!$C$4+14),Q43+ROW()/1000000,""),"")</f>
        <v/>
      </c>
    </row>
    <row r="44" ht="15" customHeight="1" s="51">
      <c r="A44" s="59">
        <f>IF(B44="","","OP-"&amp;TEXT(ROW()-4,"000"))</f>
        <v/>
      </c>
      <c r="B44" s="70" t="inlineStr">
        <is>
          <t>S10/025/2026/2027/W/69</t>
        </is>
      </c>
      <c r="C44" s="71" t="n">
        <v>46292</v>
      </c>
      <c r="D44" s="70" t="inlineStr">
        <is>
          <t>NeST</t>
        </is>
      </c>
      <c r="E44" s="70" t="inlineStr">
        <is>
          <t>https://nest.go.tz/tenders/published-tenders</t>
        </is>
      </c>
      <c r="F44" s="70" t="inlineStr">
        <is>
          <t>TARURA - Tabora Regional Office</t>
        </is>
      </c>
      <c r="G44" s="70" t="inlineStr">
        <is>
          <t>government</t>
        </is>
      </c>
      <c r="H44" s="70" t="inlineStr">
        <is>
          <t>Periodic Maintenance Works 19.53km And Construction of 14 Box Culverts Along Simbo - Utuja - Uyui Border Road, Periodic Maintenance Works 12.67km And Construction of 6 Box Culverts Along Mwakadele - Chalamo Road and Periodic Maintenance Works 15km And Construction of 5 Box Culverts Along Igoweko - Simbo Road In Igunga District</t>
        </is>
      </c>
      <c r="I44" s="70" t="inlineStr">
        <is>
          <t>From NeST notice (1 lot) – read the tender document</t>
        </is>
      </c>
      <c r="J44" s="70" t="inlineStr">
        <is>
          <t>Tabora (Igunga)</t>
        </is>
      </c>
      <c r="K44" s="70" t="inlineStr">
        <is>
          <t>civil</t>
        </is>
      </c>
      <c r="L44" s="70" t="inlineStr">
        <is>
          <t>NeST login needed</t>
        </is>
      </c>
      <c r="M44" s="62" t="n"/>
      <c r="N44" s="70" t="inlineStr">
        <is>
          <t>unknown</t>
        </is>
      </c>
      <c r="O44" s="71" t="inlineStr">
        <is>
          <t>NeST login needed</t>
        </is>
      </c>
      <c r="P44" s="71" t="inlineStr">
        <is>
          <t>NeST login needed</t>
        </is>
      </c>
      <c r="Q44" s="72" t="n">
        <v>46296.54166666666</v>
      </c>
      <c r="R44" s="70" t="inlineStr">
        <is>
          <t>NeST login needed</t>
        </is>
      </c>
      <c r="S44" s="70" t="inlineStr">
        <is>
          <t>N</t>
        </is>
      </c>
      <c r="T44" s="64">
        <f>IF(A44="","",IFERROR(INDEX('Bid-NoBid'!$T:$T,MATCH(A44,'Bid-NoBid'!$A:$A,0)),""))</f>
        <v/>
      </c>
      <c r="U44" s="59">
        <f>IF(A44="","",IFERROR(IF(OR(INDEX('Bid-NoBid'!$U:$U,MATCH(A44,'Bid-NoBid'!$A:$A,0))="",LEFT(INDEX('Bid-NoBid'!$U:$U,MATCH(A44,'Bid-NoBid'!$A:$A,0)),10)="Incomplete"),"Screen: "&amp;AC44,INDEX('Bid-NoBid'!$U:$U,MATCH(A44,'Bid-NoBid'!$A:$A,0))),"Screen: "&amp;AC44))</f>
        <v/>
      </c>
      <c r="V44" s="60" t="n"/>
      <c r="W44" s="70" t="inlineStr">
        <is>
          <t>Watching</t>
        </is>
      </c>
      <c r="X44" s="70" t="inlineStr">
        <is>
          <t>Frank</t>
        </is>
      </c>
      <c r="Y44" s="60" t="n"/>
      <c r="Z44" s="60" t="n"/>
      <c r="AA44" s="73" t="n">
        <v>46289</v>
      </c>
      <c r="AB44" s="74" t="inlineStr">
        <is>
          <t>Small Works / Tender</t>
        </is>
      </c>
      <c r="AC44" s="74" t="inlineStr">
        <is>
          <t>Check</t>
        </is>
      </c>
      <c r="AD44" s="74" t="inlineStr">
        <is>
          <t>Auto (Small Works / Tender): Construction tender kept for review (would have been dropped: Remote civil works)</t>
        </is>
      </c>
      <c r="AE44" s="67">
        <f>IF(ISNUMBER(Q44),ROUNDDOWN(Q44-NOW(),1),"")</f>
        <v/>
      </c>
      <c r="AF44" s="59">
        <f>IF(OR(A44="",AE44=""),"",IF(NOT(OR(W44="Watching",W44="Preparing")),"",IF(AE44&lt;0,"PASSED",IF(AND(AE44&lt;=7,W44&lt;&gt;"Preparing"),"RED",IF(AE44&lt;=14,"AMBER","GREEN")))))</f>
        <v/>
      </c>
      <c r="AG44" s="59">
        <f>IF(OR(A44="",NOT(OR(W44="Watching",W44="Preparing"))),"",IF(AND(ISNUMBER(M44),M44&gt;=3000000000),"YES – ≥ TZS 3bn",IF(AND(ISNUMBER(AE44),AE44&gt;=0,AE44&lt;10,V44=""),"YES – &lt;10 days","")))</f>
        <v/>
      </c>
      <c r="AH44" s="68" t="n"/>
      <c r="AI44" s="74" t="inlineStr">
        <is>
          <t>Read the notice and decide with the QS Director whether to pursue</t>
        </is>
      </c>
      <c r="AJ44" s="74" t="inlineStr">
        <is>
          <t>Auto-scan</t>
        </is>
      </c>
      <c r="AK44" s="74" t="inlineStr">
        <is>
          <t>7f37e5d6-d2b8-40eb-ab77-6716c4186aef</t>
        </is>
      </c>
      <c r="AL44" s="59">
        <f>IF(AND(OR(W44="Watching",W44="Preparing"),ISNUMBER(Q44)),IF(AND(Q44&gt;='Friday Summary'!$C$4,Q44&lt;='Friday Summary'!$C$4+14),Q44+ROW()/1000000,""),"")</f>
        <v/>
      </c>
    </row>
    <row r="45" ht="15" customHeight="1" s="51">
      <c r="A45" s="59">
        <f>IF(B45="","","OP-"&amp;TEXT(ROW()-4,"000"))</f>
        <v/>
      </c>
      <c r="B45" s="70" t="inlineStr">
        <is>
          <t>TR219/003/2026/2027/W/08</t>
        </is>
      </c>
      <c r="C45" s="71" t="n">
        <v>46292</v>
      </c>
      <c r="D45" s="70" t="inlineStr">
        <is>
          <t>NeST</t>
        </is>
      </c>
      <c r="E45" s="70" t="inlineStr">
        <is>
          <t>https://nest.go.tz/tenders/published-tenders</t>
        </is>
      </c>
      <c r="F45" s="70" t="inlineStr">
        <is>
          <t>TANAPA - Southern Zone</t>
        </is>
      </c>
      <c r="G45" s="70" t="inlineStr">
        <is>
          <t>government</t>
        </is>
      </c>
      <c r="H45" s="70" t="inlineStr">
        <is>
          <t>Construction of 400 Meters Long Boardwalk at Kitulo National Park</t>
        </is>
      </c>
      <c r="I45" s="70" t="inlineStr">
        <is>
          <t>From NeST notice (1 lot) – read the tender document</t>
        </is>
      </c>
      <c r="J45" s="70" t="inlineStr">
        <is>
          <t>Mbeya (Mbarali) (from client's office – confirm site)</t>
        </is>
      </c>
      <c r="K45" s="70" t="inlineStr">
        <is>
          <t>building</t>
        </is>
      </c>
      <c r="L45" s="70" t="inlineStr">
        <is>
          <t>NeST login needed</t>
        </is>
      </c>
      <c r="M45" s="62" t="n"/>
      <c r="N45" s="70" t="inlineStr">
        <is>
          <t>unknown</t>
        </is>
      </c>
      <c r="O45" s="71" t="inlineStr">
        <is>
          <t>NeST login needed</t>
        </is>
      </c>
      <c r="P45" s="71" t="inlineStr">
        <is>
          <t>NeST login needed</t>
        </is>
      </c>
      <c r="Q45" s="72" t="n">
        <v>46297.58333333334</v>
      </c>
      <c r="R45" s="70" t="inlineStr">
        <is>
          <t>NeST login needed</t>
        </is>
      </c>
      <c r="S45" s="70" t="inlineStr">
        <is>
          <t>N</t>
        </is>
      </c>
      <c r="T45" s="64">
        <f>IF(A45="","",IFERROR(INDEX('Bid-NoBid'!$T:$T,MATCH(A45,'Bid-NoBid'!$A:$A,0)),""))</f>
        <v/>
      </c>
      <c r="U45" s="59">
        <f>IF(A45="","",IFERROR(IF(OR(INDEX('Bid-NoBid'!$U:$U,MATCH(A45,'Bid-NoBid'!$A:$A,0))="",LEFT(INDEX('Bid-NoBid'!$U:$U,MATCH(A45,'Bid-NoBid'!$A:$A,0)),10)="Incomplete"),"Screen: "&amp;AC45,INDEX('Bid-NoBid'!$U:$U,MATCH(A45,'Bid-NoBid'!$A:$A,0))),"Screen: "&amp;AC45))</f>
        <v/>
      </c>
      <c r="V45" s="60" t="n"/>
      <c r="W45" s="70" t="inlineStr">
        <is>
          <t>Watching</t>
        </is>
      </c>
      <c r="X45" s="70" t="inlineStr">
        <is>
          <t>Frank</t>
        </is>
      </c>
      <c r="Y45" s="60" t="n"/>
      <c r="Z45" s="60" t="n"/>
      <c r="AA45" s="73" t="n">
        <v>46290</v>
      </c>
      <c r="AB45" s="74" t="inlineStr">
        <is>
          <t>Standard Invitation for Quotations -Works / Planned Tender</t>
        </is>
      </c>
      <c r="AC45" s="74" t="inlineStr">
        <is>
          <t>Check</t>
        </is>
      </c>
      <c r="AD45" s="74" t="inlineStr">
        <is>
          <t>Auto (Standard Invitation for Quotations -Works / Planned Tender): Construction tender kept for review (would have been dropped: Remote and closing soon)</t>
        </is>
      </c>
      <c r="AE45" s="67">
        <f>IF(ISNUMBER(Q45),ROUNDDOWN(Q45-NOW(),1),"")</f>
        <v/>
      </c>
      <c r="AF45" s="59">
        <f>IF(OR(A45="",AE45=""),"",IF(NOT(OR(W45="Watching",W45="Preparing")),"",IF(AE45&lt;0,"PASSED",IF(AND(AE45&lt;=7,W45&lt;&gt;"Preparing"),"RED",IF(AE45&lt;=14,"AMBER","GREEN")))))</f>
        <v/>
      </c>
      <c r="AG45" s="59">
        <f>IF(OR(A45="",NOT(OR(W45="Watching",W45="Preparing"))),"",IF(AND(ISNUMBER(M45),M45&gt;=3000000000),"YES – ≥ TZS 3bn",IF(AND(ISNUMBER(AE45),AE45&gt;=0,AE45&lt;10,V45=""),"YES – &lt;10 days","")))</f>
        <v/>
      </c>
      <c r="AH45" s="68" t="n"/>
      <c r="AI45" s="74" t="inlineStr">
        <is>
          <t>Read the notice and decide with the QS Director whether to pursue</t>
        </is>
      </c>
      <c r="AJ45" s="74" t="inlineStr">
        <is>
          <t>Auto-scan</t>
        </is>
      </c>
      <c r="AK45" s="74" t="inlineStr">
        <is>
          <t>d2ae202b-08fd-4650-b448-193f5e653238</t>
        </is>
      </c>
      <c r="AL45" s="59">
        <f>IF(AND(OR(W45="Watching",W45="Preparing"),ISNUMBER(Q45)),IF(AND(Q45&gt;='Friday Summary'!$C$4,Q45&lt;='Friday Summary'!$C$4+14),Q45+ROW()/1000000,""),"")</f>
        <v/>
      </c>
    </row>
    <row r="46" ht="15" customHeight="1" s="51">
      <c r="A46" s="59">
        <f>IF(B46="","","OP-"&amp;TEXT(ROW()-4,"000"))</f>
        <v/>
      </c>
      <c r="B46" s="70" t="inlineStr">
        <is>
          <t>TR36/001/2026/2027/W/48</t>
        </is>
      </c>
      <c r="C46" s="71" t="n">
        <v>46292</v>
      </c>
      <c r="D46" s="70" t="inlineStr">
        <is>
          <t>NeST</t>
        </is>
      </c>
      <c r="E46" s="70" t="inlineStr">
        <is>
          <t>https://nest.go.tz/tenders/published-tenders</t>
        </is>
      </c>
      <c r="F46" s="70" t="inlineStr">
        <is>
          <t>TANROADS - Arusha Regional Office</t>
        </is>
      </c>
      <c r="G46" s="70" t="inlineStr">
        <is>
          <t>government</t>
        </is>
      </c>
      <c r="H46" s="70" t="inlineStr">
        <is>
          <t>Rehabilitation works of Karatu JCT - Mang'ola - Matala, Karatu Njiapanda - Matala, Makao Kimba - Matala Roads (Gravel Standard) and Construction of Drainage Structures at Njiapanda - Matala.</t>
        </is>
      </c>
      <c r="I46" s="70" t="inlineStr">
        <is>
          <t>From NeST notice (1 lot) – read the tender document</t>
        </is>
      </c>
      <c r="J46" s="70" t="inlineStr">
        <is>
          <t>Arusha (from client's office – confirm site)</t>
        </is>
      </c>
      <c r="K46" s="70" t="inlineStr">
        <is>
          <t>renovation</t>
        </is>
      </c>
      <c r="L46" s="70" t="inlineStr">
        <is>
          <t>NeST login needed</t>
        </is>
      </c>
      <c r="M46" s="62" t="n"/>
      <c r="N46" s="70" t="inlineStr">
        <is>
          <t>unknown</t>
        </is>
      </c>
      <c r="O46" s="71" t="inlineStr">
        <is>
          <t>NeST login needed</t>
        </is>
      </c>
      <c r="P46" s="71" t="inlineStr">
        <is>
          <t>NeST login needed</t>
        </is>
      </c>
      <c r="Q46" s="72" t="n">
        <v>46297.58333333334</v>
      </c>
      <c r="R46" s="70" t="inlineStr">
        <is>
          <t>NeST login needed</t>
        </is>
      </c>
      <c r="S46" s="70" t="inlineStr">
        <is>
          <t>N</t>
        </is>
      </c>
      <c r="T46" s="64">
        <f>IF(A46="","",IFERROR(INDEX('Bid-NoBid'!$T:$T,MATCH(A46,'Bid-NoBid'!$A:$A,0)),""))</f>
        <v/>
      </c>
      <c r="U46" s="59">
        <f>IF(A46="","",IFERROR(IF(OR(INDEX('Bid-NoBid'!$U:$U,MATCH(A46,'Bid-NoBid'!$A:$A,0))="",LEFT(INDEX('Bid-NoBid'!$U:$U,MATCH(A46,'Bid-NoBid'!$A:$A,0)),10)="Incomplete"),"Screen: "&amp;AC46,INDEX('Bid-NoBid'!$U:$U,MATCH(A46,'Bid-NoBid'!$A:$A,0))),"Screen: "&amp;AC46))</f>
        <v/>
      </c>
      <c r="V46" s="60" t="n"/>
      <c r="W46" s="70" t="inlineStr">
        <is>
          <t>Watching</t>
        </is>
      </c>
      <c r="X46" s="70" t="inlineStr">
        <is>
          <t>Frank</t>
        </is>
      </c>
      <c r="Y46" s="60" t="n"/>
      <c r="Z46" s="60" t="n"/>
      <c r="AA46" s="73" t="n">
        <v>46290</v>
      </c>
      <c r="AB46" s="74" t="inlineStr">
        <is>
          <t>Small Works / Tender</t>
        </is>
      </c>
      <c r="AC46" s="74" t="inlineStr">
        <is>
          <t>Check</t>
        </is>
      </c>
      <c r="AD46" s="74" t="inlineStr">
        <is>
          <t>Auto (Small Works / Tender): Construction tender kept for review (would have been dropped: Remote and closing soon)</t>
        </is>
      </c>
      <c r="AE46" s="67">
        <f>IF(ISNUMBER(Q46),ROUNDDOWN(Q46-NOW(),1),"")</f>
        <v/>
      </c>
      <c r="AF46" s="59">
        <f>IF(OR(A46="",AE46=""),"",IF(NOT(OR(W46="Watching",W46="Preparing")),"",IF(AE46&lt;0,"PASSED",IF(AND(AE46&lt;=7,W46&lt;&gt;"Preparing"),"RED",IF(AE46&lt;=14,"AMBER","GREEN")))))</f>
        <v/>
      </c>
      <c r="AG46" s="59">
        <f>IF(OR(A46="",NOT(OR(W46="Watching",W46="Preparing"))),"",IF(AND(ISNUMBER(M46),M46&gt;=3000000000),"YES – ≥ TZS 3bn",IF(AND(ISNUMBER(AE46),AE46&gt;=0,AE46&lt;10,V46=""),"YES – &lt;10 days","")))</f>
        <v/>
      </c>
      <c r="AH46" s="68" t="n"/>
      <c r="AI46" s="74" t="inlineStr">
        <is>
          <t>Read the notice and decide with the QS Director whether to pursue</t>
        </is>
      </c>
      <c r="AJ46" s="74" t="inlineStr">
        <is>
          <t>Auto-scan</t>
        </is>
      </c>
      <c r="AK46" s="74" t="inlineStr">
        <is>
          <t>215bdca8-8314-4274-892b-08df2a6cd22e</t>
        </is>
      </c>
      <c r="AL46" s="59">
        <f>IF(AND(OR(W46="Watching",W46="Preparing"),ISNUMBER(Q46)),IF(AND(Q46&gt;='Friday Summary'!$C$4,Q46&lt;='Friday Summary'!$C$4+14),Q46+ROW()/1000000,""),"")</f>
        <v/>
      </c>
    </row>
    <row r="47" ht="15" customHeight="1" s="51">
      <c r="A47" s="59">
        <f>IF(B47="","","OP-"&amp;TEXT(ROW()-4,"000"))</f>
        <v/>
      </c>
      <c r="B47" s="70" t="inlineStr">
        <is>
          <t>S10/074/2026/2027/W/56</t>
        </is>
      </c>
      <c r="C47" s="71" t="n">
        <v>46292</v>
      </c>
      <c r="D47" s="70" t="inlineStr">
        <is>
          <t>NeST</t>
        </is>
      </c>
      <c r="E47" s="70" t="inlineStr">
        <is>
          <t>https://nest.go.tz/tenders/published-tenders</t>
        </is>
      </c>
      <c r="F47" s="70" t="inlineStr">
        <is>
          <t>TARURA - Kigoma Regional Office</t>
        </is>
      </c>
      <c r="G47" s="70" t="inlineStr">
        <is>
          <t>government</t>
        </is>
      </c>
      <c r="H47" s="70" t="inlineStr">
        <is>
          <t>Construction of Box Culvert at Ruzuguma River Along Mlati - Kagongo Road in Kigoma DC</t>
        </is>
      </c>
      <c r="I47" s="70" t="inlineStr">
        <is>
          <t>From NeST notice (1 lot) – read the tender document</t>
        </is>
      </c>
      <c r="J47" s="70" t="inlineStr">
        <is>
          <t>Kigoma</t>
        </is>
      </c>
      <c r="K47" s="70" t="inlineStr">
        <is>
          <t>civil</t>
        </is>
      </c>
      <c r="L47" s="70" t="inlineStr">
        <is>
          <t>NeST login needed</t>
        </is>
      </c>
      <c r="M47" s="62" t="n"/>
      <c r="N47" s="70" t="inlineStr">
        <is>
          <t>unknown</t>
        </is>
      </c>
      <c r="O47" s="71" t="inlineStr">
        <is>
          <t>NeST login needed</t>
        </is>
      </c>
      <c r="P47" s="71" t="inlineStr">
        <is>
          <t>NeST login needed</t>
        </is>
      </c>
      <c r="Q47" s="72" t="n">
        <v>46297.58333333334</v>
      </c>
      <c r="R47" s="70" t="inlineStr">
        <is>
          <t>NeST login needed</t>
        </is>
      </c>
      <c r="S47" s="70" t="inlineStr">
        <is>
          <t>N</t>
        </is>
      </c>
      <c r="T47" s="64">
        <f>IF(A47="","",IFERROR(INDEX('Bid-NoBid'!$T:$T,MATCH(A47,'Bid-NoBid'!$A:$A,0)),""))</f>
        <v/>
      </c>
      <c r="U47" s="59">
        <f>IF(A47="","",IFERROR(IF(OR(INDEX('Bid-NoBid'!$U:$U,MATCH(A47,'Bid-NoBid'!$A:$A,0))="",LEFT(INDEX('Bid-NoBid'!$U:$U,MATCH(A47,'Bid-NoBid'!$A:$A,0)),10)="Incomplete"),"Screen: "&amp;AC47,INDEX('Bid-NoBid'!$U:$U,MATCH(A47,'Bid-NoBid'!$A:$A,0))),"Screen: "&amp;AC47))</f>
        <v/>
      </c>
      <c r="V47" s="60" t="n"/>
      <c r="W47" s="70" t="inlineStr">
        <is>
          <t>Watching</t>
        </is>
      </c>
      <c r="X47" s="70" t="inlineStr">
        <is>
          <t>Frank</t>
        </is>
      </c>
      <c r="Y47" s="60" t="n"/>
      <c r="Z47" s="60" t="n"/>
      <c r="AA47" s="73" t="n">
        <v>46290</v>
      </c>
      <c r="AB47" s="74" t="inlineStr">
        <is>
          <t>Small Works / Tender</t>
        </is>
      </c>
      <c r="AC47" s="74" t="inlineStr">
        <is>
          <t>Check</t>
        </is>
      </c>
      <c r="AD47" s="74" t="inlineStr">
        <is>
          <t>Auto (Small Works / Tender): Construction tender kept for review (would have been dropped: Remote civil works)</t>
        </is>
      </c>
      <c r="AE47" s="67">
        <f>IF(ISNUMBER(Q47),ROUNDDOWN(Q47-NOW(),1),"")</f>
        <v/>
      </c>
      <c r="AF47" s="59">
        <f>IF(OR(A47="",AE47=""),"",IF(NOT(OR(W47="Watching",W47="Preparing")),"",IF(AE47&lt;0,"PASSED",IF(AND(AE47&lt;=7,W47&lt;&gt;"Preparing"),"RED",IF(AE47&lt;=14,"AMBER","GREEN")))))</f>
        <v/>
      </c>
      <c r="AG47" s="59">
        <f>IF(OR(A47="",NOT(OR(W47="Watching",W47="Preparing"))),"",IF(AND(ISNUMBER(M47),M47&gt;=3000000000),"YES – ≥ TZS 3bn",IF(AND(ISNUMBER(AE47),AE47&gt;=0,AE47&lt;10,V47=""),"YES – &lt;10 days","")))</f>
        <v/>
      </c>
      <c r="AH47" s="68" t="n"/>
      <c r="AI47" s="74" t="inlineStr">
        <is>
          <t>Read the notice and decide with the QS Director whether to pursue</t>
        </is>
      </c>
      <c r="AJ47" s="74" t="inlineStr">
        <is>
          <t>Auto-scan</t>
        </is>
      </c>
      <c r="AK47" s="74" t="inlineStr">
        <is>
          <t>2b7dd442-571f-46df-9686-9e5e50c548f5</t>
        </is>
      </c>
      <c r="AL47" s="59">
        <f>IF(AND(OR(W47="Watching",W47="Preparing"),ISNUMBER(Q47)),IF(AND(Q47&gt;='Friday Summary'!$C$4,Q47&lt;='Friday Summary'!$C$4+14),Q47+ROW()/1000000,""),"")</f>
        <v/>
      </c>
    </row>
    <row r="48" ht="15" customHeight="1" s="51">
      <c r="A48" s="59">
        <f>IF(B48="","","OP-"&amp;TEXT(ROW()-4,"000"))</f>
        <v/>
      </c>
      <c r="B48" s="70" t="inlineStr">
        <is>
          <t>TR234/2026/2027/W/02</t>
        </is>
      </c>
      <c r="C48" s="71" t="n">
        <v>46292</v>
      </c>
      <c r="D48" s="70" t="inlineStr">
        <is>
          <t>NeST</t>
        </is>
      </c>
      <c r="E48" s="70" t="inlineStr">
        <is>
          <t>https://nest.go.tz/tenders/published-tenders</t>
        </is>
      </c>
      <c r="F48" s="70" t="inlineStr">
        <is>
          <t>Wanging'ombe Water Supply and Sanitation Authority</t>
        </is>
      </c>
      <c r="G48" s="70" t="inlineStr">
        <is>
          <t>government</t>
        </is>
      </c>
      <c r="H48" s="70" t="inlineStr">
        <is>
          <t>CONSTRUCTION OF PHASE 1 WATER DISTRIBUTION SYSTEM FROM 28 TOWNS PROJECT WANGING’OMBE</t>
        </is>
      </c>
      <c r="I48" s="70" t="inlineStr">
        <is>
          <t>From NeST notice (1 lot) – read the tender document</t>
        </is>
      </c>
      <c r="J48" s="70" t="inlineStr">
        <is>
          <t>Njombe (Wanging'ombe) (from client's office – confirm site)</t>
        </is>
      </c>
      <c r="K48" s="70" t="inlineStr">
        <is>
          <t>building</t>
        </is>
      </c>
      <c r="L48" s="70" t="inlineStr">
        <is>
          <t>NeST login needed</t>
        </is>
      </c>
      <c r="M48" s="62" t="n"/>
      <c r="N48" s="70" t="inlineStr">
        <is>
          <t>unknown</t>
        </is>
      </c>
      <c r="O48" s="71" t="inlineStr">
        <is>
          <t>NeST login needed</t>
        </is>
      </c>
      <c r="P48" s="71" t="inlineStr">
        <is>
          <t>NeST login needed</t>
        </is>
      </c>
      <c r="Q48" s="72" t="n">
        <v>46297.58333333334</v>
      </c>
      <c r="R48" s="70" t="inlineStr">
        <is>
          <t>NeST login needed</t>
        </is>
      </c>
      <c r="S48" s="70" t="inlineStr">
        <is>
          <t>N</t>
        </is>
      </c>
      <c r="T48" s="64">
        <f>IF(A48="","",IFERROR(INDEX('Bid-NoBid'!$T:$T,MATCH(A48,'Bid-NoBid'!$A:$A,0)),""))</f>
        <v/>
      </c>
      <c r="U48" s="59">
        <f>IF(A48="","",IFERROR(IF(OR(INDEX('Bid-NoBid'!$U:$U,MATCH(A48,'Bid-NoBid'!$A:$A,0))="",LEFT(INDEX('Bid-NoBid'!$U:$U,MATCH(A48,'Bid-NoBid'!$A:$A,0)),10)="Incomplete"),"Screen: "&amp;AC48,INDEX('Bid-NoBid'!$U:$U,MATCH(A48,'Bid-NoBid'!$A:$A,0))),"Screen: "&amp;AC48))</f>
        <v/>
      </c>
      <c r="V48" s="60" t="n"/>
      <c r="W48" s="70" t="inlineStr">
        <is>
          <t>Watching</t>
        </is>
      </c>
      <c r="X48" s="70" t="inlineStr">
        <is>
          <t>Frank</t>
        </is>
      </c>
      <c r="Y48" s="60" t="n"/>
      <c r="Z48" s="60" t="n"/>
      <c r="AA48" s="73" t="n">
        <v>46290</v>
      </c>
      <c r="AB48" s="74" t="inlineStr">
        <is>
          <t>Small Works / Tender</t>
        </is>
      </c>
      <c r="AC48" s="74" t="inlineStr">
        <is>
          <t>Check</t>
        </is>
      </c>
      <c r="AD48" s="74" t="inlineStr">
        <is>
          <t>Auto (Small Works / Tender): Construction tender kept for review (would have been dropped: Remote and closing soon)</t>
        </is>
      </c>
      <c r="AE48" s="67">
        <f>IF(ISNUMBER(Q48),ROUNDDOWN(Q48-NOW(),1),"")</f>
        <v/>
      </c>
      <c r="AF48" s="59">
        <f>IF(OR(A48="",AE48=""),"",IF(NOT(OR(W48="Watching",W48="Preparing")),"",IF(AE48&lt;0,"PASSED",IF(AND(AE48&lt;=7,W48&lt;&gt;"Preparing"),"RED",IF(AE48&lt;=14,"AMBER","GREEN")))))</f>
        <v/>
      </c>
      <c r="AG48" s="59">
        <f>IF(OR(A48="",NOT(OR(W48="Watching",W48="Preparing"))),"",IF(AND(ISNUMBER(M48),M48&gt;=3000000000),"YES – ≥ TZS 3bn",IF(AND(ISNUMBER(AE48),AE48&gt;=0,AE48&lt;10,V48=""),"YES – &lt;10 days","")))</f>
        <v/>
      </c>
      <c r="AH48" s="68" t="n"/>
      <c r="AI48" s="74" t="inlineStr">
        <is>
          <t>Read the notice and decide with the QS Director whether to pursue</t>
        </is>
      </c>
      <c r="AJ48" s="74" t="inlineStr">
        <is>
          <t>Auto-scan</t>
        </is>
      </c>
      <c r="AK48" s="74" t="inlineStr">
        <is>
          <t>a04a7f85-961d-4ee6-889a-5c469878b5ec</t>
        </is>
      </c>
      <c r="AL48" s="59">
        <f>IF(AND(OR(W48="Watching",W48="Preparing"),ISNUMBER(Q48)),IF(AND(Q48&gt;='Friday Summary'!$C$4,Q48&lt;='Friday Summary'!$C$4+14),Q48+ROW()/1000000,""),"")</f>
        <v/>
      </c>
    </row>
    <row r="49" ht="15" customHeight="1" s="51">
      <c r="A49" s="59">
        <f>IF(B49="","","OP-"&amp;TEXT(ROW()-4,"000"))</f>
        <v/>
      </c>
      <c r="B49" s="70" t="inlineStr">
        <is>
          <t>S11/2026/2027/W/44</t>
        </is>
      </c>
      <c r="C49" s="71" t="n">
        <v>46293</v>
      </c>
      <c r="D49" s="70" t="inlineStr">
        <is>
          <t>NeST</t>
        </is>
      </c>
      <c r="E49" s="70" t="inlineStr">
        <is>
          <t>https://nest.go.tz/tenders/published-tenders</t>
        </is>
      </c>
      <c r="F49" s="70" t="inlineStr">
        <is>
          <t>Tanzania Wildlife Management Authority</t>
        </is>
      </c>
      <c r="G49" s="70" t="inlineStr">
        <is>
          <t>government</t>
        </is>
      </c>
      <c r="H49" s="70" t="inlineStr">
        <is>
          <t>CONSTRUCTION OF KIDS SWIMMING POOLS AND CHANGING ROOMS AT PANDE GR</t>
        </is>
      </c>
      <c r="I49" s="70" t="inlineStr">
        <is>
          <t>From NeST notice (1 lot) – read the tender document</t>
        </is>
      </c>
      <c r="J49" s="70" t="inlineStr">
        <is>
          <t>Morogoro (from client's office – confirm site)</t>
        </is>
      </c>
      <c r="K49" s="70" t="inlineStr">
        <is>
          <t>building</t>
        </is>
      </c>
      <c r="L49" s="70" t="inlineStr">
        <is>
          <t>NeST login needed</t>
        </is>
      </c>
      <c r="M49" s="62" t="n"/>
      <c r="N49" s="70" t="inlineStr">
        <is>
          <t>unknown</t>
        </is>
      </c>
      <c r="O49" s="71" t="inlineStr">
        <is>
          <t>NeST login needed</t>
        </is>
      </c>
      <c r="P49" s="71" t="inlineStr">
        <is>
          <t>NeST login needed</t>
        </is>
      </c>
      <c r="Q49" s="72" t="n">
        <v>46297.58333333334</v>
      </c>
      <c r="R49" s="70" t="inlineStr">
        <is>
          <t>NeST login needed</t>
        </is>
      </c>
      <c r="S49" s="70" t="inlineStr">
        <is>
          <t>N</t>
        </is>
      </c>
      <c r="T49" s="64">
        <f>IF(A49="","",IFERROR(INDEX('Bid-NoBid'!$T:$T,MATCH(A49,'Bid-NoBid'!$A:$A,0)),""))</f>
        <v/>
      </c>
      <c r="U49" s="59">
        <f>IF(A49="","",IFERROR(IF(OR(INDEX('Bid-NoBid'!$U:$U,MATCH(A49,'Bid-NoBid'!$A:$A,0))="",LEFT(INDEX('Bid-NoBid'!$U:$U,MATCH(A49,'Bid-NoBid'!$A:$A,0)),10)="Incomplete"),"Screen: "&amp;AC49,INDEX('Bid-NoBid'!$U:$U,MATCH(A49,'Bid-NoBid'!$A:$A,0))),"Screen: "&amp;AC49))</f>
        <v/>
      </c>
      <c r="V49" s="60" t="n"/>
      <c r="W49" s="70" t="inlineStr">
        <is>
          <t>Watching</t>
        </is>
      </c>
      <c r="X49" s="70" t="inlineStr">
        <is>
          <t>Frank</t>
        </is>
      </c>
      <c r="Y49" s="60" t="n"/>
      <c r="Z49" s="60" t="n"/>
      <c r="AA49" s="73" t="n">
        <v>46290</v>
      </c>
      <c r="AB49" s="74" t="inlineStr">
        <is>
          <t>Small Works / Tender</t>
        </is>
      </c>
      <c r="AC49" s="74" t="inlineStr">
        <is>
          <t>Pursue</t>
        </is>
      </c>
      <c r="AD49" s="74" t="inlineStr">
        <is>
          <t>Auto (Small Works / Tender): Building works within reach of Dar</t>
        </is>
      </c>
      <c r="AE49" s="67">
        <f>IF(ISNUMBER(Q49),ROUNDDOWN(Q49-NOW(),1),"")</f>
        <v/>
      </c>
      <c r="AF49" s="59">
        <f>IF(OR(A49="",AE49=""),"",IF(NOT(OR(W49="Watching",W49="Preparing")),"",IF(AE49&lt;0,"PASSED",IF(AND(AE49&lt;=7,W49&lt;&gt;"Preparing"),"RED",IF(AE49&lt;=14,"AMBER","GREEN")))))</f>
        <v/>
      </c>
      <c r="AG49" s="59">
        <f>IF(OR(A49="",NOT(OR(W49="Watching",W49="Preparing"))),"",IF(AND(ISNUMBER(M49),M49&gt;=3000000000),"YES – ≥ TZS 3bn",IF(AND(ISNUMBER(AE49),AE49&gt;=0,AE49&lt;10,V49=""),"YES – &lt;10 days","")))</f>
        <v/>
      </c>
      <c r="AH49" s="68" t="n"/>
      <c r="AI49" s="74" t="inlineStr">
        <is>
          <t>Get the tender document, confirm value, CRB class, site visit and bid security; brief the MD</t>
        </is>
      </c>
      <c r="AJ49" s="74" t="inlineStr">
        <is>
          <t>Auto-scan</t>
        </is>
      </c>
      <c r="AK49" s="74" t="inlineStr">
        <is>
          <t>d1dafab8-6653-475c-8b5e-359835b182a4</t>
        </is>
      </c>
      <c r="AL49" s="59">
        <f>IF(AND(OR(W49="Watching",W49="Preparing"),ISNUMBER(Q49)),IF(AND(Q49&gt;='Friday Summary'!$C$4,Q49&lt;='Friday Summary'!$C$4+14),Q49+ROW()/1000000,""),"")</f>
        <v/>
      </c>
    </row>
    <row r="50" ht="15" customHeight="1" s="51">
      <c r="A50" s="59">
        <f>IF(B50="","","OP-"&amp;TEXT(ROW()-4,"000"))</f>
        <v/>
      </c>
      <c r="B50" s="70" t="inlineStr">
        <is>
          <t>71B6/2026/2027/W/09</t>
        </is>
      </c>
      <c r="C50" s="71" t="n">
        <v>46294</v>
      </c>
      <c r="D50" s="70" t="inlineStr">
        <is>
          <t>NeST</t>
        </is>
      </c>
      <c r="E50" s="70" t="inlineStr">
        <is>
          <t>https://nest.go.tz/tenders/published-tenders</t>
        </is>
      </c>
      <c r="F50" s="70" t="inlineStr">
        <is>
          <t>Mkuranga District Council</t>
        </is>
      </c>
      <c r="G50" s="70" t="inlineStr">
        <is>
          <t>government</t>
        </is>
      </c>
      <c r="H50" s="70" t="inlineStr">
        <is>
          <t>PROPOSED CONSTRUCTION OF ADMINISTRATION, PHARMACY, VACCINE, PHYSIOTHERAPY TO BE BUILT AT MKURANGA HOSPITAL IN MKURANGA DISTRICT COUNCIL</t>
        </is>
      </c>
      <c r="I50" s="70" t="inlineStr">
        <is>
          <t>From NeST notice (1 lot) – read the tender document</t>
        </is>
      </c>
      <c r="J50" s="70" t="inlineStr">
        <is>
          <t>Pwani (Mkuranga)</t>
        </is>
      </c>
      <c r="K50" s="70" t="inlineStr">
        <is>
          <t>building</t>
        </is>
      </c>
      <c r="L50" s="70" t="inlineStr">
        <is>
          <t>NeST login needed</t>
        </is>
      </c>
      <c r="M50" s="62" t="n"/>
      <c r="N50" s="70" t="inlineStr">
        <is>
          <t>unknown</t>
        </is>
      </c>
      <c r="O50" s="71" t="inlineStr">
        <is>
          <t>NeST login needed</t>
        </is>
      </c>
      <c r="P50" s="71" t="inlineStr">
        <is>
          <t>NeST login needed</t>
        </is>
      </c>
      <c r="Q50" s="72" t="n">
        <v>46300.41666666666</v>
      </c>
      <c r="R50" s="70" t="inlineStr">
        <is>
          <t>NeST login needed</t>
        </is>
      </c>
      <c r="S50" s="70" t="inlineStr">
        <is>
          <t>N</t>
        </is>
      </c>
      <c r="T50" s="64">
        <f>IF(A50="","",IFERROR(INDEX('Bid-NoBid'!$T:$T,MATCH(A50,'Bid-NoBid'!$A:$A,0)),""))</f>
        <v/>
      </c>
      <c r="U50" s="59">
        <f>IF(A50="","",IFERROR(IF(OR(INDEX('Bid-NoBid'!$U:$U,MATCH(A50,'Bid-NoBid'!$A:$A,0))="",LEFT(INDEX('Bid-NoBid'!$U:$U,MATCH(A50,'Bid-NoBid'!$A:$A,0)),10)="Incomplete"),"Screen: "&amp;AC50,INDEX('Bid-NoBid'!$U:$U,MATCH(A50,'Bid-NoBid'!$A:$A,0))),"Screen: "&amp;AC50))</f>
        <v/>
      </c>
      <c r="V50" s="60" t="n"/>
      <c r="W50" s="70" t="inlineStr">
        <is>
          <t>Watching</t>
        </is>
      </c>
      <c r="X50" s="70" t="inlineStr">
        <is>
          <t>Frank</t>
        </is>
      </c>
      <c r="Y50" s="60" t="n"/>
      <c r="Z50" s="60" t="n"/>
      <c r="AA50" s="73" t="n">
        <v>46293</v>
      </c>
      <c r="AB50" s="74" t="inlineStr">
        <is>
          <t>Small Works / Tender</t>
        </is>
      </c>
      <c r="AC50" s="74" t="inlineStr">
        <is>
          <t>Pursue</t>
        </is>
      </c>
      <c r="AD50" s="74" t="inlineStr">
        <is>
          <t>Auto (Small Works / Tender): Building works within reach of Dar</t>
        </is>
      </c>
      <c r="AE50" s="67">
        <f>IF(ISNUMBER(Q50),ROUNDDOWN(Q50-NOW(),1),"")</f>
        <v/>
      </c>
      <c r="AF50" s="59">
        <f>IF(OR(A50="",AE50=""),"",IF(NOT(OR(W50="Watching",W50="Preparing")),"",IF(AE50&lt;0,"PASSED",IF(AND(AE50&lt;=7,W50&lt;&gt;"Preparing"),"RED",IF(AE50&lt;=14,"AMBER","GREEN")))))</f>
        <v/>
      </c>
      <c r="AG50" s="59">
        <f>IF(OR(A50="",NOT(OR(W50="Watching",W50="Preparing"))),"",IF(AND(ISNUMBER(M50),M50&gt;=3000000000),"YES – ≥ TZS 3bn",IF(AND(ISNUMBER(AE50),AE50&gt;=0,AE50&lt;10,V50=""),"YES – &lt;10 days","")))</f>
        <v/>
      </c>
      <c r="AH50" s="68" t="n"/>
      <c r="AI50" s="74" t="inlineStr">
        <is>
          <t>Get the tender document, confirm value, CRB class, site visit and bid security; brief the MD</t>
        </is>
      </c>
      <c r="AJ50" s="74" t="inlineStr">
        <is>
          <t>Auto-scan</t>
        </is>
      </c>
      <c r="AK50" s="74" t="inlineStr">
        <is>
          <t>849b7cee-82db-4e84-8f33-8a6ecef6b83a</t>
        </is>
      </c>
      <c r="AL50" s="59">
        <f>IF(AND(OR(W50="Watching",W50="Preparing"),ISNUMBER(Q50)),IF(AND(Q50&gt;='Friday Summary'!$C$4,Q50&lt;='Friday Summary'!$C$4+14),Q50+ROW()/1000000,""),"")</f>
        <v/>
      </c>
    </row>
    <row r="51" ht="15" customHeight="1" s="51">
      <c r="A51" s="59">
        <f>IF(B51="","","OP-"&amp;TEXT(ROW()-4,"000"))</f>
        <v/>
      </c>
      <c r="B51" s="70" t="inlineStr">
        <is>
          <t>71B6/2026/2027/W/10</t>
        </is>
      </c>
      <c r="C51" s="71" t="n">
        <v>46294</v>
      </c>
      <c r="D51" s="70" t="inlineStr">
        <is>
          <t>NeST</t>
        </is>
      </c>
      <c r="E51" s="70" t="inlineStr">
        <is>
          <t>https://nest.go.tz/tenders/published-tenders</t>
        </is>
      </c>
      <c r="F51" s="70" t="inlineStr">
        <is>
          <t>Mkuranga District Council</t>
        </is>
      </c>
      <c r="G51" s="70" t="inlineStr">
        <is>
          <t>government</t>
        </is>
      </c>
      <c r="H51" s="70" t="inlineStr">
        <is>
          <t>PROPOSED CONSTRUCTION OF ADMINISTRATION OFFICE TO BE BUILT AT MKURANGA DISTRICT COUNCIL</t>
        </is>
      </c>
      <c r="I51" s="70" t="inlineStr">
        <is>
          <t>From NeST notice (1 lot) – read the tender document</t>
        </is>
      </c>
      <c r="J51" s="70" t="inlineStr">
        <is>
          <t>Pwani (Mkuranga)</t>
        </is>
      </c>
      <c r="K51" s="70" t="inlineStr">
        <is>
          <t>building</t>
        </is>
      </c>
      <c r="L51" s="70" t="inlineStr">
        <is>
          <t>NeST login needed</t>
        </is>
      </c>
      <c r="M51" s="62" t="n"/>
      <c r="N51" s="70" t="inlineStr">
        <is>
          <t>unknown</t>
        </is>
      </c>
      <c r="O51" s="71" t="inlineStr">
        <is>
          <t>NeST login needed</t>
        </is>
      </c>
      <c r="P51" s="71" t="inlineStr">
        <is>
          <t>NeST login needed</t>
        </is>
      </c>
      <c r="Q51" s="72" t="n">
        <v>46300.41666666666</v>
      </c>
      <c r="R51" s="70" t="inlineStr">
        <is>
          <t>NeST login needed</t>
        </is>
      </c>
      <c r="S51" s="70" t="inlineStr">
        <is>
          <t>N</t>
        </is>
      </c>
      <c r="T51" s="64">
        <f>IF(A51="","",IFERROR(INDEX('Bid-NoBid'!$T:$T,MATCH(A51,'Bid-NoBid'!$A:$A,0)),""))</f>
        <v/>
      </c>
      <c r="U51" s="59">
        <f>IF(A51="","",IFERROR(IF(OR(INDEX('Bid-NoBid'!$U:$U,MATCH(A51,'Bid-NoBid'!$A:$A,0))="",LEFT(INDEX('Bid-NoBid'!$U:$U,MATCH(A51,'Bid-NoBid'!$A:$A,0)),10)="Incomplete"),"Screen: "&amp;AC51,INDEX('Bid-NoBid'!$U:$U,MATCH(A51,'Bid-NoBid'!$A:$A,0))),"Screen: "&amp;AC51))</f>
        <v/>
      </c>
      <c r="V51" s="60" t="n"/>
      <c r="W51" s="70" t="inlineStr">
        <is>
          <t>Watching</t>
        </is>
      </c>
      <c r="X51" s="70" t="inlineStr">
        <is>
          <t>Frank</t>
        </is>
      </c>
      <c r="Y51" s="60" t="n"/>
      <c r="Z51" s="60" t="n"/>
      <c r="AA51" s="73" t="n">
        <v>46293</v>
      </c>
      <c r="AB51" s="74" t="inlineStr">
        <is>
          <t>Small Works / Tender</t>
        </is>
      </c>
      <c r="AC51" s="74" t="inlineStr">
        <is>
          <t>Pursue</t>
        </is>
      </c>
      <c r="AD51" s="74" t="inlineStr">
        <is>
          <t>Auto (Small Works / Tender): Building works within reach of Dar</t>
        </is>
      </c>
      <c r="AE51" s="67">
        <f>IF(ISNUMBER(Q51),ROUNDDOWN(Q51-NOW(),1),"")</f>
        <v/>
      </c>
      <c r="AF51" s="59">
        <f>IF(OR(A51="",AE51=""),"",IF(NOT(OR(W51="Watching",W51="Preparing")),"",IF(AE51&lt;0,"PASSED",IF(AND(AE51&lt;=7,W51&lt;&gt;"Preparing"),"RED",IF(AE51&lt;=14,"AMBER","GREEN")))))</f>
        <v/>
      </c>
      <c r="AG51" s="59">
        <f>IF(OR(A51="",NOT(OR(W51="Watching",W51="Preparing"))),"",IF(AND(ISNUMBER(M51),M51&gt;=3000000000),"YES – ≥ TZS 3bn",IF(AND(ISNUMBER(AE51),AE51&gt;=0,AE51&lt;10,V51=""),"YES – &lt;10 days","")))</f>
        <v/>
      </c>
      <c r="AH51" s="68" t="n"/>
      <c r="AI51" s="74" t="inlineStr">
        <is>
          <t>Get the tender document, confirm value, CRB class, site visit and bid security; brief the MD</t>
        </is>
      </c>
      <c r="AJ51" s="74" t="inlineStr">
        <is>
          <t>Auto-scan</t>
        </is>
      </c>
      <c r="AK51" s="74" t="inlineStr">
        <is>
          <t>30e91cb5-e42b-43bf-94d5-80ead1662a53</t>
        </is>
      </c>
      <c r="AL51" s="59">
        <f>IF(AND(OR(W51="Watching",W51="Preparing"),ISNUMBER(Q51)),IF(AND(Q51&gt;='Friday Summary'!$C$4,Q51&lt;='Friday Summary'!$C$4+14),Q51+ROW()/1000000,""),"")</f>
        <v/>
      </c>
    </row>
    <row r="52" ht="15" customHeight="1" s="51">
      <c r="A52" s="59">
        <f>IF(B52="","","OP-"&amp;TEXT(ROW()-4,"000"))</f>
        <v/>
      </c>
      <c r="B52" s="70" t="inlineStr">
        <is>
          <t>TZ-TANROADS-564086-CW-RFB</t>
        </is>
      </c>
      <c r="C52" s="71" t="n">
        <v>46294</v>
      </c>
      <c r="D52" s="70" t="inlineStr">
        <is>
          <t>donor</t>
        </is>
      </c>
      <c r="E52" s="70" t="inlineStr">
        <is>
          <t>https://projects.worldbank.org/en/projects-operations/procurement-detail/OP00471685</t>
        </is>
      </c>
      <c r="F52" s="70" t="inlineStr">
        <is>
          <t>Tanzania National Roads Agency</t>
        </is>
      </c>
      <c r="G52" s="70" t="inlineStr">
        <is>
          <t>donor</t>
        </is>
      </c>
      <c r="H52" s="70" t="inlineStr">
        <is>
          <t>Proposed Construction of Lwanji I Bridge (200m) span along Mtowisa – Ilemba Road Section.</t>
        </is>
      </c>
      <c r="I52" s="70" t="inlineStr">
        <is>
          <t>World Bank project: Tanzania Roads to Inclusion and Socioeconomic Opportunities (RISE) Project (P164920)</t>
        </is>
      </c>
      <c r="J52" s="70" t="inlineStr">
        <is>
          <t>Dar es Salaam</t>
        </is>
      </c>
      <c r="K52" s="70" t="inlineStr">
        <is>
          <t>civil</t>
        </is>
      </c>
      <c r="L52" s="70" t="inlineStr">
        <is>
          <t>See tender document</t>
        </is>
      </c>
      <c r="M52" s="62" t="n"/>
      <c r="N52" s="70" t="inlineStr">
        <is>
          <t>Y</t>
        </is>
      </c>
      <c r="O52" s="71" t="inlineStr">
        <is>
          <t>See tender document</t>
        </is>
      </c>
      <c r="P52" s="71" t="inlineStr">
        <is>
          <t>See tender document</t>
        </is>
      </c>
      <c r="Q52" s="72" t="n">
        <v>46328.41666666666</v>
      </c>
      <c r="R52" s="70" t="inlineStr">
        <is>
          <t>See tender document</t>
        </is>
      </c>
      <c r="S52" s="70" t="inlineStr">
        <is>
          <t>N</t>
        </is>
      </c>
      <c r="T52" s="64">
        <f>IF(A52="","",IFERROR(INDEX('Bid-NoBid'!$T:$T,MATCH(A52,'Bid-NoBid'!$A:$A,0)),""))</f>
        <v/>
      </c>
      <c r="U52" s="59">
        <f>IF(A52="","",IFERROR(IF(OR(INDEX('Bid-NoBid'!$U:$U,MATCH(A52,'Bid-NoBid'!$A:$A,0))="",LEFT(INDEX('Bid-NoBid'!$U:$U,MATCH(A52,'Bid-NoBid'!$A:$A,0)),10)="Incomplete"),"Screen: "&amp;AC52,INDEX('Bid-NoBid'!$U:$U,MATCH(A52,'Bid-NoBid'!$A:$A,0))),"Screen: "&amp;AC52))</f>
        <v/>
      </c>
      <c r="V52" s="60" t="n"/>
      <c r="W52" s="70" t="inlineStr">
        <is>
          <t>Watching</t>
        </is>
      </c>
      <c r="X52" s="70" t="inlineStr">
        <is>
          <t>Frank</t>
        </is>
      </c>
      <c r="Y52" s="60" t="n"/>
      <c r="Z52" s="60" t="n"/>
      <c r="AA52" s="73" t="n">
        <v>46293</v>
      </c>
      <c r="AB52" s="74" t="inlineStr">
        <is>
          <t>World Bank – Invitation for Bids (Request for Bids)</t>
        </is>
      </c>
      <c r="AC52" s="74" t="inlineStr">
        <is>
          <t>Check</t>
        </is>
      </c>
      <c r="AD52" s="74" t="inlineStr">
        <is>
          <t>Auto (World Bank – Invitation for Bids): Civil works in Dar/Coast – confirm CRB class and margin</t>
        </is>
      </c>
      <c r="AE52" s="67">
        <f>IF(ISNUMBER(Q52),ROUNDDOWN(Q52-NOW(),1),"")</f>
        <v/>
      </c>
      <c r="AF52" s="59">
        <f>IF(OR(A52="",AE52=""),"",IF(NOT(OR(W52="Watching",W52="Preparing")),"",IF(AE52&lt;0,"PASSED",IF(AND(AE52&lt;=7,W52&lt;&gt;"Preparing"),"RED",IF(AE52&lt;=14,"AMBER","GREEN")))))</f>
        <v/>
      </c>
      <c r="AG52" s="59">
        <f>IF(OR(A52="",NOT(OR(W52="Watching",W52="Preparing"))),"",IF(AND(ISNUMBER(M52),M52&gt;=3000000000),"YES – ≥ TZS 3bn",IF(AND(ISNUMBER(AE52),AE52&gt;=0,AE52&lt;10,V52=""),"YES – &lt;10 days","")))</f>
        <v/>
      </c>
      <c r="AH52" s="68" t="n"/>
      <c r="AI52" s="74" t="inlineStr">
        <is>
          <t>Read the notice and decide with the QS Director whether to pursue</t>
        </is>
      </c>
      <c r="AJ52" s="74" t="inlineStr">
        <is>
          <t>Auto-scan</t>
        </is>
      </c>
      <c r="AK52" s="74" t="inlineStr">
        <is>
          <t>WB:OP00471685</t>
        </is>
      </c>
      <c r="AL52" s="59">
        <f>IF(AND(OR(W52="Watching",W52="Preparing"),ISNUMBER(Q52)),IF(AND(Q52&gt;='Friday Summary'!$C$4,Q52&lt;='Friday Summary'!$C$4+14),Q52+ROW()/1000000,""),"")</f>
        <v/>
      </c>
    </row>
    <row r="53" ht="15" customHeight="1" s="51">
      <c r="A53" s="59">
        <f>IF(B53="","","OP-"&amp;TEXT(ROW()-4,"000"))</f>
        <v/>
      </c>
      <c r="B53" s="70" t="inlineStr">
        <is>
          <t>TR153/2026/2027/W/04</t>
        </is>
      </c>
      <c r="C53" s="71" t="n">
        <v>46295</v>
      </c>
      <c r="D53" s="70" t="inlineStr">
        <is>
          <t>NeST</t>
        </is>
      </c>
      <c r="E53" s="70" t="inlineStr">
        <is>
          <t>https://nest.go.tz/tenders/published-tenders</t>
        </is>
      </c>
      <c r="F53" s="70" t="inlineStr">
        <is>
          <t>Bariadi Urban Water Supply and Sanitation Authority</t>
        </is>
      </c>
      <c r="G53" s="70" t="inlineStr">
        <is>
          <t>government</t>
        </is>
      </c>
      <c r="H53" s="70" t="inlineStr">
        <is>
          <t>CONSTRUCTION OF WATER SUPPLY SERVICE IMPROVEMENT PROJECT IN FOUR WATER STRESSED WARDS PHASE I IN BARIADI TOWN</t>
        </is>
      </c>
      <c r="I53" s="70" t="inlineStr">
        <is>
          <t>From NeST notice (1 lot) – read the tender document</t>
        </is>
      </c>
      <c r="J53" s="70" t="inlineStr">
        <is>
          <t>Simiyu (from client's office – confirm site)</t>
        </is>
      </c>
      <c r="K53" s="70" t="inlineStr">
        <is>
          <t>civil</t>
        </is>
      </c>
      <c r="L53" s="70" t="inlineStr">
        <is>
          <t>NeST login needed</t>
        </is>
      </c>
      <c r="M53" s="62" t="n"/>
      <c r="N53" s="70" t="inlineStr">
        <is>
          <t>unknown</t>
        </is>
      </c>
      <c r="O53" s="71" t="inlineStr">
        <is>
          <t>NeST login needed</t>
        </is>
      </c>
      <c r="P53" s="71" t="inlineStr">
        <is>
          <t>NeST login needed</t>
        </is>
      </c>
      <c r="Q53" s="72" t="n">
        <v>46301.58333333334</v>
      </c>
      <c r="R53" s="70" t="inlineStr">
        <is>
          <t>NeST login needed</t>
        </is>
      </c>
      <c r="S53" s="70" t="inlineStr">
        <is>
          <t>N</t>
        </is>
      </c>
      <c r="T53" s="64">
        <f>IF(A53="","",IFERROR(INDEX('Bid-NoBid'!$T:$T,MATCH(A53,'Bid-NoBid'!$A:$A,0)),""))</f>
        <v/>
      </c>
      <c r="U53" s="59">
        <f>IF(A53="","",IFERROR(IF(OR(INDEX('Bid-NoBid'!$U:$U,MATCH(A53,'Bid-NoBid'!$A:$A,0))="",LEFT(INDEX('Bid-NoBid'!$U:$U,MATCH(A53,'Bid-NoBid'!$A:$A,0)),10)="Incomplete"),"Screen: "&amp;AC53,INDEX('Bid-NoBid'!$U:$U,MATCH(A53,'Bid-NoBid'!$A:$A,0))),"Screen: "&amp;AC53))</f>
        <v/>
      </c>
      <c r="V53" s="60" t="n"/>
      <c r="W53" s="70" t="inlineStr">
        <is>
          <t>Watching</t>
        </is>
      </c>
      <c r="X53" s="70" t="inlineStr">
        <is>
          <t>Frank</t>
        </is>
      </c>
      <c r="Y53" s="60" t="n"/>
      <c r="Z53" s="60" t="n"/>
      <c r="AA53" s="73" t="n">
        <v>46294</v>
      </c>
      <c r="AB53" s="74" t="inlineStr">
        <is>
          <t>Small Works / Tender</t>
        </is>
      </c>
      <c r="AC53" s="74" t="inlineStr">
        <is>
          <t>Check</t>
        </is>
      </c>
      <c r="AD53" s="74" t="inlineStr">
        <is>
          <t>Auto (Small Works / Tender): Construction tender kept for review (would have been dropped: Remote civil works)</t>
        </is>
      </c>
      <c r="AE53" s="67">
        <f>IF(ISNUMBER(Q53),ROUNDDOWN(Q53-NOW(),1),"")</f>
        <v/>
      </c>
      <c r="AF53" s="59">
        <f>IF(OR(A53="",AE53=""),"",IF(NOT(OR(W53="Watching",W53="Preparing")),"",IF(AE53&lt;0,"PASSED",IF(AND(AE53&lt;=7,W53&lt;&gt;"Preparing"),"RED",IF(AE53&lt;=14,"AMBER","GREEN")))))</f>
        <v/>
      </c>
      <c r="AG53" s="59">
        <f>IF(OR(A53="",NOT(OR(W53="Watching",W53="Preparing"))),"",IF(AND(ISNUMBER(M53),M53&gt;=3000000000),"YES – ≥ TZS 3bn",IF(AND(ISNUMBER(AE53),AE53&gt;=0,AE53&lt;10,V53=""),"YES – &lt;10 days","")))</f>
        <v/>
      </c>
      <c r="AH53" s="68" t="n"/>
      <c r="AI53" s="74" t="inlineStr">
        <is>
          <t>Read the notice and decide with the QS Director whether to pursue</t>
        </is>
      </c>
      <c r="AJ53" s="74" t="inlineStr">
        <is>
          <t>Auto-scan</t>
        </is>
      </c>
      <c r="AK53" s="74" t="inlineStr">
        <is>
          <t>ef08abf9-8e2d-4513-9521-86c16ac2f43f</t>
        </is>
      </c>
      <c r="AL53" s="59">
        <f>IF(AND(OR(W53="Watching",W53="Preparing"),ISNUMBER(Q53)),IF(AND(Q53&gt;='Friday Summary'!$C$4,Q53&lt;='Friday Summary'!$C$4+14),Q53+ROW()/1000000,""),"")</f>
        <v/>
      </c>
    </row>
    <row r="54" ht="15" customHeight="1" s="51">
      <c r="A54" s="59">
        <f>IF(B54="","","OP-"&amp;TEXT(ROW()-4,"000"))</f>
        <v/>
      </c>
      <c r="B54" s="70" t="inlineStr">
        <is>
          <t>TR36/018/2026/2027/W/62</t>
        </is>
      </c>
      <c r="C54" s="71" t="n">
        <v>46295</v>
      </c>
      <c r="D54" s="70" t="inlineStr">
        <is>
          <t>NeST</t>
        </is>
      </c>
      <c r="E54" s="70" t="inlineStr">
        <is>
          <t>https://nest.go.tz/tenders/published-tenders</t>
        </is>
      </c>
      <c r="F54" s="70" t="inlineStr">
        <is>
          <t>TANROADS - Pwani Regional Office</t>
        </is>
      </c>
      <c r="G54" s="70" t="inlineStr">
        <is>
          <t>government</t>
        </is>
      </c>
      <c r="H54" s="70" t="inlineStr">
        <is>
          <t>ROAD SAFETY IMPROVEMENT IN COAST REGION</t>
        </is>
      </c>
      <c r="I54" s="70" t="inlineStr">
        <is>
          <t>From NeST notice (1 lot) – read the tender document</t>
        </is>
      </c>
      <c r="J54" s="70" t="inlineStr">
        <is>
          <t>Pwani</t>
        </is>
      </c>
      <c r="K54" s="70" t="inlineStr">
        <is>
          <t>civil</t>
        </is>
      </c>
      <c r="L54" s="70" t="inlineStr">
        <is>
          <t>NeST login needed</t>
        </is>
      </c>
      <c r="M54" s="62" t="n"/>
      <c r="N54" s="70" t="inlineStr">
        <is>
          <t>unknown</t>
        </is>
      </c>
      <c r="O54" s="71" t="inlineStr">
        <is>
          <t>NeST login needed</t>
        </is>
      </c>
      <c r="P54" s="71" t="inlineStr">
        <is>
          <t>NeST login needed</t>
        </is>
      </c>
      <c r="Q54" s="72" t="n">
        <v>46301.58333333334</v>
      </c>
      <c r="R54" s="70" t="inlineStr">
        <is>
          <t>NeST login needed</t>
        </is>
      </c>
      <c r="S54" s="70" t="inlineStr">
        <is>
          <t>N</t>
        </is>
      </c>
      <c r="T54" s="64">
        <f>IF(A54="","",IFERROR(INDEX('Bid-NoBid'!$T:$T,MATCH(A54,'Bid-NoBid'!$A:$A,0)),""))</f>
        <v/>
      </c>
      <c r="U54" s="59">
        <f>IF(A54="","",IFERROR(IF(OR(INDEX('Bid-NoBid'!$U:$U,MATCH(A54,'Bid-NoBid'!$A:$A,0))="",LEFT(INDEX('Bid-NoBid'!$U:$U,MATCH(A54,'Bid-NoBid'!$A:$A,0)),10)="Incomplete"),"Screen: "&amp;AC54,INDEX('Bid-NoBid'!$U:$U,MATCH(A54,'Bid-NoBid'!$A:$A,0))),"Screen: "&amp;AC54))</f>
        <v/>
      </c>
      <c r="V54" s="60" t="n"/>
      <c r="W54" s="70" t="inlineStr">
        <is>
          <t>Watching</t>
        </is>
      </c>
      <c r="X54" s="70" t="inlineStr">
        <is>
          <t>Frank</t>
        </is>
      </c>
      <c r="Y54" s="60" t="n"/>
      <c r="Z54" s="60" t="n"/>
      <c r="AA54" s="73" t="n">
        <v>46294</v>
      </c>
      <c r="AB54" s="74" t="inlineStr">
        <is>
          <t>Small Works / Tender</t>
        </is>
      </c>
      <c r="AC54" s="74" t="inlineStr">
        <is>
          <t>Check</t>
        </is>
      </c>
      <c r="AD54" s="74" t="inlineStr">
        <is>
          <t>Auto (Small Works / Tender): Civil works in Dar/Coast – confirm CRB class and margin</t>
        </is>
      </c>
      <c r="AE54" s="67">
        <f>IF(ISNUMBER(Q54),ROUNDDOWN(Q54-NOW(),1),"")</f>
        <v/>
      </c>
      <c r="AF54" s="59">
        <f>IF(OR(A54="",AE54=""),"",IF(NOT(OR(W54="Watching",W54="Preparing")),"",IF(AE54&lt;0,"PASSED",IF(AND(AE54&lt;=7,W54&lt;&gt;"Preparing"),"RED",IF(AE54&lt;=14,"AMBER","GREEN")))))</f>
        <v/>
      </c>
      <c r="AG54" s="59">
        <f>IF(OR(A54="",NOT(OR(W54="Watching",W54="Preparing"))),"",IF(AND(ISNUMBER(M54),M54&gt;=3000000000),"YES – ≥ TZS 3bn",IF(AND(ISNUMBER(AE54),AE54&gt;=0,AE54&lt;10,V54=""),"YES – &lt;10 days","")))</f>
        <v/>
      </c>
      <c r="AH54" s="68" t="n"/>
      <c r="AI54" s="74" t="inlineStr">
        <is>
          <t>Read the notice and decide with the QS Director whether to pursue</t>
        </is>
      </c>
      <c r="AJ54" s="74" t="inlineStr">
        <is>
          <t>Auto-scan</t>
        </is>
      </c>
      <c r="AK54" s="74" t="inlineStr">
        <is>
          <t>cd03841e-f8f4-4b27-96af-f9296f5d7434</t>
        </is>
      </c>
      <c r="AL54" s="59">
        <f>IF(AND(OR(W54="Watching",W54="Preparing"),ISNUMBER(Q54)),IF(AND(Q54&gt;='Friday Summary'!$C$4,Q54&lt;='Friday Summary'!$C$4+14),Q54+ROW()/1000000,""),"")</f>
        <v/>
      </c>
    </row>
    <row r="55" ht="15" customHeight="1" s="51">
      <c r="A55" s="59">
        <f>IF(B55="","","OP-"&amp;TEXT(ROW()-4,"000"))</f>
        <v/>
      </c>
      <c r="B55" s="70" t="inlineStr">
        <is>
          <t>TR36/026/2026/2027/W/02</t>
        </is>
      </c>
      <c r="C55" s="71" t="n">
        <v>46295</v>
      </c>
      <c r="D55" s="70" t="inlineStr">
        <is>
          <t>NeST</t>
        </is>
      </c>
      <c r="E55" s="70" t="inlineStr">
        <is>
          <t>https://nest.go.tz/tenders/published-tenders</t>
        </is>
      </c>
      <c r="F55" s="70" t="inlineStr">
        <is>
          <t>TANROADS - Tanga Regional Office</t>
        </is>
      </c>
      <c r="G55" s="70" t="inlineStr">
        <is>
          <t>government</t>
        </is>
      </c>
      <c r="H55" s="70" t="inlineStr">
        <is>
          <t>Periodic Maintenance works along Segera - Tanga - Chumbageni Jct road (T.013), Manga - Segera Road(T.002)and Muheza - Bombani Road (R522)</t>
        </is>
      </c>
      <c r="I55" s="70" t="inlineStr">
        <is>
          <t>From NeST notice (1 lot) – read the tender document</t>
        </is>
      </c>
      <c r="J55" s="70" t="inlineStr">
        <is>
          <t>Tanga</t>
        </is>
      </c>
      <c r="K55" s="70" t="inlineStr">
        <is>
          <t>civil</t>
        </is>
      </c>
      <c r="L55" s="70" t="inlineStr">
        <is>
          <t>NeST login needed</t>
        </is>
      </c>
      <c r="M55" s="62" t="n"/>
      <c r="N55" s="70" t="inlineStr">
        <is>
          <t>unknown</t>
        </is>
      </c>
      <c r="O55" s="71" t="inlineStr">
        <is>
          <t>NeST login needed</t>
        </is>
      </c>
      <c r="P55" s="71" t="inlineStr">
        <is>
          <t>NeST login needed</t>
        </is>
      </c>
      <c r="Q55" s="72" t="n">
        <v>46302.58333333334</v>
      </c>
      <c r="R55" s="70" t="inlineStr">
        <is>
          <t>NeST login needed</t>
        </is>
      </c>
      <c r="S55" s="70" t="inlineStr">
        <is>
          <t>N</t>
        </is>
      </c>
      <c r="T55" s="64">
        <f>IF(A55="","",IFERROR(INDEX('Bid-NoBid'!$T:$T,MATCH(A55,'Bid-NoBid'!$A:$A,0)),""))</f>
        <v/>
      </c>
      <c r="U55" s="59">
        <f>IF(A55="","",IFERROR(IF(OR(INDEX('Bid-NoBid'!$U:$U,MATCH(A55,'Bid-NoBid'!$A:$A,0))="",LEFT(INDEX('Bid-NoBid'!$U:$U,MATCH(A55,'Bid-NoBid'!$A:$A,0)),10)="Incomplete"),"Screen: "&amp;AC55,INDEX('Bid-NoBid'!$U:$U,MATCH(A55,'Bid-NoBid'!$A:$A,0))),"Screen: "&amp;AC55))</f>
        <v/>
      </c>
      <c r="V55" s="60" t="n"/>
      <c r="W55" s="70" t="inlineStr">
        <is>
          <t>Watching</t>
        </is>
      </c>
      <c r="X55" s="70" t="inlineStr">
        <is>
          <t>Frank</t>
        </is>
      </c>
      <c r="Y55" s="60" t="n"/>
      <c r="Z55" s="60" t="n"/>
      <c r="AA55" s="73" t="n">
        <v>46295</v>
      </c>
      <c r="AB55" s="74" t="inlineStr">
        <is>
          <t>Small Works / Tender</t>
        </is>
      </c>
      <c r="AC55" s="74" t="inlineStr">
        <is>
          <t>Check</t>
        </is>
      </c>
      <c r="AD55" s="74" t="inlineStr">
        <is>
          <t>Auto (Small Works / Tender): Civil works – confirm site, CRB class and margin</t>
        </is>
      </c>
      <c r="AE55" s="67">
        <f>IF(ISNUMBER(Q55),ROUNDDOWN(Q55-NOW(),1),"")</f>
        <v/>
      </c>
      <c r="AF55" s="59">
        <f>IF(OR(A55="",AE55=""),"",IF(NOT(OR(W55="Watching",W55="Preparing")),"",IF(AE55&lt;0,"PASSED",IF(AND(AE55&lt;=7,W55&lt;&gt;"Preparing"),"RED",IF(AE55&lt;=14,"AMBER","GREEN")))))</f>
        <v/>
      </c>
      <c r="AG55" s="59">
        <f>IF(OR(A55="",NOT(OR(W55="Watching",W55="Preparing"))),"",IF(AND(ISNUMBER(M55),M55&gt;=3000000000),"YES – ≥ TZS 3bn",IF(AND(ISNUMBER(AE55),AE55&gt;=0,AE55&lt;10,V55=""),"YES – &lt;10 days","")))</f>
        <v/>
      </c>
      <c r="AH55" s="68" t="n"/>
      <c r="AI55" s="74" t="inlineStr">
        <is>
          <t>Read the notice and decide with the QS Director whether to pursue</t>
        </is>
      </c>
      <c r="AJ55" s="74" t="inlineStr">
        <is>
          <t>Auto-scan</t>
        </is>
      </c>
      <c r="AK55" s="74" t="inlineStr">
        <is>
          <t>95dfa0f8-7ef0-4e60-84a2-55d398c325e3</t>
        </is>
      </c>
      <c r="AL55" s="59">
        <f>IF(AND(OR(W55="Watching",W55="Preparing"),ISNUMBER(Q55)),IF(AND(Q55&gt;='Friday Summary'!$C$4,Q55&lt;='Friday Summary'!$C$4+14),Q55+ROW()/1000000,""),"")</f>
        <v/>
      </c>
    </row>
    <row r="56" ht="15" customHeight="1" s="51">
      <c r="A56" s="59">
        <f>IF(B56="","","OP-"&amp;TEXT(ROW()-4,"000"))</f>
        <v/>
      </c>
      <c r="B56" s="70" t="inlineStr">
        <is>
          <t>76G4/2026/2027/W/08</t>
        </is>
      </c>
      <c r="C56" s="71" t="n">
        <v>46295</v>
      </c>
      <c r="D56" s="70" t="inlineStr">
        <is>
          <t>NeST</t>
        </is>
      </c>
      <c r="E56" s="70" t="inlineStr">
        <is>
          <t>https://nest.go.tz/tenders/published-tenders</t>
        </is>
      </c>
      <c r="F56" s="70" t="inlineStr">
        <is>
          <t>Kilwa District Council</t>
        </is>
      </c>
      <c r="G56" s="70" t="inlineStr">
        <is>
          <t>government</t>
        </is>
      </c>
      <c r="H56" s="70" t="inlineStr">
        <is>
          <t>CONSTRUCTION OF BUS STAND AT NANGURUKURU</t>
        </is>
      </c>
      <c r="I56" s="70" t="inlineStr">
        <is>
          <t>From NeST notice (1 lot) – read the tender document</t>
        </is>
      </c>
      <c r="J56" s="70" t="inlineStr">
        <is>
          <t>Lindi (Kilwa) (from client's office – confirm site)</t>
        </is>
      </c>
      <c r="K56" s="70" t="inlineStr">
        <is>
          <t>building</t>
        </is>
      </c>
      <c r="L56" s="70" t="inlineStr">
        <is>
          <t>NeST login needed</t>
        </is>
      </c>
      <c r="M56" s="62" t="n"/>
      <c r="N56" s="70" t="inlineStr">
        <is>
          <t>unknown</t>
        </is>
      </c>
      <c r="O56" s="71" t="inlineStr">
        <is>
          <t>NeST login needed</t>
        </is>
      </c>
      <c r="P56" s="71" t="inlineStr">
        <is>
          <t>NeST login needed</t>
        </is>
      </c>
      <c r="Q56" s="72" t="n">
        <v>46307.58333333334</v>
      </c>
      <c r="R56" s="70" t="inlineStr">
        <is>
          <t>NeST login needed</t>
        </is>
      </c>
      <c r="S56" s="70" t="inlineStr">
        <is>
          <t>N</t>
        </is>
      </c>
      <c r="T56" s="64">
        <f>IF(A56="","",IFERROR(INDEX('Bid-NoBid'!$T:$T,MATCH(A56,'Bid-NoBid'!$A:$A,0)),""))</f>
        <v/>
      </c>
      <c r="U56" s="59">
        <f>IF(A56="","",IFERROR(IF(OR(INDEX('Bid-NoBid'!$U:$U,MATCH(A56,'Bid-NoBid'!$A:$A,0))="",LEFT(INDEX('Bid-NoBid'!$U:$U,MATCH(A56,'Bid-NoBid'!$A:$A,0)),10)="Incomplete"),"Screen: "&amp;AC56,INDEX('Bid-NoBid'!$U:$U,MATCH(A56,'Bid-NoBid'!$A:$A,0))),"Screen: "&amp;AC56))</f>
        <v/>
      </c>
      <c r="V56" s="60" t="n"/>
      <c r="W56" s="70" t="inlineStr">
        <is>
          <t>Watching</t>
        </is>
      </c>
      <c r="X56" s="70" t="inlineStr">
        <is>
          <t>Frank</t>
        </is>
      </c>
      <c r="Y56" s="60" t="n"/>
      <c r="Z56" s="60" t="n"/>
      <c r="AA56" s="73" t="n">
        <v>46294</v>
      </c>
      <c r="AB56" s="74" t="inlineStr">
        <is>
          <t>Small Works / Tender</t>
        </is>
      </c>
      <c r="AC56" s="74" t="inlineStr">
        <is>
          <t>Check</t>
        </is>
      </c>
      <c r="AD56" s="74" t="inlineStr">
        <is>
          <t>Auto (Small Works / Tender): Lindi/Mtwara – Nordic has worked there (Likong'o)</t>
        </is>
      </c>
      <c r="AE56" s="67">
        <f>IF(ISNUMBER(Q56),ROUNDDOWN(Q56-NOW(),1),"")</f>
        <v/>
      </c>
      <c r="AF56" s="59">
        <f>IF(OR(A56="",AE56=""),"",IF(NOT(OR(W56="Watching",W56="Preparing")),"",IF(AE56&lt;0,"PASSED",IF(AND(AE56&lt;=7,W56&lt;&gt;"Preparing"),"RED",IF(AE56&lt;=14,"AMBER","GREEN")))))</f>
        <v/>
      </c>
      <c r="AG56" s="59">
        <f>IF(OR(A56="",NOT(OR(W56="Watching",W56="Preparing"))),"",IF(AND(ISNUMBER(M56),M56&gt;=3000000000),"YES – ≥ TZS 3bn",IF(AND(ISNUMBER(AE56),AE56&gt;=0,AE56&lt;10,V56=""),"YES – &lt;10 days","")))</f>
        <v/>
      </c>
      <c r="AH56" s="68" t="n"/>
      <c r="AI56" s="74" t="inlineStr">
        <is>
          <t>Read the notice and decide with the QS Director whether to pursue</t>
        </is>
      </c>
      <c r="AJ56" s="74" t="inlineStr">
        <is>
          <t>Auto-scan</t>
        </is>
      </c>
      <c r="AK56" s="74" t="inlineStr">
        <is>
          <t>d8d998ce-ea90-40a9-b6a8-621b4100a533</t>
        </is>
      </c>
      <c r="AL56" s="59">
        <f>IF(AND(OR(W56="Watching",W56="Preparing"),ISNUMBER(Q56)),IF(AND(Q56&gt;='Friday Summary'!$C$4,Q56&lt;='Friday Summary'!$C$4+14),Q56+ROW()/1000000,""),"")</f>
        <v/>
      </c>
    </row>
    <row r="57" ht="15" customHeight="1" s="51">
      <c r="A57" s="59">
        <f>IF(B57="","","OP-"&amp;TEXT(ROW()-4,"000"))</f>
        <v/>
      </c>
      <c r="B57" s="70" t="inlineStr">
        <is>
          <t>7205/2026/2027/W/10</t>
        </is>
      </c>
      <c r="C57" s="71" t="n">
        <v>46296</v>
      </c>
      <c r="D57" s="70" t="inlineStr">
        <is>
          <t>NeST</t>
        </is>
      </c>
      <c r="E57" s="70" t="inlineStr">
        <is>
          <t>https://nest.go.tz/tenders/published-tenders</t>
        </is>
      </c>
      <c r="F57" s="70" t="inlineStr">
        <is>
          <t>City Council of Dodoma</t>
        </is>
      </c>
      <c r="G57" s="70" t="inlineStr">
        <is>
          <t>government</t>
        </is>
      </c>
      <c r="H57" s="70" t="inlineStr">
        <is>
          <t>Construction of house to City Director of The City Couuncil of Dodoma</t>
        </is>
      </c>
      <c r="I57" s="70" t="inlineStr">
        <is>
          <t>From NeST notice (1 lot) – read the tender document</t>
        </is>
      </c>
      <c r="J57" s="70" t="inlineStr">
        <is>
          <t>Dodoma</t>
        </is>
      </c>
      <c r="K57" s="70" t="inlineStr">
        <is>
          <t>building</t>
        </is>
      </c>
      <c r="L57" s="70" t="inlineStr">
        <is>
          <t>NeST login needed</t>
        </is>
      </c>
      <c r="M57" s="62" t="n"/>
      <c r="N57" s="70" t="inlineStr">
        <is>
          <t>unknown</t>
        </is>
      </c>
      <c r="O57" s="71" t="inlineStr">
        <is>
          <t>NeST login needed</t>
        </is>
      </c>
      <c r="P57" s="71" t="inlineStr">
        <is>
          <t>NeST login needed</t>
        </is>
      </c>
      <c r="Q57" s="72" t="n">
        <v>46302.58333333334</v>
      </c>
      <c r="R57" s="70" t="inlineStr">
        <is>
          <t>NeST login needed</t>
        </is>
      </c>
      <c r="S57" s="70" t="inlineStr">
        <is>
          <t>N</t>
        </is>
      </c>
      <c r="T57" s="64">
        <f>IF(A57="","",IFERROR(INDEX('Bid-NoBid'!$T:$T,MATCH(A57,'Bid-NoBid'!$A:$A,0)),""))</f>
        <v/>
      </c>
      <c r="U57" s="59">
        <f>IF(A57="","",IFERROR(IF(OR(INDEX('Bid-NoBid'!$U:$U,MATCH(A57,'Bid-NoBid'!$A:$A,0))="",LEFT(INDEX('Bid-NoBid'!$U:$U,MATCH(A57,'Bid-NoBid'!$A:$A,0)),10)="Incomplete"),"Screen: "&amp;AC57,INDEX('Bid-NoBid'!$U:$U,MATCH(A57,'Bid-NoBid'!$A:$A,0))),"Screen: "&amp;AC57))</f>
        <v/>
      </c>
      <c r="V57" s="60" t="n"/>
      <c r="W57" s="70" t="inlineStr">
        <is>
          <t>Watching</t>
        </is>
      </c>
      <c r="X57" s="70" t="inlineStr">
        <is>
          <t>Frank</t>
        </is>
      </c>
      <c r="Y57" s="60" t="n"/>
      <c r="Z57" s="60" t="n"/>
      <c r="AA57" s="73" t="n">
        <v>46295</v>
      </c>
      <c r="AB57" s="74" t="inlineStr">
        <is>
          <t>Works Subcontracts / Tender</t>
        </is>
      </c>
      <c r="AC57" s="74" t="inlineStr">
        <is>
          <t>Check</t>
        </is>
      </c>
      <c r="AD57" s="74" t="inlineStr">
        <is>
          <t>Auto (Works Subcontracts / Tender): Construction tender kept for review (would have been dropped: Works subcontract package – not main-contractor work)</t>
        </is>
      </c>
      <c r="AE57" s="67">
        <f>IF(ISNUMBER(Q57),ROUNDDOWN(Q57-NOW(),1),"")</f>
        <v/>
      </c>
      <c r="AF57" s="59">
        <f>IF(OR(A57="",AE57=""),"",IF(NOT(OR(W57="Watching",W57="Preparing")),"",IF(AE57&lt;0,"PASSED",IF(AND(AE57&lt;=7,W57&lt;&gt;"Preparing"),"RED",IF(AE57&lt;=14,"AMBER","GREEN")))))</f>
        <v/>
      </c>
      <c r="AG57" s="59">
        <f>IF(OR(A57="",NOT(OR(W57="Watching",W57="Preparing"))),"",IF(AND(ISNUMBER(M57),M57&gt;=3000000000),"YES – ≥ TZS 3bn",IF(AND(ISNUMBER(AE57),AE57&gt;=0,AE57&lt;10,V57=""),"YES – &lt;10 days","")))</f>
        <v/>
      </c>
      <c r="AH57" s="68" t="n"/>
      <c r="AI57" s="74" t="inlineStr">
        <is>
          <t>Read the notice and decide with the QS Director whether to pursue</t>
        </is>
      </c>
      <c r="AJ57" s="74" t="inlineStr">
        <is>
          <t>Auto-scan</t>
        </is>
      </c>
      <c r="AK57" s="74" t="inlineStr">
        <is>
          <t>b0493556-3fff-487b-9d6d-418be1e7b9af</t>
        </is>
      </c>
      <c r="AL57" s="59">
        <f>IF(AND(OR(W57="Watching",W57="Preparing"),ISNUMBER(Q57)),IF(AND(Q57&gt;='Friday Summary'!$C$4,Q57&lt;='Friday Summary'!$C$4+14),Q57+ROW()/1000000,""),"")</f>
        <v/>
      </c>
    </row>
    <row r="58" ht="15" customHeight="1" s="51">
      <c r="A58" s="59">
        <f>IF(B58="","","OP-"&amp;TEXT(ROW()-4,"000"))</f>
        <v/>
      </c>
      <c r="B58" s="70" t="inlineStr">
        <is>
          <t>78J5/2026/2027/W/04</t>
        </is>
      </c>
      <c r="C58" s="71" t="n">
        <v>46296</v>
      </c>
      <c r="D58" s="70" t="inlineStr">
        <is>
          <t>NeST</t>
        </is>
      </c>
      <c r="E58" s="70" t="inlineStr">
        <is>
          <t>https://nest.go.tz/tenders/published-tenders</t>
        </is>
      </c>
      <c r="F58" s="70" t="inlineStr">
        <is>
          <t>Kyela District Council</t>
        </is>
      </c>
      <c r="G58" s="70" t="inlineStr">
        <is>
          <t>government</t>
        </is>
      </c>
      <c r="H58" s="70" t="inlineStr">
        <is>
          <t>Construction of New OPD and Emergency Department Building Block at Kyela District Hospital</t>
        </is>
      </c>
      <c r="I58" s="70" t="inlineStr">
        <is>
          <t>From NeST notice (1 lot) – read the tender document</t>
        </is>
      </c>
      <c r="J58" s="70" t="inlineStr">
        <is>
          <t>Mbeya (from client's office – confirm site)</t>
        </is>
      </c>
      <c r="K58" s="70" t="inlineStr">
        <is>
          <t>building</t>
        </is>
      </c>
      <c r="L58" s="70" t="inlineStr">
        <is>
          <t>NeST login needed</t>
        </is>
      </c>
      <c r="M58" s="62" t="n"/>
      <c r="N58" s="70" t="inlineStr">
        <is>
          <t>unknown</t>
        </is>
      </c>
      <c r="O58" s="71" t="inlineStr">
        <is>
          <t>NeST login needed</t>
        </is>
      </c>
      <c r="P58" s="71" t="inlineStr">
        <is>
          <t>NeST login needed</t>
        </is>
      </c>
      <c r="Q58" s="72" t="n">
        <v>46302.58333333334</v>
      </c>
      <c r="R58" s="70" t="inlineStr">
        <is>
          <t>NeST login needed</t>
        </is>
      </c>
      <c r="S58" s="70" t="inlineStr">
        <is>
          <t>N</t>
        </is>
      </c>
      <c r="T58" s="64">
        <f>IF(A58="","",IFERROR(INDEX('Bid-NoBid'!$T:$T,MATCH(A58,'Bid-NoBid'!$A:$A,0)),""))</f>
        <v/>
      </c>
      <c r="U58" s="59">
        <f>IF(A58="","",IFERROR(IF(OR(INDEX('Bid-NoBid'!$U:$U,MATCH(A58,'Bid-NoBid'!$A:$A,0))="",LEFT(INDEX('Bid-NoBid'!$U:$U,MATCH(A58,'Bid-NoBid'!$A:$A,0)),10)="Incomplete"),"Screen: "&amp;AC58,INDEX('Bid-NoBid'!$U:$U,MATCH(A58,'Bid-NoBid'!$A:$A,0))),"Screen: "&amp;AC58))</f>
        <v/>
      </c>
      <c r="V58" s="60" t="n"/>
      <c r="W58" s="70" t="inlineStr">
        <is>
          <t>Watching</t>
        </is>
      </c>
      <c r="X58" s="70" t="inlineStr">
        <is>
          <t>Frank</t>
        </is>
      </c>
      <c r="Y58" s="60" t="n"/>
      <c r="Z58" s="60" t="n"/>
      <c r="AA58" s="73" t="n">
        <v>46295</v>
      </c>
      <c r="AB58" s="74" t="inlineStr">
        <is>
          <t>Small Works / Tender</t>
        </is>
      </c>
      <c r="AC58" s="74" t="inlineStr">
        <is>
          <t>Check</t>
        </is>
      </c>
      <c r="AD58" s="74" t="inlineStr">
        <is>
          <t>Auto (Small Works / Tender): Construction tender kept for review (would have been dropped: Remote and closing soon)</t>
        </is>
      </c>
      <c r="AE58" s="67">
        <f>IF(ISNUMBER(Q58),ROUNDDOWN(Q58-NOW(),1),"")</f>
        <v/>
      </c>
      <c r="AF58" s="59">
        <f>IF(OR(A58="",AE58=""),"",IF(NOT(OR(W58="Watching",W58="Preparing")),"",IF(AE58&lt;0,"PASSED",IF(AND(AE58&lt;=7,W58&lt;&gt;"Preparing"),"RED",IF(AE58&lt;=14,"AMBER","GREEN")))))</f>
        <v/>
      </c>
      <c r="AG58" s="59">
        <f>IF(OR(A58="",NOT(OR(W58="Watching",W58="Preparing"))),"",IF(AND(ISNUMBER(M58),M58&gt;=3000000000),"YES – ≥ TZS 3bn",IF(AND(ISNUMBER(AE58),AE58&gt;=0,AE58&lt;10,V58=""),"YES – &lt;10 days","")))</f>
        <v/>
      </c>
      <c r="AH58" s="68" t="n"/>
      <c r="AI58" s="74" t="inlineStr">
        <is>
          <t>Read the notice and decide with the QS Director whether to pursue</t>
        </is>
      </c>
      <c r="AJ58" s="74" t="inlineStr">
        <is>
          <t>Auto-scan</t>
        </is>
      </c>
      <c r="AK58" s="74" t="inlineStr">
        <is>
          <t>fd1fb077-049b-4c58-871c-3503ccfd404f</t>
        </is>
      </c>
      <c r="AL58" s="59">
        <f>IF(AND(OR(W58="Watching",W58="Preparing"),ISNUMBER(Q58)),IF(AND(Q58&gt;='Friday Summary'!$C$4,Q58&lt;='Friday Summary'!$C$4+14),Q58+ROW()/1000000,""),"")</f>
        <v/>
      </c>
    </row>
    <row r="59" ht="15" customHeight="1" s="51">
      <c r="A59" s="59">
        <f>IF(B59="","","OP-"&amp;TEXT(ROW()-4,"000"))</f>
        <v/>
      </c>
      <c r="B59" s="70" t="inlineStr">
        <is>
          <t>TR36/008/2026/2027/W/42</t>
        </is>
      </c>
      <c r="C59" s="71" t="n">
        <v>46296</v>
      </c>
      <c r="D59" s="70" t="inlineStr">
        <is>
          <t>NeST</t>
        </is>
      </c>
      <c r="E59" s="70" t="inlineStr">
        <is>
          <t>https://nest.go.tz/tenders/published-tenders</t>
        </is>
      </c>
      <c r="F59" s="70" t="inlineStr">
        <is>
          <t>TANROADS - Kigoma Regional Office</t>
        </is>
      </c>
      <c r="G59" s="70" t="inlineStr">
        <is>
          <t>government</t>
        </is>
      </c>
      <c r="H59" s="70" t="inlineStr">
        <is>
          <t>Construction Box Culvert and Catchwater Drain along Kigoma - Ujiji Paved Trunk Road</t>
        </is>
      </c>
      <c r="I59" s="70" t="inlineStr">
        <is>
          <t>From NeST notice (1 lot) – read the tender document</t>
        </is>
      </c>
      <c r="J59" s="70" t="inlineStr">
        <is>
          <t>Kigoma</t>
        </is>
      </c>
      <c r="K59" s="70" t="inlineStr">
        <is>
          <t>civil</t>
        </is>
      </c>
      <c r="L59" s="70" t="inlineStr">
        <is>
          <t>NeST login needed</t>
        </is>
      </c>
      <c r="M59" s="62" t="n"/>
      <c r="N59" s="70" t="inlineStr">
        <is>
          <t>unknown</t>
        </is>
      </c>
      <c r="O59" s="71" t="inlineStr">
        <is>
          <t>NeST login needed</t>
        </is>
      </c>
      <c r="P59" s="71" t="inlineStr">
        <is>
          <t>NeST login needed</t>
        </is>
      </c>
      <c r="Q59" s="72" t="n">
        <v>46303.58333333334</v>
      </c>
      <c r="R59" s="70" t="inlineStr">
        <is>
          <t>NeST login needed</t>
        </is>
      </c>
      <c r="S59" s="70" t="inlineStr">
        <is>
          <t>N</t>
        </is>
      </c>
      <c r="T59" s="64">
        <f>IF(A59="","",IFERROR(INDEX('Bid-NoBid'!$T:$T,MATCH(A59,'Bid-NoBid'!$A:$A,0)),""))</f>
        <v/>
      </c>
      <c r="U59" s="59">
        <f>IF(A59="","",IFERROR(IF(OR(INDEX('Bid-NoBid'!$U:$U,MATCH(A59,'Bid-NoBid'!$A:$A,0))="",LEFT(INDEX('Bid-NoBid'!$U:$U,MATCH(A59,'Bid-NoBid'!$A:$A,0)),10)="Incomplete"),"Screen: "&amp;AC59,INDEX('Bid-NoBid'!$U:$U,MATCH(A59,'Bid-NoBid'!$A:$A,0))),"Screen: "&amp;AC59))</f>
        <v/>
      </c>
      <c r="V59" s="60" t="n"/>
      <c r="W59" s="70" t="inlineStr">
        <is>
          <t>Watching</t>
        </is>
      </c>
      <c r="X59" s="70" t="inlineStr">
        <is>
          <t>Frank</t>
        </is>
      </c>
      <c r="Y59" s="60" t="n"/>
      <c r="Z59" s="60" t="n"/>
      <c r="AA59" s="73" t="n">
        <v>46296</v>
      </c>
      <c r="AB59" s="74" t="inlineStr">
        <is>
          <t>Small Works / Tender</t>
        </is>
      </c>
      <c r="AC59" s="74" t="inlineStr">
        <is>
          <t>Check</t>
        </is>
      </c>
      <c r="AD59" s="74" t="inlineStr">
        <is>
          <t>Auto (Small Works / Tender): Construction tender kept for review (would have been dropped: Remote civil works)</t>
        </is>
      </c>
      <c r="AE59" s="67">
        <f>IF(ISNUMBER(Q59),ROUNDDOWN(Q59-NOW(),1),"")</f>
        <v/>
      </c>
      <c r="AF59" s="59">
        <f>IF(OR(A59="",AE59=""),"",IF(NOT(OR(W59="Watching",W59="Preparing")),"",IF(AE59&lt;0,"PASSED",IF(AND(AE59&lt;=7,W59&lt;&gt;"Preparing"),"RED",IF(AE59&lt;=14,"AMBER","GREEN")))))</f>
        <v/>
      </c>
      <c r="AG59" s="59">
        <f>IF(OR(A59="",NOT(OR(W59="Watching",W59="Preparing"))),"",IF(AND(ISNUMBER(M59),M59&gt;=3000000000),"YES – ≥ TZS 3bn",IF(AND(ISNUMBER(AE59),AE59&gt;=0,AE59&lt;10,V59=""),"YES – &lt;10 days","")))</f>
        <v/>
      </c>
      <c r="AH59" s="68" t="n"/>
      <c r="AI59" s="74" t="inlineStr">
        <is>
          <t>Read the notice and decide with the QS Director whether to pursue</t>
        </is>
      </c>
      <c r="AJ59" s="74" t="inlineStr">
        <is>
          <t>Auto-scan</t>
        </is>
      </c>
      <c r="AK59" s="74" t="inlineStr">
        <is>
          <t>2ecad80f-1cb6-40a7-8d62-4ada928b9c16</t>
        </is>
      </c>
      <c r="AL59" s="59">
        <f>IF(AND(OR(W59="Watching",W59="Preparing"),ISNUMBER(Q59)),IF(AND(Q59&gt;='Friday Summary'!$C$4,Q59&lt;='Friday Summary'!$C$4+14),Q59+ROW()/1000000,""),"")</f>
        <v/>
      </c>
    </row>
    <row r="60" ht="15" customHeight="1" s="51">
      <c r="A60" s="59">
        <f>IF(B60="","","OP-"&amp;TEXT(ROW()-4,"000"))</f>
        <v/>
      </c>
      <c r="B60" s="70" t="inlineStr">
        <is>
          <t>(not shown)</t>
        </is>
      </c>
      <c r="C60" s="71" t="n">
        <v>46296</v>
      </c>
      <c r="D60" s="70" t="inlineStr">
        <is>
          <t>press</t>
        </is>
      </c>
      <c r="E60" s="70" t="inlineStr">
        <is>
          <t>https://www.tanzaniatenders.com/tender/usambazaji-na-ufungaji-wa-milango-ya-mbao-katika-ujenzi-wa-ofisi-za-tarafa-zoisa-makang-wa-kibakwe-8f3c6e5.php</t>
        </is>
      </c>
      <c r="F60" s="70" t="inlineStr">
        <is>
          <t>See advert</t>
        </is>
      </c>
      <c r="G60" s="70" t="inlineStr">
        <is>
          <t>government</t>
        </is>
      </c>
      <c r="H60" s="70" t="inlineStr">
        <is>
          <t>Usambazaji Na Ufungaji Wa Milango Ya Mbao Katika Ujenzi Wa Ofisi Za Tarafa Zoisa, Makang'wa, Kibakwe, Mundemu, Pahi Na Goima</t>
        </is>
      </c>
      <c r="I60" s="70" t="inlineStr">
        <is>
          <t>From press notice (1 lot) – read the tender document</t>
        </is>
      </c>
      <c r="J60" s="70" t="inlineStr">
        <is>
          <t>Not stated – read the notice</t>
        </is>
      </c>
      <c r="K60" s="70" t="inlineStr">
        <is>
          <t>building</t>
        </is>
      </c>
      <c r="L60" s="70" t="inlineStr">
        <is>
          <t>See tender document</t>
        </is>
      </c>
      <c r="M60" s="62" t="n"/>
      <c r="N60" s="70" t="inlineStr">
        <is>
          <t>unknown</t>
        </is>
      </c>
      <c r="O60" s="71" t="inlineStr">
        <is>
          <t>See tender document</t>
        </is>
      </c>
      <c r="P60" s="71" t="inlineStr">
        <is>
          <t>See tender document</t>
        </is>
      </c>
      <c r="Q60" s="72" t="n">
        <v>46303.41666666666</v>
      </c>
      <c r="R60" s="70" t="inlineStr">
        <is>
          <t>See tender document</t>
        </is>
      </c>
      <c r="S60" s="70" t="inlineStr">
        <is>
          <t>N</t>
        </is>
      </c>
      <c r="T60" s="64">
        <f>IF(A60="","",IFERROR(INDEX('Bid-NoBid'!$T:$T,MATCH(A60,'Bid-NoBid'!$A:$A,0)),""))</f>
        <v/>
      </c>
      <c r="U60" s="59">
        <f>IF(A60="","",IFERROR(IF(OR(INDEX('Bid-NoBid'!$U:$U,MATCH(A60,'Bid-NoBid'!$A:$A,0))="",LEFT(INDEX('Bid-NoBid'!$U:$U,MATCH(A60,'Bid-NoBid'!$A:$A,0)),10)="Incomplete"),"Screen: "&amp;AC60,INDEX('Bid-NoBid'!$U:$U,MATCH(A60,'Bid-NoBid'!$A:$A,0))),"Screen: "&amp;AC60))</f>
        <v/>
      </c>
      <c r="V60" s="60" t="n"/>
      <c r="W60" s="70" t="inlineStr">
        <is>
          <t>Watching</t>
        </is>
      </c>
      <c r="X60" s="70" t="inlineStr">
        <is>
          <t>Frank</t>
        </is>
      </c>
      <c r="Y60" s="60" t="n"/>
      <c r="Z60" s="60" t="n"/>
      <c r="AA60" s="73" t="n"/>
      <c r="AB60" s="74" t="inlineStr">
        <is>
          <t>TanzaniaTenders.com (newspapers / portals / private)</t>
        </is>
      </c>
      <c r="AC60" s="74" t="inlineStr">
        <is>
          <t>Check</t>
        </is>
      </c>
      <c r="AD60" s="74" t="inlineStr">
        <is>
          <t>Auto (TanzaniaTenders.com): Site not stated in the listing – read the notice · deadline read from the web page – confirm</t>
        </is>
      </c>
      <c r="AE60" s="67">
        <f>IF(ISNUMBER(Q60),ROUNDDOWN(Q60-NOW(),1),"")</f>
        <v/>
      </c>
      <c r="AF60" s="59">
        <f>IF(OR(A60="",AE60=""),"",IF(NOT(OR(W60="Watching",W60="Preparing")),"",IF(AE60&lt;0,"PASSED",IF(AND(AE60&lt;=7,W60&lt;&gt;"Preparing"),"RED",IF(AE60&lt;=14,"AMBER","GREEN")))))</f>
        <v/>
      </c>
      <c r="AG60" s="59">
        <f>IF(OR(A60="",NOT(OR(W60="Watching",W60="Preparing"))),"",IF(AND(ISNUMBER(M60),M60&gt;=3000000000),"YES – ≥ TZS 3bn",IF(AND(ISNUMBER(AE60),AE60&gt;=0,AE60&lt;10,V60=""),"YES – &lt;10 days","")))</f>
        <v/>
      </c>
      <c r="AH60" s="68" t="n"/>
      <c r="AI60" s="74" t="inlineStr">
        <is>
          <t>Read the notice and decide with the QS Director whether to pursue</t>
        </is>
      </c>
      <c r="AJ60" s="74" t="inlineStr">
        <is>
          <t>Auto-scan</t>
        </is>
      </c>
      <c r="AK60" s="74" t="inlineStr">
        <is>
          <t>TZT:150193893</t>
        </is>
      </c>
      <c r="AL60" s="59">
        <f>IF(AND(OR(W60="Watching",W60="Preparing"),ISNUMBER(Q60)),IF(AND(Q60&gt;='Friday Summary'!$C$4,Q60&lt;='Friday Summary'!$C$4+14),Q60+ROW()/1000000,""),"")</f>
        <v/>
      </c>
    </row>
    <row r="61" ht="15" customHeight="1" s="51">
      <c r="A61" s="59">
        <f>IF(B61="","","OP-"&amp;TEXT(ROW()-4,"000"))</f>
        <v/>
      </c>
      <c r="B61" s="70" t="inlineStr">
        <is>
          <t>(not shown)</t>
        </is>
      </c>
      <c r="C61" s="71" t="n">
        <v>46296</v>
      </c>
      <c r="D61" s="70" t="inlineStr">
        <is>
          <t>press</t>
        </is>
      </c>
      <c r="E61" s="70" t="inlineStr">
        <is>
          <t>https://www.tanzaniatenders.com/tender/tza23002-10012-construction-materials-kidyama-water-supply-scheme-8f33822.php</t>
        </is>
      </c>
      <c r="F61" s="70" t="inlineStr">
        <is>
          <t>See advert</t>
        </is>
      </c>
      <c r="G61" s="70" t="inlineStr">
        <is>
          <t>government</t>
        </is>
      </c>
      <c r="H61" s="70" t="inlineStr">
        <is>
          <t>Tza23002-10012 - Construction Materials for Kidyama Water Supply Scheme</t>
        </is>
      </c>
      <c r="I61" s="70" t="inlineStr">
        <is>
          <t>From press notice (1 lot) – read the tender document</t>
        </is>
      </c>
      <c r="J61" s="70" t="inlineStr">
        <is>
          <t>Not stated – read the notice</t>
        </is>
      </c>
      <c r="K61" s="70" t="inlineStr">
        <is>
          <t>civil</t>
        </is>
      </c>
      <c r="L61" s="70" t="inlineStr">
        <is>
          <t>See tender document</t>
        </is>
      </c>
      <c r="M61" s="62" t="n"/>
      <c r="N61" s="70" t="inlineStr">
        <is>
          <t>unknown</t>
        </is>
      </c>
      <c r="O61" s="71" t="inlineStr">
        <is>
          <t>See tender document</t>
        </is>
      </c>
      <c r="P61" s="71" t="inlineStr">
        <is>
          <t>See tender document</t>
        </is>
      </c>
      <c r="Q61" s="72" t="n">
        <v>46311.41666666666</v>
      </c>
      <c r="R61" s="70" t="inlineStr">
        <is>
          <t>See tender document</t>
        </is>
      </c>
      <c r="S61" s="70" t="inlineStr">
        <is>
          <t>N</t>
        </is>
      </c>
      <c r="T61" s="64">
        <f>IF(A61="","",IFERROR(INDEX('Bid-NoBid'!$T:$T,MATCH(A61,'Bid-NoBid'!$A:$A,0)),""))</f>
        <v/>
      </c>
      <c r="U61" s="59">
        <f>IF(A61="","",IFERROR(IF(OR(INDEX('Bid-NoBid'!$U:$U,MATCH(A61,'Bid-NoBid'!$A:$A,0))="",LEFT(INDEX('Bid-NoBid'!$U:$U,MATCH(A61,'Bid-NoBid'!$A:$A,0)),10)="Incomplete"),"Screen: "&amp;AC61,INDEX('Bid-NoBid'!$U:$U,MATCH(A61,'Bid-NoBid'!$A:$A,0))),"Screen: "&amp;AC61))</f>
        <v/>
      </c>
      <c r="V61" s="60" t="n"/>
      <c r="W61" s="70" t="inlineStr">
        <is>
          <t>Watching</t>
        </is>
      </c>
      <c r="X61" s="70" t="inlineStr">
        <is>
          <t>Frank</t>
        </is>
      </c>
      <c r="Y61" s="60" t="n"/>
      <c r="Z61" s="60" t="n"/>
      <c r="AA61" s="73" t="n"/>
      <c r="AB61" s="74" t="inlineStr">
        <is>
          <t>TanzaniaTenders.com (newspapers / portals / private)</t>
        </is>
      </c>
      <c r="AC61" s="74" t="inlineStr">
        <is>
          <t>Check</t>
        </is>
      </c>
      <c r="AD61" s="74" t="inlineStr">
        <is>
          <t>Auto (TanzaniaTenders.com): Civil works – confirm site, CRB class and margin · deadline read from the web page – confirm</t>
        </is>
      </c>
      <c r="AE61" s="67">
        <f>IF(ISNUMBER(Q61),ROUNDDOWN(Q61-NOW(),1),"")</f>
        <v/>
      </c>
      <c r="AF61" s="59">
        <f>IF(OR(A61="",AE61=""),"",IF(NOT(OR(W61="Watching",W61="Preparing")),"",IF(AE61&lt;0,"PASSED",IF(AND(AE61&lt;=7,W61&lt;&gt;"Preparing"),"RED",IF(AE61&lt;=14,"AMBER","GREEN")))))</f>
        <v/>
      </c>
      <c r="AG61" s="59">
        <f>IF(OR(A61="",NOT(OR(W61="Watching",W61="Preparing"))),"",IF(AND(ISNUMBER(M61),M61&gt;=3000000000),"YES – ≥ TZS 3bn",IF(AND(ISNUMBER(AE61),AE61&gt;=0,AE61&lt;10,V61=""),"YES – &lt;10 days","")))</f>
        <v/>
      </c>
      <c r="AH61" s="68" t="n"/>
      <c r="AI61" s="74" t="inlineStr">
        <is>
          <t>Read the notice and decide with the QS Director whether to pursue</t>
        </is>
      </c>
      <c r="AJ61" s="74" t="inlineStr">
        <is>
          <t>Auto-scan</t>
        </is>
      </c>
      <c r="AK61" s="74" t="inlineStr">
        <is>
          <t>TZT:150157346</t>
        </is>
      </c>
      <c r="AL61" s="59">
        <f>IF(AND(OR(W61="Watching",W61="Preparing"),ISNUMBER(Q61)),IF(AND(Q61&gt;='Friday Summary'!$C$4,Q61&lt;='Friday Summary'!$C$4+14),Q61+ROW()/1000000,""),"")</f>
        <v/>
      </c>
    </row>
    <row r="62" ht="15" customHeight="1" s="51">
      <c r="A62" s="59">
        <f>IF(B62="","","OP-"&amp;TEXT(ROW()-4,"000"))</f>
        <v/>
      </c>
      <c r="B62" s="70" t="inlineStr">
        <is>
          <t>52/063/2026/2027/W/03</t>
        </is>
      </c>
      <c r="C62" s="71" t="n">
        <v>46297</v>
      </c>
      <c r="D62" s="70" t="inlineStr">
        <is>
          <t>NeST</t>
        </is>
      </c>
      <c r="E62" s="70" t="inlineStr">
        <is>
          <t>https://nest.go.tz/tenders/published-tenders</t>
        </is>
      </c>
      <c r="F62" s="70" t="inlineStr">
        <is>
          <t>Sokoine Regional Referral Hospital (lindi)</t>
        </is>
      </c>
      <c r="G62" s="70" t="inlineStr">
        <is>
          <t>government</t>
        </is>
      </c>
      <c r="H62" s="70" t="inlineStr">
        <is>
          <t>Proposed construction of Oxygen Plant Building at Sokoine Regional Referral Hospital - Lindi</t>
        </is>
      </c>
      <c r="I62" s="70" t="inlineStr">
        <is>
          <t>From NeST notice (1 lot) – read the tender document</t>
        </is>
      </c>
      <c r="J62" s="70" t="inlineStr">
        <is>
          <t>Lindi</t>
        </is>
      </c>
      <c r="K62" s="70" t="inlineStr">
        <is>
          <t>building</t>
        </is>
      </c>
      <c r="L62" s="70" t="inlineStr">
        <is>
          <t>NeST login needed</t>
        </is>
      </c>
      <c r="M62" s="62" t="n"/>
      <c r="N62" s="70" t="inlineStr">
        <is>
          <t>unknown</t>
        </is>
      </c>
      <c r="O62" s="71" t="inlineStr">
        <is>
          <t>NeST login needed</t>
        </is>
      </c>
      <c r="P62" s="71" t="inlineStr">
        <is>
          <t>NeST login needed</t>
        </is>
      </c>
      <c r="Q62" s="72" t="n">
        <v>46303.58333333334</v>
      </c>
      <c r="R62" s="70" t="inlineStr">
        <is>
          <t>NeST login needed</t>
        </is>
      </c>
      <c r="S62" s="70" t="inlineStr">
        <is>
          <t>N</t>
        </is>
      </c>
      <c r="T62" s="64">
        <f>IF(A62="","",IFERROR(INDEX('Bid-NoBid'!$T:$T,MATCH(A62,'Bid-NoBid'!$A:$A,0)),""))</f>
        <v/>
      </c>
      <c r="U62" s="59">
        <f>IF(A62="","",IFERROR(IF(OR(INDEX('Bid-NoBid'!$U:$U,MATCH(A62,'Bid-NoBid'!$A:$A,0))="",LEFT(INDEX('Bid-NoBid'!$U:$U,MATCH(A62,'Bid-NoBid'!$A:$A,0)),10)="Incomplete"),"Screen: "&amp;AC62,INDEX('Bid-NoBid'!$U:$U,MATCH(A62,'Bid-NoBid'!$A:$A,0))),"Screen: "&amp;AC62))</f>
        <v/>
      </c>
      <c r="V62" s="60" t="n"/>
      <c r="W62" s="70" t="inlineStr">
        <is>
          <t>Watching</t>
        </is>
      </c>
      <c r="X62" s="70" t="inlineStr">
        <is>
          <t>Frank</t>
        </is>
      </c>
      <c r="Y62" s="60" t="n"/>
      <c r="Z62" s="60" t="n"/>
      <c r="AA62" s="73" t="n">
        <v>46296</v>
      </c>
      <c r="AB62" s="74" t="inlineStr">
        <is>
          <t>Small Works / Tender</t>
        </is>
      </c>
      <c r="AC62" s="74" t="inlineStr">
        <is>
          <t>Check</t>
        </is>
      </c>
      <c r="AD62" s="74" t="inlineStr">
        <is>
          <t>Auto (Small Works / Tender): Lindi/Mtwara – Nordic has worked there (Likong'o)</t>
        </is>
      </c>
      <c r="AE62" s="67">
        <f>IF(ISNUMBER(Q62),ROUNDDOWN(Q62-NOW(),1),"")</f>
        <v/>
      </c>
      <c r="AF62" s="59">
        <f>IF(OR(A62="",AE62=""),"",IF(NOT(OR(W62="Watching",W62="Preparing")),"",IF(AE62&lt;0,"PASSED",IF(AND(AE62&lt;=7,W62&lt;&gt;"Preparing"),"RED",IF(AE62&lt;=14,"AMBER","GREEN")))))</f>
        <v/>
      </c>
      <c r="AG62" s="59">
        <f>IF(OR(A62="",NOT(OR(W62="Watching",W62="Preparing"))),"",IF(AND(ISNUMBER(M62),M62&gt;=3000000000),"YES – ≥ TZS 3bn",IF(AND(ISNUMBER(AE62),AE62&gt;=0,AE62&lt;10,V62=""),"YES – &lt;10 days","")))</f>
        <v/>
      </c>
      <c r="AH62" s="68" t="n"/>
      <c r="AI62" s="74" t="inlineStr">
        <is>
          <t>Read the notice and decide with the QS Director whether to pursue</t>
        </is>
      </c>
      <c r="AJ62" s="74" t="inlineStr">
        <is>
          <t>Auto-scan</t>
        </is>
      </c>
      <c r="AK62" s="74" t="inlineStr">
        <is>
          <t>1f05d8e5-1e65-4474-b335-be9236a50eca</t>
        </is>
      </c>
      <c r="AL62" s="59">
        <f>IF(AND(OR(W62="Watching",W62="Preparing"),ISNUMBER(Q62)),IF(AND(Q62&gt;='Friday Summary'!$C$4,Q62&lt;='Friday Summary'!$C$4+14),Q62+ROW()/1000000,""),"")</f>
        <v/>
      </c>
    </row>
    <row r="63" ht="15" customHeight="1" s="51">
      <c r="A63" s="59">
        <f>IF(B63="","","OP-"&amp;TEXT(ROW()-4,"000"))</f>
        <v/>
      </c>
      <c r="B63" s="70" t="inlineStr">
        <is>
          <t>TR36/014/2026/2027/W/51</t>
        </is>
      </c>
      <c r="C63" s="71" t="n">
        <v>46297</v>
      </c>
      <c r="D63" s="70" t="inlineStr">
        <is>
          <t>NeST</t>
        </is>
      </c>
      <c r="E63" s="70" t="inlineStr">
        <is>
          <t>https://nest.go.tz/tenders/published-tenders</t>
        </is>
      </c>
      <c r="F63" s="70" t="inlineStr">
        <is>
          <t>TANROADS - Morogoro Regional Office</t>
        </is>
      </c>
      <c r="G63" s="70" t="inlineStr">
        <is>
          <t>government</t>
        </is>
      </c>
      <c r="H63" s="70" t="inlineStr">
        <is>
          <t>Drainage works in improvement along Mahenge -Mwaya- Ilonga in Ulanga District</t>
        </is>
      </c>
      <c r="I63" s="70" t="inlineStr">
        <is>
          <t>From NeST notice (1 lot) – read the tender document</t>
        </is>
      </c>
      <c r="J63" s="70" t="inlineStr">
        <is>
          <t>Morogoro (from client's office – confirm site)</t>
        </is>
      </c>
      <c r="K63" s="70" t="inlineStr">
        <is>
          <t>civil</t>
        </is>
      </c>
      <c r="L63" s="70" t="inlineStr">
        <is>
          <t>NeST login needed</t>
        </is>
      </c>
      <c r="M63" s="62" t="n"/>
      <c r="N63" s="70" t="inlineStr">
        <is>
          <t>unknown</t>
        </is>
      </c>
      <c r="O63" s="71" t="inlineStr">
        <is>
          <t>NeST login needed</t>
        </is>
      </c>
      <c r="P63" s="71" t="inlineStr">
        <is>
          <t>NeST login needed</t>
        </is>
      </c>
      <c r="Q63" s="72" t="n">
        <v>46303.58333333334</v>
      </c>
      <c r="R63" s="70" t="inlineStr">
        <is>
          <t>NeST login needed</t>
        </is>
      </c>
      <c r="S63" s="70" t="inlineStr">
        <is>
          <t>N</t>
        </is>
      </c>
      <c r="T63" s="64">
        <f>IF(A63="","",IFERROR(INDEX('Bid-NoBid'!$T:$T,MATCH(A63,'Bid-NoBid'!$A:$A,0)),""))</f>
        <v/>
      </c>
      <c r="U63" s="59">
        <f>IF(A63="","",IFERROR(IF(OR(INDEX('Bid-NoBid'!$U:$U,MATCH(A63,'Bid-NoBid'!$A:$A,0))="",LEFT(INDEX('Bid-NoBid'!$U:$U,MATCH(A63,'Bid-NoBid'!$A:$A,0)),10)="Incomplete"),"Screen: "&amp;AC63,INDEX('Bid-NoBid'!$U:$U,MATCH(A63,'Bid-NoBid'!$A:$A,0))),"Screen: "&amp;AC63))</f>
        <v/>
      </c>
      <c r="V63" s="60" t="n"/>
      <c r="W63" s="70" t="inlineStr">
        <is>
          <t>Watching</t>
        </is>
      </c>
      <c r="X63" s="70" t="inlineStr">
        <is>
          <t>Frank</t>
        </is>
      </c>
      <c r="Y63" s="60" t="n"/>
      <c r="Z63" s="60" t="n"/>
      <c r="AA63" s="73" t="n">
        <v>46296</v>
      </c>
      <c r="AB63" s="74" t="inlineStr">
        <is>
          <t>Small Works / Tender</t>
        </is>
      </c>
      <c r="AC63" s="74" t="inlineStr">
        <is>
          <t>Check</t>
        </is>
      </c>
      <c r="AD63" s="74" t="inlineStr">
        <is>
          <t>Auto (Small Works / Tender): Civil works – confirm site, CRB class and margin</t>
        </is>
      </c>
      <c r="AE63" s="67">
        <f>IF(ISNUMBER(Q63),ROUNDDOWN(Q63-NOW(),1),"")</f>
        <v/>
      </c>
      <c r="AF63" s="59">
        <f>IF(OR(A63="",AE63=""),"",IF(NOT(OR(W63="Watching",W63="Preparing")),"",IF(AE63&lt;0,"PASSED",IF(AND(AE63&lt;=7,W63&lt;&gt;"Preparing"),"RED",IF(AE63&lt;=14,"AMBER","GREEN")))))</f>
        <v/>
      </c>
      <c r="AG63" s="59">
        <f>IF(OR(A63="",NOT(OR(W63="Watching",W63="Preparing"))),"",IF(AND(ISNUMBER(M63),M63&gt;=3000000000),"YES – ≥ TZS 3bn",IF(AND(ISNUMBER(AE63),AE63&gt;=0,AE63&lt;10,V63=""),"YES – &lt;10 days","")))</f>
        <v/>
      </c>
      <c r="AH63" s="68" t="n"/>
      <c r="AI63" s="74" t="inlineStr">
        <is>
          <t>Read the notice and decide with the QS Director whether to pursue</t>
        </is>
      </c>
      <c r="AJ63" s="74" t="inlineStr">
        <is>
          <t>Auto-scan</t>
        </is>
      </c>
      <c r="AK63" s="74" t="inlineStr">
        <is>
          <t>982a1526-b688-4ad0-8a0e-197a7fd0e7db</t>
        </is>
      </c>
      <c r="AL63" s="59">
        <f>IF(AND(OR(W63="Watching",W63="Preparing"),ISNUMBER(Q63)),IF(AND(Q63&gt;='Friday Summary'!$C$4,Q63&lt;='Friday Summary'!$C$4+14),Q63+ROW()/1000000,""),"")</f>
        <v/>
      </c>
    </row>
    <row r="64" ht="15" customHeight="1" s="51">
      <c r="A64" s="59">
        <f>IF(B64="","","OP-"&amp;TEXT(ROW()-4,"000"))</f>
        <v/>
      </c>
      <c r="B64" s="70" t="inlineStr">
        <is>
          <t>TR152/2026/2027/W/09</t>
        </is>
      </c>
      <c r="C64" s="71" t="n">
        <v>46297</v>
      </c>
      <c r="D64" s="70" t="inlineStr">
        <is>
          <t>NeST</t>
        </is>
      </c>
      <c r="E64" s="70" t="inlineStr">
        <is>
          <t>https://nest.go.tz/tenders/published-tenders</t>
        </is>
      </c>
      <c r="F64" s="70" t="inlineStr">
        <is>
          <t>Bank of Tanzania</t>
        </is>
      </c>
      <c r="G64" s="70" t="inlineStr">
        <is>
          <t>government</t>
        </is>
      </c>
      <c r="H64" s="70" t="inlineStr">
        <is>
          <t>Proposed Design and Construction of Staff Residential Houses at Bank of Tanzania Dodoma</t>
        </is>
      </c>
      <c r="I64" s="70" t="inlineStr">
        <is>
          <t>From NeST notice (1 lot) – read the tender document</t>
        </is>
      </c>
      <c r="J64" s="70" t="inlineStr">
        <is>
          <t>Dodoma</t>
        </is>
      </c>
      <c r="K64" s="70" t="inlineStr">
        <is>
          <t>building</t>
        </is>
      </c>
      <c r="L64" s="70" t="inlineStr">
        <is>
          <t>NeST login needed</t>
        </is>
      </c>
      <c r="M64" s="62" t="n"/>
      <c r="N64" s="70" t="inlineStr">
        <is>
          <t>unknown</t>
        </is>
      </c>
      <c r="O64" s="71" t="inlineStr">
        <is>
          <t>NeST login needed</t>
        </is>
      </c>
      <c r="P64" s="71" t="inlineStr">
        <is>
          <t>NeST login needed</t>
        </is>
      </c>
      <c r="Q64" s="72" t="n">
        <v>46325.66666666666</v>
      </c>
      <c r="R64" s="70" t="inlineStr">
        <is>
          <t>NeST login needed</t>
        </is>
      </c>
      <c r="S64" s="70" t="inlineStr">
        <is>
          <t>N</t>
        </is>
      </c>
      <c r="T64" s="64">
        <f>IF(A64="","",IFERROR(INDEX('Bid-NoBid'!$T:$T,MATCH(A64,'Bid-NoBid'!$A:$A,0)),""))</f>
        <v/>
      </c>
      <c r="U64" s="59">
        <f>IF(A64="","",IFERROR(IF(OR(INDEX('Bid-NoBid'!$U:$U,MATCH(A64,'Bid-NoBid'!$A:$A,0))="",LEFT(INDEX('Bid-NoBid'!$U:$U,MATCH(A64,'Bid-NoBid'!$A:$A,0)),10)="Incomplete"),"Screen: "&amp;AC64,INDEX('Bid-NoBid'!$U:$U,MATCH(A64,'Bid-NoBid'!$A:$A,0))),"Screen: "&amp;AC64))</f>
        <v/>
      </c>
      <c r="V64" s="60" t="n"/>
      <c r="W64" s="70" t="inlineStr">
        <is>
          <t>Watching</t>
        </is>
      </c>
      <c r="X64" s="70" t="inlineStr">
        <is>
          <t>Frank</t>
        </is>
      </c>
      <c r="Y64" s="60" t="n"/>
      <c r="Z64" s="60" t="n"/>
      <c r="AA64" s="73" t="n">
        <v>46296</v>
      </c>
      <c r="AB64" s="74" t="inlineStr">
        <is>
          <t>Design and Build / Tender</t>
        </is>
      </c>
      <c r="AC64" s="74" t="inlineStr">
        <is>
          <t>Pursue</t>
        </is>
      </c>
      <c r="AD64" s="74" t="inlineStr">
        <is>
          <t>Auto (Design and Build / Tender): Building works within reach of Dar</t>
        </is>
      </c>
      <c r="AE64" s="67">
        <f>IF(ISNUMBER(Q64),ROUNDDOWN(Q64-NOW(),1),"")</f>
        <v/>
      </c>
      <c r="AF64" s="59">
        <f>IF(OR(A64="",AE64=""),"",IF(NOT(OR(W64="Watching",W64="Preparing")),"",IF(AE64&lt;0,"PASSED",IF(AND(AE64&lt;=7,W64&lt;&gt;"Preparing"),"RED",IF(AE64&lt;=14,"AMBER","GREEN")))))</f>
        <v/>
      </c>
      <c r="AG64" s="59">
        <f>IF(OR(A64="",NOT(OR(W64="Watching",W64="Preparing"))),"",IF(AND(ISNUMBER(M64),M64&gt;=3000000000),"YES – ≥ TZS 3bn",IF(AND(ISNUMBER(AE64),AE64&gt;=0,AE64&lt;10,V64=""),"YES – &lt;10 days","")))</f>
        <v/>
      </c>
      <c r="AH64" s="68" t="n"/>
      <c r="AI64" s="74" t="inlineStr">
        <is>
          <t>Deadline changed at source 16-Oct (was 16-Oct 16:00). Get the tender document, confirm value, CRB class, site visit and bid security; brief the MD</t>
        </is>
      </c>
      <c r="AJ64" s="74" t="inlineStr">
        <is>
          <t>Auto-scan</t>
        </is>
      </c>
      <c r="AK64" s="74" t="inlineStr">
        <is>
          <t>116e9c36-d566-49b7-bb20-6dce4ba4e87c</t>
        </is>
      </c>
      <c r="AL64" s="59">
        <f>IF(AND(OR(W64="Watching",W64="Preparing"),ISNUMBER(Q64)),IF(AND(Q64&gt;='Friday Summary'!$C$4,Q64&lt;='Friday Summary'!$C$4+14),Q64+ROW()/1000000,""),"")</f>
        <v/>
      </c>
    </row>
    <row r="65" ht="15" customHeight="1" s="51">
      <c r="A65" s="59">
        <f>IF(B65="","","OP-"&amp;TEXT(ROW()-4,"000"))</f>
        <v/>
      </c>
      <c r="B65" s="70" t="inlineStr">
        <is>
          <t>(not shown)</t>
        </is>
      </c>
      <c r="C65" s="71" t="n">
        <v>46297</v>
      </c>
      <c r="D65" s="70" t="inlineStr">
        <is>
          <t>press</t>
        </is>
      </c>
      <c r="E65" s="70" t="inlineStr">
        <is>
          <t>https://www.tanzaniatenders.com/tender/provision-decoration-services-tra-tanga-regional-office-and-its-district-8f51f4a.php</t>
        </is>
      </c>
      <c r="F65" s="70" t="inlineStr">
        <is>
          <t>See advert</t>
        </is>
      </c>
      <c r="G65" s="70" t="inlineStr">
        <is>
          <t>government</t>
        </is>
      </c>
      <c r="H65" s="70" t="inlineStr">
        <is>
          <t>Provision of Decoration Services to Tra Tanga Regional Office and its District</t>
        </is>
      </c>
      <c r="I65" s="70" t="inlineStr">
        <is>
          <t>From press notice (1 lot) – read the tender document</t>
        </is>
      </c>
      <c r="J65" s="70" t="inlineStr">
        <is>
          <t>Tanga</t>
        </is>
      </c>
      <c r="K65" s="70" t="inlineStr">
        <is>
          <t>building</t>
        </is>
      </c>
      <c r="L65" s="70" t="inlineStr">
        <is>
          <t>See tender document</t>
        </is>
      </c>
      <c r="M65" s="62" t="n"/>
      <c r="N65" s="70" t="inlineStr">
        <is>
          <t>unknown</t>
        </is>
      </c>
      <c r="O65" s="71" t="inlineStr">
        <is>
          <t>See tender document</t>
        </is>
      </c>
      <c r="P65" s="71" t="inlineStr">
        <is>
          <t>See tender document</t>
        </is>
      </c>
      <c r="Q65" s="72" t="n">
        <v>46304.41666666666</v>
      </c>
      <c r="R65" s="70" t="inlineStr">
        <is>
          <t>See tender document</t>
        </is>
      </c>
      <c r="S65" s="70" t="inlineStr">
        <is>
          <t>N</t>
        </is>
      </c>
      <c r="T65" s="64">
        <f>IF(A65="","",IFERROR(INDEX('Bid-NoBid'!$T:$T,MATCH(A65,'Bid-NoBid'!$A:$A,0)),""))</f>
        <v/>
      </c>
      <c r="U65" s="59">
        <f>IF(A65="","",IFERROR(IF(OR(INDEX('Bid-NoBid'!$U:$U,MATCH(A65,'Bid-NoBid'!$A:$A,0))="",LEFT(INDEX('Bid-NoBid'!$U:$U,MATCH(A65,'Bid-NoBid'!$A:$A,0)),10)="Incomplete"),"Screen: "&amp;AC65,INDEX('Bid-NoBid'!$U:$U,MATCH(A65,'Bid-NoBid'!$A:$A,0))),"Screen: "&amp;AC65))</f>
        <v/>
      </c>
      <c r="V65" s="60" t="n"/>
      <c r="W65" s="70" t="inlineStr">
        <is>
          <t>Watching</t>
        </is>
      </c>
      <c r="X65" s="70" t="inlineStr">
        <is>
          <t>Frank</t>
        </is>
      </c>
      <c r="Y65" s="60" t="n"/>
      <c r="Z65" s="60" t="n"/>
      <c r="AA65" s="73" t="n"/>
      <c r="AB65" s="74" t="inlineStr">
        <is>
          <t>TanzaniaTenders.com (newspapers / portals / private)</t>
        </is>
      </c>
      <c r="AC65" s="74" t="inlineStr">
        <is>
          <t>Pursue</t>
        </is>
      </c>
      <c r="AD65" s="74" t="inlineStr">
        <is>
          <t>Auto (TanzaniaTenders.com): Building works within reach of Dar · deadline read from the web page – confirm</t>
        </is>
      </c>
      <c r="AE65" s="67">
        <f>IF(ISNUMBER(Q65),ROUNDDOWN(Q65-NOW(),1),"")</f>
        <v/>
      </c>
      <c r="AF65" s="59">
        <f>IF(OR(A65="",AE65=""),"",IF(NOT(OR(W65="Watching",W65="Preparing")),"",IF(AE65&lt;0,"PASSED",IF(AND(AE65&lt;=7,W65&lt;&gt;"Preparing"),"RED",IF(AE65&lt;=14,"AMBER","GREEN")))))</f>
        <v/>
      </c>
      <c r="AG65" s="59">
        <f>IF(OR(A65="",NOT(OR(W65="Watching",W65="Preparing"))),"",IF(AND(ISNUMBER(M65),M65&gt;=3000000000),"YES – ≥ TZS 3bn",IF(AND(ISNUMBER(AE65),AE65&gt;=0,AE65&lt;10,V65=""),"YES – &lt;10 days","")))</f>
        <v/>
      </c>
      <c r="AH65" s="68" t="n"/>
      <c r="AI65" s="74" t="inlineStr">
        <is>
          <t>Get the tender document, confirm value, CRB class, site visit and bid security; brief the MD</t>
        </is>
      </c>
      <c r="AJ65" s="74" t="inlineStr">
        <is>
          <t>Auto-scan</t>
        </is>
      </c>
      <c r="AK65" s="74" t="inlineStr">
        <is>
          <t>TZT:150282058</t>
        </is>
      </c>
      <c r="AL65" s="59">
        <f>IF(AND(OR(W65="Watching",W65="Preparing"),ISNUMBER(Q65)),IF(AND(Q65&gt;='Friday Summary'!$C$4,Q65&lt;='Friday Summary'!$C$4+14),Q65+ROW()/1000000,""),"")</f>
        <v/>
      </c>
    </row>
    <row r="66" ht="15" customHeight="1" s="51">
      <c r="A66" s="59">
        <f>IF(B66="","","OP-"&amp;TEXT(ROW()-4,"000"))</f>
        <v/>
      </c>
      <c r="B66" s="70" t="inlineStr">
        <is>
          <t>(not shown)</t>
        </is>
      </c>
      <c r="C66" s="71" t="n">
        <v>46297</v>
      </c>
      <c r="D66" s="70" t="inlineStr">
        <is>
          <t>press</t>
        </is>
      </c>
      <c r="E66" s="70" t="inlineStr">
        <is>
          <t>https://www.tanzaniatenders.com/tender/ujenzi-katika-ujenzi-wa-ofisi-za-tarafa-pahi-mundemu-zoisa-makang-wa-kibakwe-na-goima-8f51f41.php</t>
        </is>
      </c>
      <c r="F66" s="70" t="inlineStr">
        <is>
          <t>See advert</t>
        </is>
      </c>
      <c r="G66" s="70" t="inlineStr">
        <is>
          <t>government</t>
        </is>
      </c>
      <c r="H66" s="70" t="inlineStr">
        <is>
          <t>Ujenzi Katika Ujenzi Wa Ofisi Za Tarafa Pahi, Mundemu, Zoisa, Makang'wa, Kibakwe Na Goima</t>
        </is>
      </c>
      <c r="I66" s="70" t="inlineStr">
        <is>
          <t>From press notice (1 lot) – read the tender document</t>
        </is>
      </c>
      <c r="J66" s="70" t="inlineStr">
        <is>
          <t>Not stated – read the notice</t>
        </is>
      </c>
      <c r="K66" s="70" t="inlineStr">
        <is>
          <t>building</t>
        </is>
      </c>
      <c r="L66" s="70" t="inlineStr">
        <is>
          <t>See tender document</t>
        </is>
      </c>
      <c r="M66" s="62" t="n"/>
      <c r="N66" s="70" t="inlineStr">
        <is>
          <t>unknown</t>
        </is>
      </c>
      <c r="O66" s="71" t="inlineStr">
        <is>
          <t>See tender document</t>
        </is>
      </c>
      <c r="P66" s="71" t="inlineStr">
        <is>
          <t>See tender document</t>
        </is>
      </c>
      <c r="Q66" s="72" t="n">
        <v>46304.41666666666</v>
      </c>
      <c r="R66" s="70" t="inlineStr">
        <is>
          <t>See tender document</t>
        </is>
      </c>
      <c r="S66" s="70" t="inlineStr">
        <is>
          <t>N</t>
        </is>
      </c>
      <c r="T66" s="64">
        <f>IF(A66="","",IFERROR(INDEX('Bid-NoBid'!$T:$T,MATCH(A66,'Bid-NoBid'!$A:$A,0)),""))</f>
        <v/>
      </c>
      <c r="U66" s="59">
        <f>IF(A66="","",IFERROR(IF(OR(INDEX('Bid-NoBid'!$U:$U,MATCH(A66,'Bid-NoBid'!$A:$A,0))="",LEFT(INDEX('Bid-NoBid'!$U:$U,MATCH(A66,'Bid-NoBid'!$A:$A,0)),10)="Incomplete"),"Screen: "&amp;AC66,INDEX('Bid-NoBid'!$U:$U,MATCH(A66,'Bid-NoBid'!$A:$A,0))),"Screen: "&amp;AC66))</f>
        <v/>
      </c>
      <c r="V66" s="60" t="n"/>
      <c r="W66" s="70" t="inlineStr">
        <is>
          <t>Watching</t>
        </is>
      </c>
      <c r="X66" s="70" t="inlineStr">
        <is>
          <t>Frank</t>
        </is>
      </c>
      <c r="Y66" s="60" t="n"/>
      <c r="Z66" s="60" t="n"/>
      <c r="AA66" s="73" t="n"/>
      <c r="AB66" s="74" t="inlineStr">
        <is>
          <t>TanzaniaTenders.com (newspapers / portals / private)</t>
        </is>
      </c>
      <c r="AC66" s="74" t="inlineStr">
        <is>
          <t>Check</t>
        </is>
      </c>
      <c r="AD66" s="74" t="inlineStr">
        <is>
          <t>Auto (TanzaniaTenders.com): Site not stated in the listing – read the notice · deadline read from the web page – confirm</t>
        </is>
      </c>
      <c r="AE66" s="67">
        <f>IF(ISNUMBER(Q66),ROUNDDOWN(Q66-NOW(),1),"")</f>
        <v/>
      </c>
      <c r="AF66" s="59">
        <f>IF(OR(A66="",AE66=""),"",IF(NOT(OR(W66="Watching",W66="Preparing")),"",IF(AE66&lt;0,"PASSED",IF(AND(AE66&lt;=7,W66&lt;&gt;"Preparing"),"RED",IF(AE66&lt;=14,"AMBER","GREEN")))))</f>
        <v/>
      </c>
      <c r="AG66" s="59">
        <f>IF(OR(A66="",NOT(OR(W66="Watching",W66="Preparing"))),"",IF(AND(ISNUMBER(M66),M66&gt;=3000000000),"YES – ≥ TZS 3bn",IF(AND(ISNUMBER(AE66),AE66&gt;=0,AE66&lt;10,V66=""),"YES – &lt;10 days","")))</f>
        <v/>
      </c>
      <c r="AH66" s="68" t="n"/>
      <c r="AI66" s="74" t="inlineStr">
        <is>
          <t>Read the notice and decide with the QS Director whether to pursue</t>
        </is>
      </c>
      <c r="AJ66" s="74" t="inlineStr">
        <is>
          <t>Auto-scan</t>
        </is>
      </c>
      <c r="AK66" s="74" t="inlineStr">
        <is>
          <t>TZT:150282049</t>
        </is>
      </c>
      <c r="AL66" s="59">
        <f>IF(AND(OR(W66="Watching",W66="Preparing"),ISNUMBER(Q66)),IF(AND(Q66&gt;='Friday Summary'!$C$4,Q66&lt;='Friday Summary'!$C$4+14),Q66+ROW()/1000000,""),"")</f>
        <v/>
      </c>
    </row>
    <row r="67" ht="15" customHeight="1" s="51">
      <c r="A67" s="59">
        <f>IF(B67="","","OP-"&amp;TEXT(ROW()-4,"000"))</f>
        <v/>
      </c>
      <c r="B67" s="70" t="inlineStr">
        <is>
          <t>(not shown)</t>
        </is>
      </c>
      <c r="C67" s="71" t="n">
        <v>46297</v>
      </c>
      <c r="D67" s="70" t="inlineStr">
        <is>
          <t>press</t>
        </is>
      </c>
      <c r="E67" s="70" t="inlineStr">
        <is>
          <t>https://www.tanzaniatenders.com/tender/procurement-laboratory-equipments-tari-ilonga-under-afdp-project-8f51f66.php</t>
        </is>
      </c>
      <c r="F67" s="70" t="inlineStr">
        <is>
          <t>See advert</t>
        </is>
      </c>
      <c r="G67" s="70" t="inlineStr">
        <is>
          <t>government</t>
        </is>
      </c>
      <c r="H67" s="70" t="inlineStr">
        <is>
          <t>Procurement of Laboratory Equipments for Tari Ilonga under Afdp Project</t>
        </is>
      </c>
      <c r="I67" s="70" t="inlineStr">
        <is>
          <t>From press notice (1 lot) – read the tender document</t>
        </is>
      </c>
      <c r="J67" s="70" t="inlineStr">
        <is>
          <t>Not stated – read the notice</t>
        </is>
      </c>
      <c r="K67" s="70" t="inlineStr">
        <is>
          <t>building</t>
        </is>
      </c>
      <c r="L67" s="70" t="inlineStr">
        <is>
          <t>See tender document</t>
        </is>
      </c>
      <c r="M67" s="62" t="n"/>
      <c r="N67" s="70" t="inlineStr">
        <is>
          <t>unknown</t>
        </is>
      </c>
      <c r="O67" s="71" t="inlineStr">
        <is>
          <t>See tender document</t>
        </is>
      </c>
      <c r="P67" s="71" t="inlineStr">
        <is>
          <t>See tender document</t>
        </is>
      </c>
      <c r="Q67" s="72" t="n">
        <v>46310.41666666666</v>
      </c>
      <c r="R67" s="70" t="inlineStr">
        <is>
          <t>See tender document</t>
        </is>
      </c>
      <c r="S67" s="70" t="inlineStr">
        <is>
          <t>N</t>
        </is>
      </c>
      <c r="T67" s="64">
        <f>IF(A67="","",IFERROR(INDEX('Bid-NoBid'!$T:$T,MATCH(A67,'Bid-NoBid'!$A:$A,0)),""))</f>
        <v/>
      </c>
      <c r="U67" s="59">
        <f>IF(A67="","",IFERROR(IF(OR(INDEX('Bid-NoBid'!$U:$U,MATCH(A67,'Bid-NoBid'!$A:$A,0))="",LEFT(INDEX('Bid-NoBid'!$U:$U,MATCH(A67,'Bid-NoBid'!$A:$A,0)),10)="Incomplete"),"Screen: "&amp;AC67,INDEX('Bid-NoBid'!$U:$U,MATCH(A67,'Bid-NoBid'!$A:$A,0))),"Screen: "&amp;AC67))</f>
        <v/>
      </c>
      <c r="V67" s="60" t="n"/>
      <c r="W67" s="70" t="inlineStr">
        <is>
          <t>Watching</t>
        </is>
      </c>
      <c r="X67" s="70" t="inlineStr">
        <is>
          <t>Frank</t>
        </is>
      </c>
      <c r="Y67" s="60" t="n"/>
      <c r="Z67" s="60" t="n"/>
      <c r="AA67" s="73" t="n"/>
      <c r="AB67" s="74" t="inlineStr">
        <is>
          <t>TanzaniaTenders.com (newspapers / portals / private)</t>
        </is>
      </c>
      <c r="AC67" s="74" t="inlineStr">
        <is>
          <t>Check</t>
        </is>
      </c>
      <c r="AD67" s="74" t="inlineStr">
        <is>
          <t>Auto (TanzaniaTenders.com): Site not stated in the listing – read the notice · deadline read from the web page – confirm</t>
        </is>
      </c>
      <c r="AE67" s="67">
        <f>IF(ISNUMBER(Q67),ROUNDDOWN(Q67-NOW(),1),"")</f>
        <v/>
      </c>
      <c r="AF67" s="59">
        <f>IF(OR(A67="",AE67=""),"",IF(NOT(OR(W67="Watching",W67="Preparing")),"",IF(AE67&lt;0,"PASSED",IF(AND(AE67&lt;=7,W67&lt;&gt;"Preparing"),"RED",IF(AE67&lt;=14,"AMBER","GREEN")))))</f>
        <v/>
      </c>
      <c r="AG67" s="59">
        <f>IF(OR(A67="",NOT(OR(W67="Watching",W67="Preparing"))),"",IF(AND(ISNUMBER(M67),M67&gt;=3000000000),"YES – ≥ TZS 3bn",IF(AND(ISNUMBER(AE67),AE67&gt;=0,AE67&lt;10,V67=""),"YES – &lt;10 days","")))</f>
        <v/>
      </c>
      <c r="AH67" s="68" t="n"/>
      <c r="AI67" s="74" t="inlineStr">
        <is>
          <t>Read the notice and decide with the QS Director whether to pursue</t>
        </is>
      </c>
      <c r="AJ67" s="74" t="inlineStr">
        <is>
          <t>Auto-scan</t>
        </is>
      </c>
      <c r="AK67" s="74" t="inlineStr">
        <is>
          <t>TZT:150282086</t>
        </is>
      </c>
      <c r="AL67" s="59">
        <f>IF(AND(OR(W67="Watching",W67="Preparing"),ISNUMBER(Q67)),IF(AND(Q67&gt;='Friday Summary'!$C$4,Q67&lt;='Friday Summary'!$C$4+14),Q67+ROW()/1000000,""),"")</f>
        <v/>
      </c>
    </row>
    <row r="68" ht="15" customHeight="1" s="51">
      <c r="A68" s="59">
        <f>IF(B68="","","OP-"&amp;TEXT(ROW()-4,"000"))</f>
        <v/>
      </c>
      <c r="B68" s="70" t="inlineStr">
        <is>
          <t>(not shown)</t>
        </is>
      </c>
      <c r="C68" s="71" t="n">
        <v>46297</v>
      </c>
      <c r="D68" s="70" t="inlineStr">
        <is>
          <t>press</t>
        </is>
      </c>
      <c r="E68" s="70" t="inlineStr">
        <is>
          <t>https://www.tanzaniatenders.com/tender/the-tender-construction-new-facilities-state-university-zanzibar-including-new-administration-block-8f57dc3.php</t>
        </is>
      </c>
      <c r="F68" s="70" t="inlineStr">
        <is>
          <t>See advert</t>
        </is>
      </c>
      <c r="G68" s="70" t="inlineStr">
        <is>
          <t>government</t>
        </is>
      </c>
      <c r="H68" s="70" t="inlineStr">
        <is>
          <t>The tender is for the construction of new facilities at the State University of Zanzibar, including a New Administration Block, School of Education and Language Block, Students Centre Block, Staff Apartment Blocks, and Sports Facilities. The project</t>
        </is>
      </c>
      <c r="I68" s="70" t="inlineStr">
        <is>
          <t>From press notice (1 lot) – read the tender document</t>
        </is>
      </c>
      <c r="J68" s="70" t="inlineStr">
        <is>
          <t>Zanzibar</t>
        </is>
      </c>
      <c r="K68" s="70" t="inlineStr">
        <is>
          <t>building</t>
        </is>
      </c>
      <c r="L68" s="70" t="inlineStr">
        <is>
          <t>See tender document</t>
        </is>
      </c>
      <c r="M68" s="62" t="n"/>
      <c r="N68" s="70" t="inlineStr">
        <is>
          <t>unknown</t>
        </is>
      </c>
      <c r="O68" s="71" t="inlineStr">
        <is>
          <t>See tender document</t>
        </is>
      </c>
      <c r="P68" s="71" t="inlineStr">
        <is>
          <t>See tender document</t>
        </is>
      </c>
      <c r="Q68" s="72" t="n">
        <v>46307.41666666666</v>
      </c>
      <c r="R68" s="70" t="inlineStr">
        <is>
          <t>See tender document</t>
        </is>
      </c>
      <c r="S68" s="70" t="inlineStr">
        <is>
          <t>N</t>
        </is>
      </c>
      <c r="T68" s="64">
        <f>IF(A68="","",IFERROR(INDEX('Bid-NoBid'!$T:$T,MATCH(A68,'Bid-NoBid'!$A:$A,0)),""))</f>
        <v/>
      </c>
      <c r="U68" s="59">
        <f>IF(A68="","",IFERROR(IF(OR(INDEX('Bid-NoBid'!$U:$U,MATCH(A68,'Bid-NoBid'!$A:$A,0))="",LEFT(INDEX('Bid-NoBid'!$U:$U,MATCH(A68,'Bid-NoBid'!$A:$A,0)),10)="Incomplete"),"Screen: "&amp;AC68,INDEX('Bid-NoBid'!$U:$U,MATCH(A68,'Bid-NoBid'!$A:$A,0))),"Screen: "&amp;AC68))</f>
        <v/>
      </c>
      <c r="V68" s="60" t="n"/>
      <c r="W68" s="70" t="inlineStr">
        <is>
          <t>Watching</t>
        </is>
      </c>
      <c r="X68" s="70" t="inlineStr">
        <is>
          <t>Frank</t>
        </is>
      </c>
      <c r="Y68" s="60" t="n"/>
      <c r="Z68" s="60" t="n"/>
      <c r="AA68" s="73" t="n"/>
      <c r="AB68" s="74" t="inlineStr">
        <is>
          <t>TanzaniaTenders.com (newspapers / portals / private)</t>
        </is>
      </c>
      <c r="AC68" s="74" t="inlineStr">
        <is>
          <t>Pursue</t>
        </is>
      </c>
      <c r="AD68" s="74" t="inlineStr">
        <is>
          <t>Auto (TanzaniaTenders.com): Building works within reach of Dar · deadline read from the web page – confirm</t>
        </is>
      </c>
      <c r="AE68" s="67">
        <f>IF(ISNUMBER(Q68),ROUNDDOWN(Q68-NOW(),1),"")</f>
        <v/>
      </c>
      <c r="AF68" s="59">
        <f>IF(OR(A68="",AE68=""),"",IF(NOT(OR(W68="Watching",W68="Preparing")),"",IF(AE68&lt;0,"PASSED",IF(AND(AE68&lt;=7,W68&lt;&gt;"Preparing"),"RED",IF(AE68&lt;=14,"AMBER","GREEN")))))</f>
        <v/>
      </c>
      <c r="AG68" s="59">
        <f>IF(OR(A68="",NOT(OR(W68="Watching",W68="Preparing"))),"",IF(AND(ISNUMBER(M68),M68&gt;=3000000000),"YES – ≥ TZS 3bn",IF(AND(ISNUMBER(AE68),AE68&gt;=0,AE68&lt;10,V68=""),"YES – &lt;10 days","")))</f>
        <v/>
      </c>
      <c r="AH68" s="68" t="n"/>
      <c r="AI68" s="74" t="inlineStr">
        <is>
          <t>Get the tender document, confirm value, CRB class, site visit and bid security; brief the MD</t>
        </is>
      </c>
      <c r="AJ68" s="74" t="inlineStr">
        <is>
          <t>Auto-scan</t>
        </is>
      </c>
      <c r="AK68" s="74" t="inlineStr">
        <is>
          <t>TZT:150306243</t>
        </is>
      </c>
      <c r="AL68" s="59">
        <f>IF(AND(OR(W68="Watching",W68="Preparing"),ISNUMBER(Q68)),IF(AND(Q68&gt;='Friday Summary'!$C$4,Q68&lt;='Friday Summary'!$C$4+14),Q68+ROW()/1000000,""),"")</f>
        <v/>
      </c>
    </row>
    <row r="69" ht="15" customHeight="1" s="51">
      <c r="A69" s="59">
        <f>IF(B69="","","OP-"&amp;TEXT(ROW()-4,"000"))</f>
        <v/>
      </c>
      <c r="B69" s="70" t="inlineStr">
        <is>
          <t>(not shown)</t>
        </is>
      </c>
      <c r="C69" s="71" t="n">
        <v>46298</v>
      </c>
      <c r="D69" s="70" t="inlineStr">
        <is>
          <t>press</t>
        </is>
      </c>
      <c r="E69" s="70" t="inlineStr">
        <is>
          <t>https://www.tanzaniatenders.com/tender/bdi25003-10004-public-work-contract-construction-perimeter-fence-and-site-development-works-nsu-8f6414e.php</t>
        </is>
      </c>
      <c r="F69" s="70" t="inlineStr">
        <is>
          <t>See advert</t>
        </is>
      </c>
      <c r="G69" s="70" t="inlineStr">
        <is>
          <t>government</t>
        </is>
      </c>
      <c r="H69" s="70" t="inlineStr">
        <is>
          <t>Bdi25003-10004 - Public Work Contract for “Construction of Perimeter Fence and Site Development Works at Nsumbu Environmental and Climatic Monitoring Center and at the Lake Tanganyika Research Unit”</t>
        </is>
      </c>
      <c r="I69" s="70" t="inlineStr">
        <is>
          <t>From press notice (1 lot) – read the tender document</t>
        </is>
      </c>
      <c r="J69" s="70" t="inlineStr">
        <is>
          <t>Not stated – read the notice</t>
        </is>
      </c>
      <c r="K69" s="70" t="inlineStr">
        <is>
          <t>building</t>
        </is>
      </c>
      <c r="L69" s="70" t="inlineStr">
        <is>
          <t>See tender document</t>
        </is>
      </c>
      <c r="M69" s="62" t="n"/>
      <c r="N69" s="70" t="inlineStr">
        <is>
          <t>unknown</t>
        </is>
      </c>
      <c r="O69" s="71" t="inlineStr">
        <is>
          <t>See tender document</t>
        </is>
      </c>
      <c r="P69" s="71" t="inlineStr">
        <is>
          <t>See tender document</t>
        </is>
      </c>
      <c r="Q69" s="72" t="n">
        <v>46318.41666666666</v>
      </c>
      <c r="R69" s="70" t="inlineStr">
        <is>
          <t>See tender document</t>
        </is>
      </c>
      <c r="S69" s="70" t="inlineStr">
        <is>
          <t>N</t>
        </is>
      </c>
      <c r="T69" s="64">
        <f>IF(A69="","",IFERROR(INDEX('Bid-NoBid'!$T:$T,MATCH(A69,'Bid-NoBid'!$A:$A,0)),""))</f>
        <v/>
      </c>
      <c r="U69" s="59">
        <f>IF(A69="","",IFERROR(IF(OR(INDEX('Bid-NoBid'!$U:$U,MATCH(A69,'Bid-NoBid'!$A:$A,0))="",LEFT(INDEX('Bid-NoBid'!$U:$U,MATCH(A69,'Bid-NoBid'!$A:$A,0)),10)="Incomplete"),"Screen: "&amp;AC69,INDEX('Bid-NoBid'!$U:$U,MATCH(A69,'Bid-NoBid'!$A:$A,0))),"Screen: "&amp;AC69))</f>
        <v/>
      </c>
      <c r="V69" s="60" t="n"/>
      <c r="W69" s="70" t="inlineStr">
        <is>
          <t>Watching</t>
        </is>
      </c>
      <c r="X69" s="70" t="inlineStr">
        <is>
          <t>Frank</t>
        </is>
      </c>
      <c r="Y69" s="60" t="n"/>
      <c r="Z69" s="60" t="n"/>
      <c r="AA69" s="73" t="n"/>
      <c r="AB69" s="74" t="inlineStr">
        <is>
          <t>TanzaniaTenders.com (newspapers / portals / private)</t>
        </is>
      </c>
      <c r="AC69" s="74" t="inlineStr">
        <is>
          <t>Check</t>
        </is>
      </c>
      <c r="AD69" s="74" t="inlineStr">
        <is>
          <t>Auto (TanzaniaTenders.com): Site not stated in the listing – read the notice · deadline read from the web page – confirm</t>
        </is>
      </c>
      <c r="AE69" s="67">
        <f>IF(ISNUMBER(Q69),ROUNDDOWN(Q69-NOW(),1),"")</f>
        <v/>
      </c>
      <c r="AF69" s="59">
        <f>IF(OR(A69="",AE69=""),"",IF(NOT(OR(W69="Watching",W69="Preparing")),"",IF(AE69&lt;0,"PASSED",IF(AND(AE69&lt;=7,W69&lt;&gt;"Preparing"),"RED",IF(AE69&lt;=14,"AMBER","GREEN")))))</f>
        <v/>
      </c>
      <c r="AG69" s="59">
        <f>IF(OR(A69="",NOT(OR(W69="Watching",W69="Preparing"))),"",IF(AND(ISNUMBER(M69),M69&gt;=3000000000),"YES – ≥ TZS 3bn",IF(AND(ISNUMBER(AE69),AE69&gt;=0,AE69&lt;10,V69=""),"YES – &lt;10 days","")))</f>
        <v/>
      </c>
      <c r="AH69" s="68" t="n"/>
      <c r="AI69" s="74" t="inlineStr">
        <is>
          <t>Read the notice and decide with the QS Director whether to pursue</t>
        </is>
      </c>
      <c r="AJ69" s="74" t="inlineStr">
        <is>
          <t>Auto-scan</t>
        </is>
      </c>
      <c r="AK69" s="74" t="inlineStr">
        <is>
          <t>TZT:150356302</t>
        </is>
      </c>
      <c r="AL69" s="59">
        <f>IF(AND(OR(W69="Watching",W69="Preparing"),ISNUMBER(Q69)),IF(AND(Q69&gt;='Friday Summary'!$C$4,Q69&lt;='Friday Summary'!$C$4+14),Q69+ROW()/1000000,""),"")</f>
        <v/>
      </c>
    </row>
    <row r="70" ht="15" customHeight="1" s="51">
      <c r="A70" s="59">
        <f>IF(B70="","","OP-"&amp;TEXT(ROW()-4,"000"))</f>
        <v/>
      </c>
      <c r="B70" s="70" t="inlineStr">
        <is>
          <t>(not shown)</t>
        </is>
      </c>
      <c r="C70" s="71" t="n">
        <v>46298</v>
      </c>
      <c r="D70" s="70" t="inlineStr">
        <is>
          <t>press</t>
        </is>
      </c>
      <c r="E70" s="70" t="inlineStr">
        <is>
          <t>https://www.tanzaniatenders.com/tender/provision-hiring-civil-works-equipments-excavator-and-dumper-truck-8f64b24.php</t>
        </is>
      </c>
      <c r="F70" s="70" t="inlineStr">
        <is>
          <t>See advert</t>
        </is>
      </c>
      <c r="G70" s="70" t="inlineStr">
        <is>
          <t>government</t>
        </is>
      </c>
      <c r="H70" s="70" t="inlineStr">
        <is>
          <t>Provision of Hiring of Civil Works Equipments (Excavator and Dumper Truck)</t>
        </is>
      </c>
      <c r="I70" s="70" t="inlineStr">
        <is>
          <t>From press notice (1 lot) – read the tender document</t>
        </is>
      </c>
      <c r="J70" s="70" t="inlineStr">
        <is>
          <t>Not stated – read the notice</t>
        </is>
      </c>
      <c r="K70" s="70" t="inlineStr">
        <is>
          <t>civil</t>
        </is>
      </c>
      <c r="L70" s="70" t="inlineStr">
        <is>
          <t>See tender document</t>
        </is>
      </c>
      <c r="M70" s="62" t="n"/>
      <c r="N70" s="70" t="inlineStr">
        <is>
          <t>unknown</t>
        </is>
      </c>
      <c r="O70" s="71" t="inlineStr">
        <is>
          <t>See tender document</t>
        </is>
      </c>
      <c r="P70" s="71" t="inlineStr">
        <is>
          <t>See tender document</t>
        </is>
      </c>
      <c r="Q70" s="72" t="n">
        <v>46304.41666666666</v>
      </c>
      <c r="R70" s="70" t="inlineStr">
        <is>
          <t>See tender document</t>
        </is>
      </c>
      <c r="S70" s="70" t="inlineStr">
        <is>
          <t>N</t>
        </is>
      </c>
      <c r="T70" s="64">
        <f>IF(A70="","",IFERROR(INDEX('Bid-NoBid'!$T:$T,MATCH(A70,'Bid-NoBid'!$A:$A,0)),""))</f>
        <v/>
      </c>
      <c r="U70" s="59">
        <f>IF(A70="","",IFERROR(IF(OR(INDEX('Bid-NoBid'!$U:$U,MATCH(A70,'Bid-NoBid'!$A:$A,0))="",LEFT(INDEX('Bid-NoBid'!$U:$U,MATCH(A70,'Bid-NoBid'!$A:$A,0)),10)="Incomplete"),"Screen: "&amp;AC70,INDEX('Bid-NoBid'!$U:$U,MATCH(A70,'Bid-NoBid'!$A:$A,0))),"Screen: "&amp;AC70))</f>
        <v/>
      </c>
      <c r="V70" s="60" t="n"/>
      <c r="W70" s="70" t="inlineStr">
        <is>
          <t>Watching</t>
        </is>
      </c>
      <c r="X70" s="70" t="inlineStr">
        <is>
          <t>Frank</t>
        </is>
      </c>
      <c r="Y70" s="60" t="n"/>
      <c r="Z70" s="60" t="n"/>
      <c r="AA70" s="73" t="n"/>
      <c r="AB70" s="74" t="inlineStr">
        <is>
          <t>TanzaniaTenders.com (newspapers / portals / private)</t>
        </is>
      </c>
      <c r="AC70" s="74" t="inlineStr">
        <is>
          <t>Check</t>
        </is>
      </c>
      <c r="AD70" s="74" t="inlineStr">
        <is>
          <t>Auto (TanzaniaTenders.com): Civil works – confirm site, CRB class and margin · deadline read from the web page – confirm</t>
        </is>
      </c>
      <c r="AE70" s="67">
        <f>IF(ISNUMBER(Q70),ROUNDDOWN(Q70-NOW(),1),"")</f>
        <v/>
      </c>
      <c r="AF70" s="59">
        <f>IF(OR(A70="",AE70=""),"",IF(NOT(OR(W70="Watching",W70="Preparing")),"",IF(AE70&lt;0,"PASSED",IF(AND(AE70&lt;=7,W70&lt;&gt;"Preparing"),"RED",IF(AE70&lt;=14,"AMBER","GREEN")))))</f>
        <v/>
      </c>
      <c r="AG70" s="59">
        <f>IF(OR(A70="",NOT(OR(W70="Watching",W70="Preparing"))),"",IF(AND(ISNUMBER(M70),M70&gt;=3000000000),"YES – ≥ TZS 3bn",IF(AND(ISNUMBER(AE70),AE70&gt;=0,AE70&lt;10,V70=""),"YES – &lt;10 days","")))</f>
        <v/>
      </c>
      <c r="AH70" s="68" t="n"/>
      <c r="AI70" s="74" t="inlineStr">
        <is>
          <t>Read the notice and decide with the QS Director whether to pursue</t>
        </is>
      </c>
      <c r="AJ70" s="74" t="inlineStr">
        <is>
          <t>Auto-scan</t>
        </is>
      </c>
      <c r="AK70" s="74" t="inlineStr">
        <is>
          <t>TZT:150358820</t>
        </is>
      </c>
      <c r="AL70" s="59">
        <f>IF(AND(OR(W70="Watching",W70="Preparing"),ISNUMBER(Q70)),IF(AND(Q70&gt;='Friday Summary'!$C$4,Q70&lt;='Friday Summary'!$C$4+14),Q70+ROW()/1000000,""),"")</f>
        <v/>
      </c>
    </row>
    <row r="71" ht="15" customHeight="1" s="51">
      <c r="A71" s="59">
        <f>IF(B71="","","OP-"&amp;TEXT(ROW()-4,"000"))</f>
        <v/>
      </c>
      <c r="B71" s="70" t="inlineStr">
        <is>
          <t>(not shown)</t>
        </is>
      </c>
      <c r="C71" s="71" t="n">
        <v>46298</v>
      </c>
      <c r="D71" s="70" t="inlineStr">
        <is>
          <t>press</t>
        </is>
      </c>
      <c r="E71" s="70" t="inlineStr">
        <is>
          <t>https://www.tanzaniatenders.com/tender/replacement-regional-offices-internet-routers-8f64b1c.php</t>
        </is>
      </c>
      <c r="F71" s="70" t="inlineStr">
        <is>
          <t>See advert</t>
        </is>
      </c>
      <c r="G71" s="70" t="inlineStr">
        <is>
          <t>government</t>
        </is>
      </c>
      <c r="H71" s="70" t="inlineStr">
        <is>
          <t>Replacement of Regional Offices Internet Routers</t>
        </is>
      </c>
      <c r="I71" s="70" t="inlineStr">
        <is>
          <t>From press notice (1 lot) – read the tender document</t>
        </is>
      </c>
      <c r="J71" s="70" t="inlineStr">
        <is>
          <t>Not stated – read the notice</t>
        </is>
      </c>
      <c r="K71" s="70" t="inlineStr">
        <is>
          <t>building</t>
        </is>
      </c>
      <c r="L71" s="70" t="inlineStr">
        <is>
          <t>See tender document</t>
        </is>
      </c>
      <c r="M71" s="62" t="n"/>
      <c r="N71" s="70" t="inlineStr">
        <is>
          <t>unknown</t>
        </is>
      </c>
      <c r="O71" s="71" t="inlineStr">
        <is>
          <t>See tender document</t>
        </is>
      </c>
      <c r="P71" s="71" t="inlineStr">
        <is>
          <t>See tender document</t>
        </is>
      </c>
      <c r="Q71" s="72" t="n">
        <v>46304.41666666666</v>
      </c>
      <c r="R71" s="70" t="inlineStr">
        <is>
          <t>See tender document</t>
        </is>
      </c>
      <c r="S71" s="70" t="inlineStr">
        <is>
          <t>N</t>
        </is>
      </c>
      <c r="T71" s="64">
        <f>IF(A71="","",IFERROR(INDEX('Bid-NoBid'!$T:$T,MATCH(A71,'Bid-NoBid'!$A:$A,0)),""))</f>
        <v/>
      </c>
      <c r="U71" s="59">
        <f>IF(A71="","",IFERROR(IF(OR(INDEX('Bid-NoBid'!$U:$U,MATCH(A71,'Bid-NoBid'!$A:$A,0))="",LEFT(INDEX('Bid-NoBid'!$U:$U,MATCH(A71,'Bid-NoBid'!$A:$A,0)),10)="Incomplete"),"Screen: "&amp;AC71,INDEX('Bid-NoBid'!$U:$U,MATCH(A71,'Bid-NoBid'!$A:$A,0))),"Screen: "&amp;AC71))</f>
        <v/>
      </c>
      <c r="V71" s="60" t="n"/>
      <c r="W71" s="70" t="inlineStr">
        <is>
          <t>Watching</t>
        </is>
      </c>
      <c r="X71" s="70" t="inlineStr">
        <is>
          <t>Frank</t>
        </is>
      </c>
      <c r="Y71" s="60" t="n"/>
      <c r="Z71" s="60" t="n"/>
      <c r="AA71" s="73" t="n"/>
      <c r="AB71" s="74" t="inlineStr">
        <is>
          <t>TanzaniaTenders.com (newspapers / portals / private)</t>
        </is>
      </c>
      <c r="AC71" s="74" t="inlineStr">
        <is>
          <t>Check</t>
        </is>
      </c>
      <c r="AD71" s="74" t="inlineStr">
        <is>
          <t>Auto (TanzaniaTenders.com): Site not stated in the listing – read the notice · deadline read from the web page – confirm</t>
        </is>
      </c>
      <c r="AE71" s="67">
        <f>IF(ISNUMBER(Q71),ROUNDDOWN(Q71-NOW(),1),"")</f>
        <v/>
      </c>
      <c r="AF71" s="59">
        <f>IF(OR(A71="",AE71=""),"",IF(NOT(OR(W71="Watching",W71="Preparing")),"",IF(AE71&lt;0,"PASSED",IF(AND(AE71&lt;=7,W71&lt;&gt;"Preparing"),"RED",IF(AE71&lt;=14,"AMBER","GREEN")))))</f>
        <v/>
      </c>
      <c r="AG71" s="59">
        <f>IF(OR(A71="",NOT(OR(W71="Watching",W71="Preparing"))),"",IF(AND(ISNUMBER(M71),M71&gt;=3000000000),"YES – ≥ TZS 3bn",IF(AND(ISNUMBER(AE71),AE71&gt;=0,AE71&lt;10,V71=""),"YES – &lt;10 days","")))</f>
        <v/>
      </c>
      <c r="AH71" s="68" t="n"/>
      <c r="AI71" s="74" t="inlineStr">
        <is>
          <t>Read the notice and decide with the QS Director whether to pursue</t>
        </is>
      </c>
      <c r="AJ71" s="74" t="inlineStr">
        <is>
          <t>Auto-scan</t>
        </is>
      </c>
      <c r="AK71" s="74" t="inlineStr">
        <is>
          <t>TZT:150358812</t>
        </is>
      </c>
      <c r="AL71" s="59">
        <f>IF(AND(OR(W71="Watching",W71="Preparing"),ISNUMBER(Q71)),IF(AND(Q71&gt;='Friday Summary'!$C$4,Q71&lt;='Friday Summary'!$C$4+14),Q71+ROW()/1000000,""),"")</f>
        <v/>
      </c>
    </row>
    <row r="72" ht="15" customHeight="1" s="51">
      <c r="A72" s="59">
        <f>IF(B72="","","OP-"&amp;TEXT(ROW()-4,"000"))</f>
        <v/>
      </c>
      <c r="B72" s="70" t="inlineStr">
        <is>
          <t>77H2/2026/2027/W/26</t>
        </is>
      </c>
      <c r="C72" s="71" t="n">
        <v>46300</v>
      </c>
      <c r="D72" s="70" t="inlineStr">
        <is>
          <t>NeST</t>
        </is>
      </c>
      <c r="E72" s="70" t="inlineStr">
        <is>
          <t>https://nest.go.tz/tenders/published-tenders</t>
        </is>
      </c>
      <c r="F72" s="70" t="inlineStr">
        <is>
          <t>Tarime District Council</t>
        </is>
      </c>
      <c r="G72" s="70" t="inlineStr">
        <is>
          <t>government</t>
        </is>
      </c>
      <c r="H72" s="70" t="inlineStr">
        <is>
          <t>MAINTENANCE OF NYANGOTO VILLAGE ROADS, CONSTRUCTION OF COMPOSITE CULVERTS (5NOs) AND 3160m LINED STONE PITCHING SIDE DRAIN.</t>
        </is>
      </c>
      <c r="I72" s="70" t="inlineStr">
        <is>
          <t>From NeST notice (1 lot) – read the tender document</t>
        </is>
      </c>
      <c r="J72" s="70" t="inlineStr">
        <is>
          <t>Mara (from client's office – confirm site)</t>
        </is>
      </c>
      <c r="K72" s="70" t="inlineStr">
        <is>
          <t>civil</t>
        </is>
      </c>
      <c r="L72" s="70" t="inlineStr">
        <is>
          <t>NeST login needed</t>
        </is>
      </c>
      <c r="M72" s="62" t="n"/>
      <c r="N72" s="70" t="inlineStr">
        <is>
          <t>unknown</t>
        </is>
      </c>
      <c r="O72" s="71" t="inlineStr">
        <is>
          <t>NeST login needed</t>
        </is>
      </c>
      <c r="P72" s="71" t="inlineStr">
        <is>
          <t>NeST login needed</t>
        </is>
      </c>
      <c r="Q72" s="72" t="n">
        <v>46307.58333333334</v>
      </c>
      <c r="R72" s="70" t="inlineStr">
        <is>
          <t>NeST login needed</t>
        </is>
      </c>
      <c r="S72" s="70" t="inlineStr">
        <is>
          <t>N</t>
        </is>
      </c>
      <c r="T72" s="64">
        <f>IF(A72="","",IFERROR(INDEX('Bid-NoBid'!$T:$T,MATCH(A72,'Bid-NoBid'!$A:$A,0)),""))</f>
        <v/>
      </c>
      <c r="U72" s="59">
        <f>IF(A72="","",IFERROR(IF(OR(INDEX('Bid-NoBid'!$U:$U,MATCH(A72,'Bid-NoBid'!$A:$A,0))="",LEFT(INDEX('Bid-NoBid'!$U:$U,MATCH(A72,'Bid-NoBid'!$A:$A,0)),10)="Incomplete"),"Screen: "&amp;AC72,INDEX('Bid-NoBid'!$U:$U,MATCH(A72,'Bid-NoBid'!$A:$A,0))),"Screen: "&amp;AC72))</f>
        <v/>
      </c>
      <c r="V72" s="60" t="n"/>
      <c r="W72" s="70" t="inlineStr">
        <is>
          <t>Watching</t>
        </is>
      </c>
      <c r="X72" s="70" t="inlineStr">
        <is>
          <t>Frank</t>
        </is>
      </c>
      <c r="Y72" s="60" t="n"/>
      <c r="Z72" s="60" t="n"/>
      <c r="AA72" s="73" t="n">
        <v>46300</v>
      </c>
      <c r="AB72" s="74" t="inlineStr">
        <is>
          <t>Small Works / Planned Tender</t>
        </is>
      </c>
      <c r="AC72" s="74" t="inlineStr">
        <is>
          <t>Check</t>
        </is>
      </c>
      <c r="AD72" s="74" t="inlineStr">
        <is>
          <t>Auto (Small Works / Planned Tender): Construction tender kept for review (would have been dropped: Remote civil works)</t>
        </is>
      </c>
      <c r="AE72" s="67">
        <f>IF(ISNUMBER(Q72),ROUNDDOWN(Q72-NOW(),1),"")</f>
        <v/>
      </c>
      <c r="AF72" s="59">
        <f>IF(OR(A72="",AE72=""),"",IF(NOT(OR(W72="Watching",W72="Preparing")),"",IF(AE72&lt;0,"PASSED",IF(AND(AE72&lt;=7,W72&lt;&gt;"Preparing"),"RED",IF(AE72&lt;=14,"AMBER","GREEN")))))</f>
        <v/>
      </c>
      <c r="AG72" s="59">
        <f>IF(OR(A72="",NOT(OR(W72="Watching",W72="Preparing"))),"",IF(AND(ISNUMBER(M72),M72&gt;=3000000000),"YES – ≥ TZS 3bn",IF(AND(ISNUMBER(AE72),AE72&gt;=0,AE72&lt;10,V72=""),"YES – &lt;10 days","")))</f>
        <v/>
      </c>
      <c r="AH72" s="68" t="n"/>
      <c r="AI72" s="74" t="inlineStr">
        <is>
          <t>Read the notice and decide with the QS Director whether to pursue</t>
        </is>
      </c>
      <c r="AJ72" s="74" t="inlineStr">
        <is>
          <t>Auto-scan</t>
        </is>
      </c>
      <c r="AK72" s="74" t="inlineStr">
        <is>
          <t>36497a17-ca65-4da6-9604-17124a4cfd84</t>
        </is>
      </c>
      <c r="AL72" s="59">
        <f>IF(AND(OR(W72="Watching",W72="Preparing"),ISNUMBER(Q72)),IF(AND(Q72&gt;='Friday Summary'!$C$4,Q72&lt;='Friday Summary'!$C$4+14),Q72+ROW()/1000000,""),"")</f>
        <v/>
      </c>
    </row>
    <row r="73" ht="15" customHeight="1" s="51">
      <c r="A73" s="59">
        <f>IF(B73="","","OP-"&amp;TEXT(ROW()-4,"000"))</f>
        <v/>
      </c>
      <c r="B73" s="70" t="inlineStr">
        <is>
          <t>S10/023/2026/2027/W/85</t>
        </is>
      </c>
      <c r="C73" s="71" t="n">
        <v>46300</v>
      </c>
      <c r="D73" s="70" t="inlineStr">
        <is>
          <t>NeST</t>
        </is>
      </c>
      <c r="E73" s="70" t="inlineStr">
        <is>
          <t>https://nest.go.tz/tenders/published-tenders</t>
        </is>
      </c>
      <c r="F73" s="70" t="inlineStr">
        <is>
          <t>TARURA - Singida Regional Office</t>
        </is>
      </c>
      <c r="G73" s="70" t="inlineStr">
        <is>
          <t>government</t>
        </is>
      </c>
      <c r="H73" s="70" t="inlineStr">
        <is>
          <t>UPGRADING OF SOKOINE ROAD 14 TO STONE PAVEMENT SURFACE AND SPOT IMPROVEMENT AND CONSTRUCTION OF CULVERTS ALONG MINYUGHE, UNYAMIKUMBI AND UNYAMBWA ROADS IN SINGIDA MC</t>
        </is>
      </c>
      <c r="I73" s="70" t="inlineStr">
        <is>
          <t>From NeST notice (1 lot) – read the tender document</t>
        </is>
      </c>
      <c r="J73" s="70" t="inlineStr">
        <is>
          <t>Singida</t>
        </is>
      </c>
      <c r="K73" s="70" t="inlineStr">
        <is>
          <t>civil</t>
        </is>
      </c>
      <c r="L73" s="70" t="inlineStr">
        <is>
          <t>NeST login needed</t>
        </is>
      </c>
      <c r="M73" s="62" t="n"/>
      <c r="N73" s="70" t="inlineStr">
        <is>
          <t>unknown</t>
        </is>
      </c>
      <c r="O73" s="71" t="inlineStr">
        <is>
          <t>NeST login needed</t>
        </is>
      </c>
      <c r="P73" s="71" t="inlineStr">
        <is>
          <t>NeST login needed</t>
        </is>
      </c>
      <c r="Q73" s="72" t="n">
        <v>46307.58333333334</v>
      </c>
      <c r="R73" s="70" t="inlineStr">
        <is>
          <t>NeST login needed</t>
        </is>
      </c>
      <c r="S73" s="70" t="inlineStr">
        <is>
          <t>N</t>
        </is>
      </c>
      <c r="T73" s="64">
        <f>IF(A73="","",IFERROR(INDEX('Bid-NoBid'!$T:$T,MATCH(A73,'Bid-NoBid'!$A:$A,0)),""))</f>
        <v/>
      </c>
      <c r="U73" s="59">
        <f>IF(A73="","",IFERROR(IF(OR(INDEX('Bid-NoBid'!$U:$U,MATCH(A73,'Bid-NoBid'!$A:$A,0))="",LEFT(INDEX('Bid-NoBid'!$U:$U,MATCH(A73,'Bid-NoBid'!$A:$A,0)),10)="Incomplete"),"Screen: "&amp;AC73,INDEX('Bid-NoBid'!$U:$U,MATCH(A73,'Bid-NoBid'!$A:$A,0))),"Screen: "&amp;AC73))</f>
        <v/>
      </c>
      <c r="V73" s="60" t="n"/>
      <c r="W73" s="70" t="inlineStr">
        <is>
          <t>Watching</t>
        </is>
      </c>
      <c r="X73" s="70" t="inlineStr">
        <is>
          <t>Frank</t>
        </is>
      </c>
      <c r="Y73" s="60" t="n"/>
      <c r="Z73" s="60" t="n"/>
      <c r="AA73" s="73" t="n">
        <v>46300</v>
      </c>
      <c r="AB73" s="74" t="inlineStr">
        <is>
          <t>Small Works / Tender</t>
        </is>
      </c>
      <c r="AC73" s="74" t="inlineStr">
        <is>
          <t>Check</t>
        </is>
      </c>
      <c r="AD73" s="74" t="inlineStr">
        <is>
          <t>Auto (Small Works / Tender): Construction tender kept for review (would have been dropped: Remote civil works)</t>
        </is>
      </c>
      <c r="AE73" s="67">
        <f>IF(ISNUMBER(Q73),ROUNDDOWN(Q73-NOW(),1),"")</f>
        <v/>
      </c>
      <c r="AF73" s="59">
        <f>IF(OR(A73="",AE73=""),"",IF(NOT(OR(W73="Watching",W73="Preparing")),"",IF(AE73&lt;0,"PASSED",IF(AND(AE73&lt;=7,W73&lt;&gt;"Preparing"),"RED",IF(AE73&lt;=14,"AMBER","GREEN")))))</f>
        <v/>
      </c>
      <c r="AG73" s="59">
        <f>IF(OR(A73="",NOT(OR(W73="Watching",W73="Preparing"))),"",IF(AND(ISNUMBER(M73),M73&gt;=3000000000),"YES – ≥ TZS 3bn",IF(AND(ISNUMBER(AE73),AE73&gt;=0,AE73&lt;10,V73=""),"YES – &lt;10 days","")))</f>
        <v/>
      </c>
      <c r="AH73" s="68" t="n"/>
      <c r="AI73" s="74" t="inlineStr">
        <is>
          <t>Read the notice and decide with the QS Director whether to pursue</t>
        </is>
      </c>
      <c r="AJ73" s="74" t="inlineStr">
        <is>
          <t>Auto-scan</t>
        </is>
      </c>
      <c r="AK73" s="74" t="inlineStr">
        <is>
          <t>8025c8bf-013d-4f83-8975-822e05cdc3d0</t>
        </is>
      </c>
      <c r="AL73" s="59">
        <f>IF(AND(OR(W73="Watching",W73="Preparing"),ISNUMBER(Q73)),IF(AND(Q73&gt;='Friday Summary'!$C$4,Q73&lt;='Friday Summary'!$C$4+14),Q73+ROW()/1000000,""),"")</f>
        <v/>
      </c>
    </row>
    <row r="74" ht="15" customHeight="1" s="51">
      <c r="A74" s="59">
        <f>IF(B74="","","OP-"&amp;TEXT(ROW()-4,"000"))</f>
        <v/>
      </c>
      <c r="B74" s="70" t="inlineStr">
        <is>
          <t>(not shown)</t>
        </is>
      </c>
      <c r="C74" s="71" t="n">
        <v>46300</v>
      </c>
      <c r="D74" s="70" t="inlineStr">
        <is>
          <t>press</t>
        </is>
      </c>
      <c r="E74" s="70" t="inlineStr">
        <is>
          <t>https://www.tanzaniatenders.com/tender/renting-warehouse-geita-region-8f74e5f.php</t>
        </is>
      </c>
      <c r="F74" s="70" t="inlineStr">
        <is>
          <t>See advert</t>
        </is>
      </c>
      <c r="G74" s="70" t="inlineStr">
        <is>
          <t>government</t>
        </is>
      </c>
      <c r="H74" s="70" t="inlineStr">
        <is>
          <t>Renting Warehouse in Geita Region</t>
        </is>
      </c>
      <c r="I74" s="70" t="inlineStr">
        <is>
          <t>From press notice (1 lot) – read the tender document</t>
        </is>
      </c>
      <c r="J74" s="70" t="inlineStr">
        <is>
          <t>Geita</t>
        </is>
      </c>
      <c r="K74" s="70" t="inlineStr">
        <is>
          <t>building</t>
        </is>
      </c>
      <c r="L74" s="70" t="inlineStr">
        <is>
          <t>See tender document</t>
        </is>
      </c>
      <c r="M74" s="62" t="n"/>
      <c r="N74" s="70" t="inlineStr">
        <is>
          <t>unknown</t>
        </is>
      </c>
      <c r="O74" s="71" t="inlineStr">
        <is>
          <t>See tender document</t>
        </is>
      </c>
      <c r="P74" s="71" t="inlineStr">
        <is>
          <t>See tender document</t>
        </is>
      </c>
      <c r="Q74" s="72" t="n">
        <v>46307.41666666666</v>
      </c>
      <c r="R74" s="70" t="inlineStr">
        <is>
          <t>See tender document</t>
        </is>
      </c>
      <c r="S74" s="70" t="inlineStr">
        <is>
          <t>N</t>
        </is>
      </c>
      <c r="T74" s="64">
        <f>IF(A74="","",IFERROR(INDEX('Bid-NoBid'!$T:$T,MATCH(A74,'Bid-NoBid'!$A:$A,0)),""))</f>
        <v/>
      </c>
      <c r="U74" s="59">
        <f>IF(A74="","",IFERROR(IF(OR(INDEX('Bid-NoBid'!$U:$U,MATCH(A74,'Bid-NoBid'!$A:$A,0))="",LEFT(INDEX('Bid-NoBid'!$U:$U,MATCH(A74,'Bid-NoBid'!$A:$A,0)),10)="Incomplete"),"Screen: "&amp;AC74,INDEX('Bid-NoBid'!$U:$U,MATCH(A74,'Bid-NoBid'!$A:$A,0))),"Screen: "&amp;AC74))</f>
        <v/>
      </c>
      <c r="V74" s="60" t="n"/>
      <c r="W74" s="70" t="inlineStr">
        <is>
          <t>Watching</t>
        </is>
      </c>
      <c r="X74" s="70" t="inlineStr">
        <is>
          <t>Frank</t>
        </is>
      </c>
      <c r="Y74" s="60" t="n"/>
      <c r="Z74" s="60" t="n"/>
      <c r="AA74" s="73" t="n"/>
      <c r="AB74" s="74" t="inlineStr">
        <is>
          <t>TanzaniaTenders.com (newspapers / portals / private)</t>
        </is>
      </c>
      <c r="AC74" s="74" t="inlineStr">
        <is>
          <t>Check</t>
        </is>
      </c>
      <c r="AD74" s="74" t="inlineStr">
        <is>
          <t>Auto (TanzaniaTenders.com): Building works but remote from Dar · deadline read from the web page – confirm</t>
        </is>
      </c>
      <c r="AE74" s="67">
        <f>IF(ISNUMBER(Q74),ROUNDDOWN(Q74-NOW(),1),"")</f>
        <v/>
      </c>
      <c r="AF74" s="59">
        <f>IF(OR(A74="",AE74=""),"",IF(NOT(OR(W74="Watching",W74="Preparing")),"",IF(AE74&lt;0,"PASSED",IF(AND(AE74&lt;=7,W74&lt;&gt;"Preparing"),"RED",IF(AE74&lt;=14,"AMBER","GREEN")))))</f>
        <v/>
      </c>
      <c r="AG74" s="59">
        <f>IF(OR(A74="",NOT(OR(W74="Watching",W74="Preparing"))),"",IF(AND(ISNUMBER(M74),M74&gt;=3000000000),"YES – ≥ TZS 3bn",IF(AND(ISNUMBER(AE74),AE74&gt;=0,AE74&lt;10,V74=""),"YES – &lt;10 days","")))</f>
        <v/>
      </c>
      <c r="AH74" s="68" t="n"/>
      <c r="AI74" s="74" t="inlineStr">
        <is>
          <t>Read the notice and decide with the QS Director whether to pursue</t>
        </is>
      </c>
      <c r="AJ74" s="74" t="inlineStr">
        <is>
          <t>Auto-scan</t>
        </is>
      </c>
      <c r="AK74" s="74" t="inlineStr">
        <is>
          <t>TZT:150425183</t>
        </is>
      </c>
      <c r="AL74" s="59">
        <f>IF(AND(OR(W74="Watching",W74="Preparing"),ISNUMBER(Q74)),IF(AND(Q74&gt;='Friday Summary'!$C$4,Q74&lt;='Friday Summary'!$C$4+14),Q74+ROW()/1000000,""),"")</f>
        <v/>
      </c>
    </row>
    <row r="75" ht="15" customHeight="1" s="51">
      <c r="A75" s="59">
        <f>IF(B75="","","OP-"&amp;TEXT(ROW()-4,"000"))</f>
        <v/>
      </c>
      <c r="B75" s="70" t="inlineStr">
        <is>
          <t>(not shown)</t>
        </is>
      </c>
      <c r="C75" s="71" t="n">
        <v>46300</v>
      </c>
      <c r="D75" s="70" t="inlineStr">
        <is>
          <t>press</t>
        </is>
      </c>
      <c r="E75" s="70" t="inlineStr">
        <is>
          <t>https://www.ddotenders.co.tz/tender.php?page=home</t>
        </is>
      </c>
      <c r="F75" s="70" t="inlineStr">
        <is>
          <t>Geita Greenfields Mineral Exploration Limited</t>
        </is>
      </c>
      <c r="G75" s="70" t="inlineStr">
        <is>
          <t>parastatal (verify)</t>
        </is>
      </c>
      <c r="H75" s="70" t="inlineStr">
        <is>
          <t>Renovation for offices</t>
        </is>
      </c>
      <c r="I75" s="70" t="inlineStr">
        <is>
          <t>From press notice (1 lot) – read the tender document</t>
        </is>
      </c>
      <c r="J75" s="70" t="inlineStr">
        <is>
          <t>Dodoma</t>
        </is>
      </c>
      <c r="K75" s="70" t="inlineStr">
        <is>
          <t>renovation</t>
        </is>
      </c>
      <c r="L75" s="70" t="inlineStr">
        <is>
          <t>See tender document</t>
        </is>
      </c>
      <c r="M75" s="62" t="n"/>
      <c r="N75" s="70" t="inlineStr">
        <is>
          <t>unknown</t>
        </is>
      </c>
      <c r="O75" s="71" t="inlineStr">
        <is>
          <t>See tender document</t>
        </is>
      </c>
      <c r="P75" s="71" t="inlineStr">
        <is>
          <t>See tender document</t>
        </is>
      </c>
      <c r="Q75" s="72" t="n">
        <v>46303.41666666666</v>
      </c>
      <c r="R75" s="70" t="inlineStr">
        <is>
          <t>See tender document</t>
        </is>
      </c>
      <c r="S75" s="70" t="inlineStr">
        <is>
          <t>N</t>
        </is>
      </c>
      <c r="T75" s="64">
        <f>IF(A75="","",IFERROR(INDEX('Bid-NoBid'!$T:$T,MATCH(A75,'Bid-NoBid'!$A:$A,0)),""))</f>
        <v/>
      </c>
      <c r="U75" s="59">
        <f>IF(A75="","",IFERROR(IF(OR(INDEX('Bid-NoBid'!$U:$U,MATCH(A75,'Bid-NoBid'!$A:$A,0))="",LEFT(INDEX('Bid-NoBid'!$U:$U,MATCH(A75,'Bid-NoBid'!$A:$A,0)),10)="Incomplete"),"Screen: "&amp;AC75,INDEX('Bid-NoBid'!$U:$U,MATCH(A75,'Bid-NoBid'!$A:$A,0))),"Screen: "&amp;AC75))</f>
        <v/>
      </c>
      <c r="V75" s="60" t="n"/>
      <c r="W75" s="70" t="inlineStr">
        <is>
          <t>Watching</t>
        </is>
      </c>
      <c r="X75" s="70" t="inlineStr">
        <is>
          <t>Frank</t>
        </is>
      </c>
      <c r="Y75" s="60" t="n"/>
      <c r="Z75" s="60" t="n"/>
      <c r="AA75" s="73" t="n">
        <v>46300</v>
      </c>
      <c r="AB75" s="74" t="inlineStr">
        <is>
          <t>DDO Tenders (newspaper / private / donor)</t>
        </is>
      </c>
      <c r="AC75" s="74" t="inlineStr">
        <is>
          <t>Check</t>
        </is>
      </c>
      <c r="AD75" s="74" t="inlineStr">
        <is>
          <t>Auto (DDO Tenders): Good fit but little time left · deadline read from the web page – confirm</t>
        </is>
      </c>
      <c r="AE75" s="67">
        <f>IF(ISNUMBER(Q75),ROUNDDOWN(Q75-NOW(),1),"")</f>
        <v/>
      </c>
      <c r="AF75" s="59">
        <f>IF(OR(A75="",AE75=""),"",IF(NOT(OR(W75="Watching",W75="Preparing")),"",IF(AE75&lt;0,"PASSED",IF(AND(AE75&lt;=7,W75&lt;&gt;"Preparing"),"RED",IF(AE75&lt;=14,"AMBER","GREEN")))))</f>
        <v/>
      </c>
      <c r="AG75" s="59">
        <f>IF(OR(A75="",NOT(OR(W75="Watching",W75="Preparing"))),"",IF(AND(ISNUMBER(M75),M75&gt;=3000000000),"YES – ≥ TZS 3bn",IF(AND(ISNUMBER(AE75),AE75&gt;=0,AE75&lt;10,V75=""),"YES – &lt;10 days","")))</f>
        <v/>
      </c>
      <c r="AH75" s="68" t="n"/>
      <c r="AI75" s="74" t="inlineStr">
        <is>
          <t>Read the notice and decide with the QS Director whether to pursue</t>
        </is>
      </c>
      <c r="AJ75" s="74" t="inlineStr">
        <is>
          <t>Auto-scan</t>
        </is>
      </c>
      <c r="AK75" s="74" t="inlineStr">
        <is>
          <t>DDO:3067</t>
        </is>
      </c>
      <c r="AL75" s="59">
        <f>IF(AND(OR(W75="Watching",W75="Preparing"),ISNUMBER(Q75)),IF(AND(Q75&gt;='Friday Summary'!$C$4,Q75&lt;='Friday Summary'!$C$4+14),Q75+ROW()/1000000,""),"")</f>
        <v/>
      </c>
    </row>
    <row r="76" ht="15" customHeight="1" s="51">
      <c r="A76" s="59">
        <f>IF(B76="","","OP-"&amp;TEXT(ROW()-4,"000"))</f>
        <v/>
      </c>
      <c r="B76" s="70" t="inlineStr">
        <is>
          <t>2026TZAWAT5023</t>
        </is>
      </c>
      <c r="C76" s="71" t="n">
        <v>46300</v>
      </c>
      <c r="D76" s="70" t="inlineStr">
        <is>
          <t>press</t>
        </is>
      </c>
      <c r="E76" s="70" t="inlineStr">
        <is>
          <t>https://www.ddotenders.co.tz/tender.php?page=home</t>
        </is>
      </c>
      <c r="F76" s="70" t="inlineStr">
        <is>
          <t>DIRECT AID SOCIETY</t>
        </is>
      </c>
      <c r="G76" s="70" t="inlineStr">
        <is>
          <t>government</t>
        </is>
      </c>
      <c r="H76" s="70" t="inlineStr">
        <is>
          <t>Maintenance Works at School</t>
        </is>
      </c>
      <c r="I76" s="70" t="inlineStr">
        <is>
          <t>From press notice (1 lot) – read the tender document</t>
        </is>
      </c>
      <c r="J76" s="70" t="inlineStr">
        <is>
          <t>Kilimanjaro (Moshi)</t>
        </is>
      </c>
      <c r="K76" s="70" t="inlineStr">
        <is>
          <t>building</t>
        </is>
      </c>
      <c r="L76" s="70" t="inlineStr">
        <is>
          <t>See tender document</t>
        </is>
      </c>
      <c r="M76" s="62" t="n"/>
      <c r="N76" s="70" t="inlineStr">
        <is>
          <t>unknown</t>
        </is>
      </c>
      <c r="O76" s="71" t="inlineStr">
        <is>
          <t>See tender document</t>
        </is>
      </c>
      <c r="P76" s="71" t="inlineStr">
        <is>
          <t>See tender document</t>
        </is>
      </c>
      <c r="Q76" s="72" t="n">
        <v>46311.41666666666</v>
      </c>
      <c r="R76" s="70" t="inlineStr">
        <is>
          <t>See tender document</t>
        </is>
      </c>
      <c r="S76" s="70" t="inlineStr">
        <is>
          <t>N</t>
        </is>
      </c>
      <c r="T76" s="64">
        <f>IF(A76="","",IFERROR(INDEX('Bid-NoBid'!$T:$T,MATCH(A76,'Bid-NoBid'!$A:$A,0)),""))</f>
        <v/>
      </c>
      <c r="U76" s="59">
        <f>IF(A76="","",IFERROR(IF(OR(INDEX('Bid-NoBid'!$U:$U,MATCH(A76,'Bid-NoBid'!$A:$A,0))="",LEFT(INDEX('Bid-NoBid'!$U:$U,MATCH(A76,'Bid-NoBid'!$A:$A,0)),10)="Incomplete"),"Screen: "&amp;AC76,INDEX('Bid-NoBid'!$U:$U,MATCH(A76,'Bid-NoBid'!$A:$A,0))),"Screen: "&amp;AC76))</f>
        <v/>
      </c>
      <c r="V76" s="60" t="n"/>
      <c r="W76" s="70" t="inlineStr">
        <is>
          <t>Watching</t>
        </is>
      </c>
      <c r="X76" s="70" t="inlineStr">
        <is>
          <t>Frank</t>
        </is>
      </c>
      <c r="Y76" s="60" t="n"/>
      <c r="Z76" s="60" t="n"/>
      <c r="AA76" s="73" t="n">
        <v>46300</v>
      </c>
      <c r="AB76" s="74" t="inlineStr">
        <is>
          <t>DDO Tenders (newspaper / private / donor)</t>
        </is>
      </c>
      <c r="AC76" s="74" t="inlineStr">
        <is>
          <t>Check</t>
        </is>
      </c>
      <c r="AD76" s="74" t="inlineStr">
        <is>
          <t>Auto (DDO Tenders): Building works but remote from Dar · deadline read from the web page – confirm</t>
        </is>
      </c>
      <c r="AE76" s="67">
        <f>IF(ISNUMBER(Q76),ROUNDDOWN(Q76-NOW(),1),"")</f>
        <v/>
      </c>
      <c r="AF76" s="59">
        <f>IF(OR(A76="",AE76=""),"",IF(NOT(OR(W76="Watching",W76="Preparing")),"",IF(AE76&lt;0,"PASSED",IF(AND(AE76&lt;=7,W76&lt;&gt;"Preparing"),"RED",IF(AE76&lt;=14,"AMBER","GREEN")))))</f>
        <v/>
      </c>
      <c r="AG76" s="59">
        <f>IF(OR(A76="",NOT(OR(W76="Watching",W76="Preparing"))),"",IF(AND(ISNUMBER(M76),M76&gt;=3000000000),"YES – ≥ TZS 3bn",IF(AND(ISNUMBER(AE76),AE76&gt;=0,AE76&lt;10,V76=""),"YES – &lt;10 days","")))</f>
        <v/>
      </c>
      <c r="AH76" s="68" t="n"/>
      <c r="AI76" s="74" t="inlineStr">
        <is>
          <t>Read the notice and decide with the QS Director whether to pursue</t>
        </is>
      </c>
      <c r="AJ76" s="74" t="inlineStr">
        <is>
          <t>Auto-scan</t>
        </is>
      </c>
      <c r="AK76" s="74" t="inlineStr">
        <is>
          <t>DDO:3071</t>
        </is>
      </c>
      <c r="AL76" s="59">
        <f>IF(AND(OR(W76="Watching",W76="Preparing"),ISNUMBER(Q76)),IF(AND(Q76&gt;='Friday Summary'!$C$4,Q76&lt;='Friday Summary'!$C$4+14),Q76+ROW()/1000000,""),"")</f>
        <v/>
      </c>
    </row>
    <row r="77" ht="15" customHeight="1" s="51">
      <c r="A77" s="59">
        <f>IF(B77="","","OP-"&amp;TEXT(ROW()-4,"000"))</f>
        <v/>
      </c>
      <c r="B77" s="70" t="inlineStr">
        <is>
          <t>87V4/2026/2027/W/11</t>
        </is>
      </c>
      <c r="C77" s="71" t="n">
        <v>46301</v>
      </c>
      <c r="D77" s="70" t="inlineStr">
        <is>
          <t>NeST</t>
        </is>
      </c>
      <c r="E77" s="70" t="inlineStr">
        <is>
          <t>https://nest.go.tz/tenders/published-tenders</t>
        </is>
      </c>
      <c r="F77" s="70" t="inlineStr">
        <is>
          <t>Muleba District Council</t>
        </is>
      </c>
      <c r="G77" s="70" t="inlineStr">
        <is>
          <t>government</t>
        </is>
      </c>
      <c r="H77" s="70" t="inlineStr">
        <is>
          <t>CONSTRUCTION OF THE EXECUTIVE DIRECTOR'S RESIDENTIAL HOUSE AT MULEBA DISTRICT COUNCIL</t>
        </is>
      </c>
      <c r="I77" s="70" t="inlineStr">
        <is>
          <t>From NeST notice (1 lot) – read the tender document</t>
        </is>
      </c>
      <c r="J77" s="70" t="inlineStr">
        <is>
          <t>Kagera (from client's office – confirm site)</t>
        </is>
      </c>
      <c r="K77" s="70" t="inlineStr">
        <is>
          <t>building</t>
        </is>
      </c>
      <c r="L77" s="70" t="inlineStr">
        <is>
          <t>NeST login needed</t>
        </is>
      </c>
      <c r="M77" s="62" t="n"/>
      <c r="N77" s="70" t="inlineStr">
        <is>
          <t>unknown</t>
        </is>
      </c>
      <c r="O77" s="71" t="inlineStr">
        <is>
          <t>NeST login needed</t>
        </is>
      </c>
      <c r="P77" s="71" t="inlineStr">
        <is>
          <t>NeST login needed</t>
        </is>
      </c>
      <c r="Q77" s="72" t="n">
        <v>46307.41666666666</v>
      </c>
      <c r="R77" s="70" t="inlineStr">
        <is>
          <t>NeST login needed</t>
        </is>
      </c>
      <c r="S77" s="70" t="inlineStr">
        <is>
          <t>N</t>
        </is>
      </c>
      <c r="T77" s="64">
        <f>IF(A77="","",IFERROR(INDEX('Bid-NoBid'!$T:$T,MATCH(A77,'Bid-NoBid'!$A:$A,0)),""))</f>
        <v/>
      </c>
      <c r="U77" s="59">
        <f>IF(A77="","",IFERROR(IF(OR(INDEX('Bid-NoBid'!$U:$U,MATCH(A77,'Bid-NoBid'!$A:$A,0))="",LEFT(INDEX('Bid-NoBid'!$U:$U,MATCH(A77,'Bid-NoBid'!$A:$A,0)),10)="Incomplete"),"Screen: "&amp;AC77,INDEX('Bid-NoBid'!$U:$U,MATCH(A77,'Bid-NoBid'!$A:$A,0))),"Screen: "&amp;AC77))</f>
        <v/>
      </c>
      <c r="V77" s="60" t="n"/>
      <c r="W77" s="70" t="inlineStr">
        <is>
          <t>Watching</t>
        </is>
      </c>
      <c r="X77" s="70" t="inlineStr">
        <is>
          <t>Frank</t>
        </is>
      </c>
      <c r="Y77" s="60" t="n"/>
      <c r="Z77" s="60" t="n"/>
      <c r="AA77" s="73" t="n">
        <v>46300</v>
      </c>
      <c r="AB77" s="74" t="inlineStr">
        <is>
          <t>Small Works / Tender</t>
        </is>
      </c>
      <c r="AC77" s="74" t="inlineStr">
        <is>
          <t>Check</t>
        </is>
      </c>
      <c r="AD77" s="74" t="inlineStr">
        <is>
          <t>Auto (Small Works / Tender): Construction tender kept for review (would have been dropped: Remote and closing soon)</t>
        </is>
      </c>
      <c r="AE77" s="67">
        <f>IF(ISNUMBER(Q77),ROUNDDOWN(Q77-NOW(),1),"")</f>
        <v/>
      </c>
      <c r="AF77" s="59">
        <f>IF(OR(A77="",AE77=""),"",IF(NOT(OR(W77="Watching",W77="Preparing")),"",IF(AE77&lt;0,"PASSED",IF(AND(AE77&lt;=7,W77&lt;&gt;"Preparing"),"RED",IF(AE77&lt;=14,"AMBER","GREEN")))))</f>
        <v/>
      </c>
      <c r="AG77" s="59">
        <f>IF(OR(A77="",NOT(OR(W77="Watching",W77="Preparing"))),"",IF(AND(ISNUMBER(M77),M77&gt;=3000000000),"YES – ≥ TZS 3bn",IF(AND(ISNUMBER(AE77),AE77&gt;=0,AE77&lt;10,V77=""),"YES – &lt;10 days","")))</f>
        <v/>
      </c>
      <c r="AH77" s="68" t="n"/>
      <c r="AI77" s="74" t="inlineStr">
        <is>
          <t>Read the notice and decide with the QS Director whether to pursue</t>
        </is>
      </c>
      <c r="AJ77" s="74" t="inlineStr">
        <is>
          <t>Auto-scan</t>
        </is>
      </c>
      <c r="AK77" s="74" t="inlineStr">
        <is>
          <t>f07667a1-2f4d-4022-aab2-3012d0645bb0</t>
        </is>
      </c>
      <c r="AL77" s="59">
        <f>IF(AND(OR(W77="Watching",W77="Preparing"),ISNUMBER(Q77)),IF(AND(Q77&gt;='Friday Summary'!$C$4,Q77&lt;='Friday Summary'!$C$4+14),Q77+ROW()/1000000,""),"")</f>
        <v/>
      </c>
    </row>
    <row r="78" ht="15" customHeight="1" s="51">
      <c r="A78" s="59">
        <f>IF(B78="","","OP-"&amp;TEXT(ROW()-4,"000"))</f>
        <v/>
      </c>
      <c r="B78" s="70" t="inlineStr">
        <is>
          <t>S10/020/2026/2027/W/51</t>
        </is>
      </c>
      <c r="C78" s="71" t="n">
        <v>46301</v>
      </c>
      <c r="D78" s="70" t="inlineStr">
        <is>
          <t>NeST</t>
        </is>
      </c>
      <c r="E78" s="70" t="inlineStr">
        <is>
          <t>https://nest.go.tz/tenders/published-tenders</t>
        </is>
      </c>
      <c r="F78" s="70" t="inlineStr">
        <is>
          <t>TARURA - Ruvuma Regional Office</t>
        </is>
      </c>
      <c r="G78" s="70" t="inlineStr">
        <is>
          <t>government</t>
        </is>
      </c>
      <c r="H78" s="70" t="inlineStr">
        <is>
          <t>Construction of Three Cell Box Culvert (5.0m x 2.5m) and Single Cell (2.5m x 2.0m) Box Culvert along Ligunga - Kindamba Road</t>
        </is>
      </c>
      <c r="I78" s="70" t="inlineStr">
        <is>
          <t>From NeST notice (1 lot) – read the tender document</t>
        </is>
      </c>
      <c r="J78" s="70" t="inlineStr">
        <is>
          <t>Ruvuma (Songea) (from client's office – confirm site)</t>
        </is>
      </c>
      <c r="K78" s="70" t="inlineStr">
        <is>
          <t>civil</t>
        </is>
      </c>
      <c r="L78" s="70" t="inlineStr">
        <is>
          <t>NeST login needed</t>
        </is>
      </c>
      <c r="M78" s="62" t="n"/>
      <c r="N78" s="70" t="inlineStr">
        <is>
          <t>unknown</t>
        </is>
      </c>
      <c r="O78" s="71" t="inlineStr">
        <is>
          <t>NeST login needed</t>
        </is>
      </c>
      <c r="P78" s="71" t="inlineStr">
        <is>
          <t>NeST login needed</t>
        </is>
      </c>
      <c r="Q78" s="72" t="n">
        <v>46307.5</v>
      </c>
      <c r="R78" s="70" t="inlineStr">
        <is>
          <t>NeST login needed</t>
        </is>
      </c>
      <c r="S78" s="70" t="inlineStr">
        <is>
          <t>N</t>
        </is>
      </c>
      <c r="T78" s="64">
        <f>IF(A78="","",IFERROR(INDEX('Bid-NoBid'!$T:$T,MATCH(A78,'Bid-NoBid'!$A:$A,0)),""))</f>
        <v/>
      </c>
      <c r="U78" s="59">
        <f>IF(A78="","",IFERROR(IF(OR(INDEX('Bid-NoBid'!$U:$U,MATCH(A78,'Bid-NoBid'!$A:$A,0))="",LEFT(INDEX('Bid-NoBid'!$U:$U,MATCH(A78,'Bid-NoBid'!$A:$A,0)),10)="Incomplete"),"Screen: "&amp;AC78,INDEX('Bid-NoBid'!$U:$U,MATCH(A78,'Bid-NoBid'!$A:$A,0))),"Screen: "&amp;AC78))</f>
        <v/>
      </c>
      <c r="V78" s="60" t="n"/>
      <c r="W78" s="70" t="inlineStr">
        <is>
          <t>Watching</t>
        </is>
      </c>
      <c r="X78" s="70" t="inlineStr">
        <is>
          <t>Frank</t>
        </is>
      </c>
      <c r="Y78" s="60" t="n"/>
      <c r="Z78" s="60" t="n"/>
      <c r="AA78" s="73" t="n">
        <v>46300</v>
      </c>
      <c r="AB78" s="74" t="inlineStr">
        <is>
          <t>Small Works / Tender</t>
        </is>
      </c>
      <c r="AC78" s="74" t="inlineStr">
        <is>
          <t>Check</t>
        </is>
      </c>
      <c r="AD78" s="74" t="inlineStr">
        <is>
          <t>Auto (Small Works / Tender): Construction tender kept for review (would have been dropped: Remote civil works)</t>
        </is>
      </c>
      <c r="AE78" s="67">
        <f>IF(ISNUMBER(Q78),ROUNDDOWN(Q78-NOW(),1),"")</f>
        <v/>
      </c>
      <c r="AF78" s="59">
        <f>IF(OR(A78="",AE78=""),"",IF(NOT(OR(W78="Watching",W78="Preparing")),"",IF(AE78&lt;0,"PASSED",IF(AND(AE78&lt;=7,W78&lt;&gt;"Preparing"),"RED",IF(AE78&lt;=14,"AMBER","GREEN")))))</f>
        <v/>
      </c>
      <c r="AG78" s="59">
        <f>IF(OR(A78="",NOT(OR(W78="Watching",W78="Preparing"))),"",IF(AND(ISNUMBER(M78),M78&gt;=3000000000),"YES – ≥ TZS 3bn",IF(AND(ISNUMBER(AE78),AE78&gt;=0,AE78&lt;10,V78=""),"YES – &lt;10 days","")))</f>
        <v/>
      </c>
      <c r="AH78" s="68" t="n"/>
      <c r="AI78" s="74" t="inlineStr">
        <is>
          <t>Read the notice and decide with the QS Director whether to pursue</t>
        </is>
      </c>
      <c r="AJ78" s="74" t="inlineStr">
        <is>
          <t>Auto-scan</t>
        </is>
      </c>
      <c r="AK78" s="74" t="inlineStr">
        <is>
          <t>cf3c3d0f-9a71-40a5-b4f2-51e041a3e270</t>
        </is>
      </c>
      <c r="AL78" s="59">
        <f>IF(AND(OR(W78="Watching",W78="Preparing"),ISNUMBER(Q78)),IF(AND(Q78&gt;='Friday Summary'!$C$4,Q78&lt;='Friday Summary'!$C$4+14),Q78+ROW()/1000000,""),"")</f>
        <v/>
      </c>
    </row>
    <row r="79" ht="15" customHeight="1" s="51">
      <c r="A79" s="59">
        <f>IF(B79="","","OP-"&amp;TEXT(ROW()-4,"000"))</f>
        <v/>
      </c>
      <c r="B79" s="70" t="inlineStr">
        <is>
          <t>AE/001/2026/27/HQ/W/18 (TZ-TANROADS-564086-CW-RFB)</t>
        </is>
      </c>
      <c r="C79" s="71" t="n">
        <v>46301</v>
      </c>
      <c r="D79" s="70" t="inlineStr">
        <is>
          <t>client site</t>
        </is>
      </c>
      <c r="E79" s="70" t="inlineStr">
        <is>
          <t>https://www.tanroads.go.tz/view/200</t>
        </is>
      </c>
      <c r="F79" s="70" t="inlineStr">
        <is>
          <t>TANROADS</t>
        </is>
      </c>
      <c r="G79" s="70" t="inlineStr">
        <is>
          <t>government</t>
        </is>
      </c>
      <c r="H79" s="70" t="inlineStr">
        <is>
          <t>CONSTRUCTION OF LWANJI I BRIDGE (200M) SPAN ALONG MTOWISA – ILEMBA ROAD SECTION</t>
        </is>
      </c>
      <c r="I79" s="70" t="inlineStr">
        <is>
          <t>From client site notice (1 lot) – read the tender document</t>
        </is>
      </c>
      <c r="J79" s="70" t="inlineStr">
        <is>
          <t>Headquarters (from client's office – confirm site)</t>
        </is>
      </c>
      <c r="K79" s="70" t="inlineStr">
        <is>
          <t>civil</t>
        </is>
      </c>
      <c r="L79" s="70" t="inlineStr">
        <is>
          <t>See tender document</t>
        </is>
      </c>
      <c r="M79" s="62" t="n"/>
      <c r="N79" s="70" t="inlineStr">
        <is>
          <t>unknown</t>
        </is>
      </c>
      <c r="O79" s="71" t="inlineStr">
        <is>
          <t>See tender document</t>
        </is>
      </c>
      <c r="P79" s="71" t="inlineStr">
        <is>
          <t>See tender document</t>
        </is>
      </c>
      <c r="Q79" s="72" t="n">
        <v>46328.41666666666</v>
      </c>
      <c r="R79" s="70" t="inlineStr">
        <is>
          <t>See tender document</t>
        </is>
      </c>
      <c r="S79" s="70" t="inlineStr">
        <is>
          <t>N</t>
        </is>
      </c>
      <c r="T79" s="64">
        <f>IF(A79="","",IFERROR(INDEX('Bid-NoBid'!$T:$T,MATCH(A79,'Bid-NoBid'!$A:$A,0)),""))</f>
        <v/>
      </c>
      <c r="U79" s="59">
        <f>IF(A79="","",IFERROR(IF(OR(INDEX('Bid-NoBid'!$U:$U,MATCH(A79,'Bid-NoBid'!$A:$A,0))="",LEFT(INDEX('Bid-NoBid'!$U:$U,MATCH(A79,'Bid-NoBid'!$A:$A,0)),10)="Incomplete"),"Screen: "&amp;AC79,INDEX('Bid-NoBid'!$U:$U,MATCH(A79,'Bid-NoBid'!$A:$A,0))),"Screen: "&amp;AC79))</f>
        <v/>
      </c>
      <c r="V79" s="60" t="n"/>
      <c r="W79" s="70" t="inlineStr">
        <is>
          <t>Watching</t>
        </is>
      </c>
      <c r="X79" s="70" t="inlineStr">
        <is>
          <t>Frank</t>
        </is>
      </c>
      <c r="Y79" s="60" t="n"/>
      <c r="Z79" s="60" t="n"/>
      <c r="AA79" s="73" t="n"/>
      <c r="AB79" s="74" t="inlineStr">
        <is>
          <t>TANROADS website</t>
        </is>
      </c>
      <c r="AC79" s="74" t="inlineStr">
        <is>
          <t>Check</t>
        </is>
      </c>
      <c r="AD79" s="74" t="inlineStr">
        <is>
          <t>Auto (TANROADS website): Construction tender kept for review (would have been dropped: Remote civil works)</t>
        </is>
      </c>
      <c r="AE79" s="67">
        <f>IF(ISNUMBER(Q79),ROUNDDOWN(Q79-NOW(),1),"")</f>
        <v/>
      </c>
      <c r="AF79" s="59">
        <f>IF(OR(A79="",AE79=""),"",IF(NOT(OR(W79="Watching",W79="Preparing")),"",IF(AE79&lt;0,"PASSED",IF(AND(AE79&lt;=7,W79&lt;&gt;"Preparing"),"RED",IF(AE79&lt;=14,"AMBER","GREEN")))))</f>
        <v/>
      </c>
      <c r="AG79" s="59">
        <f>IF(OR(A79="",NOT(OR(W79="Watching",W79="Preparing"))),"",IF(AND(ISNUMBER(M79),M79&gt;=3000000000),"YES – ≥ TZS 3bn",IF(AND(ISNUMBER(AE79),AE79&gt;=0,AE79&lt;10,V79=""),"YES – &lt;10 days","")))</f>
        <v/>
      </c>
      <c r="AH79" s="68" t="n"/>
      <c r="AI79" s="74" t="inlineStr">
        <is>
          <t>Read the notice and decide with the QS Director whether to pursue</t>
        </is>
      </c>
      <c r="AJ79" s="74" t="inlineStr">
        <is>
          <t>Auto-scan</t>
        </is>
      </c>
      <c r="AK79" s="74" t="inlineStr">
        <is>
          <t>TANROADS:ae001202627hqw18tztanroads564086cwrfb</t>
        </is>
      </c>
      <c r="AL79" s="59">
        <f>IF(AND(OR(W79="Watching",W79="Preparing"),ISNUMBER(Q79)),IF(AND(Q79&gt;='Friday Summary'!$C$4,Q79&lt;='Friday Summary'!$C$4+14),Q79+ROW()/1000000,""),"")</f>
        <v/>
      </c>
    </row>
    <row r="80" ht="15" customHeight="1" s="51">
      <c r="A80" s="59">
        <f>IF(B80="","","OP-"&amp;TEXT(ROW()-4,"000"))</f>
        <v/>
      </c>
      <c r="B80" s="70" t="inlineStr">
        <is>
          <t>2165A/2026/2027/W/01</t>
        </is>
      </c>
      <c r="C80" s="71" t="n">
        <v>46302</v>
      </c>
      <c r="D80" s="70" t="inlineStr">
        <is>
          <t>NeST</t>
        </is>
      </c>
      <c r="E80" s="70" t="inlineStr">
        <is>
          <t>https://nest.go.tz/tenders/published-tenders</t>
        </is>
      </c>
      <c r="F80" s="70" t="inlineStr">
        <is>
          <t>Forestry and Wood Industries Training Centre (fwitc)</t>
        </is>
      </c>
      <c r="G80" s="70" t="inlineStr">
        <is>
          <t>government</t>
        </is>
      </c>
      <c r="H80" s="70" t="inlineStr">
        <is>
          <t>Construction of Dormitory</t>
        </is>
      </c>
      <c r="I80" s="70" t="inlineStr">
        <is>
          <t>From NeST notice (1 lot) – read the tender document</t>
        </is>
      </c>
      <c r="J80" s="70" t="inlineStr">
        <is>
          <t>Iringa (Mufindi) (from client's office – confirm site)</t>
        </is>
      </c>
      <c r="K80" s="70" t="inlineStr">
        <is>
          <t>building</t>
        </is>
      </c>
      <c r="L80" s="70" t="inlineStr">
        <is>
          <t>NeST login needed</t>
        </is>
      </c>
      <c r="M80" s="62" t="n"/>
      <c r="N80" s="70" t="inlineStr">
        <is>
          <t>unknown</t>
        </is>
      </c>
      <c r="O80" s="71" t="inlineStr">
        <is>
          <t>NeST login needed</t>
        </is>
      </c>
      <c r="P80" s="71" t="inlineStr">
        <is>
          <t>NeST login needed</t>
        </is>
      </c>
      <c r="Q80" s="72" t="n">
        <v>46308.58333333334</v>
      </c>
      <c r="R80" s="70" t="inlineStr">
        <is>
          <t>NeST login needed</t>
        </is>
      </c>
      <c r="S80" s="70" t="inlineStr">
        <is>
          <t>N</t>
        </is>
      </c>
      <c r="T80" s="64">
        <f>IF(A80="","",IFERROR(INDEX('Bid-NoBid'!$T:$T,MATCH(A80,'Bid-NoBid'!$A:$A,0)),""))</f>
        <v/>
      </c>
      <c r="U80" s="59">
        <f>IF(A80="","",IFERROR(IF(OR(INDEX('Bid-NoBid'!$U:$U,MATCH(A80,'Bid-NoBid'!$A:$A,0))="",LEFT(INDEX('Bid-NoBid'!$U:$U,MATCH(A80,'Bid-NoBid'!$A:$A,0)),10)="Incomplete"),"Screen: "&amp;AC80,INDEX('Bid-NoBid'!$U:$U,MATCH(A80,'Bid-NoBid'!$A:$A,0))),"Screen: "&amp;AC80))</f>
        <v/>
      </c>
      <c r="V80" s="60" t="n"/>
      <c r="W80" s="70" t="inlineStr">
        <is>
          <t>Watching</t>
        </is>
      </c>
      <c r="X80" s="70" t="inlineStr">
        <is>
          <t>Frank</t>
        </is>
      </c>
      <c r="Y80" s="60" t="n"/>
      <c r="Z80" s="60" t="n"/>
      <c r="AA80" s="73" t="n">
        <v>46301</v>
      </c>
      <c r="AB80" s="74" t="inlineStr">
        <is>
          <t>Small Works / Tender</t>
        </is>
      </c>
      <c r="AC80" s="74" t="inlineStr">
        <is>
          <t>Check</t>
        </is>
      </c>
      <c r="AD80" s="74" t="inlineStr">
        <is>
          <t>Auto (Small Works / Tender): Construction tender kept for review (would have been dropped: Remote and closing soon)</t>
        </is>
      </c>
      <c r="AE80" s="67">
        <f>IF(ISNUMBER(Q80),ROUNDDOWN(Q80-NOW(),1),"")</f>
        <v/>
      </c>
      <c r="AF80" s="59">
        <f>IF(OR(A80="",AE80=""),"",IF(NOT(OR(W80="Watching",W80="Preparing")),"",IF(AE80&lt;0,"PASSED",IF(AND(AE80&lt;=7,W80&lt;&gt;"Preparing"),"RED",IF(AE80&lt;=14,"AMBER","GREEN")))))</f>
        <v/>
      </c>
      <c r="AG80" s="59">
        <f>IF(OR(A80="",NOT(OR(W80="Watching",W80="Preparing"))),"",IF(AND(ISNUMBER(M80),M80&gt;=3000000000),"YES – ≥ TZS 3bn",IF(AND(ISNUMBER(AE80),AE80&gt;=0,AE80&lt;10,V80=""),"YES – &lt;10 days","")))</f>
        <v/>
      </c>
      <c r="AH80" s="68" t="n"/>
      <c r="AI80" s="74" t="inlineStr">
        <is>
          <t>Read the notice and decide with the QS Director whether to pursue</t>
        </is>
      </c>
      <c r="AJ80" s="74" t="inlineStr">
        <is>
          <t>Auto-scan</t>
        </is>
      </c>
      <c r="AK80" s="74" t="inlineStr">
        <is>
          <t>ce68c688-8de4-46a2-80bc-c2261f265b0e</t>
        </is>
      </c>
      <c r="AL80" s="59">
        <f>IF(AND(OR(W80="Watching",W80="Preparing"),ISNUMBER(Q80)),IF(AND(Q80&gt;='Friday Summary'!$C$4,Q80&lt;='Friday Summary'!$C$4+14),Q80+ROW()/1000000,""),"")</f>
        <v/>
      </c>
    </row>
    <row r="81" ht="15" customHeight="1" s="51">
      <c r="A81" s="59">
        <f>IF(B81="","","OP-"&amp;TEXT(ROW()-4,"000"))</f>
        <v/>
      </c>
      <c r="B81" s="70" t="inlineStr">
        <is>
          <t>44/002/2026/2027/W/17</t>
        </is>
      </c>
      <c r="C81" s="71" t="n">
        <v>46302</v>
      </c>
      <c r="D81" s="70" t="inlineStr">
        <is>
          <t>NeST</t>
        </is>
      </c>
      <c r="E81" s="70" t="inlineStr">
        <is>
          <t>https://nest.go.tz/tenders/published-tenders</t>
        </is>
      </c>
      <c r="F81" s="70" t="inlineStr">
        <is>
          <t>Tanzania Investment and Special Economic Zones</t>
        </is>
      </c>
      <c r="G81" s="70" t="inlineStr">
        <is>
          <t>government</t>
        </is>
      </c>
      <c r="H81" s="70" t="inlineStr">
        <is>
          <t>Rehabilitation and Construction of fence Wall at TISEZA Office Mabibo</t>
        </is>
      </c>
      <c r="I81" s="70" t="inlineStr">
        <is>
          <t>From NeST notice (1 lot) – read the tender document</t>
        </is>
      </c>
      <c r="J81" s="70" t="inlineStr">
        <is>
          <t>Dar es Salaam (Ilala) (from client's office – confirm site)</t>
        </is>
      </c>
      <c r="K81" s="70" t="inlineStr">
        <is>
          <t>renovation</t>
        </is>
      </c>
      <c r="L81" s="70" t="inlineStr">
        <is>
          <t>NeST login needed</t>
        </is>
      </c>
      <c r="M81" s="62" t="n"/>
      <c r="N81" s="70" t="inlineStr">
        <is>
          <t>unknown</t>
        </is>
      </c>
      <c r="O81" s="71" t="inlineStr">
        <is>
          <t>NeST login needed</t>
        </is>
      </c>
      <c r="P81" s="71" t="inlineStr">
        <is>
          <t>NeST login needed</t>
        </is>
      </c>
      <c r="Q81" s="72" t="n">
        <v>46308.58333333334</v>
      </c>
      <c r="R81" s="70" t="inlineStr">
        <is>
          <t>NeST login needed</t>
        </is>
      </c>
      <c r="S81" s="70" t="inlineStr">
        <is>
          <t>N</t>
        </is>
      </c>
      <c r="T81" s="64">
        <f>IF(A81="","",IFERROR(INDEX('Bid-NoBid'!$T:$T,MATCH(A81,'Bid-NoBid'!$A:$A,0)),""))</f>
        <v/>
      </c>
      <c r="U81" s="59">
        <f>IF(A81="","",IFERROR(IF(OR(INDEX('Bid-NoBid'!$U:$U,MATCH(A81,'Bid-NoBid'!$A:$A,0))="",LEFT(INDEX('Bid-NoBid'!$U:$U,MATCH(A81,'Bid-NoBid'!$A:$A,0)),10)="Incomplete"),"Screen: "&amp;AC81,INDEX('Bid-NoBid'!$U:$U,MATCH(A81,'Bid-NoBid'!$A:$A,0))),"Screen: "&amp;AC81))</f>
        <v/>
      </c>
      <c r="V81" s="60" t="n"/>
      <c r="W81" s="70" t="inlineStr">
        <is>
          <t>Watching</t>
        </is>
      </c>
      <c r="X81" s="70" t="inlineStr">
        <is>
          <t>Frank</t>
        </is>
      </c>
      <c r="Y81" s="60" t="n"/>
      <c r="Z81" s="60" t="n"/>
      <c r="AA81" s="73" t="n">
        <v>46301</v>
      </c>
      <c r="AB81" s="74" t="inlineStr">
        <is>
          <t>Standard Invitation for Quotations -Works / Planned Tender</t>
        </is>
      </c>
      <c r="AC81" s="74" t="inlineStr">
        <is>
          <t>Check</t>
        </is>
      </c>
      <c r="AD81" s="74" t="inlineStr">
        <is>
          <t>Auto (Standard Invitation for Quotations -Works / Planned Tender): Quotation route – value may be below TZS 200m</t>
        </is>
      </c>
      <c r="AE81" s="67">
        <f>IF(ISNUMBER(Q81),ROUNDDOWN(Q81-NOW(),1),"")</f>
        <v/>
      </c>
      <c r="AF81" s="59">
        <f>IF(OR(A81="",AE81=""),"",IF(NOT(OR(W81="Watching",W81="Preparing")),"",IF(AE81&lt;0,"PASSED",IF(AND(AE81&lt;=7,W81&lt;&gt;"Preparing"),"RED",IF(AE81&lt;=14,"AMBER","GREEN")))))</f>
        <v/>
      </c>
      <c r="AG81" s="59">
        <f>IF(OR(A81="",NOT(OR(W81="Watching",W81="Preparing"))),"",IF(AND(ISNUMBER(M81),M81&gt;=3000000000),"YES – ≥ TZS 3bn",IF(AND(ISNUMBER(AE81),AE81&gt;=0,AE81&lt;10,V81=""),"YES – &lt;10 days","")))</f>
        <v/>
      </c>
      <c r="AH81" s="68" t="n"/>
      <c r="AI81" s="74" t="inlineStr">
        <is>
          <t>Read the notice and decide with the QS Director whether to pursue</t>
        </is>
      </c>
      <c r="AJ81" s="74" t="inlineStr">
        <is>
          <t>Auto-scan</t>
        </is>
      </c>
      <c r="AK81" s="74" t="inlineStr">
        <is>
          <t>dbec7a25-c9a5-48dd-88bb-663f1f3ac036</t>
        </is>
      </c>
      <c r="AL81" s="59">
        <f>IF(AND(OR(W81="Watching",W81="Preparing"),ISNUMBER(Q81)),IF(AND(Q81&gt;='Friday Summary'!$C$4,Q81&lt;='Friday Summary'!$C$4+14),Q81+ROW()/1000000,""),"")</f>
        <v/>
      </c>
    </row>
    <row r="82" ht="15" customHeight="1" s="51">
      <c r="A82" s="59">
        <f>IF(B82="","","OP-"&amp;TEXT(ROW()-4,"000"))</f>
        <v/>
      </c>
      <c r="B82" s="70" t="inlineStr">
        <is>
          <t>TR72/2026/2027/W/06</t>
        </is>
      </c>
      <c r="C82" s="71" t="n">
        <v>46302</v>
      </c>
      <c r="D82" s="70" t="inlineStr">
        <is>
          <t>NeST</t>
        </is>
      </c>
      <c r="E82" s="70" t="inlineStr">
        <is>
          <t>https://nest.go.tz/tenders/published-tenders</t>
        </is>
      </c>
      <c r="F82" s="70" t="inlineStr">
        <is>
          <t>National Museum of Tanzania</t>
        </is>
      </c>
      <c r="G82" s="70" t="inlineStr">
        <is>
          <t>government</t>
        </is>
      </c>
      <c r="H82" s="70" t="inlineStr">
        <is>
          <t>Construction and installation of tourism facilities (inc. reception point, exhibition gallery, pedestal, walkways, information panel) at Mbuamaji information Centre</t>
        </is>
      </c>
      <c r="I82" s="70" t="inlineStr">
        <is>
          <t>From NeST notice (1 lot) – read the tender document</t>
        </is>
      </c>
      <c r="J82" s="70" t="inlineStr">
        <is>
          <t>Dar es Salaam (Ilala) (from client's office – confirm site)</t>
        </is>
      </c>
      <c r="K82" s="70" t="inlineStr">
        <is>
          <t>building</t>
        </is>
      </c>
      <c r="L82" s="70" t="inlineStr">
        <is>
          <t>NeST login needed</t>
        </is>
      </c>
      <c r="M82" s="62" t="n"/>
      <c r="N82" s="70" t="inlineStr">
        <is>
          <t>unknown</t>
        </is>
      </c>
      <c r="O82" s="71" t="inlineStr">
        <is>
          <t>NeST login needed</t>
        </is>
      </c>
      <c r="P82" s="71" t="inlineStr">
        <is>
          <t>NeST login needed</t>
        </is>
      </c>
      <c r="Q82" s="72" t="n">
        <v>46308.58333333334</v>
      </c>
      <c r="R82" s="70" t="inlineStr">
        <is>
          <t>NeST login needed</t>
        </is>
      </c>
      <c r="S82" s="70" t="inlineStr">
        <is>
          <t>N</t>
        </is>
      </c>
      <c r="T82" s="64">
        <f>IF(A82="","",IFERROR(INDEX('Bid-NoBid'!$T:$T,MATCH(A82,'Bid-NoBid'!$A:$A,0)),""))</f>
        <v/>
      </c>
      <c r="U82" s="59">
        <f>IF(A82="","",IFERROR(IF(OR(INDEX('Bid-NoBid'!$U:$U,MATCH(A82,'Bid-NoBid'!$A:$A,0))="",LEFT(INDEX('Bid-NoBid'!$U:$U,MATCH(A82,'Bid-NoBid'!$A:$A,0)),10)="Incomplete"),"Screen: "&amp;AC82,INDEX('Bid-NoBid'!$U:$U,MATCH(A82,'Bid-NoBid'!$A:$A,0))),"Screen: "&amp;AC82))</f>
        <v/>
      </c>
      <c r="V82" s="60" t="n"/>
      <c r="W82" s="70" t="inlineStr">
        <is>
          <t>Watching</t>
        </is>
      </c>
      <c r="X82" s="70" t="inlineStr">
        <is>
          <t>Frank</t>
        </is>
      </c>
      <c r="Y82" s="60" t="n"/>
      <c r="Z82" s="60" t="n"/>
      <c r="AA82" s="73" t="n">
        <v>46301</v>
      </c>
      <c r="AB82" s="74" t="inlineStr">
        <is>
          <t>Small Works / Tender</t>
        </is>
      </c>
      <c r="AC82" s="74" t="inlineStr">
        <is>
          <t>Pursue</t>
        </is>
      </c>
      <c r="AD82" s="74" t="inlineStr">
        <is>
          <t>Auto (Small Works / Tender): Building works within reach of Dar</t>
        </is>
      </c>
      <c r="AE82" s="67">
        <f>IF(ISNUMBER(Q82),ROUNDDOWN(Q82-NOW(),1),"")</f>
        <v/>
      </c>
      <c r="AF82" s="59">
        <f>IF(OR(A82="",AE82=""),"",IF(NOT(OR(W82="Watching",W82="Preparing")),"",IF(AE82&lt;0,"PASSED",IF(AND(AE82&lt;=7,W82&lt;&gt;"Preparing"),"RED",IF(AE82&lt;=14,"AMBER","GREEN")))))</f>
        <v/>
      </c>
      <c r="AG82" s="59">
        <f>IF(OR(A82="",NOT(OR(W82="Watching",W82="Preparing"))),"",IF(AND(ISNUMBER(M82),M82&gt;=3000000000),"YES – ≥ TZS 3bn",IF(AND(ISNUMBER(AE82),AE82&gt;=0,AE82&lt;10,V82=""),"YES – &lt;10 days","")))</f>
        <v/>
      </c>
      <c r="AH82" s="68" t="n"/>
      <c r="AI82" s="74" t="inlineStr">
        <is>
          <t>Get the tender document, confirm value, CRB class, site visit and bid security; brief the MD</t>
        </is>
      </c>
      <c r="AJ82" s="74" t="inlineStr">
        <is>
          <t>Auto-scan</t>
        </is>
      </c>
      <c r="AK82" s="74" t="inlineStr">
        <is>
          <t>99f4eb7a-9c4e-46e4-96e2-268bccd3f027</t>
        </is>
      </c>
      <c r="AL82" s="59">
        <f>IF(AND(OR(W82="Watching",W82="Preparing"),ISNUMBER(Q82)),IF(AND(Q82&gt;='Friday Summary'!$C$4,Q82&lt;='Friday Summary'!$C$4+14),Q82+ROW()/1000000,""),"")</f>
        <v/>
      </c>
    </row>
    <row r="83" ht="15" customHeight="1" s="51">
      <c r="A83" s="59">
        <f>IF(B83="","","OP-"&amp;TEXT(ROW()-4,"000"))</f>
        <v/>
      </c>
      <c r="B83" s="70" t="inlineStr">
        <is>
          <t>83P9/2026/2027/W/03</t>
        </is>
      </c>
      <c r="C83" s="71" t="n">
        <v>46302</v>
      </c>
      <c r="D83" s="70" t="inlineStr">
        <is>
          <t>NeST</t>
        </is>
      </c>
      <c r="E83" s="70" t="inlineStr">
        <is>
          <t>https://nest.go.tz/tenders/published-tenders</t>
        </is>
      </c>
      <c r="F83" s="70" t="inlineStr">
        <is>
          <t>Ushetu District Council</t>
        </is>
      </c>
      <c r="G83" s="70" t="inlineStr">
        <is>
          <t>government</t>
        </is>
      </c>
      <c r="H83" s="70" t="inlineStr">
        <is>
          <t>CONSTRUCTION OF ISANGA SECONDARY SCHOOL, USHETU DC- PRIMARY EDUCATION</t>
        </is>
      </c>
      <c r="I83" s="70" t="inlineStr">
        <is>
          <t>From NeST notice (1 lot) – read the tender document</t>
        </is>
      </c>
      <c r="J83" s="70" t="inlineStr">
        <is>
          <t>Shinyanga (Kahama) (from client's office – confirm site)</t>
        </is>
      </c>
      <c r="K83" s="70" t="inlineStr">
        <is>
          <t>building</t>
        </is>
      </c>
      <c r="L83" s="70" t="inlineStr">
        <is>
          <t>NeST login needed</t>
        </is>
      </c>
      <c r="M83" s="62" t="n"/>
      <c r="N83" s="70" t="inlineStr">
        <is>
          <t>unknown</t>
        </is>
      </c>
      <c r="O83" s="71" t="inlineStr">
        <is>
          <t>NeST login needed</t>
        </is>
      </c>
      <c r="P83" s="71" t="inlineStr">
        <is>
          <t>NeST login needed</t>
        </is>
      </c>
      <c r="Q83" s="72" t="n">
        <v>46308.58333333334</v>
      </c>
      <c r="R83" s="70" t="inlineStr">
        <is>
          <t>NeST login needed</t>
        </is>
      </c>
      <c r="S83" s="70" t="inlineStr">
        <is>
          <t>N</t>
        </is>
      </c>
      <c r="T83" s="64">
        <f>IF(A83="","",IFERROR(INDEX('Bid-NoBid'!$T:$T,MATCH(A83,'Bid-NoBid'!$A:$A,0)),""))</f>
        <v/>
      </c>
      <c r="U83" s="59">
        <f>IF(A83="","",IFERROR(IF(OR(INDEX('Bid-NoBid'!$U:$U,MATCH(A83,'Bid-NoBid'!$A:$A,0))="",LEFT(INDEX('Bid-NoBid'!$U:$U,MATCH(A83,'Bid-NoBid'!$A:$A,0)),10)="Incomplete"),"Screen: "&amp;AC83,INDEX('Bid-NoBid'!$U:$U,MATCH(A83,'Bid-NoBid'!$A:$A,0))),"Screen: "&amp;AC83))</f>
        <v/>
      </c>
      <c r="V83" s="60" t="n"/>
      <c r="W83" s="70" t="inlineStr">
        <is>
          <t>Watching</t>
        </is>
      </c>
      <c r="X83" s="70" t="inlineStr">
        <is>
          <t>Frank</t>
        </is>
      </c>
      <c r="Y83" s="60" t="n"/>
      <c r="Z83" s="60" t="n"/>
      <c r="AA83" s="73" t="n">
        <v>46301</v>
      </c>
      <c r="AB83" s="74" t="inlineStr">
        <is>
          <t>Small Works / Tender</t>
        </is>
      </c>
      <c r="AC83" s="74" t="inlineStr">
        <is>
          <t>Check</t>
        </is>
      </c>
      <c r="AD83" s="74" t="inlineStr">
        <is>
          <t>Auto (Small Works / Tender): Construction tender kept for review (would have been dropped: Remote and closing soon)</t>
        </is>
      </c>
      <c r="AE83" s="67">
        <f>IF(ISNUMBER(Q83),ROUNDDOWN(Q83-NOW(),1),"")</f>
        <v/>
      </c>
      <c r="AF83" s="59">
        <f>IF(OR(A83="",AE83=""),"",IF(NOT(OR(W83="Watching",W83="Preparing")),"",IF(AE83&lt;0,"PASSED",IF(AND(AE83&lt;=7,W83&lt;&gt;"Preparing"),"RED",IF(AE83&lt;=14,"AMBER","GREEN")))))</f>
        <v/>
      </c>
      <c r="AG83" s="59">
        <f>IF(OR(A83="",NOT(OR(W83="Watching",W83="Preparing"))),"",IF(AND(ISNUMBER(M83),M83&gt;=3000000000),"YES – ≥ TZS 3bn",IF(AND(ISNUMBER(AE83),AE83&gt;=0,AE83&lt;10,V83=""),"YES – &lt;10 days","")))</f>
        <v/>
      </c>
      <c r="AH83" s="68" t="n"/>
      <c r="AI83" s="74" t="inlineStr">
        <is>
          <t>Read the notice and decide with the QS Director whether to pursue</t>
        </is>
      </c>
      <c r="AJ83" s="74" t="inlineStr">
        <is>
          <t>Auto-scan</t>
        </is>
      </c>
      <c r="AK83" s="74" t="inlineStr">
        <is>
          <t>d92c4de5-ae51-4854-9cdd-6a549d3c83c0</t>
        </is>
      </c>
      <c r="AL83" s="59">
        <f>IF(AND(OR(W83="Watching",W83="Preparing"),ISNUMBER(Q83)),IF(AND(Q83&gt;='Friday Summary'!$C$4,Q83&lt;='Friday Summary'!$C$4+14),Q83+ROW()/1000000,""),"")</f>
        <v/>
      </c>
    </row>
    <row r="84" ht="15" customHeight="1" s="51">
      <c r="A84" s="59">
        <f>IF(B84="","","OP-"&amp;TEXT(ROW()-4,"000"))</f>
        <v/>
      </c>
      <c r="B84" s="70" t="inlineStr">
        <is>
          <t>8626/2026/2027/W/16</t>
        </is>
      </c>
      <c r="C84" s="71" t="n">
        <v>46302</v>
      </c>
      <c r="D84" s="70" t="inlineStr">
        <is>
          <t>NeST</t>
        </is>
      </c>
      <c r="E84" s="70" t="inlineStr">
        <is>
          <t>https://nest.go.tz/tenders/published-tenders</t>
        </is>
      </c>
      <c r="F84" s="70" t="inlineStr">
        <is>
          <t>Tanga City Council</t>
        </is>
      </c>
      <c r="G84" s="70" t="inlineStr">
        <is>
          <t>government</t>
        </is>
      </c>
      <c r="H84" s="70" t="inlineStr">
        <is>
          <t>To facilitate completion of dormitory at usagara secondary school</t>
        </is>
      </c>
      <c r="I84" s="70" t="inlineStr">
        <is>
          <t>From NeST notice (1 lot) – read the tender document</t>
        </is>
      </c>
      <c r="J84" s="70" t="inlineStr">
        <is>
          <t>Tanga (from client's office – confirm site)</t>
        </is>
      </c>
      <c r="K84" s="70" t="inlineStr">
        <is>
          <t>building</t>
        </is>
      </c>
      <c r="L84" s="70" t="inlineStr">
        <is>
          <t>NeST login needed</t>
        </is>
      </c>
      <c r="M84" s="62" t="n"/>
      <c r="N84" s="70" t="inlineStr">
        <is>
          <t>unknown</t>
        </is>
      </c>
      <c r="O84" s="71" t="inlineStr">
        <is>
          <t>NeST login needed</t>
        </is>
      </c>
      <c r="P84" s="71" t="inlineStr">
        <is>
          <t>NeST login needed</t>
        </is>
      </c>
      <c r="Q84" s="72" t="n">
        <v>46310.58333333334</v>
      </c>
      <c r="R84" s="70" t="inlineStr">
        <is>
          <t>NeST login needed</t>
        </is>
      </c>
      <c r="S84" s="70" t="inlineStr">
        <is>
          <t>N</t>
        </is>
      </c>
      <c r="T84" s="64">
        <f>IF(A84="","",IFERROR(INDEX('Bid-NoBid'!$T:$T,MATCH(A84,'Bid-NoBid'!$A:$A,0)),""))</f>
        <v/>
      </c>
      <c r="U84" s="59">
        <f>IF(A84="","",IFERROR(IF(OR(INDEX('Bid-NoBid'!$U:$U,MATCH(A84,'Bid-NoBid'!$A:$A,0))="",LEFT(INDEX('Bid-NoBid'!$U:$U,MATCH(A84,'Bid-NoBid'!$A:$A,0)),10)="Incomplete"),"Screen: "&amp;AC84,INDEX('Bid-NoBid'!$U:$U,MATCH(A84,'Bid-NoBid'!$A:$A,0))),"Screen: "&amp;AC84))</f>
        <v/>
      </c>
      <c r="V84" s="60" t="n"/>
      <c r="W84" s="70" t="inlineStr">
        <is>
          <t>Watching</t>
        </is>
      </c>
      <c r="X84" s="70" t="inlineStr">
        <is>
          <t>Frank</t>
        </is>
      </c>
      <c r="Y84" s="60" t="n"/>
      <c r="Z84" s="60" t="n"/>
      <c r="AA84" s="73" t="n">
        <v>46302</v>
      </c>
      <c r="AB84" s="74" t="inlineStr">
        <is>
          <t>Small Works / Tender</t>
        </is>
      </c>
      <c r="AC84" s="74" t="inlineStr">
        <is>
          <t>Pursue</t>
        </is>
      </c>
      <c r="AD84" s="74" t="inlineStr">
        <is>
          <t>Auto (Small Works / Tender): Building works within reach of Dar</t>
        </is>
      </c>
      <c r="AE84" s="67">
        <f>IF(ISNUMBER(Q84),ROUNDDOWN(Q84-NOW(),1),"")</f>
        <v/>
      </c>
      <c r="AF84" s="59">
        <f>IF(OR(A84="",AE84=""),"",IF(NOT(OR(W84="Watching",W84="Preparing")),"",IF(AE84&lt;0,"PASSED",IF(AND(AE84&lt;=7,W84&lt;&gt;"Preparing"),"RED",IF(AE84&lt;=14,"AMBER","GREEN")))))</f>
        <v/>
      </c>
      <c r="AG84" s="59">
        <f>IF(OR(A84="",NOT(OR(W84="Watching",W84="Preparing"))),"",IF(AND(ISNUMBER(M84),M84&gt;=3000000000),"YES – ≥ TZS 3bn",IF(AND(ISNUMBER(AE84),AE84&gt;=0,AE84&lt;10,V84=""),"YES – &lt;10 days","")))</f>
        <v/>
      </c>
      <c r="AH84" s="68" t="n"/>
      <c r="AI84" s="74" t="inlineStr">
        <is>
          <t>Get the tender document, confirm value, CRB class, site visit and bid security; brief the MD</t>
        </is>
      </c>
      <c r="AJ84" s="74" t="inlineStr">
        <is>
          <t>Auto-scan</t>
        </is>
      </c>
      <c r="AK84" s="74" t="inlineStr">
        <is>
          <t>75403178-54dc-4701-b739-7d0ba2e7b630</t>
        </is>
      </c>
      <c r="AL84" s="59">
        <f>IF(AND(OR(W84="Watching",W84="Preparing"),ISNUMBER(Q84)),IF(AND(Q84&gt;='Friday Summary'!$C$4,Q84&lt;='Friday Summary'!$C$4+14),Q84+ROW()/1000000,""),"")</f>
        <v/>
      </c>
    </row>
    <row r="85" ht="15" customHeight="1" s="51">
      <c r="A85" s="59">
        <f>IF(B85="","","OP-"&amp;TEXT(ROW()-4,"000"))</f>
        <v/>
      </c>
      <c r="B85" s="70" t="inlineStr">
        <is>
          <t>74E7/2026/2027/W/09</t>
        </is>
      </c>
      <c r="C85" s="71" t="n">
        <v>46303</v>
      </c>
      <c r="D85" s="70" t="inlineStr">
        <is>
          <t>NeST</t>
        </is>
      </c>
      <c r="E85" s="70" t="inlineStr">
        <is>
          <t>https://nest.go.tz/tenders/published-tenders</t>
        </is>
      </c>
      <c r="F85" s="70" t="inlineStr">
        <is>
          <t>Kakonko District Council</t>
        </is>
      </c>
      <c r="G85" s="70" t="inlineStr">
        <is>
          <t>government</t>
        </is>
      </c>
      <c r="H85" s="70" t="inlineStr">
        <is>
          <t>CONSTRUCTION RCH AND WAITING BAY FOR HEALTH,SOCIAL,WALEFARE AND NUTRITION SERVICES DIVISION AT KAKONKO DISTRICT HOSPITAL</t>
        </is>
      </c>
      <c r="I85" s="70" t="inlineStr">
        <is>
          <t>From NeST notice (1 lot) – read the tender document</t>
        </is>
      </c>
      <c r="J85" s="70" t="inlineStr">
        <is>
          <t>Kigoma (from client's office – confirm site)</t>
        </is>
      </c>
      <c r="K85" s="70" t="inlineStr">
        <is>
          <t>building</t>
        </is>
      </c>
      <c r="L85" s="70" t="inlineStr">
        <is>
          <t>NeST login needed</t>
        </is>
      </c>
      <c r="M85" s="62" t="n"/>
      <c r="N85" s="70" t="inlineStr">
        <is>
          <t>unknown</t>
        </is>
      </c>
      <c r="O85" s="71" t="inlineStr">
        <is>
          <t>NeST login needed</t>
        </is>
      </c>
      <c r="P85" s="71" t="inlineStr">
        <is>
          <t>NeST login needed</t>
        </is>
      </c>
      <c r="Q85" s="72" t="n">
        <v>46310.41666666666</v>
      </c>
      <c r="R85" s="70" t="inlineStr">
        <is>
          <t>NeST login needed</t>
        </is>
      </c>
      <c r="S85" s="70" t="inlineStr">
        <is>
          <t>N</t>
        </is>
      </c>
      <c r="T85" s="64">
        <f>IF(A85="","",IFERROR(INDEX('Bid-NoBid'!$T:$T,MATCH(A85,'Bid-NoBid'!$A:$A,0)),""))</f>
        <v/>
      </c>
      <c r="U85" s="59">
        <f>IF(A85="","",IFERROR(IF(OR(INDEX('Bid-NoBid'!$U:$U,MATCH(A85,'Bid-NoBid'!$A:$A,0))="",LEFT(INDEX('Bid-NoBid'!$U:$U,MATCH(A85,'Bid-NoBid'!$A:$A,0)),10)="Incomplete"),"Screen: "&amp;AC85,INDEX('Bid-NoBid'!$U:$U,MATCH(A85,'Bid-NoBid'!$A:$A,0))),"Screen: "&amp;AC85))</f>
        <v/>
      </c>
      <c r="V85" s="60" t="n"/>
      <c r="W85" s="70" t="inlineStr">
        <is>
          <t>Watching</t>
        </is>
      </c>
      <c r="X85" s="70" t="inlineStr">
        <is>
          <t>Frank</t>
        </is>
      </c>
      <c r="Y85" s="60" t="n"/>
      <c r="Z85" s="60" t="n"/>
      <c r="AA85" s="73" t="n">
        <v>46303</v>
      </c>
      <c r="AB85" s="74" t="inlineStr">
        <is>
          <t>Standard Invitation for Quotations -Works / Planned Tender</t>
        </is>
      </c>
      <c r="AC85" s="74" t="inlineStr">
        <is>
          <t>Check</t>
        </is>
      </c>
      <c r="AD85" s="74" t="inlineStr">
        <is>
          <t>Auto (Standard Invitation for Quotations -Works / Planned Tender): Building works but remote from Dar</t>
        </is>
      </c>
      <c r="AE85" s="67">
        <f>IF(ISNUMBER(Q85),ROUNDDOWN(Q85-NOW(),1),"")</f>
        <v/>
      </c>
      <c r="AF85" s="59">
        <f>IF(OR(A85="",AE85=""),"",IF(NOT(OR(W85="Watching",W85="Preparing")),"",IF(AE85&lt;0,"PASSED",IF(AND(AE85&lt;=7,W85&lt;&gt;"Preparing"),"RED",IF(AE85&lt;=14,"AMBER","GREEN")))))</f>
        <v/>
      </c>
      <c r="AG85" s="59">
        <f>IF(OR(A85="",NOT(OR(W85="Watching",W85="Preparing"))),"",IF(AND(ISNUMBER(M85),M85&gt;=3000000000),"YES – ≥ TZS 3bn",IF(AND(ISNUMBER(AE85),AE85&gt;=0,AE85&lt;10,V85=""),"YES – &lt;10 days","")))</f>
        <v/>
      </c>
      <c r="AH85" s="68" t="n"/>
      <c r="AI85" s="74" t="inlineStr">
        <is>
          <t>Read the notice and decide with the QS Director whether to pursue</t>
        </is>
      </c>
      <c r="AJ85" s="74" t="inlineStr">
        <is>
          <t>Auto-scan</t>
        </is>
      </c>
      <c r="AK85" s="74" t="inlineStr">
        <is>
          <t>2912339b-fd1f-4162-a973-c973238584f2</t>
        </is>
      </c>
      <c r="AL85" s="59">
        <f>IF(AND(OR(W85="Watching",W85="Preparing"),ISNUMBER(Q85)),IF(AND(Q85&gt;='Friday Summary'!$C$4,Q85&lt;='Friday Summary'!$C$4+14),Q85+ROW()/1000000,""),"")</f>
        <v/>
      </c>
    </row>
    <row r="86" ht="15" customHeight="1" s="51">
      <c r="A86" s="59">
        <f>IF(B86="","","OP-"&amp;TEXT(ROW()-4,"000"))</f>
        <v/>
      </c>
      <c r="B86" s="70" t="inlineStr">
        <is>
          <t>8219/2026/2027/W/11</t>
        </is>
      </c>
      <c r="C86" s="71" t="n">
        <v>46303</v>
      </c>
      <c r="D86" s="70" t="inlineStr">
        <is>
          <t>NeST</t>
        </is>
      </c>
      <c r="E86" s="70" t="inlineStr">
        <is>
          <t>https://nest.go.tz/tenders/published-tenders</t>
        </is>
      </c>
      <c r="F86" s="70" t="inlineStr">
        <is>
          <t>Songea Municipal Council</t>
        </is>
      </c>
      <c r="G86" s="70" t="inlineStr">
        <is>
          <t>government</t>
        </is>
      </c>
      <c r="H86" s="70" t="inlineStr">
        <is>
          <t>PROPOSED COMPLETION OF RESIDENTIAL HOUSE FOR COUNCIL HEAD OF DEPARTMENTS AT SONGEA MUNICIPAL</t>
        </is>
      </c>
      <c r="I86" s="70" t="inlineStr">
        <is>
          <t>From NeST notice (1 lot) – read the tender document</t>
        </is>
      </c>
      <c r="J86" s="70" t="inlineStr">
        <is>
          <t>Ruvuma (Songea)</t>
        </is>
      </c>
      <c r="K86" s="70" t="inlineStr">
        <is>
          <t>building</t>
        </is>
      </c>
      <c r="L86" s="70" t="inlineStr">
        <is>
          <t>NeST login needed</t>
        </is>
      </c>
      <c r="M86" s="62" t="n"/>
      <c r="N86" s="70" t="inlineStr">
        <is>
          <t>unknown</t>
        </is>
      </c>
      <c r="O86" s="71" t="inlineStr">
        <is>
          <t>NeST login needed</t>
        </is>
      </c>
      <c r="P86" s="71" t="inlineStr">
        <is>
          <t>NeST login needed</t>
        </is>
      </c>
      <c r="Q86" s="72" t="n">
        <v>46310.41666666666</v>
      </c>
      <c r="R86" s="70" t="inlineStr">
        <is>
          <t>NeST login needed</t>
        </is>
      </c>
      <c r="S86" s="70" t="inlineStr">
        <is>
          <t>N</t>
        </is>
      </c>
      <c r="T86" s="64">
        <f>IF(A86="","",IFERROR(INDEX('Bid-NoBid'!$T:$T,MATCH(A86,'Bid-NoBid'!$A:$A,0)),""))</f>
        <v/>
      </c>
      <c r="U86" s="59">
        <f>IF(A86="","",IFERROR(IF(OR(INDEX('Bid-NoBid'!$U:$U,MATCH(A86,'Bid-NoBid'!$A:$A,0))="",LEFT(INDEX('Bid-NoBid'!$U:$U,MATCH(A86,'Bid-NoBid'!$A:$A,0)),10)="Incomplete"),"Screen: "&amp;AC86,INDEX('Bid-NoBid'!$U:$U,MATCH(A86,'Bid-NoBid'!$A:$A,0))),"Screen: "&amp;AC86))</f>
        <v/>
      </c>
      <c r="V86" s="60" t="n"/>
      <c r="W86" s="70" t="inlineStr">
        <is>
          <t>Watching</t>
        </is>
      </c>
      <c r="X86" s="70" t="inlineStr">
        <is>
          <t>Frank</t>
        </is>
      </c>
      <c r="Y86" s="60" t="n"/>
      <c r="Z86" s="60" t="n"/>
      <c r="AA86" s="73" t="n">
        <v>46303</v>
      </c>
      <c r="AB86" s="74" t="inlineStr">
        <is>
          <t>Small Works / Tender</t>
        </is>
      </c>
      <c r="AC86" s="74" t="inlineStr">
        <is>
          <t>Check</t>
        </is>
      </c>
      <c r="AD86" s="74" t="inlineStr">
        <is>
          <t>Auto (Small Works / Tender): Building works but remote from Dar</t>
        </is>
      </c>
      <c r="AE86" s="67">
        <f>IF(ISNUMBER(Q86),ROUNDDOWN(Q86-NOW(),1),"")</f>
        <v/>
      </c>
      <c r="AF86" s="59">
        <f>IF(OR(A86="",AE86=""),"",IF(NOT(OR(W86="Watching",W86="Preparing")),"",IF(AE86&lt;0,"PASSED",IF(AND(AE86&lt;=7,W86&lt;&gt;"Preparing"),"RED",IF(AE86&lt;=14,"AMBER","GREEN")))))</f>
        <v/>
      </c>
      <c r="AG86" s="59">
        <f>IF(OR(A86="",NOT(OR(W86="Watching",W86="Preparing"))),"",IF(AND(ISNUMBER(M86),M86&gt;=3000000000),"YES – ≥ TZS 3bn",IF(AND(ISNUMBER(AE86),AE86&gt;=0,AE86&lt;10,V86=""),"YES – &lt;10 days","")))</f>
        <v/>
      </c>
      <c r="AH86" s="68" t="n"/>
      <c r="AI86" s="74" t="inlineStr">
        <is>
          <t>Read the notice and decide with the QS Director whether to pursue</t>
        </is>
      </c>
      <c r="AJ86" s="74" t="inlineStr">
        <is>
          <t>Auto-scan</t>
        </is>
      </c>
      <c r="AK86" s="74" t="inlineStr">
        <is>
          <t>df22b8c6-4dfa-4955-8e3b-e1708939155e</t>
        </is>
      </c>
      <c r="AL86" s="59">
        <f>IF(AND(OR(W86="Watching",W86="Preparing"),ISNUMBER(Q86)),IF(AND(Q86&gt;='Friday Summary'!$C$4,Q86&lt;='Friday Summary'!$C$4+14),Q86+ROW()/1000000,""),"")</f>
        <v/>
      </c>
    </row>
    <row r="87" ht="15" customHeight="1" s="51">
      <c r="A87" s="59">
        <f>IF(B87="","","OP-"&amp;TEXT(ROW()-4,"000"))</f>
        <v/>
      </c>
      <c r="B87" s="70" t="inlineStr">
        <is>
          <t>81M9/2026/2027/W/01</t>
        </is>
      </c>
      <c r="C87" s="71" t="n">
        <v>46303</v>
      </c>
      <c r="D87" s="70" t="inlineStr">
        <is>
          <t>NeST</t>
        </is>
      </c>
      <c r="E87" s="70" t="inlineStr">
        <is>
          <t>https://nest.go.tz/tenders/published-tenders</t>
        </is>
      </c>
      <c r="F87" s="70" t="inlineStr">
        <is>
          <t>Buchosa District Council</t>
        </is>
      </c>
      <c r="G87" s="70" t="inlineStr">
        <is>
          <t>government</t>
        </is>
      </c>
      <c r="H87" s="70" t="inlineStr">
        <is>
          <t>CONSTRUCTION OF A MODERN MARKET TO BE BUILT IN NYEHUNGE TOWN ,BUCHOSA DISTRICT ,MWANZA REGION ,TANZANIA</t>
        </is>
      </c>
      <c r="I87" s="70" t="inlineStr">
        <is>
          <t>From NeST notice (1 lot) – read the tender document</t>
        </is>
      </c>
      <c r="J87" s="70" t="inlineStr">
        <is>
          <t>Mwanza</t>
        </is>
      </c>
      <c r="K87" s="70" t="inlineStr">
        <is>
          <t>building</t>
        </is>
      </c>
      <c r="L87" s="70" t="inlineStr">
        <is>
          <t>NeST login needed</t>
        </is>
      </c>
      <c r="M87" s="62" t="n"/>
      <c r="N87" s="70" t="inlineStr">
        <is>
          <t>unknown</t>
        </is>
      </c>
      <c r="O87" s="71" t="inlineStr">
        <is>
          <t>NeST login needed</t>
        </is>
      </c>
      <c r="P87" s="71" t="inlineStr">
        <is>
          <t>NeST login needed</t>
        </is>
      </c>
      <c r="Q87" s="72" t="n">
        <v>46310.58333333334</v>
      </c>
      <c r="R87" s="70" t="inlineStr">
        <is>
          <t>NeST login needed</t>
        </is>
      </c>
      <c r="S87" s="70" t="inlineStr">
        <is>
          <t>N</t>
        </is>
      </c>
      <c r="T87" s="64">
        <f>IF(A87="","",IFERROR(INDEX('Bid-NoBid'!$T:$T,MATCH(A87,'Bid-NoBid'!$A:$A,0)),""))</f>
        <v/>
      </c>
      <c r="U87" s="59">
        <f>IF(A87="","",IFERROR(IF(OR(INDEX('Bid-NoBid'!$U:$U,MATCH(A87,'Bid-NoBid'!$A:$A,0))="",LEFT(INDEX('Bid-NoBid'!$U:$U,MATCH(A87,'Bid-NoBid'!$A:$A,0)),10)="Incomplete"),"Screen: "&amp;AC87,INDEX('Bid-NoBid'!$U:$U,MATCH(A87,'Bid-NoBid'!$A:$A,0))),"Screen: "&amp;AC87))</f>
        <v/>
      </c>
      <c r="V87" s="60" t="n"/>
      <c r="W87" s="70" t="inlineStr">
        <is>
          <t>Watching</t>
        </is>
      </c>
      <c r="X87" s="70" t="inlineStr">
        <is>
          <t>Frank</t>
        </is>
      </c>
      <c r="Y87" s="60" t="n"/>
      <c r="Z87" s="60" t="n"/>
      <c r="AA87" s="73" t="n">
        <v>46303</v>
      </c>
      <c r="AB87" s="74" t="inlineStr">
        <is>
          <t>Small Works / Tender</t>
        </is>
      </c>
      <c r="AC87" s="74" t="inlineStr">
        <is>
          <t>Check</t>
        </is>
      </c>
      <c r="AD87" s="74" t="inlineStr">
        <is>
          <t>Auto (Small Works / Tender): Building works but remote from Dar</t>
        </is>
      </c>
      <c r="AE87" s="67">
        <f>IF(ISNUMBER(Q87),ROUNDDOWN(Q87-NOW(),1),"")</f>
        <v/>
      </c>
      <c r="AF87" s="59">
        <f>IF(OR(A87="",AE87=""),"",IF(NOT(OR(W87="Watching",W87="Preparing")),"",IF(AE87&lt;0,"PASSED",IF(AND(AE87&lt;=7,W87&lt;&gt;"Preparing"),"RED",IF(AE87&lt;=14,"AMBER","GREEN")))))</f>
        <v/>
      </c>
      <c r="AG87" s="59">
        <f>IF(OR(A87="",NOT(OR(W87="Watching",W87="Preparing"))),"",IF(AND(ISNUMBER(M87),M87&gt;=3000000000),"YES – ≥ TZS 3bn",IF(AND(ISNUMBER(AE87),AE87&gt;=0,AE87&lt;10,V87=""),"YES – &lt;10 days","")))</f>
        <v/>
      </c>
      <c r="AH87" s="68" t="n"/>
      <c r="AI87" s="74" t="inlineStr">
        <is>
          <t>Read the notice and decide with the QS Director whether to pursue</t>
        </is>
      </c>
      <c r="AJ87" s="74" t="inlineStr">
        <is>
          <t>Auto-scan</t>
        </is>
      </c>
      <c r="AK87" s="74" t="inlineStr">
        <is>
          <t>fa83f9bd-caf5-4b4e-9539-883b0162fadc</t>
        </is>
      </c>
      <c r="AL87" s="59">
        <f>IF(AND(OR(W87="Watching",W87="Preparing"),ISNUMBER(Q87)),IF(AND(Q87&gt;='Friday Summary'!$C$4,Q87&lt;='Friday Summary'!$C$4+14),Q87+ROW()/1000000,""),"")</f>
        <v/>
      </c>
    </row>
    <row r="88" ht="15" customHeight="1" s="51">
      <c r="A88" s="59">
        <f>IF(B88="","","OP-"&amp;TEXT(ROW()-4,"000"))</f>
        <v/>
      </c>
      <c r="B88" s="70" t="inlineStr">
        <is>
          <t>TR61/2026/2027/W/06</t>
        </is>
      </c>
      <c r="C88" s="71" t="n">
        <v>46303</v>
      </c>
      <c r="D88" s="70" t="inlineStr">
        <is>
          <t>NeST</t>
        </is>
      </c>
      <c r="E88" s="70" t="inlineStr">
        <is>
          <t>https://nest.go.tz/tenders/published-tenders</t>
        </is>
      </c>
      <c r="F88" s="70" t="inlineStr">
        <is>
          <t>Tanzania Broadcasting Corporation</t>
        </is>
      </c>
      <c r="G88" s="70" t="inlineStr">
        <is>
          <t>parastatal (verify)</t>
        </is>
      </c>
      <c r="H88" s="70" t="inlineStr">
        <is>
          <t>Procurement for construction of fance walls for TBC transmition sites</t>
        </is>
      </c>
      <c r="I88" s="70" t="inlineStr">
        <is>
          <t>From NeST notice (1 lot) – read the tender document</t>
        </is>
      </c>
      <c r="J88" s="70" t="inlineStr">
        <is>
          <t>Dar es Salaam (Temeke) (from client's office – confirm site)</t>
        </is>
      </c>
      <c r="K88" s="70" t="inlineStr">
        <is>
          <t>building</t>
        </is>
      </c>
      <c r="L88" s="70" t="inlineStr">
        <is>
          <t>NeST login needed</t>
        </is>
      </c>
      <c r="M88" s="62" t="n"/>
      <c r="N88" s="70" t="inlineStr">
        <is>
          <t>unknown</t>
        </is>
      </c>
      <c r="O88" s="71" t="inlineStr">
        <is>
          <t>NeST login needed</t>
        </is>
      </c>
      <c r="P88" s="71" t="inlineStr">
        <is>
          <t>NeST login needed</t>
        </is>
      </c>
      <c r="Q88" s="72" t="n">
        <v>46310.58333333334</v>
      </c>
      <c r="R88" s="70" t="inlineStr">
        <is>
          <t>NeST login needed</t>
        </is>
      </c>
      <c r="S88" s="70" t="inlineStr">
        <is>
          <t>N</t>
        </is>
      </c>
      <c r="T88" s="64">
        <f>IF(A88="","",IFERROR(INDEX('Bid-NoBid'!$T:$T,MATCH(A88,'Bid-NoBid'!$A:$A,0)),""))</f>
        <v/>
      </c>
      <c r="U88" s="59">
        <f>IF(A88="","",IFERROR(IF(OR(INDEX('Bid-NoBid'!$U:$U,MATCH(A88,'Bid-NoBid'!$A:$A,0))="",LEFT(INDEX('Bid-NoBid'!$U:$U,MATCH(A88,'Bid-NoBid'!$A:$A,0)),10)="Incomplete"),"Screen: "&amp;AC88,INDEX('Bid-NoBid'!$U:$U,MATCH(A88,'Bid-NoBid'!$A:$A,0))),"Screen: "&amp;AC88))</f>
        <v/>
      </c>
      <c r="V88" s="60" t="n"/>
      <c r="W88" s="70" t="inlineStr">
        <is>
          <t>Watching</t>
        </is>
      </c>
      <c r="X88" s="70" t="inlineStr">
        <is>
          <t>Frank</t>
        </is>
      </c>
      <c r="Y88" s="60" t="n"/>
      <c r="Z88" s="60" t="n"/>
      <c r="AA88" s="73" t="n">
        <v>46303</v>
      </c>
      <c r="AB88" s="74" t="inlineStr">
        <is>
          <t>Standard Invitation for Quotations -Works / Planned Tender</t>
        </is>
      </c>
      <c r="AC88" s="74" t="inlineStr">
        <is>
          <t>Check</t>
        </is>
      </c>
      <c r="AD88" s="74" t="inlineStr">
        <is>
          <t>Auto (Standard Invitation for Quotations -Works / Planned Tender): Quotation route – value may be below TZS 200m</t>
        </is>
      </c>
      <c r="AE88" s="67">
        <f>IF(ISNUMBER(Q88),ROUNDDOWN(Q88-NOW(),1),"")</f>
        <v/>
      </c>
      <c r="AF88" s="59">
        <f>IF(OR(A88="",AE88=""),"",IF(NOT(OR(W88="Watching",W88="Preparing")),"",IF(AE88&lt;0,"PASSED",IF(AND(AE88&lt;=7,W88&lt;&gt;"Preparing"),"RED",IF(AE88&lt;=14,"AMBER","GREEN")))))</f>
        <v/>
      </c>
      <c r="AG88" s="59">
        <f>IF(OR(A88="",NOT(OR(W88="Watching",W88="Preparing"))),"",IF(AND(ISNUMBER(M88),M88&gt;=3000000000),"YES – ≥ TZS 3bn",IF(AND(ISNUMBER(AE88),AE88&gt;=0,AE88&lt;10,V88=""),"YES – &lt;10 days","")))</f>
        <v/>
      </c>
      <c r="AH88" s="68" t="n"/>
      <c r="AI88" s="74" t="inlineStr">
        <is>
          <t>Read the notice and decide with the QS Director whether to pursue</t>
        </is>
      </c>
      <c r="AJ88" s="74" t="inlineStr">
        <is>
          <t>Auto-scan</t>
        </is>
      </c>
      <c r="AK88" s="74" t="inlineStr">
        <is>
          <t>596820cb-5b8c-431f-bff5-0de6b9e72096</t>
        </is>
      </c>
      <c r="AL88" s="59">
        <f>IF(AND(OR(W88="Watching",W88="Preparing"),ISNUMBER(Q88)),IF(AND(Q88&gt;='Friday Summary'!$C$4,Q88&lt;='Friday Summary'!$C$4+14),Q88+ROW()/1000000,""),"")</f>
        <v/>
      </c>
    </row>
    <row r="89" ht="15" customHeight="1" s="51">
      <c r="A89" s="59">
        <f>IF(B89="","","OP-"&amp;TEXT(ROW()-4,"000"))</f>
        <v/>
      </c>
      <c r="B89" s="70" t="inlineStr">
        <is>
          <t>75F4/2026/2027/W/24</t>
        </is>
      </c>
      <c r="C89" s="71" t="n">
        <v>46303</v>
      </c>
      <c r="D89" s="70" t="inlineStr">
        <is>
          <t>NeST</t>
        </is>
      </c>
      <c r="E89" s="70" t="inlineStr">
        <is>
          <t>https://nest.go.tz/tenders/published-tenders</t>
        </is>
      </c>
      <c r="F89" s="70" t="inlineStr">
        <is>
          <t>Hai District Council</t>
        </is>
      </c>
      <c r="G89" s="70" t="inlineStr">
        <is>
          <t>government</t>
        </is>
      </c>
      <c r="H89" s="70" t="inlineStr">
        <is>
          <t>Construction &amp; Rehabilitation work of Single Box Culvert (1mx1m) Kalali-Kasau Road and Nkwashowa Pedestrian Bridge at Machame Kaskazini - Hai district</t>
        </is>
      </c>
      <c r="I89" s="70" t="inlineStr">
        <is>
          <t>From NeST notice (1 lot) – read the tender document</t>
        </is>
      </c>
      <c r="J89" s="70" t="inlineStr">
        <is>
          <t>Kilimanjaro (Hai) (from client's office – confirm site)</t>
        </is>
      </c>
      <c r="K89" s="70" t="inlineStr">
        <is>
          <t>renovation</t>
        </is>
      </c>
      <c r="L89" s="70" t="inlineStr">
        <is>
          <t>NeST login needed</t>
        </is>
      </c>
      <c r="M89" s="62" t="n"/>
      <c r="N89" s="70" t="inlineStr">
        <is>
          <t>unknown</t>
        </is>
      </c>
      <c r="O89" s="71" t="inlineStr">
        <is>
          <t>NeST login needed</t>
        </is>
      </c>
      <c r="P89" s="71" t="inlineStr">
        <is>
          <t>NeST login needed</t>
        </is>
      </c>
      <c r="Q89" s="72" t="n">
        <v>46310.58333333334</v>
      </c>
      <c r="R89" s="70" t="inlineStr">
        <is>
          <t>NeST login needed</t>
        </is>
      </c>
      <c r="S89" s="70" t="inlineStr">
        <is>
          <t>N</t>
        </is>
      </c>
      <c r="T89" s="64">
        <f>IF(A89="","",IFERROR(INDEX('Bid-NoBid'!$T:$T,MATCH(A89,'Bid-NoBid'!$A:$A,0)),""))</f>
        <v/>
      </c>
      <c r="U89" s="59">
        <f>IF(A89="","",IFERROR(IF(OR(INDEX('Bid-NoBid'!$U:$U,MATCH(A89,'Bid-NoBid'!$A:$A,0))="",LEFT(INDEX('Bid-NoBid'!$U:$U,MATCH(A89,'Bid-NoBid'!$A:$A,0)),10)="Incomplete"),"Screen: "&amp;AC89,INDEX('Bid-NoBid'!$U:$U,MATCH(A89,'Bid-NoBid'!$A:$A,0))),"Screen: "&amp;AC89))</f>
        <v/>
      </c>
      <c r="V89" s="60" t="n"/>
      <c r="W89" s="70" t="inlineStr">
        <is>
          <t>Watching</t>
        </is>
      </c>
      <c r="X89" s="70" t="inlineStr">
        <is>
          <t>Frank</t>
        </is>
      </c>
      <c r="Y89" s="60" t="n"/>
      <c r="Z89" s="60" t="n"/>
      <c r="AA89" s="73" t="n">
        <v>46302</v>
      </c>
      <c r="AB89" s="74" t="inlineStr">
        <is>
          <t>Small Works / Tender</t>
        </is>
      </c>
      <c r="AC89" s="74" t="inlineStr">
        <is>
          <t>Check</t>
        </is>
      </c>
      <c r="AD89" s="74" t="inlineStr">
        <is>
          <t>Auto (Small Works / Tender): Building works but remote from Dar</t>
        </is>
      </c>
      <c r="AE89" s="67">
        <f>IF(ISNUMBER(Q89),ROUNDDOWN(Q89-NOW(),1),"")</f>
        <v/>
      </c>
      <c r="AF89" s="59">
        <f>IF(OR(A89="",AE89=""),"",IF(NOT(OR(W89="Watching",W89="Preparing")),"",IF(AE89&lt;0,"PASSED",IF(AND(AE89&lt;=7,W89&lt;&gt;"Preparing"),"RED",IF(AE89&lt;=14,"AMBER","GREEN")))))</f>
        <v/>
      </c>
      <c r="AG89" s="59">
        <f>IF(OR(A89="",NOT(OR(W89="Watching",W89="Preparing"))),"",IF(AND(ISNUMBER(M89),M89&gt;=3000000000),"YES – ≥ TZS 3bn",IF(AND(ISNUMBER(AE89),AE89&gt;=0,AE89&lt;10,V89=""),"YES – &lt;10 days","")))</f>
        <v/>
      </c>
      <c r="AH89" s="68" t="n"/>
      <c r="AI89" s="74" t="inlineStr">
        <is>
          <t>Read the notice and decide with the QS Director whether to pursue</t>
        </is>
      </c>
      <c r="AJ89" s="74" t="inlineStr">
        <is>
          <t>Auto-scan</t>
        </is>
      </c>
      <c r="AK89" s="74" t="inlineStr">
        <is>
          <t>0e6c7ba8-cc19-46a9-b5cc-8735d6214c9d</t>
        </is>
      </c>
      <c r="AL89" s="59">
        <f>IF(AND(OR(W89="Watching",W89="Preparing"),ISNUMBER(Q89)),IF(AND(Q89&gt;='Friday Summary'!$C$4,Q89&lt;='Friday Summary'!$C$4+14),Q89+ROW()/1000000,""),"")</f>
        <v/>
      </c>
    </row>
    <row r="90" ht="15" customHeight="1" s="51">
      <c r="A90" s="59">
        <f>IF(B90="","","OP-"&amp;TEXT(ROW()-4,"000"))</f>
        <v/>
      </c>
      <c r="B90" s="70" t="inlineStr">
        <is>
          <t>83P9/2026/2027/W/04</t>
        </is>
      </c>
      <c r="C90" s="71" t="n">
        <v>46303</v>
      </c>
      <c r="D90" s="70" t="inlineStr">
        <is>
          <t>NeST</t>
        </is>
      </c>
      <c r="E90" s="70" t="inlineStr">
        <is>
          <t>https://nest.go.tz/tenders/published-tenders</t>
        </is>
      </c>
      <c r="F90" s="70" t="inlineStr">
        <is>
          <t>Ushetu District Council</t>
        </is>
      </c>
      <c r="G90" s="70" t="inlineStr">
        <is>
          <t>government</t>
        </is>
      </c>
      <c r="H90" s="70" t="inlineStr">
        <is>
          <t>CONSTRUCTION OF KALO SECONDARY SCHOOL USHETU DISTRICT COUNCIL- PRIMARY EDUCATION DIVISION</t>
        </is>
      </c>
      <c r="I90" s="70" t="inlineStr">
        <is>
          <t>From NeST notice (1 lot) – read the tender document</t>
        </is>
      </c>
      <c r="J90" s="70" t="inlineStr">
        <is>
          <t>Shinyanga (Kahama) (from client's office – confirm site)</t>
        </is>
      </c>
      <c r="K90" s="70" t="inlineStr">
        <is>
          <t>building</t>
        </is>
      </c>
      <c r="L90" s="70" t="inlineStr">
        <is>
          <t>NeST login needed</t>
        </is>
      </c>
      <c r="M90" s="62" t="n"/>
      <c r="N90" s="70" t="inlineStr">
        <is>
          <t>unknown</t>
        </is>
      </c>
      <c r="O90" s="71" t="inlineStr">
        <is>
          <t>NeST login needed</t>
        </is>
      </c>
      <c r="P90" s="71" t="inlineStr">
        <is>
          <t>NeST login needed</t>
        </is>
      </c>
      <c r="Q90" s="72" t="n">
        <v>46310.58333333334</v>
      </c>
      <c r="R90" s="70" t="inlineStr">
        <is>
          <t>NeST login needed</t>
        </is>
      </c>
      <c r="S90" s="70" t="inlineStr">
        <is>
          <t>N</t>
        </is>
      </c>
      <c r="T90" s="64">
        <f>IF(A90="","",IFERROR(INDEX('Bid-NoBid'!$T:$T,MATCH(A90,'Bid-NoBid'!$A:$A,0)),""))</f>
        <v/>
      </c>
      <c r="U90" s="59">
        <f>IF(A90="","",IFERROR(IF(OR(INDEX('Bid-NoBid'!$U:$U,MATCH(A90,'Bid-NoBid'!$A:$A,0))="",LEFT(INDEX('Bid-NoBid'!$U:$U,MATCH(A90,'Bid-NoBid'!$A:$A,0)),10)="Incomplete"),"Screen: "&amp;AC90,INDEX('Bid-NoBid'!$U:$U,MATCH(A90,'Bid-NoBid'!$A:$A,0))),"Screen: "&amp;AC90))</f>
        <v/>
      </c>
      <c r="V90" s="60" t="n"/>
      <c r="W90" s="70" t="inlineStr">
        <is>
          <t>Watching</t>
        </is>
      </c>
      <c r="X90" s="70" t="inlineStr">
        <is>
          <t>Frank</t>
        </is>
      </c>
      <c r="Y90" s="60" t="n"/>
      <c r="Z90" s="60" t="n"/>
      <c r="AA90" s="73" t="n">
        <v>46302</v>
      </c>
      <c r="AB90" s="74" t="inlineStr">
        <is>
          <t>Small Works / Tender</t>
        </is>
      </c>
      <c r="AC90" s="74" t="inlineStr">
        <is>
          <t>Check</t>
        </is>
      </c>
      <c r="AD90" s="74" t="inlineStr">
        <is>
          <t>Auto (Small Works / Tender): Building works but remote from Dar</t>
        </is>
      </c>
      <c r="AE90" s="67">
        <f>IF(ISNUMBER(Q90),ROUNDDOWN(Q90-NOW(),1),"")</f>
        <v/>
      </c>
      <c r="AF90" s="59">
        <f>IF(OR(A90="",AE90=""),"",IF(NOT(OR(W90="Watching",W90="Preparing")),"",IF(AE90&lt;0,"PASSED",IF(AND(AE90&lt;=7,W90&lt;&gt;"Preparing"),"RED",IF(AE90&lt;=14,"AMBER","GREEN")))))</f>
        <v/>
      </c>
      <c r="AG90" s="59">
        <f>IF(OR(A90="",NOT(OR(W90="Watching",W90="Preparing"))),"",IF(AND(ISNUMBER(M90),M90&gt;=3000000000),"YES – ≥ TZS 3bn",IF(AND(ISNUMBER(AE90),AE90&gt;=0,AE90&lt;10,V90=""),"YES – &lt;10 days","")))</f>
        <v/>
      </c>
      <c r="AH90" s="68" t="n"/>
      <c r="AI90" s="74" t="inlineStr">
        <is>
          <t>Read the notice and decide with the QS Director whether to pursue</t>
        </is>
      </c>
      <c r="AJ90" s="74" t="inlineStr">
        <is>
          <t>Auto-scan</t>
        </is>
      </c>
      <c r="AK90" s="74" t="inlineStr">
        <is>
          <t>324d730a-a16a-4b9c-b3f6-5cea96733864</t>
        </is>
      </c>
      <c r="AL90" s="59">
        <f>IF(AND(OR(W90="Watching",W90="Preparing"),ISNUMBER(Q90)),IF(AND(Q90&gt;='Friday Summary'!$C$4,Q90&lt;='Friday Summary'!$C$4+14),Q90+ROW()/1000000,""),"")</f>
        <v/>
      </c>
    </row>
    <row r="91" ht="15" customHeight="1" s="51">
      <c r="A91" s="59">
        <f>IF(B91="","","OP-"&amp;TEXT(ROW()-4,"000"))</f>
        <v/>
      </c>
      <c r="B91" s="70" t="inlineStr">
        <is>
          <t>TR219/2026/2027/W/10</t>
        </is>
      </c>
      <c r="C91" s="71" t="n">
        <v>46303</v>
      </c>
      <c r="D91" s="70" t="inlineStr">
        <is>
          <t>NeST</t>
        </is>
      </c>
      <c r="E91" s="70" t="inlineStr">
        <is>
          <t>https://nest.go.tz/tenders/published-tenders</t>
        </is>
      </c>
      <c r="F91" s="70" t="inlineStr">
        <is>
          <t>Tanzania National Parks</t>
        </is>
      </c>
      <c r="G91" s="70" t="inlineStr">
        <is>
          <t>government</t>
        </is>
      </c>
      <c r="H91" s="70" t="inlineStr">
        <is>
          <t>CONSTRUCTION OF BRIDGES AT VIBOKO VYA NAABI, BANAGI AND WARANGI YA JUU IN SERENGETI NATIONAL PARK</t>
        </is>
      </c>
      <c r="I91" s="70" t="inlineStr">
        <is>
          <t>From NeST notice (1 lot) – read the tender document</t>
        </is>
      </c>
      <c r="J91" s="70" t="inlineStr">
        <is>
          <t>Arusha (from client's office – confirm site)</t>
        </is>
      </c>
      <c r="K91" s="70" t="inlineStr">
        <is>
          <t>civil</t>
        </is>
      </c>
      <c r="L91" s="70" t="inlineStr">
        <is>
          <t>NeST login needed</t>
        </is>
      </c>
      <c r="M91" s="62" t="n"/>
      <c r="N91" s="70" t="inlineStr">
        <is>
          <t>unknown</t>
        </is>
      </c>
      <c r="O91" s="71" t="inlineStr">
        <is>
          <t>NeST login needed</t>
        </is>
      </c>
      <c r="P91" s="71" t="inlineStr">
        <is>
          <t>NeST login needed</t>
        </is>
      </c>
      <c r="Q91" s="72" t="n">
        <v>46310.58333333334</v>
      </c>
      <c r="R91" s="70" t="inlineStr">
        <is>
          <t>NeST login needed</t>
        </is>
      </c>
      <c r="S91" s="70" t="inlineStr">
        <is>
          <t>N</t>
        </is>
      </c>
      <c r="T91" s="64">
        <f>IF(A91="","",IFERROR(INDEX('Bid-NoBid'!$T:$T,MATCH(A91,'Bid-NoBid'!$A:$A,0)),""))</f>
        <v/>
      </c>
      <c r="U91" s="59">
        <f>IF(A91="","",IFERROR(IF(OR(INDEX('Bid-NoBid'!$U:$U,MATCH(A91,'Bid-NoBid'!$A:$A,0))="",LEFT(INDEX('Bid-NoBid'!$U:$U,MATCH(A91,'Bid-NoBid'!$A:$A,0)),10)="Incomplete"),"Screen: "&amp;AC91,INDEX('Bid-NoBid'!$U:$U,MATCH(A91,'Bid-NoBid'!$A:$A,0))),"Screen: "&amp;AC91))</f>
        <v/>
      </c>
      <c r="V91" s="60" t="n"/>
      <c r="W91" s="70" t="inlineStr">
        <is>
          <t>Watching</t>
        </is>
      </c>
      <c r="X91" s="70" t="inlineStr">
        <is>
          <t>Frank</t>
        </is>
      </c>
      <c r="Y91" s="60" t="n"/>
      <c r="Z91" s="60" t="n"/>
      <c r="AA91" s="73" t="n">
        <v>46302</v>
      </c>
      <c r="AB91" s="74" t="inlineStr">
        <is>
          <t>Small Works / Tender</t>
        </is>
      </c>
      <c r="AC91" s="74" t="inlineStr">
        <is>
          <t>Check</t>
        </is>
      </c>
      <c r="AD91" s="74" t="inlineStr">
        <is>
          <t>Auto (Small Works / Tender): Construction tender kept for review (would have been dropped: Remote civil works)</t>
        </is>
      </c>
      <c r="AE91" s="67">
        <f>IF(ISNUMBER(Q91),ROUNDDOWN(Q91-NOW(),1),"")</f>
        <v/>
      </c>
      <c r="AF91" s="59">
        <f>IF(OR(A91="",AE91=""),"",IF(NOT(OR(W91="Watching",W91="Preparing")),"",IF(AE91&lt;0,"PASSED",IF(AND(AE91&lt;=7,W91&lt;&gt;"Preparing"),"RED",IF(AE91&lt;=14,"AMBER","GREEN")))))</f>
        <v/>
      </c>
      <c r="AG91" s="59">
        <f>IF(OR(A91="",NOT(OR(W91="Watching",W91="Preparing"))),"",IF(AND(ISNUMBER(M91),M91&gt;=3000000000),"YES – ≥ TZS 3bn",IF(AND(ISNUMBER(AE91),AE91&gt;=0,AE91&lt;10,V91=""),"YES – &lt;10 days","")))</f>
        <v/>
      </c>
      <c r="AH91" s="68" t="n"/>
      <c r="AI91" s="74" t="inlineStr">
        <is>
          <t>Read the notice and decide with the QS Director whether to pursue</t>
        </is>
      </c>
      <c r="AJ91" s="74" t="inlineStr">
        <is>
          <t>Auto-scan</t>
        </is>
      </c>
      <c r="AK91" s="74" t="inlineStr">
        <is>
          <t>6183745f-14c8-4916-a02c-a704776621e4</t>
        </is>
      </c>
      <c r="AL91" s="59">
        <f>IF(AND(OR(W91="Watching",W91="Preparing"),ISNUMBER(Q91)),IF(AND(Q91&gt;='Friday Summary'!$C$4,Q91&lt;='Friday Summary'!$C$4+14),Q91+ROW()/1000000,""),"")</f>
        <v/>
      </c>
    </row>
    <row r="92" ht="15" customHeight="1" s="51">
      <c r="A92" s="59">
        <f>IF(B92="","","OP-"&amp;TEXT(ROW()-4,"000"))</f>
        <v/>
      </c>
      <c r="B92" s="70" t="inlineStr">
        <is>
          <t>78/2026/2027/W/07</t>
        </is>
      </c>
      <c r="C92" s="71" t="n">
        <v>46303</v>
      </c>
      <c r="D92" s="70" t="inlineStr">
        <is>
          <t>NeST</t>
        </is>
      </c>
      <c r="E92" s="70" t="inlineStr">
        <is>
          <t>https://nest.go.tz/tenders/published-tenders</t>
        </is>
      </c>
      <c r="F92" s="70" t="inlineStr">
        <is>
          <t>Mbeya Regional Secretariat</t>
        </is>
      </c>
      <c r="G92" s="70" t="inlineStr">
        <is>
          <t>government</t>
        </is>
      </c>
      <c r="H92" s="70" t="inlineStr">
        <is>
          <t>PROPOSED CONSTRUCTION OF RAS HOUSE PHASE II</t>
        </is>
      </c>
      <c r="I92" s="70" t="inlineStr">
        <is>
          <t>From NeST notice (1 lot) – read the tender document</t>
        </is>
      </c>
      <c r="J92" s="70" t="inlineStr">
        <is>
          <t>Mbeya (from client's office – confirm site)</t>
        </is>
      </c>
      <c r="K92" s="70" t="inlineStr">
        <is>
          <t>building</t>
        </is>
      </c>
      <c r="L92" s="70" t="inlineStr">
        <is>
          <t>NeST login needed</t>
        </is>
      </c>
      <c r="M92" s="62" t="n"/>
      <c r="N92" s="70" t="inlineStr">
        <is>
          <t>unknown</t>
        </is>
      </c>
      <c r="O92" s="71" t="inlineStr">
        <is>
          <t>NeST login needed</t>
        </is>
      </c>
      <c r="P92" s="71" t="inlineStr">
        <is>
          <t>NeST login needed</t>
        </is>
      </c>
      <c r="Q92" s="72" t="n">
        <v>46310.58333333334</v>
      </c>
      <c r="R92" s="70" t="inlineStr">
        <is>
          <t>NeST login needed</t>
        </is>
      </c>
      <c r="S92" s="70" t="inlineStr">
        <is>
          <t>N</t>
        </is>
      </c>
      <c r="T92" s="64">
        <f>IF(A92="","",IFERROR(INDEX('Bid-NoBid'!$T:$T,MATCH(A92,'Bid-NoBid'!$A:$A,0)),""))</f>
        <v/>
      </c>
      <c r="U92" s="59">
        <f>IF(A92="","",IFERROR(IF(OR(INDEX('Bid-NoBid'!$U:$U,MATCH(A92,'Bid-NoBid'!$A:$A,0))="",LEFT(INDEX('Bid-NoBid'!$U:$U,MATCH(A92,'Bid-NoBid'!$A:$A,0)),10)="Incomplete"),"Screen: "&amp;AC92,INDEX('Bid-NoBid'!$U:$U,MATCH(A92,'Bid-NoBid'!$A:$A,0))),"Screen: "&amp;AC92))</f>
        <v/>
      </c>
      <c r="V92" s="60" t="n"/>
      <c r="W92" s="70" t="inlineStr">
        <is>
          <t>Watching</t>
        </is>
      </c>
      <c r="X92" s="70" t="inlineStr">
        <is>
          <t>Frank</t>
        </is>
      </c>
      <c r="Y92" s="60" t="n"/>
      <c r="Z92" s="60" t="n"/>
      <c r="AA92" s="73" t="n">
        <v>46302</v>
      </c>
      <c r="AB92" s="74" t="inlineStr">
        <is>
          <t>Small Works / Tender</t>
        </is>
      </c>
      <c r="AC92" s="74" t="inlineStr">
        <is>
          <t>Check</t>
        </is>
      </c>
      <c r="AD92" s="74" t="inlineStr">
        <is>
          <t>Auto (Small Works / Tender): Building works but remote from Dar</t>
        </is>
      </c>
      <c r="AE92" s="67">
        <f>IF(ISNUMBER(Q92),ROUNDDOWN(Q92-NOW(),1),"")</f>
        <v/>
      </c>
      <c r="AF92" s="59">
        <f>IF(OR(A92="",AE92=""),"",IF(NOT(OR(W92="Watching",W92="Preparing")),"",IF(AE92&lt;0,"PASSED",IF(AND(AE92&lt;=7,W92&lt;&gt;"Preparing"),"RED",IF(AE92&lt;=14,"AMBER","GREEN")))))</f>
        <v/>
      </c>
      <c r="AG92" s="59">
        <f>IF(OR(A92="",NOT(OR(W92="Watching",W92="Preparing"))),"",IF(AND(ISNUMBER(M92),M92&gt;=3000000000),"YES – ≥ TZS 3bn",IF(AND(ISNUMBER(AE92),AE92&gt;=0,AE92&lt;10,V92=""),"YES – &lt;10 days","")))</f>
        <v/>
      </c>
      <c r="AH92" s="68" t="n"/>
      <c r="AI92" s="74" t="inlineStr">
        <is>
          <t>Read the notice and decide with the QS Director whether to pursue</t>
        </is>
      </c>
      <c r="AJ92" s="74" t="inlineStr">
        <is>
          <t>Auto-scan</t>
        </is>
      </c>
      <c r="AK92" s="74" t="inlineStr">
        <is>
          <t>d628e31b-5875-49b6-8323-bc741b85492f</t>
        </is>
      </c>
      <c r="AL92" s="59">
        <f>IF(AND(OR(W92="Watching",W92="Preparing"),ISNUMBER(Q92)),IF(AND(Q92&gt;='Friday Summary'!$C$4,Q92&lt;='Friday Summary'!$C$4+14),Q92+ROW()/1000000,""),"")</f>
        <v/>
      </c>
    </row>
    <row r="93" ht="15" customHeight="1" s="51">
      <c r="A93" s="59">
        <f>IF(B93="","","OP-"&amp;TEXT(ROW()-4,"000"))</f>
        <v/>
      </c>
      <c r="B93" s="70" t="inlineStr">
        <is>
          <t>TR152/006/2026/2027/W/05</t>
        </is>
      </c>
      <c r="C93" s="71" t="n">
        <v>46303</v>
      </c>
      <c r="D93" s="70" t="inlineStr">
        <is>
          <t>NeST</t>
        </is>
      </c>
      <c r="E93" s="70" t="inlineStr">
        <is>
          <t>https://nest.go.tz/tenders/published-tenders</t>
        </is>
      </c>
      <c r="F93" s="70" t="inlineStr">
        <is>
          <t>Bank of Tanzania - Mwanza Branch</t>
        </is>
      </c>
      <c r="G93" s="70" t="inlineStr">
        <is>
          <t>government</t>
        </is>
      </c>
      <c r="H93" s="70" t="inlineStr">
        <is>
          <t>Proposed Construction of a Security Guard Hut, Car Shade, and Waiting Lounge at the Bank of Tanzania Office Premises, Mwanza</t>
        </is>
      </c>
      <c r="I93" s="70" t="inlineStr">
        <is>
          <t>From NeST notice (1 lot) – read the tender document</t>
        </is>
      </c>
      <c r="J93" s="70" t="inlineStr">
        <is>
          <t>Mwanza</t>
        </is>
      </c>
      <c r="K93" s="70" t="inlineStr">
        <is>
          <t>building</t>
        </is>
      </c>
      <c r="L93" s="70" t="inlineStr">
        <is>
          <t>NeST login needed</t>
        </is>
      </c>
      <c r="M93" s="62" t="n"/>
      <c r="N93" s="70" t="inlineStr">
        <is>
          <t>unknown</t>
        </is>
      </c>
      <c r="O93" s="71" t="inlineStr">
        <is>
          <t>NeST login needed</t>
        </is>
      </c>
      <c r="P93" s="71" t="inlineStr">
        <is>
          <t>NeST login needed</t>
        </is>
      </c>
      <c r="Q93" s="72" t="n">
        <v>46318.58333333334</v>
      </c>
      <c r="R93" s="70" t="inlineStr">
        <is>
          <t>NeST login needed</t>
        </is>
      </c>
      <c r="S93" s="70" t="inlineStr">
        <is>
          <t>N</t>
        </is>
      </c>
      <c r="T93" s="64">
        <f>IF(A93="","",IFERROR(INDEX('Bid-NoBid'!$T:$T,MATCH(A93,'Bid-NoBid'!$A:$A,0)),""))</f>
        <v/>
      </c>
      <c r="U93" s="59">
        <f>IF(A93="","",IFERROR(IF(OR(INDEX('Bid-NoBid'!$U:$U,MATCH(A93,'Bid-NoBid'!$A:$A,0))="",LEFT(INDEX('Bid-NoBid'!$U:$U,MATCH(A93,'Bid-NoBid'!$A:$A,0)),10)="Incomplete"),"Screen: "&amp;AC93,INDEX('Bid-NoBid'!$U:$U,MATCH(A93,'Bid-NoBid'!$A:$A,0))),"Screen: "&amp;AC93))</f>
        <v/>
      </c>
      <c r="V93" s="60" t="n"/>
      <c r="W93" s="70" t="inlineStr">
        <is>
          <t>Watching</t>
        </is>
      </c>
      <c r="X93" s="70" t="inlineStr">
        <is>
          <t>Frank</t>
        </is>
      </c>
      <c r="Y93" s="60" t="n"/>
      <c r="Z93" s="60" t="n"/>
      <c r="AA93" s="73" t="n">
        <v>46303</v>
      </c>
      <c r="AB93" s="74" t="inlineStr">
        <is>
          <t>Small Works / Tender</t>
        </is>
      </c>
      <c r="AC93" s="74" t="inlineStr">
        <is>
          <t>Check</t>
        </is>
      </c>
      <c r="AD93" s="74" t="inlineStr">
        <is>
          <t>Auto (Small Works / Tender): Building works but remote from Dar</t>
        </is>
      </c>
      <c r="AE93" s="67">
        <f>IF(ISNUMBER(Q93),ROUNDDOWN(Q93-NOW(),1),"")</f>
        <v/>
      </c>
      <c r="AF93" s="59">
        <f>IF(OR(A93="",AE93=""),"",IF(NOT(OR(W93="Watching",W93="Preparing")),"",IF(AE93&lt;0,"PASSED",IF(AND(AE93&lt;=7,W93&lt;&gt;"Preparing"),"RED",IF(AE93&lt;=14,"AMBER","GREEN")))))</f>
        <v/>
      </c>
      <c r="AG93" s="59">
        <f>IF(OR(A93="",NOT(OR(W93="Watching",W93="Preparing"))),"",IF(AND(ISNUMBER(M93),M93&gt;=3000000000),"YES – ≥ TZS 3bn",IF(AND(ISNUMBER(AE93),AE93&gt;=0,AE93&lt;10,V93=""),"YES – &lt;10 days","")))</f>
        <v/>
      </c>
      <c r="AH93" s="68" t="n"/>
      <c r="AI93" s="74" t="inlineStr">
        <is>
          <t>Read the notice and decide with the QS Director whether to pursue</t>
        </is>
      </c>
      <c r="AJ93" s="74" t="inlineStr">
        <is>
          <t>Auto-scan</t>
        </is>
      </c>
      <c r="AK93" s="74" t="inlineStr">
        <is>
          <t>6451d6af-2bd8-48ae-a56a-8a7d682eb75e</t>
        </is>
      </c>
      <c r="AL93" s="59">
        <f>IF(AND(OR(W93="Watching",W93="Preparing"),ISNUMBER(Q93)),IF(AND(Q93&gt;='Friday Summary'!$C$4,Q93&lt;='Friday Summary'!$C$4+14),Q93+ROW()/1000000,""),"")</f>
        <v/>
      </c>
    </row>
    <row r="94" ht="15" customHeight="1" s="51">
      <c r="A94" s="59">
        <f>IF(B94="","","OP-"&amp;TEXT(ROW()-4,"000"))</f>
        <v/>
      </c>
      <c r="B94" s="70" t="inlineStr">
        <is>
          <t>S10/009/2026/2027/W/186</t>
        </is>
      </c>
      <c r="C94" s="71" t="n">
        <v>46304</v>
      </c>
      <c r="D94" s="70" t="inlineStr">
        <is>
          <t>NeST</t>
        </is>
      </c>
      <c r="E94" s="70" t="inlineStr">
        <is>
          <t>https://nest.go.tz/tenders/published-tenders</t>
        </is>
      </c>
      <c r="F94" s="70" t="inlineStr">
        <is>
          <t>TARURA - Kilimanjaro Regional Office</t>
        </is>
      </c>
      <c r="G94" s="70" t="inlineStr">
        <is>
          <t>government</t>
        </is>
      </c>
      <c r="H94" s="70" t="inlineStr">
        <is>
          <t>Rehabilitation of Langoni - Karansi road to gravel Standards,Construction of Ndarara II Road(1.5km)to gravel standard, Construction of Esinyari(Olkolili) Slab Culvert in Siha District.</t>
        </is>
      </c>
      <c r="I94" s="70" t="inlineStr">
        <is>
          <t>From NeST notice (1 lot) – read the tender document</t>
        </is>
      </c>
      <c r="J94" s="70" t="inlineStr">
        <is>
          <t>Kilimanjaro (Moshi) (from client's office – confirm site)</t>
        </is>
      </c>
      <c r="K94" s="70" t="inlineStr">
        <is>
          <t>renovation</t>
        </is>
      </c>
      <c r="L94" s="70" t="inlineStr">
        <is>
          <t>NeST login needed</t>
        </is>
      </c>
      <c r="M94" s="62" t="n"/>
      <c r="N94" s="70" t="inlineStr">
        <is>
          <t>unknown</t>
        </is>
      </c>
      <c r="O94" s="71" t="inlineStr">
        <is>
          <t>NeST login needed</t>
        </is>
      </c>
      <c r="P94" s="71" t="inlineStr">
        <is>
          <t>NeST login needed</t>
        </is>
      </c>
      <c r="Q94" s="72" t="n">
        <v>46310.41666666666</v>
      </c>
      <c r="R94" s="70" t="inlineStr">
        <is>
          <t>NeST login needed</t>
        </is>
      </c>
      <c r="S94" s="70" t="inlineStr">
        <is>
          <t>N</t>
        </is>
      </c>
      <c r="T94" s="64">
        <f>IF(A94="","",IFERROR(INDEX('Bid-NoBid'!$T:$T,MATCH(A94,'Bid-NoBid'!$A:$A,0)),""))</f>
        <v/>
      </c>
      <c r="U94" s="59">
        <f>IF(A94="","",IFERROR(IF(OR(INDEX('Bid-NoBid'!$U:$U,MATCH(A94,'Bid-NoBid'!$A:$A,0))="",LEFT(INDEX('Bid-NoBid'!$U:$U,MATCH(A94,'Bid-NoBid'!$A:$A,0)),10)="Incomplete"),"Screen: "&amp;AC94,INDEX('Bid-NoBid'!$U:$U,MATCH(A94,'Bid-NoBid'!$A:$A,0))),"Screen: "&amp;AC94))</f>
        <v/>
      </c>
      <c r="V94" s="60" t="n"/>
      <c r="W94" s="70" t="inlineStr">
        <is>
          <t>Watching</t>
        </is>
      </c>
      <c r="X94" s="70" t="inlineStr">
        <is>
          <t>Frank</t>
        </is>
      </c>
      <c r="Y94" s="60" t="n"/>
      <c r="Z94" s="60" t="n"/>
      <c r="AA94" s="73" t="n">
        <v>46303</v>
      </c>
      <c r="AB94" s="74" t="inlineStr">
        <is>
          <t>Small Works / Tender</t>
        </is>
      </c>
      <c r="AC94" s="74" t="inlineStr">
        <is>
          <t>Check</t>
        </is>
      </c>
      <c r="AD94" s="74" t="inlineStr">
        <is>
          <t>Auto (Small Works / Tender): Construction tender kept for review (would have been dropped: Remote and closing soon)</t>
        </is>
      </c>
      <c r="AE94" s="67">
        <f>IF(ISNUMBER(Q94),ROUNDDOWN(Q94-NOW(),1),"")</f>
        <v/>
      </c>
      <c r="AF94" s="59">
        <f>IF(OR(A94="",AE94=""),"",IF(NOT(OR(W94="Watching",W94="Preparing")),"",IF(AE94&lt;0,"PASSED",IF(AND(AE94&lt;=7,W94&lt;&gt;"Preparing"),"RED",IF(AE94&lt;=14,"AMBER","GREEN")))))</f>
        <v/>
      </c>
      <c r="AG94" s="59">
        <f>IF(OR(A94="",NOT(OR(W94="Watching",W94="Preparing"))),"",IF(AND(ISNUMBER(M94),M94&gt;=3000000000),"YES – ≥ TZS 3bn",IF(AND(ISNUMBER(AE94),AE94&gt;=0,AE94&lt;10,V94=""),"YES – &lt;10 days","")))</f>
        <v/>
      </c>
      <c r="AH94" s="68" t="n"/>
      <c r="AI94" s="74" t="inlineStr">
        <is>
          <t>Read the notice and decide with the QS Director whether to pursue</t>
        </is>
      </c>
      <c r="AJ94" s="74" t="inlineStr">
        <is>
          <t>Auto-scan</t>
        </is>
      </c>
      <c r="AK94" s="74" t="inlineStr">
        <is>
          <t>63d9974f-e65a-4eb0-a3aa-3741d7215ab6</t>
        </is>
      </c>
      <c r="AL94" s="59">
        <f>IF(AND(OR(W94="Watching",W94="Preparing"),ISNUMBER(Q94)),IF(AND(Q94&gt;='Friday Summary'!$C$4,Q94&lt;='Friday Summary'!$C$4+14),Q94+ROW()/1000000,""),"")</f>
        <v/>
      </c>
    </row>
    <row r="95" ht="15" customHeight="1" s="51">
      <c r="A95" s="59">
        <f>IF(B95="","","OP-"&amp;TEXT(ROW()-4,"000"))</f>
        <v/>
      </c>
      <c r="B95" s="70" t="inlineStr">
        <is>
          <t>TR152/004/2026/2027/W/02</t>
        </is>
      </c>
      <c r="C95" s="71" t="n">
        <v>46304</v>
      </c>
      <c r="D95" s="70" t="inlineStr">
        <is>
          <t>NeST</t>
        </is>
      </c>
      <c r="E95" s="70" t="inlineStr">
        <is>
          <t>https://nest.go.tz/tenders/published-tenders</t>
        </is>
      </c>
      <c r="F95" s="70" t="inlineStr">
        <is>
          <t>Bank of Tanzania - Mbeya Branch</t>
        </is>
      </c>
      <c r="G95" s="70" t="inlineStr">
        <is>
          <t>government</t>
        </is>
      </c>
      <c r="H95" s="70" t="inlineStr">
        <is>
          <t>PROPOSED IMPROVEMENT OF EXTERNAL AREAS AND FIXTURES OF NANENANE BUILDINGS AT THE BANK OF TANZANIA, MBEYA BRANCH.</t>
        </is>
      </c>
      <c r="I95" s="70" t="inlineStr">
        <is>
          <t>From NeST notice (1 lot) – read the tender document</t>
        </is>
      </c>
      <c r="J95" s="70" t="inlineStr">
        <is>
          <t>Mbeya</t>
        </is>
      </c>
      <c r="K95" s="70" t="inlineStr">
        <is>
          <t>building</t>
        </is>
      </c>
      <c r="L95" s="70" t="inlineStr">
        <is>
          <t>NeST login needed</t>
        </is>
      </c>
      <c r="M95" s="62" t="n"/>
      <c r="N95" s="70" t="inlineStr">
        <is>
          <t>unknown</t>
        </is>
      </c>
      <c r="O95" s="71" t="inlineStr">
        <is>
          <t>NeST login needed</t>
        </is>
      </c>
      <c r="P95" s="71" t="inlineStr">
        <is>
          <t>NeST login needed</t>
        </is>
      </c>
      <c r="Q95" s="72" t="n">
        <v>46311.66666666666</v>
      </c>
      <c r="R95" s="70" t="inlineStr">
        <is>
          <t>NeST login needed</t>
        </is>
      </c>
      <c r="S95" s="70" t="inlineStr">
        <is>
          <t>N</t>
        </is>
      </c>
      <c r="T95" s="64">
        <f>IF(A95="","",IFERROR(INDEX('Bid-NoBid'!$T:$T,MATCH(A95,'Bid-NoBid'!$A:$A,0)),""))</f>
        <v/>
      </c>
      <c r="U95" s="59">
        <f>IF(A95="","",IFERROR(IF(OR(INDEX('Bid-NoBid'!$U:$U,MATCH(A95,'Bid-NoBid'!$A:$A,0))="",LEFT(INDEX('Bid-NoBid'!$U:$U,MATCH(A95,'Bid-NoBid'!$A:$A,0)),10)="Incomplete"),"Screen: "&amp;AC95,INDEX('Bid-NoBid'!$U:$U,MATCH(A95,'Bid-NoBid'!$A:$A,0))),"Screen: "&amp;AC95))</f>
        <v/>
      </c>
      <c r="V95" s="60" t="n"/>
      <c r="W95" s="70" t="inlineStr">
        <is>
          <t>Watching</t>
        </is>
      </c>
      <c r="X95" s="70" t="inlineStr">
        <is>
          <t>Frank</t>
        </is>
      </c>
      <c r="Y95" s="60" t="n"/>
      <c r="Z95" s="60" t="n"/>
      <c r="AA95" s="73" t="n">
        <v>46304</v>
      </c>
      <c r="AB95" s="74" t="inlineStr">
        <is>
          <t>Small Works / Tender</t>
        </is>
      </c>
      <c r="AC95" s="74" t="inlineStr">
        <is>
          <t>Check</t>
        </is>
      </c>
      <c r="AD95" s="74" t="inlineStr">
        <is>
          <t>Auto (Small Works / Tender): Building works but remote from Dar</t>
        </is>
      </c>
      <c r="AE95" s="67">
        <f>IF(ISNUMBER(Q95),ROUNDDOWN(Q95-NOW(),1),"")</f>
        <v/>
      </c>
      <c r="AF95" s="59">
        <f>IF(OR(A95="",AE95=""),"",IF(NOT(OR(W95="Watching",W95="Preparing")),"",IF(AE95&lt;0,"PASSED",IF(AND(AE95&lt;=7,W95&lt;&gt;"Preparing"),"RED",IF(AE95&lt;=14,"AMBER","GREEN")))))</f>
        <v/>
      </c>
      <c r="AG95" s="59">
        <f>IF(OR(A95="",NOT(OR(W95="Watching",W95="Preparing"))),"",IF(AND(ISNUMBER(M95),M95&gt;=3000000000),"YES – ≥ TZS 3bn",IF(AND(ISNUMBER(AE95),AE95&gt;=0,AE95&lt;10,V95=""),"YES – &lt;10 days","")))</f>
        <v/>
      </c>
      <c r="AH95" s="68" t="n"/>
      <c r="AI95" s="74" t="inlineStr">
        <is>
          <t>Read the notice and decide with the QS Director whether to pursue</t>
        </is>
      </c>
      <c r="AJ95" s="74" t="inlineStr">
        <is>
          <t>Auto-scan</t>
        </is>
      </c>
      <c r="AK95" s="74" t="inlineStr">
        <is>
          <t>9b89bfa3-0496-4cf2-a051-93c1558f7010</t>
        </is>
      </c>
      <c r="AL95" s="59">
        <f>IF(AND(OR(W95="Watching",W95="Preparing"),ISNUMBER(Q95)),IF(AND(Q95&gt;='Friday Summary'!$C$4,Q95&lt;='Friday Summary'!$C$4+14),Q95+ROW()/1000000,""),"")</f>
        <v/>
      </c>
    </row>
    <row r="96" ht="15" customHeight="1" s="51">
      <c r="A96" s="59">
        <f>IF(B96="","","OP-"&amp;TEXT(ROW()-4,"000"))</f>
        <v/>
      </c>
      <c r="B96" s="70" t="inlineStr">
        <is>
          <t>TZ-POFP-575401-CW-RFB</t>
        </is>
      </c>
      <c r="C96" s="71" t="n">
        <v>46304</v>
      </c>
      <c r="D96" s="70" t="inlineStr">
        <is>
          <t>donor</t>
        </is>
      </c>
      <c r="E96" s="70" t="inlineStr">
        <is>
          <t>https://projects.worldbank.org/en/projects-operations/procurement-detail/OP00473952</t>
        </is>
      </c>
      <c r="F96" s="70" t="inlineStr">
        <is>
          <t>President's Office-finance and Planning</t>
        </is>
      </c>
      <c r="G96" s="70" t="inlineStr">
        <is>
          <t>donor</t>
        </is>
      </c>
      <c r="H96" s="70" t="inlineStr">
        <is>
          <t>Integrated Tourism Development, Infrastructure and Livelihood Improvement in Unguja, (Nungwi village) - Construction of Village Square, Tourist Information Centre, Fish Market, Parking, Urban Furniture, Tide-Defence Embankment and Food Vending Stalls</t>
        </is>
      </c>
      <c r="I96" s="70" t="inlineStr">
        <is>
          <t>World Bank project: Boosting Inclusive Growth for Zanzibar: Integrated Development Project (P165128)</t>
        </is>
      </c>
      <c r="J96" s="70" t="inlineStr">
        <is>
          <t>Zanzibar (Unguja)</t>
        </is>
      </c>
      <c r="K96" s="70" t="inlineStr">
        <is>
          <t>civil</t>
        </is>
      </c>
      <c r="L96" s="70" t="inlineStr">
        <is>
          <t>See tender document</t>
        </is>
      </c>
      <c r="M96" s="62" t="n"/>
      <c r="N96" s="70" t="inlineStr">
        <is>
          <t>Y</t>
        </is>
      </c>
      <c r="O96" s="71" t="inlineStr">
        <is>
          <t>See tender document</t>
        </is>
      </c>
      <c r="P96" s="71" t="inlineStr">
        <is>
          <t>See tender document</t>
        </is>
      </c>
      <c r="Q96" s="72" t="n">
        <v>46336.45833333334</v>
      </c>
      <c r="R96" s="70" t="inlineStr">
        <is>
          <t>See tender document</t>
        </is>
      </c>
      <c r="S96" s="70" t="inlineStr">
        <is>
          <t>N</t>
        </is>
      </c>
      <c r="T96" s="64">
        <f>IF(A96="","",IFERROR(INDEX('Bid-NoBid'!$T:$T,MATCH(A96,'Bid-NoBid'!$A:$A,0)),""))</f>
        <v/>
      </c>
      <c r="U96" s="59">
        <f>IF(A96="","",IFERROR(IF(OR(INDEX('Bid-NoBid'!$U:$U,MATCH(A96,'Bid-NoBid'!$A:$A,0))="",LEFT(INDEX('Bid-NoBid'!$U:$U,MATCH(A96,'Bid-NoBid'!$A:$A,0)),10)="Incomplete"),"Screen: "&amp;AC96,INDEX('Bid-NoBid'!$U:$U,MATCH(A96,'Bid-NoBid'!$A:$A,0))),"Screen: "&amp;AC96))</f>
        <v/>
      </c>
      <c r="V96" s="60" t="n"/>
      <c r="W96" s="70" t="inlineStr">
        <is>
          <t>Watching</t>
        </is>
      </c>
      <c r="X96" s="70" t="inlineStr">
        <is>
          <t>Frank</t>
        </is>
      </c>
      <c r="Y96" s="60" t="n"/>
      <c r="Z96" s="60" t="n"/>
      <c r="AA96" s="73" t="n">
        <v>46303</v>
      </c>
      <c r="AB96" s="74" t="inlineStr">
        <is>
          <t>World Bank – Invitation for Bids (Request for Bids)</t>
        </is>
      </c>
      <c r="AC96" s="74" t="inlineStr">
        <is>
          <t>Check</t>
        </is>
      </c>
      <c r="AD96" s="74" t="inlineStr">
        <is>
          <t>Auto (World Bank – Invitation for Bids): Civil works – confirm site, CRB class and margin</t>
        </is>
      </c>
      <c r="AE96" s="67">
        <f>IF(ISNUMBER(Q96),ROUNDDOWN(Q96-NOW(),1),"")</f>
        <v/>
      </c>
      <c r="AF96" s="59">
        <f>IF(OR(A96="",AE96=""),"",IF(NOT(OR(W96="Watching",W96="Preparing")),"",IF(AE96&lt;0,"PASSED",IF(AND(AE96&lt;=7,W96&lt;&gt;"Preparing"),"RED",IF(AE96&lt;=14,"AMBER","GREEN")))))</f>
        <v/>
      </c>
      <c r="AG96" s="59">
        <f>IF(OR(A96="",NOT(OR(W96="Watching",W96="Preparing"))),"",IF(AND(ISNUMBER(M96),M96&gt;=3000000000),"YES – ≥ TZS 3bn",IF(AND(ISNUMBER(AE96),AE96&gt;=0,AE96&lt;10,V96=""),"YES – &lt;10 days","")))</f>
        <v/>
      </c>
      <c r="AH96" s="68" t="n"/>
      <c r="AI96" s="74" t="inlineStr">
        <is>
          <t>Read the notice and decide with the QS Director whether to pursue</t>
        </is>
      </c>
      <c r="AJ96" s="74" t="inlineStr">
        <is>
          <t>Auto-scan</t>
        </is>
      </c>
      <c r="AK96" s="74" t="inlineStr">
        <is>
          <t>WB:OP00473952</t>
        </is>
      </c>
      <c r="AL96" s="59">
        <f>IF(AND(OR(W96="Watching",W96="Preparing"),ISNUMBER(Q96)),IF(AND(Q96&gt;='Friday Summary'!$C$4,Q96&lt;='Friday Summary'!$C$4+14),Q96+ROW()/1000000,""),"")</f>
        <v/>
      </c>
    </row>
    <row r="97" ht="15" customHeight="1" s="51">
      <c r="A97" s="59">
        <f>IF(B97="","","OP-"&amp;TEXT(ROW()-4,"000"))</f>
        <v/>
      </c>
      <c r="B97" s="70" t="inlineStr">
        <is>
          <t>(not shown)</t>
        </is>
      </c>
      <c r="C97" s="71" t="n">
        <v>46305</v>
      </c>
      <c r="D97" s="70" t="inlineStr">
        <is>
          <t>client site</t>
        </is>
      </c>
      <c r="E97" s="70" t="inlineStr">
        <is>
          <t>https://www.trc.co.tz/uploads/vacancies/sw1776962195-23042026-INVITATION TO EME WORKSHOP.pdf</t>
        </is>
      </c>
      <c r="F97" s="70" t="inlineStr">
        <is>
          <t>Tanzania Railways Corporation (TRC)</t>
        </is>
      </c>
      <c r="G97" s="70" t="inlineStr">
        <is>
          <t>parastatal</t>
        </is>
      </c>
      <c r="H97" s="70" t="inlineStr">
        <is>
          <t>INVITATION TO EARLY MARKET ENGAGEMENT (EME) WORKSHOP (PHYSICAL AND VIRTUAL CONSULTATIVE MEETING)</t>
        </is>
      </c>
      <c r="I97" s="70" t="inlineStr">
        <is>
          <t>From client site notice (1 lot) – read the tender document</t>
        </is>
      </c>
      <c r="J97" s="70" t="inlineStr">
        <is>
          <t>Not stated – read the notice</t>
        </is>
      </c>
      <c r="K97" s="70" t="inlineStr">
        <is>
          <t>building</t>
        </is>
      </c>
      <c r="L97" s="70" t="inlineStr">
        <is>
          <t>See tender document</t>
        </is>
      </c>
      <c r="M97" s="62" t="n"/>
      <c r="N97" s="70" t="inlineStr">
        <is>
          <t>unknown</t>
        </is>
      </c>
      <c r="O97" s="71" t="inlineStr">
        <is>
          <t>See tender document</t>
        </is>
      </c>
      <c r="P97" s="71" t="inlineStr">
        <is>
          <t>See tender document</t>
        </is>
      </c>
      <c r="Q97" s="72" t="n"/>
      <c r="R97" s="70" t="inlineStr">
        <is>
          <t>See tender document</t>
        </is>
      </c>
      <c r="S97" s="70" t="inlineStr">
        <is>
          <t>N</t>
        </is>
      </c>
      <c r="T97" s="64">
        <f>IF(A97="","",IFERROR(INDEX('Bid-NoBid'!$T:$T,MATCH(A97,'Bid-NoBid'!$A:$A,0)),""))</f>
        <v/>
      </c>
      <c r="U97" s="59">
        <f>IF(A97="","",IFERROR(IF(OR(INDEX('Bid-NoBid'!$U:$U,MATCH(A97,'Bid-NoBid'!$A:$A,0))="",LEFT(INDEX('Bid-NoBid'!$U:$U,MATCH(A97,'Bid-NoBid'!$A:$A,0)),10)="Incomplete"),"Screen: "&amp;AC97,INDEX('Bid-NoBid'!$U:$U,MATCH(A97,'Bid-NoBid'!$A:$A,0))),"Screen: "&amp;AC97))</f>
        <v/>
      </c>
      <c r="V97" s="60" t="n"/>
      <c r="W97" s="70" t="inlineStr">
        <is>
          <t>Watching</t>
        </is>
      </c>
      <c r="X97" s="70" t="inlineStr">
        <is>
          <t>Frank</t>
        </is>
      </c>
      <c r="Y97" s="60" t="n"/>
      <c r="Z97" s="60" t="n"/>
      <c r="AA97" s="73" t="n"/>
      <c r="AB97" s="74" t="inlineStr">
        <is>
          <t>TRC tenders (web page)</t>
        </is>
      </c>
      <c r="AC97" s="74" t="inlineStr">
        <is>
          <t>Check</t>
        </is>
      </c>
      <c r="AD97" s="74" t="inlineStr">
        <is>
          <t>Auto (TRC tenders): Deadline not shown on the source page – open the link and read the notice</t>
        </is>
      </c>
      <c r="AE97" s="67">
        <f>IF(ISNUMBER(Q97),ROUNDDOWN(Q97-NOW(),1),"")</f>
        <v/>
      </c>
      <c r="AF97" s="59">
        <f>IF(OR(A97="",AE97=""),"",IF(NOT(OR(W97="Watching",W97="Preparing")),"",IF(AE97&lt;0,"PASSED",IF(AND(AE97&lt;=7,W97&lt;&gt;"Preparing"),"RED",IF(AE97&lt;=14,"AMBER","GREEN")))))</f>
        <v/>
      </c>
      <c r="AG97" s="59">
        <f>IF(OR(A97="",NOT(OR(W97="Watching",W97="Preparing"))),"",IF(AND(ISNUMBER(M97),M97&gt;=3000000000),"YES – ≥ TZS 3bn",IF(AND(ISNUMBER(AE97),AE97&gt;=0,AE97&lt;10,V97=""),"YES – &lt;10 days","")))</f>
        <v/>
      </c>
      <c r="AH97" s="68" t="n"/>
      <c r="AI97" s="74" t="inlineStr">
        <is>
          <t>Read the notice and decide with the QS Director whether to pursue</t>
        </is>
      </c>
      <c r="AJ97" s="74" t="inlineStr">
        <is>
          <t>Auto-scan</t>
        </is>
      </c>
      <c r="AK97" s="74" t="inlineStr">
        <is>
          <t>WEB:trc_tenders:2d2c9dbdb237c3a4</t>
        </is>
      </c>
      <c r="AL97" s="59">
        <f>IF(AND(OR(W97="Watching",W97="Preparing"),ISNUMBER(Q97)),IF(AND(Q97&gt;='Friday Summary'!$C$4,Q97&lt;='Friday Summary'!$C$4+14),Q97+ROW()/1000000,""),"")</f>
        <v/>
      </c>
    </row>
    <row r="98" ht="15" customHeight="1" s="51">
      <c r="A98" s="59">
        <f>IF(B98="","","OP-"&amp;TEXT(ROW()-4,"000"))</f>
        <v/>
      </c>
      <c r="B98" s="70" t="inlineStr">
        <is>
          <t>(not shown)</t>
        </is>
      </c>
      <c r="C98" s="71" t="n">
        <v>46305</v>
      </c>
      <c r="D98" s="70" t="inlineStr">
        <is>
          <t>client site</t>
        </is>
      </c>
      <c r="E98" s="70" t="inlineStr">
        <is>
          <t>https://www.tcra.go.tz/tcra-tovuti/2022/mamlaka-website/documents/tenders/en_1669799349_INVITATION_FOR_TENDERS_Conference_Hall_Facilities_PAPU_House_b8fc297abe.pdf</t>
        </is>
      </c>
      <c r="F98" s="70" t="inlineStr">
        <is>
          <t>Tanzania Communications Regulatory Authority (TCRA)</t>
        </is>
      </c>
      <c r="G98" s="70" t="inlineStr">
        <is>
          <t>government</t>
        </is>
      </c>
      <c r="H98" s="70" t="inlineStr">
        <is>
          <t>Tenders 0 5 29 th Nov, 2022 DESIGN AND INSTALLATION OF MULTIPURPOSE CONFERENCE HALL FACILITIES TO THE PAPU HOUSE Download View</t>
        </is>
      </c>
      <c r="I98" s="70" t="inlineStr">
        <is>
          <t>From client site notice (1 lot) – read the tender document</t>
        </is>
      </c>
      <c r="J98" s="70" t="inlineStr">
        <is>
          <t>Not stated – read the notice</t>
        </is>
      </c>
      <c r="K98" s="70" t="inlineStr">
        <is>
          <t>building</t>
        </is>
      </c>
      <c r="L98" s="70" t="inlineStr">
        <is>
          <t>See tender document</t>
        </is>
      </c>
      <c r="M98" s="62" t="n"/>
      <c r="N98" s="70" t="inlineStr">
        <is>
          <t>unknown</t>
        </is>
      </c>
      <c r="O98" s="71" t="inlineStr">
        <is>
          <t>See tender document</t>
        </is>
      </c>
      <c r="P98" s="71" t="inlineStr">
        <is>
          <t>See tender document</t>
        </is>
      </c>
      <c r="Q98" s="72" t="n"/>
      <c r="R98" s="70" t="inlineStr">
        <is>
          <t>See tender document</t>
        </is>
      </c>
      <c r="S98" s="70" t="inlineStr">
        <is>
          <t>N</t>
        </is>
      </c>
      <c r="T98" s="64">
        <f>IF(A98="","",IFERROR(INDEX('Bid-NoBid'!$T:$T,MATCH(A98,'Bid-NoBid'!$A:$A,0)),""))</f>
        <v/>
      </c>
      <c r="U98" s="59">
        <f>IF(A98="","",IFERROR(IF(OR(INDEX('Bid-NoBid'!$U:$U,MATCH(A98,'Bid-NoBid'!$A:$A,0))="",LEFT(INDEX('Bid-NoBid'!$U:$U,MATCH(A98,'Bid-NoBid'!$A:$A,0)),10)="Incomplete"),"Screen: "&amp;AC98,INDEX('Bid-NoBid'!$U:$U,MATCH(A98,'Bid-NoBid'!$A:$A,0))),"Screen: "&amp;AC98))</f>
        <v/>
      </c>
      <c r="V98" s="60" t="n"/>
      <c r="W98" s="70" t="inlineStr">
        <is>
          <t>Watching</t>
        </is>
      </c>
      <c r="X98" s="70" t="inlineStr">
        <is>
          <t>Frank</t>
        </is>
      </c>
      <c r="Y98" s="60" t="n"/>
      <c r="Z98" s="60" t="n"/>
      <c r="AA98" s="73" t="n"/>
      <c r="AB98" s="74" t="inlineStr">
        <is>
          <t>TCRA tenders (web page)</t>
        </is>
      </c>
      <c r="AC98" s="74" t="inlineStr">
        <is>
          <t>Check</t>
        </is>
      </c>
      <c r="AD98" s="74" t="inlineStr">
        <is>
          <t>Auto (TCRA tenders): Deadline not shown on the source page – open the link and read the notice</t>
        </is>
      </c>
      <c r="AE98" s="67">
        <f>IF(ISNUMBER(Q98),ROUNDDOWN(Q98-NOW(),1),"")</f>
        <v/>
      </c>
      <c r="AF98" s="59">
        <f>IF(OR(A98="",AE98=""),"",IF(NOT(OR(W98="Watching",W98="Preparing")),"",IF(AE98&lt;0,"PASSED",IF(AND(AE98&lt;=7,W98&lt;&gt;"Preparing"),"RED",IF(AE98&lt;=14,"AMBER","GREEN")))))</f>
        <v/>
      </c>
      <c r="AG98" s="59">
        <f>IF(OR(A98="",NOT(OR(W98="Watching",W98="Preparing"))),"",IF(AND(ISNUMBER(M98),M98&gt;=3000000000),"YES – ≥ TZS 3bn",IF(AND(ISNUMBER(AE98),AE98&gt;=0,AE98&lt;10,V98=""),"YES – &lt;10 days","")))</f>
        <v/>
      </c>
      <c r="AH98" s="68" t="n"/>
      <c r="AI98" s="74" t="inlineStr">
        <is>
          <t>Read the notice and decide with the QS Director whether to pursue</t>
        </is>
      </c>
      <c r="AJ98" s="74" t="inlineStr">
        <is>
          <t>Auto-scan</t>
        </is>
      </c>
      <c r="AK98" s="74" t="inlineStr">
        <is>
          <t>WEB:tcra_tenders:8741399c3b5cdb7b</t>
        </is>
      </c>
      <c r="AL98" s="59">
        <f>IF(AND(OR(W98="Watching",W98="Preparing"),ISNUMBER(Q98)),IF(AND(Q98&gt;='Friday Summary'!$C$4,Q98&lt;='Friday Summary'!$C$4+14),Q98+ROW()/1000000,""),"")</f>
        <v/>
      </c>
    </row>
    <row r="99" ht="15" customHeight="1" s="51">
      <c r="A99" s="59">
        <f>IF(B99="","","OP-"&amp;TEXT(ROW()-4,"000"))</f>
        <v/>
      </c>
      <c r="B99" s="70" t="inlineStr">
        <is>
          <t>020/HQ/2022-23/W/05</t>
        </is>
      </c>
      <c r="C99" s="71" t="n">
        <v>46305</v>
      </c>
      <c r="D99" s="70" t="inlineStr">
        <is>
          <t>client site</t>
        </is>
      </c>
      <c r="E99" s="70" t="inlineStr">
        <is>
          <t>https://www.tcra.go.tz/tcra-tovuti/2023/mamlaka-website/documents/tenders/en_1673772233_Extension_of_Tender_Submission_Deadline_for_Proposed_design_and_Installation_of_Multipurpose_Conference_Hall_06b81863fa.pdf</t>
        </is>
      </c>
      <c r="F99" s="70" t="inlineStr">
        <is>
          <t>Tanzania Communications Regulatory Authority (TCRA)</t>
        </is>
      </c>
      <c r="G99" s="70" t="inlineStr">
        <is>
          <t>government</t>
        </is>
      </c>
      <c r="H99" s="70" t="inlineStr">
        <is>
          <t>EXTENSION OF TENDER SUBMISSION DEADLINE FOR PROPOSED DESIGN AND INSTALLATION OF MULTIPURPOSE CONFERENCE HALL FACILITIES AT PAPU HOUSE PROJECT (TENDER NO. AE-020/HQ/2022-23/W/05)</t>
        </is>
      </c>
      <c r="I99" s="70" t="inlineStr">
        <is>
          <t>From client site notice (1 lot) – read the tender document</t>
        </is>
      </c>
      <c r="J99" s="70" t="inlineStr">
        <is>
          <t>Not stated – read the notice</t>
        </is>
      </c>
      <c r="K99" s="70" t="inlineStr">
        <is>
          <t>building</t>
        </is>
      </c>
      <c r="L99" s="70" t="inlineStr">
        <is>
          <t>See tender document</t>
        </is>
      </c>
      <c r="M99" s="62" t="n"/>
      <c r="N99" s="70" t="inlineStr">
        <is>
          <t>unknown</t>
        </is>
      </c>
      <c r="O99" s="71" t="inlineStr">
        <is>
          <t>See tender document</t>
        </is>
      </c>
      <c r="P99" s="71" t="inlineStr">
        <is>
          <t>See tender document</t>
        </is>
      </c>
      <c r="Q99" s="72" t="n"/>
      <c r="R99" s="70" t="inlineStr">
        <is>
          <t>See tender document</t>
        </is>
      </c>
      <c r="S99" s="70" t="inlineStr">
        <is>
          <t>N</t>
        </is>
      </c>
      <c r="T99" s="64">
        <f>IF(A99="","",IFERROR(INDEX('Bid-NoBid'!$T:$T,MATCH(A99,'Bid-NoBid'!$A:$A,0)),""))</f>
        <v/>
      </c>
      <c r="U99" s="59">
        <f>IF(A99="","",IFERROR(IF(OR(INDEX('Bid-NoBid'!$U:$U,MATCH(A99,'Bid-NoBid'!$A:$A,0))="",LEFT(INDEX('Bid-NoBid'!$U:$U,MATCH(A99,'Bid-NoBid'!$A:$A,0)),10)="Incomplete"),"Screen: "&amp;AC99,INDEX('Bid-NoBid'!$U:$U,MATCH(A99,'Bid-NoBid'!$A:$A,0))),"Screen: "&amp;AC99))</f>
        <v/>
      </c>
      <c r="V99" s="60" t="n"/>
      <c r="W99" s="70" t="inlineStr">
        <is>
          <t>Watching</t>
        </is>
      </c>
      <c r="X99" s="70" t="inlineStr">
        <is>
          <t>Frank</t>
        </is>
      </c>
      <c r="Y99" s="60" t="n"/>
      <c r="Z99" s="60" t="n"/>
      <c r="AA99" s="73" t="n"/>
      <c r="AB99" s="74" t="inlineStr">
        <is>
          <t>TCRA tenders (web page)</t>
        </is>
      </c>
      <c r="AC99" s="74" t="inlineStr">
        <is>
          <t>Check</t>
        </is>
      </c>
      <c r="AD99" s="74" t="inlineStr">
        <is>
          <t>Auto (TCRA tenders): Deadline not shown on the source page – open the link and read the notice</t>
        </is>
      </c>
      <c r="AE99" s="67">
        <f>IF(ISNUMBER(Q99),ROUNDDOWN(Q99-NOW(),1),"")</f>
        <v/>
      </c>
      <c r="AF99" s="59">
        <f>IF(OR(A99="",AE99=""),"",IF(NOT(OR(W99="Watching",W99="Preparing")),"",IF(AE99&lt;0,"PASSED",IF(AND(AE99&lt;=7,W99&lt;&gt;"Preparing"),"RED",IF(AE99&lt;=14,"AMBER","GREEN")))))</f>
        <v/>
      </c>
      <c r="AG99" s="59">
        <f>IF(OR(A99="",NOT(OR(W99="Watching",W99="Preparing"))),"",IF(AND(ISNUMBER(M99),M99&gt;=3000000000),"YES – ≥ TZS 3bn",IF(AND(ISNUMBER(AE99),AE99&gt;=0,AE99&lt;10,V99=""),"YES – &lt;10 days","")))</f>
        <v/>
      </c>
      <c r="AH99" s="68" t="n"/>
      <c r="AI99" s="74" t="inlineStr">
        <is>
          <t>Read the notice and decide with the QS Director whether to pursue</t>
        </is>
      </c>
      <c r="AJ99" s="74" t="inlineStr">
        <is>
          <t>Auto-scan</t>
        </is>
      </c>
      <c r="AK99" s="74" t="inlineStr">
        <is>
          <t>WEB:tcra_tenders:020hq202223w05</t>
        </is>
      </c>
      <c r="AL99" s="59">
        <f>IF(AND(OR(W99="Watching",W99="Preparing"),ISNUMBER(Q99)),IF(AND(Q99&gt;='Friday Summary'!$C$4,Q99&lt;='Friday Summary'!$C$4+14),Q99+ROW()/1000000,""),"")</f>
        <v/>
      </c>
    </row>
    <row r="100" ht="15" customHeight="1" s="51">
      <c r="A100" s="59">
        <f>IF(B100="","","OP-"&amp;TEXT(ROW()-4,"000"))</f>
        <v/>
      </c>
      <c r="B100" s="70" t="inlineStr">
        <is>
          <t>(not shown)</t>
        </is>
      </c>
      <c r="C100" s="71" t="n">
        <v>46305</v>
      </c>
      <c r="D100" s="70" t="inlineStr">
        <is>
          <t>client site</t>
        </is>
      </c>
      <c r="E100" s="70" t="inlineStr">
        <is>
          <t>https://www.azaniabank.co.tz/tenders</t>
        </is>
      </c>
      <c r="F100" s="70" t="inlineStr">
        <is>
          <t>Azania Bank</t>
        </is>
      </c>
      <c r="G100" s="70" t="inlineStr">
        <is>
          <t>bank</t>
        </is>
      </c>
      <c r="H100" s="70" t="inlineStr">
        <is>
          <t>Tender Document General Office Stationary(Feb 2026)</t>
        </is>
      </c>
      <c r="I100" s="70" t="inlineStr">
        <is>
          <t>From client site notice (1 lot) – read the tender document</t>
        </is>
      </c>
      <c r="J100" s="70" t="inlineStr">
        <is>
          <t>Not stated – read the notice</t>
        </is>
      </c>
      <c r="K100" s="70" t="inlineStr">
        <is>
          <t>building</t>
        </is>
      </c>
      <c r="L100" s="70" t="inlineStr">
        <is>
          <t>See tender document</t>
        </is>
      </c>
      <c r="M100" s="62" t="n"/>
      <c r="N100" s="70" t="inlineStr">
        <is>
          <t>unknown</t>
        </is>
      </c>
      <c r="O100" s="71" t="inlineStr">
        <is>
          <t>See tender document</t>
        </is>
      </c>
      <c r="P100" s="71" t="inlineStr">
        <is>
          <t>See tender document</t>
        </is>
      </c>
      <c r="Q100" s="72" t="n"/>
      <c r="R100" s="70" t="inlineStr">
        <is>
          <t>See tender document</t>
        </is>
      </c>
      <c r="S100" s="70" t="inlineStr">
        <is>
          <t>N</t>
        </is>
      </c>
      <c r="T100" s="64">
        <f>IF(A100="","",IFERROR(INDEX('Bid-NoBid'!$T:$T,MATCH(A100,'Bid-NoBid'!$A:$A,0)),""))</f>
        <v/>
      </c>
      <c r="U100" s="59">
        <f>IF(A100="","",IFERROR(IF(OR(INDEX('Bid-NoBid'!$U:$U,MATCH(A100,'Bid-NoBid'!$A:$A,0))="",LEFT(INDEX('Bid-NoBid'!$U:$U,MATCH(A100,'Bid-NoBid'!$A:$A,0)),10)="Incomplete"),"Screen: "&amp;AC100,INDEX('Bid-NoBid'!$U:$U,MATCH(A100,'Bid-NoBid'!$A:$A,0))),"Screen: "&amp;AC100))</f>
        <v/>
      </c>
      <c r="V100" s="60" t="n"/>
      <c r="W100" s="70" t="inlineStr">
        <is>
          <t>Watching</t>
        </is>
      </c>
      <c r="X100" s="70" t="inlineStr">
        <is>
          <t>Frank</t>
        </is>
      </c>
      <c r="Y100" s="60" t="n"/>
      <c r="Z100" s="60" t="n"/>
      <c r="AA100" s="73" t="n"/>
      <c r="AB100" s="74" t="inlineStr">
        <is>
          <t>Azania Bank tenders (web page)</t>
        </is>
      </c>
      <c r="AC100" s="74" t="inlineStr">
        <is>
          <t>Check</t>
        </is>
      </c>
      <c r="AD100" s="74" t="inlineStr">
        <is>
          <t>Auto (Azania Bank tenders): Deadline not shown on the source page – open the link and read the notice</t>
        </is>
      </c>
      <c r="AE100" s="67">
        <f>IF(ISNUMBER(Q100),ROUNDDOWN(Q100-NOW(),1),"")</f>
        <v/>
      </c>
      <c r="AF100" s="59">
        <f>IF(OR(A100="",AE100=""),"",IF(NOT(OR(W100="Watching",W100="Preparing")),"",IF(AE100&lt;0,"PASSED",IF(AND(AE100&lt;=7,W100&lt;&gt;"Preparing"),"RED",IF(AE100&lt;=14,"AMBER","GREEN")))))</f>
        <v/>
      </c>
      <c r="AG100" s="59">
        <f>IF(OR(A100="",NOT(OR(W100="Watching",W100="Preparing"))),"",IF(AND(ISNUMBER(M100),M100&gt;=3000000000),"YES – ≥ TZS 3bn",IF(AND(ISNUMBER(AE100),AE100&gt;=0,AE100&lt;10,V100=""),"YES – &lt;10 days","")))</f>
        <v/>
      </c>
      <c r="AH100" s="68" t="n"/>
      <c r="AI100" s="74" t="inlineStr">
        <is>
          <t>Read the notice and decide with the QS Director whether to pursue</t>
        </is>
      </c>
      <c r="AJ100" s="74" t="inlineStr">
        <is>
          <t>Auto-scan</t>
        </is>
      </c>
      <c r="AK100" s="74" t="inlineStr">
        <is>
          <t>WEB:azania_bank_tenders:10518268ac56a68d</t>
        </is>
      </c>
      <c r="AL100" s="59">
        <f>IF(AND(OR(W100="Watching",W100="Preparing"),ISNUMBER(Q100)),IF(AND(Q100&gt;='Friday Summary'!$C$4,Q100&lt;='Friday Summary'!$C$4+14),Q100+ROW()/1000000,""),"")</f>
        <v/>
      </c>
    </row>
    <row r="101" ht="15" customHeight="1" s="51">
      <c r="A101" s="59">
        <f>IF(B101="","","OP-"&amp;TEXT(ROW()-4,"000"))</f>
        <v/>
      </c>
      <c r="B101" s="70" t="inlineStr">
        <is>
          <t>(not shown)</t>
        </is>
      </c>
      <c r="C101" s="71" t="n">
        <v>46305</v>
      </c>
      <c r="D101" s="70" t="inlineStr">
        <is>
          <t>client site</t>
        </is>
      </c>
      <c r="E101" s="70" t="inlineStr">
        <is>
          <t>https://www.azaniabank.co.tz/tenders</t>
        </is>
      </c>
      <c r="F101" s="70" t="inlineStr">
        <is>
          <t>Azania Bank</t>
        </is>
      </c>
      <c r="G101" s="70" t="inlineStr">
        <is>
          <t>bank</t>
        </is>
      </c>
      <c r="H101" s="70" t="inlineStr">
        <is>
          <t>Call Center System with CRM Capabilities View Tender View Notice View Clarification</t>
        </is>
      </c>
      <c r="I101" s="70" t="inlineStr">
        <is>
          <t>From client site notice (1 lot) – read the tender document</t>
        </is>
      </c>
      <c r="J101" s="70" t="inlineStr">
        <is>
          <t>Not stated – read the notice</t>
        </is>
      </c>
      <c r="K101" s="70" t="inlineStr">
        <is>
          <t>building</t>
        </is>
      </c>
      <c r="L101" s="70" t="inlineStr">
        <is>
          <t>See tender document</t>
        </is>
      </c>
      <c r="M101" s="62" t="n"/>
      <c r="N101" s="70" t="inlineStr">
        <is>
          <t>unknown</t>
        </is>
      </c>
      <c r="O101" s="71" t="inlineStr">
        <is>
          <t>See tender document</t>
        </is>
      </c>
      <c r="P101" s="71" t="inlineStr">
        <is>
          <t>See tender document</t>
        </is>
      </c>
      <c r="Q101" s="72" t="n"/>
      <c r="R101" s="70" t="inlineStr">
        <is>
          <t>See tender document</t>
        </is>
      </c>
      <c r="S101" s="70" t="inlineStr">
        <is>
          <t>N</t>
        </is>
      </c>
      <c r="T101" s="64">
        <f>IF(A101="","",IFERROR(INDEX('Bid-NoBid'!$T:$T,MATCH(A101,'Bid-NoBid'!$A:$A,0)),""))</f>
        <v/>
      </c>
      <c r="U101" s="59">
        <f>IF(A101="","",IFERROR(IF(OR(INDEX('Bid-NoBid'!$U:$U,MATCH(A101,'Bid-NoBid'!$A:$A,0))="",LEFT(INDEX('Bid-NoBid'!$U:$U,MATCH(A101,'Bid-NoBid'!$A:$A,0)),10)="Incomplete"),"Screen: "&amp;AC101,INDEX('Bid-NoBid'!$U:$U,MATCH(A101,'Bid-NoBid'!$A:$A,0))),"Screen: "&amp;AC101))</f>
        <v/>
      </c>
      <c r="V101" s="60" t="n"/>
      <c r="W101" s="70" t="inlineStr">
        <is>
          <t>Watching</t>
        </is>
      </c>
      <c r="X101" s="70" t="inlineStr">
        <is>
          <t>Frank</t>
        </is>
      </c>
      <c r="Y101" s="60" t="n"/>
      <c r="Z101" s="60" t="n"/>
      <c r="AA101" s="73" t="n"/>
      <c r="AB101" s="74" t="inlineStr">
        <is>
          <t>Azania Bank tenders (web page)</t>
        </is>
      </c>
      <c r="AC101" s="74" t="inlineStr">
        <is>
          <t>Check</t>
        </is>
      </c>
      <c r="AD101" s="74" t="inlineStr">
        <is>
          <t>Auto (Azania Bank tenders): Deadline not shown on the source page – open the link and read the notice</t>
        </is>
      </c>
      <c r="AE101" s="67">
        <f>IF(ISNUMBER(Q101),ROUNDDOWN(Q101-NOW(),1),"")</f>
        <v/>
      </c>
      <c r="AF101" s="59">
        <f>IF(OR(A101="",AE101=""),"",IF(NOT(OR(W101="Watching",W101="Preparing")),"",IF(AE101&lt;0,"PASSED",IF(AND(AE101&lt;=7,W101&lt;&gt;"Preparing"),"RED",IF(AE101&lt;=14,"AMBER","GREEN")))))</f>
        <v/>
      </c>
      <c r="AG101" s="59">
        <f>IF(OR(A101="",NOT(OR(W101="Watching",W101="Preparing"))),"",IF(AND(ISNUMBER(M101),M101&gt;=3000000000),"YES – ≥ TZS 3bn",IF(AND(ISNUMBER(AE101),AE101&gt;=0,AE101&lt;10,V101=""),"YES – &lt;10 days","")))</f>
        <v/>
      </c>
      <c r="AH101" s="68" t="n"/>
      <c r="AI101" s="74" t="inlineStr">
        <is>
          <t>Read the notice and decide with the QS Director whether to pursue</t>
        </is>
      </c>
      <c r="AJ101" s="74" t="inlineStr">
        <is>
          <t>Auto-scan</t>
        </is>
      </c>
      <c r="AK101" s="74" t="inlineStr">
        <is>
          <t>WEB:azania_bank_tenders:d11dd6cf8d033172</t>
        </is>
      </c>
      <c r="AL101" s="59">
        <f>IF(AND(OR(W101="Watching",W101="Preparing"),ISNUMBER(Q101)),IF(AND(Q101&gt;='Friday Summary'!$C$4,Q101&lt;='Friday Summary'!$C$4+14),Q101+ROW()/1000000,""),"")</f>
        <v/>
      </c>
    </row>
    <row r="102" ht="15" customHeight="1" s="51">
      <c r="A102" s="59">
        <f>IF(B102="","","OP-"&amp;TEXT(ROW()-4,"000"))</f>
        <v/>
      </c>
      <c r="B102" s="70" t="inlineStr">
        <is>
          <t>(not shown)</t>
        </is>
      </c>
      <c r="C102" s="71" t="n">
        <v>46305</v>
      </c>
      <c r="D102" s="70" t="inlineStr">
        <is>
          <t>client site</t>
        </is>
      </c>
      <c r="E102" s="70" t="inlineStr">
        <is>
          <t>https://www.azaniabank.co.tz/tenders</t>
        </is>
      </c>
      <c r="F102" s="70" t="inlineStr">
        <is>
          <t>Azania Bank</t>
        </is>
      </c>
      <c r="G102" s="70" t="inlineStr">
        <is>
          <t>bank</t>
        </is>
      </c>
      <c r="H102" s="70" t="inlineStr">
        <is>
          <t>Pre-qualification for Contractors for Remodeling, Fit-out, Refurbishment Works for Bank Branches (May 2025)</t>
        </is>
      </c>
      <c r="I102" s="70" t="inlineStr">
        <is>
          <t>From client site notice (1 lot) – read the tender document</t>
        </is>
      </c>
      <c r="J102" s="70" t="inlineStr">
        <is>
          <t>Not stated – read the notice</t>
        </is>
      </c>
      <c r="K102" s="70" t="inlineStr">
        <is>
          <t>fit-out</t>
        </is>
      </c>
      <c r="L102" s="70" t="inlineStr">
        <is>
          <t>See tender document</t>
        </is>
      </c>
      <c r="M102" s="62" t="n"/>
      <c r="N102" s="70" t="inlineStr">
        <is>
          <t>unknown</t>
        </is>
      </c>
      <c r="O102" s="71" t="inlineStr">
        <is>
          <t>See tender document</t>
        </is>
      </c>
      <c r="P102" s="71" t="inlineStr">
        <is>
          <t>See tender document</t>
        </is>
      </c>
      <c r="Q102" s="72" t="n"/>
      <c r="R102" s="70" t="inlineStr">
        <is>
          <t>See tender document</t>
        </is>
      </c>
      <c r="S102" s="70" t="inlineStr">
        <is>
          <t>N</t>
        </is>
      </c>
      <c r="T102" s="64">
        <f>IF(A102="","",IFERROR(INDEX('Bid-NoBid'!$T:$T,MATCH(A102,'Bid-NoBid'!$A:$A,0)),""))</f>
        <v/>
      </c>
      <c r="U102" s="59">
        <f>IF(A102="","",IFERROR(IF(OR(INDEX('Bid-NoBid'!$U:$U,MATCH(A102,'Bid-NoBid'!$A:$A,0))="",LEFT(INDEX('Bid-NoBid'!$U:$U,MATCH(A102,'Bid-NoBid'!$A:$A,0)),10)="Incomplete"),"Screen: "&amp;AC102,INDEX('Bid-NoBid'!$U:$U,MATCH(A102,'Bid-NoBid'!$A:$A,0))),"Screen: "&amp;AC102))</f>
        <v/>
      </c>
      <c r="V102" s="60" t="n"/>
      <c r="W102" s="70" t="inlineStr">
        <is>
          <t>Watching</t>
        </is>
      </c>
      <c r="X102" s="70" t="inlineStr">
        <is>
          <t>Frank</t>
        </is>
      </c>
      <c r="Y102" s="60" t="n"/>
      <c r="Z102" s="60" t="n"/>
      <c r="AA102" s="73" t="n"/>
      <c r="AB102" s="74" t="inlineStr">
        <is>
          <t>Azania Bank tenders (web page)</t>
        </is>
      </c>
      <c r="AC102" s="74" t="inlineStr">
        <is>
          <t>Check</t>
        </is>
      </c>
      <c r="AD102" s="74" t="inlineStr">
        <is>
          <t>Auto (Azania Bank tenders): Deadline not shown on the source page – open the link and read the notice</t>
        </is>
      </c>
      <c r="AE102" s="67">
        <f>IF(ISNUMBER(Q102),ROUNDDOWN(Q102-NOW(),1),"")</f>
        <v/>
      </c>
      <c r="AF102" s="59">
        <f>IF(OR(A102="",AE102=""),"",IF(NOT(OR(W102="Watching",W102="Preparing")),"",IF(AE102&lt;0,"PASSED",IF(AND(AE102&lt;=7,W102&lt;&gt;"Preparing"),"RED",IF(AE102&lt;=14,"AMBER","GREEN")))))</f>
        <v/>
      </c>
      <c r="AG102" s="59">
        <f>IF(OR(A102="",NOT(OR(W102="Watching",W102="Preparing"))),"",IF(AND(ISNUMBER(M102),M102&gt;=3000000000),"YES – ≥ TZS 3bn",IF(AND(ISNUMBER(AE102),AE102&gt;=0,AE102&lt;10,V102=""),"YES – &lt;10 days","")))</f>
        <v/>
      </c>
      <c r="AH102" s="68" t="n"/>
      <c r="AI102" s="74" t="inlineStr">
        <is>
          <t>Read the notice and decide with the QS Director whether to pursue</t>
        </is>
      </c>
      <c r="AJ102" s="74" t="inlineStr">
        <is>
          <t>Auto-scan</t>
        </is>
      </c>
      <c r="AK102" s="74" t="inlineStr">
        <is>
          <t>WEB:azania_bank_tenders:49ead9be51bae7b0</t>
        </is>
      </c>
      <c r="AL102" s="59">
        <f>IF(AND(OR(W102="Watching",W102="Preparing"),ISNUMBER(Q102)),IF(AND(Q102&gt;='Friday Summary'!$C$4,Q102&lt;='Friday Summary'!$C$4+14),Q102+ROW()/1000000,""),"")</f>
        <v/>
      </c>
    </row>
    <row r="103" ht="15" customHeight="1" s="51">
      <c r="A103" s="59">
        <f>IF(B103="","","OP-"&amp;TEXT(ROW()-4,"000"))</f>
        <v/>
      </c>
      <c r="B103" s="70" t="inlineStr">
        <is>
          <t>(not shown)</t>
        </is>
      </c>
      <c r="C103" s="71" t="n">
        <v>46305</v>
      </c>
      <c r="D103" s="70" t="inlineStr">
        <is>
          <t>client site</t>
        </is>
      </c>
      <c r="E103" s="70" t="inlineStr">
        <is>
          <t>https://azaniabank.co.tz/wp-content/uploads/2022/05/PROVISION-OF-REFURBISHMENT-RENOVATION-REMODELING-OFFICE-PARTITIONING-AND-FIT-OUT-WORKS-OF-BANK-PREMISES-2022.-.pdf</t>
        </is>
      </c>
      <c r="F103" s="70" t="inlineStr">
        <is>
          <t>Azania Bank</t>
        </is>
      </c>
      <c r="G103" s="70" t="inlineStr">
        <is>
          <t>bank</t>
        </is>
      </c>
      <c r="H103" s="70" t="inlineStr">
        <is>
          <t>Pre-Qualification Document: Provision of Refurbishment, Renovation, Remodelling, Office Partitioning and Fit-Out Works of Bank Premises</t>
        </is>
      </c>
      <c r="I103" s="70" t="inlineStr">
        <is>
          <t>From client site notice (1 lot) – read the tender document</t>
        </is>
      </c>
      <c r="J103" s="70" t="inlineStr">
        <is>
          <t>Not stated – read the notice</t>
        </is>
      </c>
      <c r="K103" s="70" t="inlineStr">
        <is>
          <t>fit-out</t>
        </is>
      </c>
      <c r="L103" s="70" t="inlineStr">
        <is>
          <t>See tender document</t>
        </is>
      </c>
      <c r="M103" s="62" t="n"/>
      <c r="N103" s="70" t="inlineStr">
        <is>
          <t>unknown</t>
        </is>
      </c>
      <c r="O103" s="71" t="inlineStr">
        <is>
          <t>See tender document</t>
        </is>
      </c>
      <c r="P103" s="71" t="inlineStr">
        <is>
          <t>See tender document</t>
        </is>
      </c>
      <c r="Q103" s="72" t="n"/>
      <c r="R103" s="70" t="inlineStr">
        <is>
          <t>See tender document</t>
        </is>
      </c>
      <c r="S103" s="70" t="inlineStr">
        <is>
          <t>N</t>
        </is>
      </c>
      <c r="T103" s="64">
        <f>IF(A103="","",IFERROR(INDEX('Bid-NoBid'!$T:$T,MATCH(A103,'Bid-NoBid'!$A:$A,0)),""))</f>
        <v/>
      </c>
      <c r="U103" s="59">
        <f>IF(A103="","",IFERROR(IF(OR(INDEX('Bid-NoBid'!$U:$U,MATCH(A103,'Bid-NoBid'!$A:$A,0))="",LEFT(INDEX('Bid-NoBid'!$U:$U,MATCH(A103,'Bid-NoBid'!$A:$A,0)),10)="Incomplete"),"Screen: "&amp;AC103,INDEX('Bid-NoBid'!$U:$U,MATCH(A103,'Bid-NoBid'!$A:$A,0))),"Screen: "&amp;AC103))</f>
        <v/>
      </c>
      <c r="V103" s="60" t="n"/>
      <c r="W103" s="70" t="inlineStr">
        <is>
          <t>Watching</t>
        </is>
      </c>
      <c r="X103" s="70" t="inlineStr">
        <is>
          <t>Frank</t>
        </is>
      </c>
      <c r="Y103" s="60" t="n"/>
      <c r="Z103" s="60" t="n"/>
      <c r="AA103" s="73" t="n"/>
      <c r="AB103" s="74" t="inlineStr">
        <is>
          <t>Azania Bank tenders (web page)</t>
        </is>
      </c>
      <c r="AC103" s="74" t="inlineStr">
        <is>
          <t>Check</t>
        </is>
      </c>
      <c r="AD103" s="74" t="inlineStr">
        <is>
          <t>Auto (Azania Bank tenders): Deadline not shown on the source page – open the link and read the notice</t>
        </is>
      </c>
      <c r="AE103" s="67">
        <f>IF(ISNUMBER(Q103),ROUNDDOWN(Q103-NOW(),1),"")</f>
        <v/>
      </c>
      <c r="AF103" s="59">
        <f>IF(OR(A103="",AE103=""),"",IF(NOT(OR(W103="Watching",W103="Preparing")),"",IF(AE103&lt;0,"PASSED",IF(AND(AE103&lt;=7,W103&lt;&gt;"Preparing"),"RED",IF(AE103&lt;=14,"AMBER","GREEN")))))</f>
        <v/>
      </c>
      <c r="AG103" s="59">
        <f>IF(OR(A103="",NOT(OR(W103="Watching",W103="Preparing"))),"",IF(AND(ISNUMBER(M103),M103&gt;=3000000000),"YES – ≥ TZS 3bn",IF(AND(ISNUMBER(AE103),AE103&gt;=0,AE103&lt;10,V103=""),"YES – &lt;10 days","")))</f>
        <v/>
      </c>
      <c r="AH103" s="68" t="n"/>
      <c r="AI103" s="74" t="inlineStr">
        <is>
          <t>Read the notice and decide with the QS Director whether to pursue</t>
        </is>
      </c>
      <c r="AJ103" s="74" t="inlineStr">
        <is>
          <t>Auto-scan</t>
        </is>
      </c>
      <c r="AK103" s="74" t="inlineStr">
        <is>
          <t>WEB:azania_bank_tenders:6006675b441973b9</t>
        </is>
      </c>
      <c r="AL103" s="59">
        <f>IF(AND(OR(W103="Watching",W103="Preparing"),ISNUMBER(Q103)),IF(AND(Q103&gt;='Friday Summary'!$C$4,Q103&lt;='Friday Summary'!$C$4+14),Q103+ROW()/1000000,""),"")</f>
        <v/>
      </c>
    </row>
    <row r="104" ht="15" customHeight="1" s="51">
      <c r="A104" s="59">
        <f>IF(B104="","","OP-"&amp;TEXT(ROW()-4,"000"))</f>
        <v/>
      </c>
      <c r="B104" s="70" t="inlineStr">
        <is>
          <t>(not shown)</t>
        </is>
      </c>
      <c r="C104" s="71" t="n">
        <v>46305</v>
      </c>
      <c r="D104" s="70" t="inlineStr">
        <is>
          <t>client site</t>
        </is>
      </c>
      <c r="E104" s="70" t="inlineStr">
        <is>
          <t>https://www.sua.ac.tz/zabuni</t>
        </is>
      </c>
      <c r="F104" s="70" t="inlineStr">
        <is>
          <t>Sokoine University of Agriculture (SUA)</t>
        </is>
      </c>
      <c r="G104" s="70" t="inlineStr">
        <is>
          <t>government</t>
        </is>
      </c>
      <c r="H104" s="70" t="inlineStr">
        <is>
          <t>TANGAZO LA ZABUNI:HUDUMA YA KUWAPATA MAFUNDI WA KUFANYA UKARABATI WA MAJENGO MBALIMBALI YA OFISI, NYUMBA ZA WANYAMA NA UTAFITI KAMPASI KUU YA SUA</t>
        </is>
      </c>
      <c r="I104" s="70" t="inlineStr">
        <is>
          <t>From client site notice (1 lot) – read the tender document</t>
        </is>
      </c>
      <c r="J104" s="70" t="inlineStr">
        <is>
          <t>Morogoro (from client's office – confirm site)</t>
        </is>
      </c>
      <c r="K104" s="70" t="inlineStr">
        <is>
          <t>renovation</t>
        </is>
      </c>
      <c r="L104" s="70" t="inlineStr">
        <is>
          <t>See tender document</t>
        </is>
      </c>
      <c r="M104" s="62" t="n"/>
      <c r="N104" s="70" t="inlineStr">
        <is>
          <t>unknown</t>
        </is>
      </c>
      <c r="O104" s="71" t="inlineStr">
        <is>
          <t>See tender document</t>
        </is>
      </c>
      <c r="P104" s="71" t="inlineStr">
        <is>
          <t>See tender document</t>
        </is>
      </c>
      <c r="Q104" s="72" t="n"/>
      <c r="R104" s="70" t="inlineStr">
        <is>
          <t>See tender document</t>
        </is>
      </c>
      <c r="S104" s="70" t="inlineStr">
        <is>
          <t>N</t>
        </is>
      </c>
      <c r="T104" s="64">
        <f>IF(A104="","",IFERROR(INDEX('Bid-NoBid'!$T:$T,MATCH(A104,'Bid-NoBid'!$A:$A,0)),""))</f>
        <v/>
      </c>
      <c r="U104" s="59">
        <f>IF(A104="","",IFERROR(IF(OR(INDEX('Bid-NoBid'!$U:$U,MATCH(A104,'Bid-NoBid'!$A:$A,0))="",LEFT(INDEX('Bid-NoBid'!$U:$U,MATCH(A104,'Bid-NoBid'!$A:$A,0)),10)="Incomplete"),"Screen: "&amp;AC104,INDEX('Bid-NoBid'!$U:$U,MATCH(A104,'Bid-NoBid'!$A:$A,0))),"Screen: "&amp;AC104))</f>
        <v/>
      </c>
      <c r="V104" s="60" t="n"/>
      <c r="W104" s="70" t="inlineStr">
        <is>
          <t>Watching</t>
        </is>
      </c>
      <c r="X104" s="70" t="inlineStr">
        <is>
          <t>Frank</t>
        </is>
      </c>
      <c r="Y104" s="60" t="n"/>
      <c r="Z104" s="60" t="n"/>
      <c r="AA104" s="73" t="n"/>
      <c r="AB104" s="74" t="inlineStr">
        <is>
          <t>SUA tenders (zabuni) (web page)</t>
        </is>
      </c>
      <c r="AC104" s="74" t="inlineStr">
        <is>
          <t>Check</t>
        </is>
      </c>
      <c r="AD104" s="74" t="inlineStr">
        <is>
          <t>Auto (SUA tenders): Deadline not shown on the source page – open the link and read the notice</t>
        </is>
      </c>
      <c r="AE104" s="67">
        <f>IF(ISNUMBER(Q104),ROUNDDOWN(Q104-NOW(),1),"")</f>
        <v/>
      </c>
      <c r="AF104" s="59">
        <f>IF(OR(A104="",AE104=""),"",IF(NOT(OR(W104="Watching",W104="Preparing")),"",IF(AE104&lt;0,"PASSED",IF(AND(AE104&lt;=7,W104&lt;&gt;"Preparing"),"RED",IF(AE104&lt;=14,"AMBER","GREEN")))))</f>
        <v/>
      </c>
      <c r="AG104" s="59">
        <f>IF(OR(A104="",NOT(OR(W104="Watching",W104="Preparing"))),"",IF(AND(ISNUMBER(M104),M104&gt;=3000000000),"YES – ≥ TZS 3bn",IF(AND(ISNUMBER(AE104),AE104&gt;=0,AE104&lt;10,V104=""),"YES – &lt;10 days","")))</f>
        <v/>
      </c>
      <c r="AH104" s="68" t="n"/>
      <c r="AI104" s="74" t="inlineStr">
        <is>
          <t>Read the notice and decide with the QS Director whether to pursue</t>
        </is>
      </c>
      <c r="AJ104" s="74" t="inlineStr">
        <is>
          <t>Auto-scan</t>
        </is>
      </c>
      <c r="AK104" s="74" t="inlineStr">
        <is>
          <t>WEB:sua_tenders_zabuni:089c72bd6abcbeb5</t>
        </is>
      </c>
      <c r="AL104" s="59">
        <f>IF(AND(OR(W104="Watching",W104="Preparing"),ISNUMBER(Q104)),IF(AND(Q104&gt;='Friday Summary'!$C$4,Q104&lt;='Friday Summary'!$C$4+14),Q104+ROW()/1000000,""),"")</f>
        <v/>
      </c>
    </row>
    <row r="105" ht="15" customHeight="1" s="51">
      <c r="A105" s="59">
        <f>IF(B105="","","OP-"&amp;TEXT(ROW()-4,"000"))</f>
        <v/>
      </c>
      <c r="B105" s="70" t="inlineStr">
        <is>
          <t>PA/012/2019-2020/HQ/W/22</t>
        </is>
      </c>
      <c r="C105" s="71" t="n">
        <v>46305</v>
      </c>
      <c r="D105" s="70" t="inlineStr">
        <is>
          <t>client site</t>
        </is>
      </c>
      <c r="E105" s="70" t="inlineStr">
        <is>
          <t>https://www.sua.ac.tz/zabuni</t>
        </is>
      </c>
      <c r="F105" s="70" t="inlineStr">
        <is>
          <t>Sokoine University of Agriculture (SUA)</t>
        </is>
      </c>
      <c r="G105" s="70" t="inlineStr">
        <is>
          <t>government</t>
        </is>
      </c>
      <c r="H105" s="70" t="inlineStr">
        <is>
          <t>5.Kotesheni zote katika uhalisia wake ( original ) pamoja na nakala [ moja ] zinazofanana, zilizojazwa kwa usahihi na kuwekwa kwenye bahasha isiyo na maandishi juu na kuandikwa “Kotesheni Na. PA/012/2019-2020/HQ/W/22, Kundi Na….., ‘’HUDUMA YA KUWAPATA MAFUNDI WA KUFANYA UKARABATI WA MAJENGO MBALIMBA</t>
        </is>
      </c>
      <c r="I105" s="70" t="inlineStr">
        <is>
          <t>From client site notice (1 lot) – read the tender document</t>
        </is>
      </c>
      <c r="J105" s="70" t="inlineStr">
        <is>
          <t>Morogoro (from client's office – confirm site)</t>
        </is>
      </c>
      <c r="K105" s="70" t="inlineStr">
        <is>
          <t>renovation</t>
        </is>
      </c>
      <c r="L105" s="70" t="inlineStr">
        <is>
          <t>See tender document</t>
        </is>
      </c>
      <c r="M105" s="62" t="n"/>
      <c r="N105" s="70" t="inlineStr">
        <is>
          <t>unknown</t>
        </is>
      </c>
      <c r="O105" s="71" t="inlineStr">
        <is>
          <t>See tender document</t>
        </is>
      </c>
      <c r="P105" s="71" t="inlineStr">
        <is>
          <t>See tender document</t>
        </is>
      </c>
      <c r="Q105" s="72" t="n"/>
      <c r="R105" s="70" t="inlineStr">
        <is>
          <t>See tender document</t>
        </is>
      </c>
      <c r="S105" s="70" t="inlineStr">
        <is>
          <t>N</t>
        </is>
      </c>
      <c r="T105" s="64">
        <f>IF(A105="","",IFERROR(INDEX('Bid-NoBid'!$T:$T,MATCH(A105,'Bid-NoBid'!$A:$A,0)),""))</f>
        <v/>
      </c>
      <c r="U105" s="59">
        <f>IF(A105="","",IFERROR(IF(OR(INDEX('Bid-NoBid'!$U:$U,MATCH(A105,'Bid-NoBid'!$A:$A,0))="",LEFT(INDEX('Bid-NoBid'!$U:$U,MATCH(A105,'Bid-NoBid'!$A:$A,0)),10)="Incomplete"),"Screen: "&amp;AC105,INDEX('Bid-NoBid'!$U:$U,MATCH(A105,'Bid-NoBid'!$A:$A,0))),"Screen: "&amp;AC105))</f>
        <v/>
      </c>
      <c r="V105" s="60" t="n"/>
      <c r="W105" s="70" t="inlineStr">
        <is>
          <t>Watching</t>
        </is>
      </c>
      <c r="X105" s="70" t="inlineStr">
        <is>
          <t>Frank</t>
        </is>
      </c>
      <c r="Y105" s="60" t="n"/>
      <c r="Z105" s="60" t="n"/>
      <c r="AA105" s="73" t="n"/>
      <c r="AB105" s="74" t="inlineStr">
        <is>
          <t>SUA tenders (zabuni) (web page)</t>
        </is>
      </c>
      <c r="AC105" s="74" t="inlineStr">
        <is>
          <t>Check</t>
        </is>
      </c>
      <c r="AD105" s="74" t="inlineStr">
        <is>
          <t>Auto (SUA tenders): Deadline not shown on the source page – open the link and read the notice</t>
        </is>
      </c>
      <c r="AE105" s="67">
        <f>IF(ISNUMBER(Q105),ROUNDDOWN(Q105-NOW(),1),"")</f>
        <v/>
      </c>
      <c r="AF105" s="59">
        <f>IF(OR(A105="",AE105=""),"",IF(NOT(OR(W105="Watching",W105="Preparing")),"",IF(AE105&lt;0,"PASSED",IF(AND(AE105&lt;=7,W105&lt;&gt;"Preparing"),"RED",IF(AE105&lt;=14,"AMBER","GREEN")))))</f>
        <v/>
      </c>
      <c r="AG105" s="59">
        <f>IF(OR(A105="",NOT(OR(W105="Watching",W105="Preparing"))),"",IF(AND(ISNUMBER(M105),M105&gt;=3000000000),"YES – ≥ TZS 3bn",IF(AND(ISNUMBER(AE105),AE105&gt;=0,AE105&lt;10,V105=""),"YES – &lt;10 days","")))</f>
        <v/>
      </c>
      <c r="AH105" s="68" t="n"/>
      <c r="AI105" s="74" t="inlineStr">
        <is>
          <t>Read the notice and decide with the QS Director whether to pursue</t>
        </is>
      </c>
      <c r="AJ105" s="74" t="inlineStr">
        <is>
          <t>Auto-scan</t>
        </is>
      </c>
      <c r="AK105" s="74" t="inlineStr">
        <is>
          <t>WEB:sua_tenders_zabuni:pa01220192020hqw22</t>
        </is>
      </c>
      <c r="AL105" s="59">
        <f>IF(AND(OR(W105="Watching",W105="Preparing"),ISNUMBER(Q105)),IF(AND(Q105&gt;='Friday Summary'!$C$4,Q105&lt;='Friday Summary'!$C$4+14),Q105+ROW()/1000000,""),"")</f>
        <v/>
      </c>
    </row>
    <row r="106" ht="15" customHeight="1" s="51">
      <c r="A106" s="59">
        <f>IF(B106="","","OP-"&amp;TEXT(ROW()-4,"000"))</f>
        <v/>
      </c>
      <c r="B106" s="70" t="inlineStr">
        <is>
          <t>(not shown)</t>
        </is>
      </c>
      <c r="C106" s="71" t="n">
        <v>46305</v>
      </c>
      <c r="D106" s="70" t="inlineStr">
        <is>
          <t>aggregator</t>
        </is>
      </c>
      <c r="E106" s="70" t="inlineStr">
        <is>
          <t>https://www.biddetail.com/tanzania-tenders/construction-tenders</t>
        </is>
      </c>
      <c r="F106" s="70" t="inlineStr">
        <is>
          <t>See notice</t>
        </is>
      </c>
      <c r="G106" s="70" t="inlineStr">
        <is>
          <t>government</t>
        </is>
      </c>
      <c r="H106" s="70" t="inlineStr">
        <is>
          <t>Construction Tenders</t>
        </is>
      </c>
      <c r="I106" s="70" t="inlineStr">
        <is>
          <t>From aggregator notice (1 lot) – read the tender document</t>
        </is>
      </c>
      <c r="J106" s="70" t="inlineStr">
        <is>
          <t>Not stated – read the notice</t>
        </is>
      </c>
      <c r="K106" s="70" t="inlineStr">
        <is>
          <t>building</t>
        </is>
      </c>
      <c r="L106" s="70" t="inlineStr">
        <is>
          <t>See tender document</t>
        </is>
      </c>
      <c r="M106" s="62" t="n"/>
      <c r="N106" s="70" t="inlineStr">
        <is>
          <t>unknown</t>
        </is>
      </c>
      <c r="O106" s="71" t="inlineStr">
        <is>
          <t>See tender document</t>
        </is>
      </c>
      <c r="P106" s="71" t="inlineStr">
        <is>
          <t>See tender document</t>
        </is>
      </c>
      <c r="Q106" s="72" t="n"/>
      <c r="R106" s="70" t="inlineStr">
        <is>
          <t>See tender document</t>
        </is>
      </c>
      <c r="S106" s="70" t="inlineStr">
        <is>
          <t>N</t>
        </is>
      </c>
      <c r="T106" s="64">
        <f>IF(A106="","",IFERROR(INDEX('Bid-NoBid'!$T:$T,MATCH(A106,'Bid-NoBid'!$A:$A,0)),""))</f>
        <v/>
      </c>
      <c r="U106" s="59">
        <f>IF(A106="","",IFERROR(IF(OR(INDEX('Bid-NoBid'!$U:$U,MATCH(A106,'Bid-NoBid'!$A:$A,0))="",LEFT(INDEX('Bid-NoBid'!$U:$U,MATCH(A106,'Bid-NoBid'!$A:$A,0)),10)="Incomplete"),"Screen: "&amp;AC106,INDEX('Bid-NoBid'!$U:$U,MATCH(A106,'Bid-NoBid'!$A:$A,0))),"Screen: "&amp;AC106))</f>
        <v/>
      </c>
      <c r="V106" s="60" t="n"/>
      <c r="W106" s="70" t="inlineStr">
        <is>
          <t>Watching</t>
        </is>
      </c>
      <c r="X106" s="70" t="inlineStr">
        <is>
          <t>Frank</t>
        </is>
      </c>
      <c r="Y106" s="60" t="n"/>
      <c r="Z106" s="60" t="n"/>
      <c r="AA106" s="73" t="n"/>
      <c r="AB106" s="74" t="inlineStr">
        <is>
          <t>BidDetail – Tanzania tenders (web page)</t>
        </is>
      </c>
      <c r="AC106" s="74" t="inlineStr">
        <is>
          <t>Check</t>
        </is>
      </c>
      <c r="AD106" s="74" t="inlineStr">
        <is>
          <t>Auto (BidDetail – Tanzania tenders): Deadline not shown on the source page – open the link and read the notice</t>
        </is>
      </c>
      <c r="AE106" s="67">
        <f>IF(ISNUMBER(Q106),ROUNDDOWN(Q106-NOW(),1),"")</f>
        <v/>
      </c>
      <c r="AF106" s="59">
        <f>IF(OR(A106="",AE106=""),"",IF(NOT(OR(W106="Watching",W106="Preparing")),"",IF(AE106&lt;0,"PASSED",IF(AND(AE106&lt;=7,W106&lt;&gt;"Preparing"),"RED",IF(AE106&lt;=14,"AMBER","GREEN")))))</f>
        <v/>
      </c>
      <c r="AG106" s="59">
        <f>IF(OR(A106="",NOT(OR(W106="Watching",W106="Preparing"))),"",IF(AND(ISNUMBER(M106),M106&gt;=3000000000),"YES – ≥ TZS 3bn",IF(AND(ISNUMBER(AE106),AE106&gt;=0,AE106&lt;10,V106=""),"YES – &lt;10 days","")))</f>
        <v/>
      </c>
      <c r="AH106" s="68" t="n"/>
      <c r="AI106" s="74" t="inlineStr">
        <is>
          <t>Read the notice and decide with the QS Director whether to pursue</t>
        </is>
      </c>
      <c r="AJ106" s="74" t="inlineStr">
        <is>
          <t>Auto-scan</t>
        </is>
      </c>
      <c r="AK106" s="74" t="inlineStr">
        <is>
          <t>WEB:biddetail_tanzania_tenders:5c649ceca911fe55</t>
        </is>
      </c>
      <c r="AL106" s="59">
        <f>IF(AND(OR(W106="Watching",W106="Preparing"),ISNUMBER(Q106)),IF(AND(Q106&gt;='Friday Summary'!$C$4,Q106&lt;='Friday Summary'!$C$4+14),Q106+ROW()/1000000,""),"")</f>
        <v/>
      </c>
    </row>
    <row r="107" ht="15" customHeight="1" s="51">
      <c r="A107" s="59">
        <f>IF(B107="","","OP-"&amp;TEXT(ROW()-4,"000"))</f>
        <v/>
      </c>
      <c r="B107" s="70" t="inlineStr">
        <is>
          <t>(not shown)</t>
        </is>
      </c>
      <c r="C107" s="71" t="n">
        <v>46305</v>
      </c>
      <c r="D107" s="70" t="inlineStr">
        <is>
          <t>aggregator</t>
        </is>
      </c>
      <c r="E107" s="70" t="inlineStr">
        <is>
          <t>https://www.biddetail.com/latest-tenders/118925699$c13e5f5e-7a4b-4be7-a2f2-2558c7049441</t>
        </is>
      </c>
      <c r="F107" s="70" t="inlineStr">
        <is>
          <t>See notice</t>
        </is>
      </c>
      <c r="G107" s="70" t="inlineStr">
        <is>
          <t>government</t>
        </is>
      </c>
      <c r="H107" s="70" t="inlineStr">
        <is>
          <t>Tenders Are Invited For Construction Of Perimeter Fence And Site ......</t>
        </is>
      </c>
      <c r="I107" s="70" t="inlineStr">
        <is>
          <t>From aggregator notice (1 lot) – read the tender document</t>
        </is>
      </c>
      <c r="J107" s="70" t="inlineStr">
        <is>
          <t>Not stated – read the notice</t>
        </is>
      </c>
      <c r="K107" s="70" t="inlineStr">
        <is>
          <t>building</t>
        </is>
      </c>
      <c r="L107" s="70" t="inlineStr">
        <is>
          <t>See tender document</t>
        </is>
      </c>
      <c r="M107" s="62" t="n"/>
      <c r="N107" s="70" t="inlineStr">
        <is>
          <t>unknown</t>
        </is>
      </c>
      <c r="O107" s="71" t="inlineStr">
        <is>
          <t>See tender document</t>
        </is>
      </c>
      <c r="P107" s="71" t="inlineStr">
        <is>
          <t>See tender document</t>
        </is>
      </c>
      <c r="Q107" s="72" t="n"/>
      <c r="R107" s="70" t="inlineStr">
        <is>
          <t>See tender document</t>
        </is>
      </c>
      <c r="S107" s="70" t="inlineStr">
        <is>
          <t>N</t>
        </is>
      </c>
      <c r="T107" s="64">
        <f>IF(A107="","",IFERROR(INDEX('Bid-NoBid'!$T:$T,MATCH(A107,'Bid-NoBid'!$A:$A,0)),""))</f>
        <v/>
      </c>
      <c r="U107" s="59">
        <f>IF(A107="","",IFERROR(IF(OR(INDEX('Bid-NoBid'!$U:$U,MATCH(A107,'Bid-NoBid'!$A:$A,0))="",LEFT(INDEX('Bid-NoBid'!$U:$U,MATCH(A107,'Bid-NoBid'!$A:$A,0)),10)="Incomplete"),"Screen: "&amp;AC107,INDEX('Bid-NoBid'!$U:$U,MATCH(A107,'Bid-NoBid'!$A:$A,0))),"Screen: "&amp;AC107))</f>
        <v/>
      </c>
      <c r="V107" s="60" t="n"/>
      <c r="W107" s="70" t="inlineStr">
        <is>
          <t>Watching</t>
        </is>
      </c>
      <c r="X107" s="70" t="inlineStr">
        <is>
          <t>Frank</t>
        </is>
      </c>
      <c r="Y107" s="60" t="n"/>
      <c r="Z107" s="60" t="n"/>
      <c r="AA107" s="73" t="n"/>
      <c r="AB107" s="74" t="inlineStr">
        <is>
          <t>BidDetail – Tanzania tenders (web page)</t>
        </is>
      </c>
      <c r="AC107" s="74" t="inlineStr">
        <is>
          <t>Check</t>
        </is>
      </c>
      <c r="AD107" s="74" t="inlineStr">
        <is>
          <t>Auto (BidDetail – Tanzania tenders): Deadline not shown on the source page – open the link and read the notice</t>
        </is>
      </c>
      <c r="AE107" s="67">
        <f>IF(ISNUMBER(Q107),ROUNDDOWN(Q107-NOW(),1),"")</f>
        <v/>
      </c>
      <c r="AF107" s="59">
        <f>IF(OR(A107="",AE107=""),"",IF(NOT(OR(W107="Watching",W107="Preparing")),"",IF(AE107&lt;0,"PASSED",IF(AND(AE107&lt;=7,W107&lt;&gt;"Preparing"),"RED",IF(AE107&lt;=14,"AMBER","GREEN")))))</f>
        <v/>
      </c>
      <c r="AG107" s="59">
        <f>IF(OR(A107="",NOT(OR(W107="Watching",W107="Preparing"))),"",IF(AND(ISNUMBER(M107),M107&gt;=3000000000),"YES – ≥ TZS 3bn",IF(AND(ISNUMBER(AE107),AE107&gt;=0,AE107&lt;10,V107=""),"YES – &lt;10 days","")))</f>
        <v/>
      </c>
      <c r="AH107" s="68" t="n"/>
      <c r="AI107" s="74" t="inlineStr">
        <is>
          <t>Read the notice and decide with the QS Director whether to pursue</t>
        </is>
      </c>
      <c r="AJ107" s="74" t="inlineStr">
        <is>
          <t>Auto-scan</t>
        </is>
      </c>
      <c r="AK107" s="74" t="inlineStr">
        <is>
          <t>WEB:biddetail_tanzania_tenders:e57e334c02ac1ab7</t>
        </is>
      </c>
      <c r="AL107" s="59">
        <f>IF(AND(OR(W107="Watching",W107="Preparing"),ISNUMBER(Q107)),IF(AND(Q107&gt;='Friday Summary'!$C$4,Q107&lt;='Friday Summary'!$C$4+14),Q107+ROW()/1000000,""),"")</f>
        <v/>
      </c>
    </row>
    <row r="108" ht="15" customHeight="1" s="51">
      <c r="A108" s="59">
        <f>IF(B108="","","OP-"&amp;TEXT(ROW()-4,"000"))</f>
        <v/>
      </c>
      <c r="B108" s="70" t="inlineStr">
        <is>
          <t>(not shown)</t>
        </is>
      </c>
      <c r="C108" s="71" t="n">
        <v>46305</v>
      </c>
      <c r="D108" s="70" t="inlineStr">
        <is>
          <t>aggregator</t>
        </is>
      </c>
      <c r="E108" s="70" t="inlineStr">
        <is>
          <t>https://www.biddetail.com/latest-tenders/119128722$8a01940b-aa90-4a08-9217-c0af8103e7de</t>
        </is>
      </c>
      <c r="F108" s="70" t="inlineStr">
        <is>
          <t>See notice</t>
        </is>
      </c>
      <c r="G108" s="70" t="inlineStr">
        <is>
          <t>government</t>
        </is>
      </c>
      <c r="H108" s="70" t="inlineStr">
        <is>
          <t>Tenders are invited for Construction Of Lwanji I Bridge (200M) Sp ......</t>
        </is>
      </c>
      <c r="I108" s="70" t="inlineStr">
        <is>
          <t>From aggregator notice (1 lot) – read the tender document</t>
        </is>
      </c>
      <c r="J108" s="70" t="inlineStr">
        <is>
          <t>Not stated – read the notice</t>
        </is>
      </c>
      <c r="K108" s="70" t="inlineStr">
        <is>
          <t>civil</t>
        </is>
      </c>
      <c r="L108" s="70" t="inlineStr">
        <is>
          <t>See tender document</t>
        </is>
      </c>
      <c r="M108" s="62" t="n"/>
      <c r="N108" s="70" t="inlineStr">
        <is>
          <t>unknown</t>
        </is>
      </c>
      <c r="O108" s="71" t="inlineStr">
        <is>
          <t>See tender document</t>
        </is>
      </c>
      <c r="P108" s="71" t="inlineStr">
        <is>
          <t>See tender document</t>
        </is>
      </c>
      <c r="Q108" s="72" t="n"/>
      <c r="R108" s="70" t="inlineStr">
        <is>
          <t>See tender document</t>
        </is>
      </c>
      <c r="S108" s="70" t="inlineStr">
        <is>
          <t>N</t>
        </is>
      </c>
      <c r="T108" s="64">
        <f>IF(A108="","",IFERROR(INDEX('Bid-NoBid'!$T:$T,MATCH(A108,'Bid-NoBid'!$A:$A,0)),""))</f>
        <v/>
      </c>
      <c r="U108" s="59">
        <f>IF(A108="","",IFERROR(IF(OR(INDEX('Bid-NoBid'!$U:$U,MATCH(A108,'Bid-NoBid'!$A:$A,0))="",LEFT(INDEX('Bid-NoBid'!$U:$U,MATCH(A108,'Bid-NoBid'!$A:$A,0)),10)="Incomplete"),"Screen: "&amp;AC108,INDEX('Bid-NoBid'!$U:$U,MATCH(A108,'Bid-NoBid'!$A:$A,0))),"Screen: "&amp;AC108))</f>
        <v/>
      </c>
      <c r="V108" s="60" t="n"/>
      <c r="W108" s="70" t="inlineStr">
        <is>
          <t>Watching</t>
        </is>
      </c>
      <c r="X108" s="70" t="inlineStr">
        <is>
          <t>Frank</t>
        </is>
      </c>
      <c r="Y108" s="60" t="n"/>
      <c r="Z108" s="60" t="n"/>
      <c r="AA108" s="73" t="n"/>
      <c r="AB108" s="74" t="inlineStr">
        <is>
          <t>BidDetail – Tanzania tenders (web page)</t>
        </is>
      </c>
      <c r="AC108" s="74" t="inlineStr">
        <is>
          <t>Check</t>
        </is>
      </c>
      <c r="AD108" s="74" t="inlineStr">
        <is>
          <t>Auto (BidDetail – Tanzania tenders): Deadline not shown on the source page – open the link and read the notice</t>
        </is>
      </c>
      <c r="AE108" s="67">
        <f>IF(ISNUMBER(Q108),ROUNDDOWN(Q108-NOW(),1),"")</f>
        <v/>
      </c>
      <c r="AF108" s="59">
        <f>IF(OR(A108="",AE108=""),"",IF(NOT(OR(W108="Watching",W108="Preparing")),"",IF(AE108&lt;0,"PASSED",IF(AND(AE108&lt;=7,W108&lt;&gt;"Preparing"),"RED",IF(AE108&lt;=14,"AMBER","GREEN")))))</f>
        <v/>
      </c>
      <c r="AG108" s="59">
        <f>IF(OR(A108="",NOT(OR(W108="Watching",W108="Preparing"))),"",IF(AND(ISNUMBER(M108),M108&gt;=3000000000),"YES – ≥ TZS 3bn",IF(AND(ISNUMBER(AE108),AE108&gt;=0,AE108&lt;10,V108=""),"YES – &lt;10 days","")))</f>
        <v/>
      </c>
      <c r="AH108" s="68" t="n"/>
      <c r="AI108" s="74" t="inlineStr">
        <is>
          <t>Read the notice and decide with the QS Director whether to pursue</t>
        </is>
      </c>
      <c r="AJ108" s="74" t="inlineStr">
        <is>
          <t>Auto-scan</t>
        </is>
      </c>
      <c r="AK108" s="74" t="inlineStr">
        <is>
          <t>WEB:biddetail_tanzania_tenders:6747e3d0e5f9315b</t>
        </is>
      </c>
      <c r="AL108" s="59">
        <f>IF(AND(OR(W108="Watching",W108="Preparing"),ISNUMBER(Q108)),IF(AND(Q108&gt;='Friday Summary'!$C$4,Q108&lt;='Friday Summary'!$C$4+14),Q108+ROW()/1000000,""),"")</f>
        <v/>
      </c>
    </row>
    <row r="109" ht="15" customHeight="1" s="51">
      <c r="A109" s="59">
        <f>IF(B109="","","OP-"&amp;TEXT(ROW()-4,"000"))</f>
        <v/>
      </c>
      <c r="B109" s="70" t="inlineStr">
        <is>
          <t>TR36/002/2026/2027/W/35</t>
        </is>
      </c>
      <c r="C109" s="71" t="n">
        <v>46305</v>
      </c>
      <c r="D109" s="70" t="inlineStr">
        <is>
          <t>NeST</t>
        </is>
      </c>
      <c r="E109" s="70" t="inlineStr">
        <is>
          <t>https://nest.go.tz/tenders/published-tenders</t>
        </is>
      </c>
      <c r="F109" s="70" t="inlineStr">
        <is>
          <t>TANROADS - Dar es Salaam Regional Office</t>
        </is>
      </c>
      <c r="G109" s="70" t="inlineStr">
        <is>
          <t>government</t>
        </is>
      </c>
      <c r="H109" s="70" t="inlineStr">
        <is>
          <t>Maintenance of Traffic signals and street lights along trunk and regional roads - Lot 6C: Mandela road, Ubungo Bus Terminal-Kigogo (Shungashunga jct), Ubungo External-Korogwe, Mjimwema Jct, Tabata Barakuda jct</t>
        </is>
      </c>
      <c r="I109" s="70" t="inlineStr">
        <is>
          <t>From NeST notice (1 lot) – read the tender document</t>
        </is>
      </c>
      <c r="J109" s="70" t="inlineStr">
        <is>
          <t>Dar es Salaam (Ubungo)</t>
        </is>
      </c>
      <c r="K109" s="70" t="inlineStr">
        <is>
          <t>civil</t>
        </is>
      </c>
      <c r="L109" s="70" t="inlineStr">
        <is>
          <t>NeST login needed</t>
        </is>
      </c>
      <c r="M109" s="62" t="n"/>
      <c r="N109" s="70" t="inlineStr">
        <is>
          <t>unknown</t>
        </is>
      </c>
      <c r="O109" s="71" t="inlineStr">
        <is>
          <t>NeST login needed</t>
        </is>
      </c>
      <c r="P109" s="71" t="inlineStr">
        <is>
          <t>NeST login needed</t>
        </is>
      </c>
      <c r="Q109" s="72" t="n">
        <v>46311.58333333334</v>
      </c>
      <c r="R109" s="70" t="inlineStr">
        <is>
          <t>NeST login needed</t>
        </is>
      </c>
      <c r="S109" s="70" t="inlineStr">
        <is>
          <t>N</t>
        </is>
      </c>
      <c r="T109" s="64">
        <f>IF(A109="","",IFERROR(INDEX('Bid-NoBid'!$T:$T,MATCH(A109,'Bid-NoBid'!$A:$A,0)),""))</f>
        <v/>
      </c>
      <c r="U109" s="59">
        <f>IF(A109="","",IFERROR(IF(OR(INDEX('Bid-NoBid'!$U:$U,MATCH(A109,'Bid-NoBid'!$A:$A,0))="",LEFT(INDEX('Bid-NoBid'!$U:$U,MATCH(A109,'Bid-NoBid'!$A:$A,0)),10)="Incomplete"),"Screen: "&amp;AC109,INDEX('Bid-NoBid'!$U:$U,MATCH(A109,'Bid-NoBid'!$A:$A,0))),"Screen: "&amp;AC109))</f>
        <v/>
      </c>
      <c r="V109" s="60" t="n"/>
      <c r="W109" s="70" t="inlineStr">
        <is>
          <t>Watching</t>
        </is>
      </c>
      <c r="X109" s="70" t="inlineStr">
        <is>
          <t>Frank</t>
        </is>
      </c>
      <c r="Y109" s="60" t="n"/>
      <c r="Z109" s="60" t="n"/>
      <c r="AA109" s="73" t="n">
        <v>46304</v>
      </c>
      <c r="AB109" s="74" t="inlineStr">
        <is>
          <t>Small Works / Tender</t>
        </is>
      </c>
      <c r="AC109" s="74" t="inlineStr">
        <is>
          <t>Check</t>
        </is>
      </c>
      <c r="AD109" s="74" t="inlineStr">
        <is>
          <t>Auto (Small Works / Tender): Civil works in Dar/Coast – confirm CRB class and margin</t>
        </is>
      </c>
      <c r="AE109" s="67">
        <f>IF(ISNUMBER(Q109),ROUNDDOWN(Q109-NOW(),1),"")</f>
        <v/>
      </c>
      <c r="AF109" s="59">
        <f>IF(OR(A109="",AE109=""),"",IF(NOT(OR(W109="Watching",W109="Preparing")),"",IF(AE109&lt;0,"PASSED",IF(AND(AE109&lt;=7,W109&lt;&gt;"Preparing"),"RED",IF(AE109&lt;=14,"AMBER","GREEN")))))</f>
        <v/>
      </c>
      <c r="AG109" s="59">
        <f>IF(OR(A109="",NOT(OR(W109="Watching",W109="Preparing"))),"",IF(AND(ISNUMBER(M109),M109&gt;=3000000000),"YES – ≥ TZS 3bn",IF(AND(ISNUMBER(AE109),AE109&gt;=0,AE109&lt;10,V109=""),"YES – &lt;10 days","")))</f>
        <v/>
      </c>
      <c r="AH109" s="68" t="n"/>
      <c r="AI109" s="74" t="inlineStr">
        <is>
          <t>Read the notice and decide with the QS Director whether to pursue</t>
        </is>
      </c>
      <c r="AJ109" s="74" t="inlineStr">
        <is>
          <t>Auto-scan</t>
        </is>
      </c>
      <c r="AK109" s="74" t="inlineStr">
        <is>
          <t>53f1e6ac-4eae-4da9-ae17-d59c416a01d7</t>
        </is>
      </c>
      <c r="AL109" s="59">
        <f>IF(AND(OR(W109="Watching",W109="Preparing"),ISNUMBER(Q109)),IF(AND(Q109&gt;='Friday Summary'!$C$4,Q109&lt;='Friday Summary'!$C$4+14),Q109+ROW()/1000000,""),"")</f>
        <v/>
      </c>
    </row>
    <row r="110" ht="15" customHeight="1" s="51">
      <c r="A110" s="59">
        <f>IF(B110="","","OP-"&amp;TEXT(ROW()-4,"000"))</f>
        <v/>
      </c>
      <c r="B110" s="70" t="inlineStr">
        <is>
          <t>TR36/002/2026/2027/W/20</t>
        </is>
      </c>
      <c r="C110" s="71" t="n">
        <v>46305</v>
      </c>
      <c r="D110" s="70" t="inlineStr">
        <is>
          <t>NeST</t>
        </is>
      </c>
      <c r="E110" s="70" t="inlineStr">
        <is>
          <t>https://nest.go.tz/tenders/published-tenders</t>
        </is>
      </c>
      <c r="F110" s="70" t="inlineStr">
        <is>
          <t>TANROADS - Dar es Salaam Regional Office</t>
        </is>
      </c>
      <c r="G110" s="70" t="inlineStr">
        <is>
          <t>government</t>
        </is>
      </c>
      <c r="H110" s="70" t="inlineStr">
        <is>
          <t>Road marking and signage along paved regional roads - Lot 4b: Mbezi Malamba Mawili-Kinyerezi, Morocco-Mlalakuwa, Fire Station-Selander,Bunju A-Bunju, Goba-Wazohill-Tegeta Kibaoni, Ununio-Mbweni-Bunju,Kawe-Lugalo, Mlimani City-Goba, Drive Inn-Namanga, Kunduchi-Mbuyuni-Boko, Kimara-Korogwe-External, Mbezi Mwisho-Goba-Samaki Wabichi</t>
        </is>
      </c>
      <c r="I110" s="70" t="inlineStr">
        <is>
          <t>From NeST notice (1 lot) – read the tender document</t>
        </is>
      </c>
      <c r="J110" s="70" t="inlineStr">
        <is>
          <t>Dar es Salaam (Mbezi)</t>
        </is>
      </c>
      <c r="K110" s="70" t="inlineStr">
        <is>
          <t>civil</t>
        </is>
      </c>
      <c r="L110" s="70" t="inlineStr">
        <is>
          <t>NeST login needed</t>
        </is>
      </c>
      <c r="M110" s="62" t="n"/>
      <c r="N110" s="70" t="inlineStr">
        <is>
          <t>unknown</t>
        </is>
      </c>
      <c r="O110" s="71" t="inlineStr">
        <is>
          <t>NeST login needed</t>
        </is>
      </c>
      <c r="P110" s="71" t="inlineStr">
        <is>
          <t>NeST login needed</t>
        </is>
      </c>
      <c r="Q110" s="72" t="n">
        <v>46311.58333333334</v>
      </c>
      <c r="R110" s="70" t="inlineStr">
        <is>
          <t>NeST login needed</t>
        </is>
      </c>
      <c r="S110" s="70" t="inlineStr">
        <is>
          <t>N</t>
        </is>
      </c>
      <c r="T110" s="64">
        <f>IF(A110="","",IFERROR(INDEX('Bid-NoBid'!$T:$T,MATCH(A110,'Bid-NoBid'!$A:$A,0)),""))</f>
        <v/>
      </c>
      <c r="U110" s="59">
        <f>IF(A110="","",IFERROR(IF(OR(INDEX('Bid-NoBid'!$U:$U,MATCH(A110,'Bid-NoBid'!$A:$A,0))="",LEFT(INDEX('Bid-NoBid'!$U:$U,MATCH(A110,'Bid-NoBid'!$A:$A,0)),10)="Incomplete"),"Screen: "&amp;AC110,INDEX('Bid-NoBid'!$U:$U,MATCH(A110,'Bid-NoBid'!$A:$A,0))),"Screen: "&amp;AC110))</f>
        <v/>
      </c>
      <c r="V110" s="60" t="n"/>
      <c r="W110" s="70" t="inlineStr">
        <is>
          <t>Watching</t>
        </is>
      </c>
      <c r="X110" s="70" t="inlineStr">
        <is>
          <t>Frank</t>
        </is>
      </c>
      <c r="Y110" s="60" t="n"/>
      <c r="Z110" s="60" t="n"/>
      <c r="AA110" s="73" t="n">
        <v>46304</v>
      </c>
      <c r="AB110" s="74" t="inlineStr">
        <is>
          <t>Small Works / Tender</t>
        </is>
      </c>
      <c r="AC110" s="74" t="inlineStr">
        <is>
          <t>Check</t>
        </is>
      </c>
      <c r="AD110" s="74" t="inlineStr">
        <is>
          <t>Auto (Small Works / Tender): Civil works in Dar/Coast – confirm CRB class and margin</t>
        </is>
      </c>
      <c r="AE110" s="67">
        <f>IF(ISNUMBER(Q110),ROUNDDOWN(Q110-NOW(),1),"")</f>
        <v/>
      </c>
      <c r="AF110" s="59">
        <f>IF(OR(A110="",AE110=""),"",IF(NOT(OR(W110="Watching",W110="Preparing")),"",IF(AE110&lt;0,"PASSED",IF(AND(AE110&lt;=7,W110&lt;&gt;"Preparing"),"RED",IF(AE110&lt;=14,"AMBER","GREEN")))))</f>
        <v/>
      </c>
      <c r="AG110" s="59">
        <f>IF(OR(A110="",NOT(OR(W110="Watching",W110="Preparing"))),"",IF(AND(ISNUMBER(M110),M110&gt;=3000000000),"YES – ≥ TZS 3bn",IF(AND(ISNUMBER(AE110),AE110&gt;=0,AE110&lt;10,V110=""),"YES – &lt;10 days","")))</f>
        <v/>
      </c>
      <c r="AH110" s="68" t="n"/>
      <c r="AI110" s="74" t="inlineStr">
        <is>
          <t>Read the notice and decide with the QS Director whether to pursue</t>
        </is>
      </c>
      <c r="AJ110" s="74" t="inlineStr">
        <is>
          <t>Auto-scan</t>
        </is>
      </c>
      <c r="AK110" s="74" t="inlineStr">
        <is>
          <t>3655ca4d-0eee-45f8-a362-d775e03135fb</t>
        </is>
      </c>
      <c r="AL110" s="59">
        <f>IF(AND(OR(W110="Watching",W110="Preparing"),ISNUMBER(Q110)),IF(AND(Q110&gt;='Friday Summary'!$C$4,Q110&lt;='Friday Summary'!$C$4+14),Q110+ROW()/1000000,""),"")</f>
        <v/>
      </c>
    </row>
    <row r="111" ht="15" customHeight="1" s="51">
      <c r="A111" s="59">
        <f>IF(B111="","","OP-"&amp;TEXT(ROW()-4,"000"))</f>
        <v/>
      </c>
      <c r="B111" s="70" t="inlineStr">
        <is>
          <t>TR36/002/2026/2027/W/43</t>
        </is>
      </c>
      <c r="C111" s="71" t="n">
        <v>46305</v>
      </c>
      <c r="D111" s="70" t="inlineStr">
        <is>
          <t>NeST</t>
        </is>
      </c>
      <c r="E111" s="70" t="inlineStr">
        <is>
          <t>https://nest.go.tz/tenders/published-tenders</t>
        </is>
      </c>
      <c r="F111" s="70" t="inlineStr">
        <is>
          <t>TANROADS - Dar es Salaam Regional Office</t>
        </is>
      </c>
      <c r="G111" s="70" t="inlineStr">
        <is>
          <t>government</t>
        </is>
      </c>
      <c r="H111" s="70" t="inlineStr">
        <is>
          <t>Routine and Recurrent, Spot Improvement of Unpaved Regional roads - Lot 6B: Mbezi Victoria- Bunju Sport Motel (24.67km), Ununio - Mpiji Bridge road (6.18km)</t>
        </is>
      </c>
      <c r="I111" s="70" t="inlineStr">
        <is>
          <t>From NeST notice (1 lot) – read the tender document</t>
        </is>
      </c>
      <c r="J111" s="70" t="inlineStr">
        <is>
          <t>Dar es Salaam (Mbezi)</t>
        </is>
      </c>
      <c r="K111" s="70" t="inlineStr">
        <is>
          <t>civil</t>
        </is>
      </c>
      <c r="L111" s="70" t="inlineStr">
        <is>
          <t>NeST login needed</t>
        </is>
      </c>
      <c r="M111" s="62" t="n"/>
      <c r="N111" s="70" t="inlineStr">
        <is>
          <t>unknown</t>
        </is>
      </c>
      <c r="O111" s="71" t="inlineStr">
        <is>
          <t>NeST login needed</t>
        </is>
      </c>
      <c r="P111" s="71" t="inlineStr">
        <is>
          <t>NeST login needed</t>
        </is>
      </c>
      <c r="Q111" s="72" t="n">
        <v>46311.58333333334</v>
      </c>
      <c r="R111" s="70" t="inlineStr">
        <is>
          <t>NeST login needed</t>
        </is>
      </c>
      <c r="S111" s="70" t="inlineStr">
        <is>
          <t>N</t>
        </is>
      </c>
      <c r="T111" s="64">
        <f>IF(A111="","",IFERROR(INDEX('Bid-NoBid'!$T:$T,MATCH(A111,'Bid-NoBid'!$A:$A,0)),""))</f>
        <v/>
      </c>
      <c r="U111" s="59">
        <f>IF(A111="","",IFERROR(IF(OR(INDEX('Bid-NoBid'!$U:$U,MATCH(A111,'Bid-NoBid'!$A:$A,0))="",LEFT(INDEX('Bid-NoBid'!$U:$U,MATCH(A111,'Bid-NoBid'!$A:$A,0)),10)="Incomplete"),"Screen: "&amp;AC111,INDEX('Bid-NoBid'!$U:$U,MATCH(A111,'Bid-NoBid'!$A:$A,0))),"Screen: "&amp;AC111))</f>
        <v/>
      </c>
      <c r="V111" s="60" t="n"/>
      <c r="W111" s="70" t="inlineStr">
        <is>
          <t>Watching</t>
        </is>
      </c>
      <c r="X111" s="70" t="inlineStr">
        <is>
          <t>Frank</t>
        </is>
      </c>
      <c r="Y111" s="60" t="n"/>
      <c r="Z111" s="60" t="n"/>
      <c r="AA111" s="73" t="n">
        <v>46304</v>
      </c>
      <c r="AB111" s="74" t="inlineStr">
        <is>
          <t>Small Works / Tender</t>
        </is>
      </c>
      <c r="AC111" s="74" t="inlineStr">
        <is>
          <t>Check</t>
        </is>
      </c>
      <c r="AD111" s="74" t="inlineStr">
        <is>
          <t>Auto (Small Works / Tender): Civil works in Dar/Coast – confirm CRB class and margin</t>
        </is>
      </c>
      <c r="AE111" s="67">
        <f>IF(ISNUMBER(Q111),ROUNDDOWN(Q111-NOW(),1),"")</f>
        <v/>
      </c>
      <c r="AF111" s="59">
        <f>IF(OR(A111="",AE111=""),"",IF(NOT(OR(W111="Watching",W111="Preparing")),"",IF(AE111&lt;0,"PASSED",IF(AND(AE111&lt;=7,W111&lt;&gt;"Preparing"),"RED",IF(AE111&lt;=14,"AMBER","GREEN")))))</f>
        <v/>
      </c>
      <c r="AG111" s="59">
        <f>IF(OR(A111="",NOT(OR(W111="Watching",W111="Preparing"))),"",IF(AND(ISNUMBER(M111),M111&gt;=3000000000),"YES – ≥ TZS 3bn",IF(AND(ISNUMBER(AE111),AE111&gt;=0,AE111&lt;10,V111=""),"YES – &lt;10 days","")))</f>
        <v/>
      </c>
      <c r="AH111" s="68" t="n"/>
      <c r="AI111" s="74" t="inlineStr">
        <is>
          <t>Read the notice and decide with the QS Director whether to pursue</t>
        </is>
      </c>
      <c r="AJ111" s="74" t="inlineStr">
        <is>
          <t>Auto-scan</t>
        </is>
      </c>
      <c r="AK111" s="74" t="inlineStr">
        <is>
          <t>32cf441a-46ee-4483-b3a7-1cff183a4772</t>
        </is>
      </c>
      <c r="AL111" s="59">
        <f>IF(AND(OR(W111="Watching",W111="Preparing"),ISNUMBER(Q111)),IF(AND(Q111&gt;='Friday Summary'!$C$4,Q111&lt;='Friday Summary'!$C$4+14),Q111+ROW()/1000000,""),"")</f>
        <v/>
      </c>
    </row>
    <row r="112" ht="15" customHeight="1" s="51">
      <c r="A112" s="59">
        <f>IF(B112="","","OP-"&amp;TEXT(ROW()-4,"000"))</f>
        <v/>
      </c>
      <c r="B112" s="70" t="inlineStr">
        <is>
          <t>TR36/002/2026/2027/W/21</t>
        </is>
      </c>
      <c r="C112" s="71" t="n">
        <v>46305</v>
      </c>
      <c r="D112" s="70" t="inlineStr">
        <is>
          <t>NeST</t>
        </is>
      </c>
      <c r="E112" s="70" t="inlineStr">
        <is>
          <t>https://nest.go.tz/tenders/published-tenders</t>
        </is>
      </c>
      <c r="F112" s="70" t="inlineStr">
        <is>
          <t>TANROADS - Dar es Salaam Regional Office</t>
        </is>
      </c>
      <c r="G112" s="70" t="inlineStr">
        <is>
          <t>government</t>
        </is>
      </c>
      <c r="H112" s="70" t="inlineStr">
        <is>
          <t>Routine and Recurrent Maintenance of paved regional roads - Lot 12: Temboni-Goba-Wazo Hill- Tegeta Kibaoni (15.7km), Kawe - Lugalo, Tanki bovu-Rainbow, Mbezi Mwisho-Goba - Samaki Wabichi, Kawe - TPDF Range (2.88km).</t>
        </is>
      </c>
      <c r="I112" s="70" t="inlineStr">
        <is>
          <t>From NeST notice (1 lot) – read the tender document</t>
        </is>
      </c>
      <c r="J112" s="70" t="inlineStr">
        <is>
          <t>Dar es Salaam (Goba)</t>
        </is>
      </c>
      <c r="K112" s="70" t="inlineStr">
        <is>
          <t>civil</t>
        </is>
      </c>
      <c r="L112" s="70" t="inlineStr">
        <is>
          <t>NeST login needed</t>
        </is>
      </c>
      <c r="M112" s="62" t="n"/>
      <c r="N112" s="70" t="inlineStr">
        <is>
          <t>unknown</t>
        </is>
      </c>
      <c r="O112" s="71" t="inlineStr">
        <is>
          <t>NeST login needed</t>
        </is>
      </c>
      <c r="P112" s="71" t="inlineStr">
        <is>
          <t>NeST login needed</t>
        </is>
      </c>
      <c r="Q112" s="72" t="n">
        <v>46311.58333333334</v>
      </c>
      <c r="R112" s="70" t="inlineStr">
        <is>
          <t>NeST login needed</t>
        </is>
      </c>
      <c r="S112" s="70" t="inlineStr">
        <is>
          <t>N</t>
        </is>
      </c>
      <c r="T112" s="64">
        <f>IF(A112="","",IFERROR(INDEX('Bid-NoBid'!$T:$T,MATCH(A112,'Bid-NoBid'!$A:$A,0)),""))</f>
        <v/>
      </c>
      <c r="U112" s="59">
        <f>IF(A112="","",IFERROR(IF(OR(INDEX('Bid-NoBid'!$U:$U,MATCH(A112,'Bid-NoBid'!$A:$A,0))="",LEFT(INDEX('Bid-NoBid'!$U:$U,MATCH(A112,'Bid-NoBid'!$A:$A,0)),10)="Incomplete"),"Screen: "&amp;AC112,INDEX('Bid-NoBid'!$U:$U,MATCH(A112,'Bid-NoBid'!$A:$A,0))),"Screen: "&amp;AC112))</f>
        <v/>
      </c>
      <c r="V112" s="60" t="n"/>
      <c r="W112" s="70" t="inlineStr">
        <is>
          <t>Watching</t>
        </is>
      </c>
      <c r="X112" s="70" t="inlineStr">
        <is>
          <t>Frank</t>
        </is>
      </c>
      <c r="Y112" s="60" t="n"/>
      <c r="Z112" s="60" t="n"/>
      <c r="AA112" s="73" t="n">
        <v>46304</v>
      </c>
      <c r="AB112" s="74" t="inlineStr">
        <is>
          <t>Small Works / Tender</t>
        </is>
      </c>
      <c r="AC112" s="74" t="inlineStr">
        <is>
          <t>Check</t>
        </is>
      </c>
      <c r="AD112" s="74" t="inlineStr">
        <is>
          <t>Auto (Small Works / Tender): Civil works in Dar/Coast – confirm CRB class and margin</t>
        </is>
      </c>
      <c r="AE112" s="67">
        <f>IF(ISNUMBER(Q112),ROUNDDOWN(Q112-NOW(),1),"")</f>
        <v/>
      </c>
      <c r="AF112" s="59">
        <f>IF(OR(A112="",AE112=""),"",IF(NOT(OR(W112="Watching",W112="Preparing")),"",IF(AE112&lt;0,"PASSED",IF(AND(AE112&lt;=7,W112&lt;&gt;"Preparing"),"RED",IF(AE112&lt;=14,"AMBER","GREEN")))))</f>
        <v/>
      </c>
      <c r="AG112" s="59">
        <f>IF(OR(A112="",NOT(OR(W112="Watching",W112="Preparing"))),"",IF(AND(ISNUMBER(M112),M112&gt;=3000000000),"YES – ≥ TZS 3bn",IF(AND(ISNUMBER(AE112),AE112&gt;=0,AE112&lt;10,V112=""),"YES – &lt;10 days","")))</f>
        <v/>
      </c>
      <c r="AH112" s="68" t="n"/>
      <c r="AI112" s="74" t="inlineStr">
        <is>
          <t>Read the notice and decide with the QS Director whether to pursue</t>
        </is>
      </c>
      <c r="AJ112" s="74" t="inlineStr">
        <is>
          <t>Auto-scan</t>
        </is>
      </c>
      <c r="AK112" s="74" t="inlineStr">
        <is>
          <t>8c0debb4-a114-4e55-bd3c-1b91c3a09452</t>
        </is>
      </c>
      <c r="AL112" s="59">
        <f>IF(AND(OR(W112="Watching",W112="Preparing"),ISNUMBER(Q112)),IF(AND(Q112&gt;='Friday Summary'!$C$4,Q112&lt;='Friday Summary'!$C$4+14),Q112+ROW()/1000000,""),"")</f>
        <v/>
      </c>
    </row>
    <row r="113" ht="15" customHeight="1" s="51">
      <c r="A113" s="59">
        <f>IF(B113="","","OP-"&amp;TEXT(ROW()-4,"000"))</f>
        <v/>
      </c>
      <c r="B113" s="70" t="inlineStr">
        <is>
          <t>TR152/006/2026/2027/W/04</t>
        </is>
      </c>
      <c r="C113" s="71" t="n">
        <v>46305</v>
      </c>
      <c r="D113" s="70" t="inlineStr">
        <is>
          <t>NeST</t>
        </is>
      </c>
      <c r="E113" s="70" t="inlineStr">
        <is>
          <t>https://nest.go.tz/tenders/published-tenders</t>
        </is>
      </c>
      <c r="F113" s="70" t="inlineStr">
        <is>
          <t>Bank of Tanzania - Mwanza Branch</t>
        </is>
      </c>
      <c r="G113" s="70" t="inlineStr">
        <is>
          <t>government</t>
        </is>
      </c>
      <c r="H113" s="70" t="inlineStr">
        <is>
          <t>Proposed Rehabilitation of Stone Cladding, Mosaic Tiles, and Repainting of the Boundary Wall at the Bank of Tanzania Office Premises, Plot No. 50, Chief Makongoro Avenue, Mwanza</t>
        </is>
      </c>
      <c r="I113" s="70" t="inlineStr">
        <is>
          <t>From NeST notice (1 lot) – read the tender document</t>
        </is>
      </c>
      <c r="J113" s="70" t="inlineStr">
        <is>
          <t>Mwanza</t>
        </is>
      </c>
      <c r="K113" s="70" t="inlineStr">
        <is>
          <t>renovation</t>
        </is>
      </c>
      <c r="L113" s="70" t="inlineStr">
        <is>
          <t>NeST login needed</t>
        </is>
      </c>
      <c r="M113" s="62" t="n"/>
      <c r="N113" s="70" t="inlineStr">
        <is>
          <t>unknown</t>
        </is>
      </c>
      <c r="O113" s="71" t="inlineStr">
        <is>
          <t>NeST login needed</t>
        </is>
      </c>
      <c r="P113" s="71" t="inlineStr">
        <is>
          <t>NeST login needed</t>
        </is>
      </c>
      <c r="Q113" s="72" t="n">
        <v>46314.58333333334</v>
      </c>
      <c r="R113" s="70" t="inlineStr">
        <is>
          <t>NeST login needed</t>
        </is>
      </c>
      <c r="S113" s="70" t="inlineStr">
        <is>
          <t>N</t>
        </is>
      </c>
      <c r="T113" s="64">
        <f>IF(A113="","",IFERROR(INDEX('Bid-NoBid'!$T:$T,MATCH(A113,'Bid-NoBid'!$A:$A,0)),""))</f>
        <v/>
      </c>
      <c r="U113" s="59">
        <f>IF(A113="","",IFERROR(IF(OR(INDEX('Bid-NoBid'!$U:$U,MATCH(A113,'Bid-NoBid'!$A:$A,0))="",LEFT(INDEX('Bid-NoBid'!$U:$U,MATCH(A113,'Bid-NoBid'!$A:$A,0)),10)="Incomplete"),"Screen: "&amp;AC113,INDEX('Bid-NoBid'!$U:$U,MATCH(A113,'Bid-NoBid'!$A:$A,0))),"Screen: "&amp;AC113))</f>
        <v/>
      </c>
      <c r="V113" s="60" t="n"/>
      <c r="W113" s="70" t="inlineStr">
        <is>
          <t>Watching</t>
        </is>
      </c>
      <c r="X113" s="70" t="inlineStr">
        <is>
          <t>Frank</t>
        </is>
      </c>
      <c r="Y113" s="60" t="n"/>
      <c r="Z113" s="60" t="n"/>
      <c r="AA113" s="73" t="n">
        <v>46304</v>
      </c>
      <c r="AB113" s="74" t="inlineStr">
        <is>
          <t>Small Works / Tender</t>
        </is>
      </c>
      <c r="AC113" s="74" t="inlineStr">
        <is>
          <t>Check</t>
        </is>
      </c>
      <c r="AD113" s="74" t="inlineStr">
        <is>
          <t>Auto (Small Works / Tender): Building works but remote from Dar</t>
        </is>
      </c>
      <c r="AE113" s="67">
        <f>IF(ISNUMBER(Q113),ROUNDDOWN(Q113-NOW(),1),"")</f>
        <v/>
      </c>
      <c r="AF113" s="59">
        <f>IF(OR(A113="",AE113=""),"",IF(NOT(OR(W113="Watching",W113="Preparing")),"",IF(AE113&lt;0,"PASSED",IF(AND(AE113&lt;=7,W113&lt;&gt;"Preparing"),"RED",IF(AE113&lt;=14,"AMBER","GREEN")))))</f>
        <v/>
      </c>
      <c r="AG113" s="59">
        <f>IF(OR(A113="",NOT(OR(W113="Watching",W113="Preparing"))),"",IF(AND(ISNUMBER(M113),M113&gt;=3000000000),"YES – ≥ TZS 3bn",IF(AND(ISNUMBER(AE113),AE113&gt;=0,AE113&lt;10,V113=""),"YES – &lt;10 days","")))</f>
        <v/>
      </c>
      <c r="AH113" s="68" t="n"/>
      <c r="AI113" s="74" t="inlineStr">
        <is>
          <t>Read the notice and decide with the QS Director whether to pursue</t>
        </is>
      </c>
      <c r="AJ113" s="74" t="inlineStr">
        <is>
          <t>Auto-scan</t>
        </is>
      </c>
      <c r="AK113" s="74" t="inlineStr">
        <is>
          <t>5a9f0d6a-563b-42b1-aa4e-e5ac7ccadc19</t>
        </is>
      </c>
      <c r="AL113" s="59">
        <f>IF(AND(OR(W113="Watching",W113="Preparing"),ISNUMBER(Q113)),IF(AND(Q113&gt;='Friday Summary'!$C$4,Q113&lt;='Friday Summary'!$C$4+14),Q113+ROW()/1000000,""),"")</f>
        <v/>
      </c>
    </row>
    <row r="114" ht="15" customHeight="1" s="51">
      <c r="A114" s="59">
        <f>IF(B114="","","OP-"&amp;TEXT(ROW()-4,"000"))</f>
        <v/>
      </c>
      <c r="B114" s="70" t="inlineStr">
        <is>
          <t>(not shown)</t>
        </is>
      </c>
      <c r="C114" s="71" t="n">
        <v>46305</v>
      </c>
      <c r="D114" s="70" t="inlineStr">
        <is>
          <t>donor / international</t>
        </is>
      </c>
      <c r="E114" s="70" t="inlineStr">
        <is>
          <t>https://www.find-tender.service.gov.uk/Notice/095873-2026?origin=SearchResults&amp;p=1</t>
        </is>
      </c>
      <c r="F114" s="70" t="inlineStr">
        <is>
          <t>UK Government (FCDO / British High Commission)</t>
        </is>
      </c>
      <c r="G114" s="70" t="inlineStr">
        <is>
          <t>donor</t>
        </is>
      </c>
      <c r="H114" s="70" t="inlineStr">
        <is>
          <t>Malaysia Penang Centre Regear and Refit British Council The British Council currently occupies Wisma Great Eastern, Penang - No. 25, Lebuh Light, 10200 Level 3A, Suite 3A.1. The British Council is required to fitout the premises to reconfigure the office to add exam function. Notice type UK4: Tender</t>
        </is>
      </c>
      <c r="I114" s="70" t="inlineStr">
        <is>
          <t>From donor / international notice (1 lot) – read the tender document</t>
        </is>
      </c>
      <c r="J114" s="70" t="inlineStr">
        <is>
          <t>Not stated – read the notice</t>
        </is>
      </c>
      <c r="K114" s="70" t="inlineStr">
        <is>
          <t>fit-out</t>
        </is>
      </c>
      <c r="L114" s="70" t="inlineStr">
        <is>
          <t>See tender document</t>
        </is>
      </c>
      <c r="M114" s="62" t="n"/>
      <c r="N114" s="70" t="inlineStr">
        <is>
          <t>unknown</t>
        </is>
      </c>
      <c r="O114" s="71" t="inlineStr">
        <is>
          <t>See tender document</t>
        </is>
      </c>
      <c r="P114" s="71" t="inlineStr">
        <is>
          <t>See tender document</t>
        </is>
      </c>
      <c r="Q114" s="72" t="n">
        <v>46318.6875</v>
      </c>
      <c r="R114" s="70" t="inlineStr">
        <is>
          <t>See tender document</t>
        </is>
      </c>
      <c r="S114" s="70" t="inlineStr">
        <is>
          <t>N</t>
        </is>
      </c>
      <c r="T114" s="64">
        <f>IF(A114="","",IFERROR(INDEX('Bid-NoBid'!$T:$T,MATCH(A114,'Bid-NoBid'!$A:$A,0)),""))</f>
        <v/>
      </c>
      <c r="U114" s="59">
        <f>IF(A114="","",IFERROR(IF(OR(INDEX('Bid-NoBid'!$U:$U,MATCH(A114,'Bid-NoBid'!$A:$A,0))="",LEFT(INDEX('Bid-NoBid'!$U:$U,MATCH(A114,'Bid-NoBid'!$A:$A,0)),10)="Incomplete"),"Screen: "&amp;AC114,INDEX('Bid-NoBid'!$U:$U,MATCH(A114,'Bid-NoBid'!$A:$A,0))),"Screen: "&amp;AC114))</f>
        <v/>
      </c>
      <c r="V114" s="60" t="n"/>
      <c r="W114" s="70" t="inlineStr">
        <is>
          <t>Watching</t>
        </is>
      </c>
      <c r="X114" s="70" t="inlineStr">
        <is>
          <t>Frank</t>
        </is>
      </c>
      <c r="Y114" s="60" t="n"/>
      <c r="Z114" s="60" t="n"/>
      <c r="AA114" s="73" t="n"/>
      <c r="AB114" s="74" t="inlineStr">
        <is>
          <t>UK Find a Tender – Tanzania (web page)</t>
        </is>
      </c>
      <c r="AC114" s="74" t="inlineStr">
        <is>
          <t>Check</t>
        </is>
      </c>
      <c r="AD114" s="74" t="inlineStr">
        <is>
          <t>Auto (UK Find a Tender – Tanzania): Site not stated in the listing – read the notice · deadline read from the web page – confirm</t>
        </is>
      </c>
      <c r="AE114" s="67">
        <f>IF(ISNUMBER(Q114),ROUNDDOWN(Q114-NOW(),1),"")</f>
        <v/>
      </c>
      <c r="AF114" s="59">
        <f>IF(OR(A114="",AE114=""),"",IF(NOT(OR(W114="Watching",W114="Preparing")),"",IF(AE114&lt;0,"PASSED",IF(AND(AE114&lt;=7,W114&lt;&gt;"Preparing"),"RED",IF(AE114&lt;=14,"AMBER","GREEN")))))</f>
        <v/>
      </c>
      <c r="AG114" s="59">
        <f>IF(OR(A114="",NOT(OR(W114="Watching",W114="Preparing"))),"",IF(AND(ISNUMBER(M114),M114&gt;=3000000000),"YES – ≥ TZS 3bn",IF(AND(ISNUMBER(AE114),AE114&gt;=0,AE114&lt;10,V114=""),"YES – &lt;10 days","")))</f>
        <v/>
      </c>
      <c r="AH114" s="68" t="n"/>
      <c r="AI114" s="74" t="inlineStr">
        <is>
          <t>Read the notice and decide with the QS Director whether to pursue</t>
        </is>
      </c>
      <c r="AJ114" s="74" t="inlineStr">
        <is>
          <t>Auto-scan</t>
        </is>
      </c>
      <c r="AK114" s="74" t="inlineStr">
        <is>
          <t>WEB:uk_find_a_tender_tanzania:152d508ec3c6cea1</t>
        </is>
      </c>
      <c r="AL114" s="59">
        <f>IF(AND(OR(W114="Watching",W114="Preparing"),ISNUMBER(Q114)),IF(AND(Q114&gt;='Friday Summary'!$C$4,Q114&lt;='Friday Summary'!$C$4+14),Q114+ROW()/1000000,""),"")</f>
        <v/>
      </c>
    </row>
    <row r="115" ht="15" customHeight="1" s="51">
      <c r="A115" s="59">
        <f>IF(B115="","","OP-"&amp;TEXT(ROW()-4,"000"))</f>
        <v/>
      </c>
      <c r="B115" s="70" t="inlineStr">
        <is>
          <t>(not shown)</t>
        </is>
      </c>
      <c r="C115" s="71" t="n">
        <v>46305</v>
      </c>
      <c r="D115" s="70" t="inlineStr">
        <is>
          <t>donor / international</t>
        </is>
      </c>
      <c r="E115" s="70" t="inlineStr">
        <is>
          <t>https://www.find-tender.service.gov.uk/Search/Results?keywords=Tanzania</t>
        </is>
      </c>
      <c r="F115" s="70" t="inlineStr">
        <is>
          <t>UK Government (FCDO / British High Commission)</t>
        </is>
      </c>
      <c r="G115" s="70" t="inlineStr">
        <is>
          <t>donor</t>
        </is>
      </c>
      <c r="H115" s="70" t="inlineStr">
        <is>
          <t>Utilities dynamic market - A dynamic market that can only be used by utility organisations to award utilities contracts. Tender notices may optionally be provided only to members of the market. (Not included in the DM/DPS filter option.)</t>
        </is>
      </c>
      <c r="I115" s="70" t="inlineStr">
        <is>
          <t>From donor / international notice (1 lot) – read the tender document</t>
        </is>
      </c>
      <c r="J115" s="70" t="inlineStr">
        <is>
          <t>Not stated – read the notice</t>
        </is>
      </c>
      <c r="K115" s="70" t="inlineStr">
        <is>
          <t>building</t>
        </is>
      </c>
      <c r="L115" s="70" t="inlineStr">
        <is>
          <t>See tender document</t>
        </is>
      </c>
      <c r="M115" s="62" t="n"/>
      <c r="N115" s="70" t="inlineStr">
        <is>
          <t>unknown</t>
        </is>
      </c>
      <c r="O115" s="71" t="inlineStr">
        <is>
          <t>See tender document</t>
        </is>
      </c>
      <c r="P115" s="71" t="inlineStr">
        <is>
          <t>See tender document</t>
        </is>
      </c>
      <c r="Q115" s="72" t="n"/>
      <c r="R115" s="70" t="inlineStr">
        <is>
          <t>See tender document</t>
        </is>
      </c>
      <c r="S115" s="70" t="inlineStr">
        <is>
          <t>N</t>
        </is>
      </c>
      <c r="T115" s="64">
        <f>IF(A115="","",IFERROR(INDEX('Bid-NoBid'!$T:$T,MATCH(A115,'Bid-NoBid'!$A:$A,0)),""))</f>
        <v/>
      </c>
      <c r="U115" s="59">
        <f>IF(A115="","",IFERROR(IF(OR(INDEX('Bid-NoBid'!$U:$U,MATCH(A115,'Bid-NoBid'!$A:$A,0))="",LEFT(INDEX('Bid-NoBid'!$U:$U,MATCH(A115,'Bid-NoBid'!$A:$A,0)),10)="Incomplete"),"Screen: "&amp;AC115,INDEX('Bid-NoBid'!$U:$U,MATCH(A115,'Bid-NoBid'!$A:$A,0))),"Screen: "&amp;AC115))</f>
        <v/>
      </c>
      <c r="V115" s="60" t="n"/>
      <c r="W115" s="70" t="inlineStr">
        <is>
          <t>Watching</t>
        </is>
      </c>
      <c r="X115" s="70" t="inlineStr">
        <is>
          <t>Frank</t>
        </is>
      </c>
      <c r="Y115" s="60" t="n"/>
      <c r="Z115" s="60" t="n"/>
      <c r="AA115" s="73" t="n"/>
      <c r="AB115" s="74" t="inlineStr">
        <is>
          <t>UK Find a Tender – Tanzania (web page)</t>
        </is>
      </c>
      <c r="AC115" s="74" t="inlineStr">
        <is>
          <t>Check</t>
        </is>
      </c>
      <c r="AD115" s="74" t="inlineStr">
        <is>
          <t>Auto (UK Find a Tender – Tanzania): Deadline not shown on the source page – open the link and read the notice</t>
        </is>
      </c>
      <c r="AE115" s="67">
        <f>IF(ISNUMBER(Q115),ROUNDDOWN(Q115-NOW(),1),"")</f>
        <v/>
      </c>
      <c r="AF115" s="59">
        <f>IF(OR(A115="",AE115=""),"",IF(NOT(OR(W115="Watching",W115="Preparing")),"",IF(AE115&lt;0,"PASSED",IF(AND(AE115&lt;=7,W115&lt;&gt;"Preparing"),"RED",IF(AE115&lt;=14,"AMBER","GREEN")))))</f>
        <v/>
      </c>
      <c r="AG115" s="59">
        <f>IF(OR(A115="",NOT(OR(W115="Watching",W115="Preparing"))),"",IF(AND(ISNUMBER(M115),M115&gt;=3000000000),"YES – ≥ TZS 3bn",IF(AND(ISNUMBER(AE115),AE115&gt;=0,AE115&lt;10,V115=""),"YES – &lt;10 days","")))</f>
        <v/>
      </c>
      <c r="AH115" s="68" t="n"/>
      <c r="AI115" s="74" t="inlineStr">
        <is>
          <t>Read the notice and decide with the QS Director whether to pursue</t>
        </is>
      </c>
      <c r="AJ115" s="74" t="inlineStr">
        <is>
          <t>Auto-scan</t>
        </is>
      </c>
      <c r="AK115" s="74" t="inlineStr">
        <is>
          <t>WEB:uk_find_a_tender_tanzania:51cdf20411b36bee</t>
        </is>
      </c>
      <c r="AL115" s="59">
        <f>IF(AND(OR(W115="Watching",W115="Preparing"),ISNUMBER(Q115)),IF(AND(Q115&gt;='Friday Summary'!$C$4,Q115&lt;='Friday Summary'!$C$4+14),Q115+ROW()/1000000,""),"")</f>
        <v/>
      </c>
    </row>
    <row r="116" ht="15" customHeight="1" s="51">
      <c r="A116" s="59">
        <f>IF(B116="","","OP-"&amp;TEXT(ROW()-4,"000"))</f>
        <v/>
      </c>
      <c r="B116" s="70" t="inlineStr">
        <is>
          <t>(not shown)</t>
        </is>
      </c>
      <c r="C116" s="71" t="n">
        <v>46305</v>
      </c>
      <c r="D116" s="70" t="inlineStr">
        <is>
          <t>donor / international</t>
        </is>
      </c>
      <c r="E116" s="70" t="inlineStr">
        <is>
          <t>https://www.find-tender.service.gov.uk/Search/Results?keywords=Tanzania</t>
        </is>
      </c>
      <c r="F116" s="70" t="inlineStr">
        <is>
          <t>UK Government (FCDO / British High Commission)</t>
        </is>
      </c>
      <c r="G116" s="70" t="inlineStr">
        <is>
          <t>donor</t>
        </is>
      </c>
      <c r="H116" s="70" t="inlineStr">
        <is>
          <t>Dynamic market - Arrangements that suppliers who meet the conditions for membership can join, which allow them to bid for future contracts restricted to members of the market. Future contracts must be advertised in tender notices. New suppliers can join at any time during the term of the market.</t>
        </is>
      </c>
      <c r="I116" s="70" t="inlineStr">
        <is>
          <t>From donor / international notice (1 lot) – read the tender document</t>
        </is>
      </c>
      <c r="J116" s="70" t="inlineStr">
        <is>
          <t>Not stated – read the notice</t>
        </is>
      </c>
      <c r="K116" s="70" t="inlineStr">
        <is>
          <t>building</t>
        </is>
      </c>
      <c r="L116" s="70" t="inlineStr">
        <is>
          <t>See tender document</t>
        </is>
      </c>
      <c r="M116" s="62" t="n"/>
      <c r="N116" s="70" t="inlineStr">
        <is>
          <t>unknown</t>
        </is>
      </c>
      <c r="O116" s="71" t="inlineStr">
        <is>
          <t>See tender document</t>
        </is>
      </c>
      <c r="P116" s="71" t="inlineStr">
        <is>
          <t>See tender document</t>
        </is>
      </c>
      <c r="Q116" s="72" t="n"/>
      <c r="R116" s="70" t="inlineStr">
        <is>
          <t>See tender document</t>
        </is>
      </c>
      <c r="S116" s="70" t="inlineStr">
        <is>
          <t>N</t>
        </is>
      </c>
      <c r="T116" s="64">
        <f>IF(A116="","",IFERROR(INDEX('Bid-NoBid'!$T:$T,MATCH(A116,'Bid-NoBid'!$A:$A,0)),""))</f>
        <v/>
      </c>
      <c r="U116" s="59">
        <f>IF(A116="","",IFERROR(IF(OR(INDEX('Bid-NoBid'!$U:$U,MATCH(A116,'Bid-NoBid'!$A:$A,0))="",LEFT(INDEX('Bid-NoBid'!$U:$U,MATCH(A116,'Bid-NoBid'!$A:$A,0)),10)="Incomplete"),"Screen: "&amp;AC116,INDEX('Bid-NoBid'!$U:$U,MATCH(A116,'Bid-NoBid'!$A:$A,0))),"Screen: "&amp;AC116))</f>
        <v/>
      </c>
      <c r="V116" s="60" t="n"/>
      <c r="W116" s="70" t="inlineStr">
        <is>
          <t>Watching</t>
        </is>
      </c>
      <c r="X116" s="70" t="inlineStr">
        <is>
          <t>Frank</t>
        </is>
      </c>
      <c r="Y116" s="60" t="n"/>
      <c r="Z116" s="60" t="n"/>
      <c r="AA116" s="73" t="n"/>
      <c r="AB116" s="74" t="inlineStr">
        <is>
          <t>UK Find a Tender – Tanzania (web page)</t>
        </is>
      </c>
      <c r="AC116" s="74" t="inlineStr">
        <is>
          <t>Check</t>
        </is>
      </c>
      <c r="AD116" s="74" t="inlineStr">
        <is>
          <t>Auto (UK Find a Tender – Tanzania): Deadline not shown on the source page – open the link and read the notice</t>
        </is>
      </c>
      <c r="AE116" s="67">
        <f>IF(ISNUMBER(Q116),ROUNDDOWN(Q116-NOW(),1),"")</f>
        <v/>
      </c>
      <c r="AF116" s="59">
        <f>IF(OR(A116="",AE116=""),"",IF(NOT(OR(W116="Watching",W116="Preparing")),"",IF(AE116&lt;0,"PASSED",IF(AND(AE116&lt;=7,W116&lt;&gt;"Preparing"),"RED",IF(AE116&lt;=14,"AMBER","GREEN")))))</f>
        <v/>
      </c>
      <c r="AG116" s="59">
        <f>IF(OR(A116="",NOT(OR(W116="Watching",W116="Preparing"))),"",IF(AND(ISNUMBER(M116),M116&gt;=3000000000),"YES – ≥ TZS 3bn",IF(AND(ISNUMBER(AE116),AE116&gt;=0,AE116&lt;10,V116=""),"YES – &lt;10 days","")))</f>
        <v/>
      </c>
      <c r="AH116" s="68" t="n"/>
      <c r="AI116" s="74" t="inlineStr">
        <is>
          <t>Read the notice and decide with the QS Director whether to pursue</t>
        </is>
      </c>
      <c r="AJ116" s="74" t="inlineStr">
        <is>
          <t>Auto-scan</t>
        </is>
      </c>
      <c r="AK116" s="74" t="inlineStr">
        <is>
          <t>WEB:uk_find_a_tender_tanzania:d7df2948c5ca33aa</t>
        </is>
      </c>
      <c r="AL116" s="59">
        <f>IF(AND(OR(W116="Watching",W116="Preparing"),ISNUMBER(Q116)),IF(AND(Q116&gt;='Friday Summary'!$C$4,Q116&lt;='Friday Summary'!$C$4+14),Q116+ROW()/1000000,""),"")</f>
        <v/>
      </c>
    </row>
    <row r="117" ht="15" customHeight="1" s="51">
      <c r="A117" s="59">
        <f>IF(B117="","","OP-"&amp;TEXT(ROW()-4,"000"))</f>
        <v/>
      </c>
      <c r="B117" s="70" t="inlineStr">
        <is>
          <t>(not shown)</t>
        </is>
      </c>
      <c r="C117" s="71" t="n">
        <v>46305</v>
      </c>
      <c r="D117" s="70" t="inlineStr">
        <is>
          <t>donor / international</t>
        </is>
      </c>
      <c r="E117" s="70" t="inlineStr">
        <is>
          <t>https://www.find-tender.service.gov.uk/Search/Results?keywords=Tanzania</t>
        </is>
      </c>
      <c r="F117" s="70" t="inlineStr">
        <is>
          <t>UK Government (FCDO / British High Commission)</t>
        </is>
      </c>
      <c r="G117" s="70" t="inlineStr">
        <is>
          <t>donor</t>
        </is>
      </c>
      <c r="H117" s="70" t="inlineStr">
        <is>
          <t>Dynamic purchasing system - Similar to a dynamic market, but only allowed for commonly used purchases. Tender notices are not required for future contracts. New suppliers can join at any time during the term of the market. Established under the Public Contracts Regulations 2015 or Utilities Contract</t>
        </is>
      </c>
      <c r="I117" s="70" t="inlineStr">
        <is>
          <t>From donor / international notice (1 lot) – read the tender document</t>
        </is>
      </c>
      <c r="J117" s="70" t="inlineStr">
        <is>
          <t>Not stated – read the notice</t>
        </is>
      </c>
      <c r="K117" s="70" t="inlineStr">
        <is>
          <t>building</t>
        </is>
      </c>
      <c r="L117" s="70" t="inlineStr">
        <is>
          <t>See tender document</t>
        </is>
      </c>
      <c r="M117" s="62" t="n"/>
      <c r="N117" s="70" t="inlineStr">
        <is>
          <t>unknown</t>
        </is>
      </c>
      <c r="O117" s="71" t="inlineStr">
        <is>
          <t>See tender document</t>
        </is>
      </c>
      <c r="P117" s="71" t="inlineStr">
        <is>
          <t>See tender document</t>
        </is>
      </c>
      <c r="Q117" s="72" t="n"/>
      <c r="R117" s="70" t="inlineStr">
        <is>
          <t>See tender document</t>
        </is>
      </c>
      <c r="S117" s="70" t="inlineStr">
        <is>
          <t>N</t>
        </is>
      </c>
      <c r="T117" s="64">
        <f>IF(A117="","",IFERROR(INDEX('Bid-NoBid'!$T:$T,MATCH(A117,'Bid-NoBid'!$A:$A,0)),""))</f>
        <v/>
      </c>
      <c r="U117" s="59">
        <f>IF(A117="","",IFERROR(IF(OR(INDEX('Bid-NoBid'!$U:$U,MATCH(A117,'Bid-NoBid'!$A:$A,0))="",LEFT(INDEX('Bid-NoBid'!$U:$U,MATCH(A117,'Bid-NoBid'!$A:$A,0)),10)="Incomplete"),"Screen: "&amp;AC117,INDEX('Bid-NoBid'!$U:$U,MATCH(A117,'Bid-NoBid'!$A:$A,0))),"Screen: "&amp;AC117))</f>
        <v/>
      </c>
      <c r="V117" s="60" t="n"/>
      <c r="W117" s="70" t="inlineStr">
        <is>
          <t>Watching</t>
        </is>
      </c>
      <c r="X117" s="70" t="inlineStr">
        <is>
          <t>Frank</t>
        </is>
      </c>
      <c r="Y117" s="60" t="n"/>
      <c r="Z117" s="60" t="n"/>
      <c r="AA117" s="73" t="n"/>
      <c r="AB117" s="74" t="inlineStr">
        <is>
          <t>UK Find a Tender – Tanzania (web page)</t>
        </is>
      </c>
      <c r="AC117" s="74" t="inlineStr">
        <is>
          <t>Check</t>
        </is>
      </c>
      <c r="AD117" s="74" t="inlineStr">
        <is>
          <t>Auto (UK Find a Tender – Tanzania): Deadline not shown on the source page – open the link and read the notice</t>
        </is>
      </c>
      <c r="AE117" s="67">
        <f>IF(ISNUMBER(Q117),ROUNDDOWN(Q117-NOW(),1),"")</f>
        <v/>
      </c>
      <c r="AF117" s="59">
        <f>IF(OR(A117="",AE117=""),"",IF(NOT(OR(W117="Watching",W117="Preparing")),"",IF(AE117&lt;0,"PASSED",IF(AND(AE117&lt;=7,W117&lt;&gt;"Preparing"),"RED",IF(AE117&lt;=14,"AMBER","GREEN")))))</f>
        <v/>
      </c>
      <c r="AG117" s="59">
        <f>IF(OR(A117="",NOT(OR(W117="Watching",W117="Preparing"))),"",IF(AND(ISNUMBER(M117),M117&gt;=3000000000),"YES – ≥ TZS 3bn",IF(AND(ISNUMBER(AE117),AE117&gt;=0,AE117&lt;10,V117=""),"YES – &lt;10 days","")))</f>
        <v/>
      </c>
      <c r="AH117" s="68" t="n"/>
      <c r="AI117" s="74" t="inlineStr">
        <is>
          <t>Read the notice and decide with the QS Director whether to pursue</t>
        </is>
      </c>
      <c r="AJ117" s="74" t="inlineStr">
        <is>
          <t>Auto-scan</t>
        </is>
      </c>
      <c r="AK117" s="74" t="inlineStr">
        <is>
          <t>WEB:uk_find_a_tender_tanzania:3988ff1eb778713a</t>
        </is>
      </c>
      <c r="AL117" s="59">
        <f>IF(AND(OR(W117="Watching",W117="Preparing"),ISNUMBER(Q117)),IF(AND(Q117&gt;='Friday Summary'!$C$4,Q117&lt;='Friday Summary'!$C$4+14),Q117+ROW()/1000000,""),"")</f>
        <v/>
      </c>
    </row>
    <row r="118" ht="15" customHeight="1" s="51">
      <c r="A118" s="59">
        <f>IF(B118="","","OP-"&amp;TEXT(ROW()-4,"000"))</f>
        <v/>
      </c>
      <c r="B118" s="70" t="inlineStr">
        <is>
          <t>(not shown)</t>
        </is>
      </c>
      <c r="C118" s="71" t="n">
        <v>46305</v>
      </c>
      <c r="D118" s="70" t="inlineStr">
        <is>
          <t>donor / international</t>
        </is>
      </c>
      <c r="E118" s="70" t="inlineStr">
        <is>
          <t>https://www.find-tender.service.gov.uk/Search/Results?keywords=Tanzania</t>
        </is>
      </c>
      <c r="F118" s="70" t="inlineStr">
        <is>
          <t>UK Government (FCDO / British High Commission)</t>
        </is>
      </c>
      <c r="G118" s="70" t="inlineStr">
        <is>
          <t>donor</t>
        </is>
      </c>
      <c r="H118" s="70" t="inlineStr">
        <is>
          <t>Select all Deselect all UK1: Pipeline notice UK2: Preliminary market engagement notice UK3: Planned procurement notice UK4: Tender notice UK5: Transparency notice UK6: Contract award notice UK7: Contract details notice UK9: Contract performance notice UK10: Contract change notice UK11: Contract term</t>
        </is>
      </c>
      <c r="I118" s="70" t="inlineStr">
        <is>
          <t>From donor / international notice (1 lot) – read the tender document</t>
        </is>
      </c>
      <c r="J118" s="70" t="inlineStr">
        <is>
          <t>Not stated – read the notice</t>
        </is>
      </c>
      <c r="K118" s="70" t="inlineStr">
        <is>
          <t>civil</t>
        </is>
      </c>
      <c r="L118" s="70" t="inlineStr">
        <is>
          <t>See tender document</t>
        </is>
      </c>
      <c r="M118" s="62" t="n"/>
      <c r="N118" s="70" t="inlineStr">
        <is>
          <t>unknown</t>
        </is>
      </c>
      <c r="O118" s="71" t="inlineStr">
        <is>
          <t>See tender document</t>
        </is>
      </c>
      <c r="P118" s="71" t="inlineStr">
        <is>
          <t>See tender document</t>
        </is>
      </c>
      <c r="Q118" s="72" t="n"/>
      <c r="R118" s="70" t="inlineStr">
        <is>
          <t>See tender document</t>
        </is>
      </c>
      <c r="S118" s="70" t="inlineStr">
        <is>
          <t>N</t>
        </is>
      </c>
      <c r="T118" s="64">
        <f>IF(A118="","",IFERROR(INDEX('Bid-NoBid'!$T:$T,MATCH(A118,'Bid-NoBid'!$A:$A,0)),""))</f>
        <v/>
      </c>
      <c r="U118" s="59">
        <f>IF(A118="","",IFERROR(IF(OR(INDEX('Bid-NoBid'!$U:$U,MATCH(A118,'Bid-NoBid'!$A:$A,0))="",LEFT(INDEX('Bid-NoBid'!$U:$U,MATCH(A118,'Bid-NoBid'!$A:$A,0)),10)="Incomplete"),"Screen: "&amp;AC118,INDEX('Bid-NoBid'!$U:$U,MATCH(A118,'Bid-NoBid'!$A:$A,0))),"Screen: "&amp;AC118))</f>
        <v/>
      </c>
      <c r="V118" s="60" t="n"/>
      <c r="W118" s="70" t="inlineStr">
        <is>
          <t>Watching</t>
        </is>
      </c>
      <c r="X118" s="70" t="inlineStr">
        <is>
          <t>Frank</t>
        </is>
      </c>
      <c r="Y118" s="60" t="n"/>
      <c r="Z118" s="60" t="n"/>
      <c r="AA118" s="73" t="n"/>
      <c r="AB118" s="74" t="inlineStr">
        <is>
          <t>UK Find a Tender – Tanzania (web page)</t>
        </is>
      </c>
      <c r="AC118" s="74" t="inlineStr">
        <is>
          <t>Check</t>
        </is>
      </c>
      <c r="AD118" s="74" t="inlineStr">
        <is>
          <t>Auto (UK Find a Tender – Tanzania): Deadline not shown on the source page – open the link and read the notice</t>
        </is>
      </c>
      <c r="AE118" s="67">
        <f>IF(ISNUMBER(Q118),ROUNDDOWN(Q118-NOW(),1),"")</f>
        <v/>
      </c>
      <c r="AF118" s="59">
        <f>IF(OR(A118="",AE118=""),"",IF(NOT(OR(W118="Watching",W118="Preparing")),"",IF(AE118&lt;0,"PASSED",IF(AND(AE118&lt;=7,W118&lt;&gt;"Preparing"),"RED",IF(AE118&lt;=14,"AMBER","GREEN")))))</f>
        <v/>
      </c>
      <c r="AG118" s="59">
        <f>IF(OR(A118="",NOT(OR(W118="Watching",W118="Preparing"))),"",IF(AND(ISNUMBER(M118),M118&gt;=3000000000),"YES – ≥ TZS 3bn",IF(AND(ISNUMBER(AE118),AE118&gt;=0,AE118&lt;10,V118=""),"YES – &lt;10 days","")))</f>
        <v/>
      </c>
      <c r="AH118" s="68" t="n"/>
      <c r="AI118" s="74" t="inlineStr">
        <is>
          <t>Read the notice and decide with the QS Director whether to pursue</t>
        </is>
      </c>
      <c r="AJ118" s="74" t="inlineStr">
        <is>
          <t>Auto-scan</t>
        </is>
      </c>
      <c r="AK118" s="74" t="inlineStr">
        <is>
          <t>WEB:uk_find_a_tender_tanzania:4530a50e6ff49889</t>
        </is>
      </c>
      <c r="AL118" s="59">
        <f>IF(AND(OR(W118="Watching",W118="Preparing"),ISNUMBER(Q118)),IF(AND(Q118&gt;='Friday Summary'!$C$4,Q118&lt;='Friday Summary'!$C$4+14),Q118+ROW()/1000000,""),"")</f>
        <v/>
      </c>
    </row>
    <row r="119" ht="15" customHeight="1" s="51">
      <c r="A119" s="59">
        <f>IF(B119="","","OP-"&amp;TEXT(ROW()-4,"000"))</f>
        <v/>
      </c>
      <c r="B119" s="70" t="inlineStr">
        <is>
          <t>(not shown)</t>
        </is>
      </c>
      <c r="C119" s="71" t="n">
        <v>46305</v>
      </c>
      <c r="D119" s="70" t="inlineStr">
        <is>
          <t>donor / international</t>
        </is>
      </c>
      <c r="E119" s="70" t="inlineStr">
        <is>
          <t>https://www.find-tender.service.gov.uk/Search/Results?keywords=Tanzania</t>
        </is>
      </c>
      <c r="F119" s="70" t="inlineStr">
        <is>
          <t>UK Government (FCDO / British High Commission)</t>
        </is>
      </c>
      <c r="G119" s="70" t="inlineStr">
        <is>
          <t>donor</t>
        </is>
      </c>
      <c r="H119" s="70" t="inlineStr">
        <is>
          <t>Procurement Act 2023 Select all Deselect all UK1: Pipeline notice UK2: Preliminary market engagement notice UK3: Planned procurement notice UK4: Tender notice UK5: Transparency notice UK6: Contract award notice UK7: Contract details notice UK9: Contract performance notice UK10: Contract change notic</t>
        </is>
      </c>
      <c r="I119" s="70" t="inlineStr">
        <is>
          <t>From donor / international notice (1 lot) – read the tender document</t>
        </is>
      </c>
      <c r="J119" s="70" t="inlineStr">
        <is>
          <t>Not stated – read the notice</t>
        </is>
      </c>
      <c r="K119" s="70" t="inlineStr">
        <is>
          <t>civil</t>
        </is>
      </c>
      <c r="L119" s="70" t="inlineStr">
        <is>
          <t>See tender document</t>
        </is>
      </c>
      <c r="M119" s="62" t="n"/>
      <c r="N119" s="70" t="inlineStr">
        <is>
          <t>unknown</t>
        </is>
      </c>
      <c r="O119" s="71" t="inlineStr">
        <is>
          <t>See tender document</t>
        </is>
      </c>
      <c r="P119" s="71" t="inlineStr">
        <is>
          <t>See tender document</t>
        </is>
      </c>
      <c r="Q119" s="72" t="n"/>
      <c r="R119" s="70" t="inlineStr">
        <is>
          <t>See tender document</t>
        </is>
      </c>
      <c r="S119" s="70" t="inlineStr">
        <is>
          <t>N</t>
        </is>
      </c>
      <c r="T119" s="64">
        <f>IF(A119="","",IFERROR(INDEX('Bid-NoBid'!$T:$T,MATCH(A119,'Bid-NoBid'!$A:$A,0)),""))</f>
        <v/>
      </c>
      <c r="U119" s="59">
        <f>IF(A119="","",IFERROR(IF(OR(INDEX('Bid-NoBid'!$U:$U,MATCH(A119,'Bid-NoBid'!$A:$A,0))="",LEFT(INDEX('Bid-NoBid'!$U:$U,MATCH(A119,'Bid-NoBid'!$A:$A,0)),10)="Incomplete"),"Screen: "&amp;AC119,INDEX('Bid-NoBid'!$U:$U,MATCH(A119,'Bid-NoBid'!$A:$A,0))),"Screen: "&amp;AC119))</f>
        <v/>
      </c>
      <c r="V119" s="60" t="n"/>
      <c r="W119" s="70" t="inlineStr">
        <is>
          <t>Watching</t>
        </is>
      </c>
      <c r="X119" s="70" t="inlineStr">
        <is>
          <t>Frank</t>
        </is>
      </c>
      <c r="Y119" s="60" t="n"/>
      <c r="Z119" s="60" t="n"/>
      <c r="AA119" s="73" t="n"/>
      <c r="AB119" s="74" t="inlineStr">
        <is>
          <t>UK Find a Tender – Tanzania (web page)</t>
        </is>
      </c>
      <c r="AC119" s="74" t="inlineStr">
        <is>
          <t>Check</t>
        </is>
      </c>
      <c r="AD119" s="74" t="inlineStr">
        <is>
          <t>Auto (UK Find a Tender – Tanzania): Deadline not shown on the source page – open the link and read the notice</t>
        </is>
      </c>
      <c r="AE119" s="67">
        <f>IF(ISNUMBER(Q119),ROUNDDOWN(Q119-NOW(),1),"")</f>
        <v/>
      </c>
      <c r="AF119" s="59">
        <f>IF(OR(A119="",AE119=""),"",IF(NOT(OR(W119="Watching",W119="Preparing")),"",IF(AE119&lt;0,"PASSED",IF(AND(AE119&lt;=7,W119&lt;&gt;"Preparing"),"RED",IF(AE119&lt;=14,"AMBER","GREEN")))))</f>
        <v/>
      </c>
      <c r="AG119" s="59">
        <f>IF(OR(A119="",NOT(OR(W119="Watching",W119="Preparing"))),"",IF(AND(ISNUMBER(M119),M119&gt;=3000000000),"YES – ≥ TZS 3bn",IF(AND(ISNUMBER(AE119),AE119&gt;=0,AE119&lt;10,V119=""),"YES – &lt;10 days","")))</f>
        <v/>
      </c>
      <c r="AH119" s="68" t="n"/>
      <c r="AI119" s="74" t="inlineStr">
        <is>
          <t>Read the notice and decide with the QS Director whether to pursue</t>
        </is>
      </c>
      <c r="AJ119" s="74" t="inlineStr">
        <is>
          <t>Auto-scan</t>
        </is>
      </c>
      <c r="AK119" s="74" t="inlineStr">
        <is>
          <t>WEB:uk_find_a_tender_tanzania:e0dc09032992961b</t>
        </is>
      </c>
      <c r="AL119" s="59">
        <f>IF(AND(OR(W119="Watching",W119="Preparing"),ISNUMBER(Q119)),IF(AND(Q119&gt;='Friday Summary'!$C$4,Q119&lt;='Friday Summary'!$C$4+14),Q119+ROW()/1000000,""),"")</f>
        <v/>
      </c>
    </row>
    <row r="120" ht="15" customHeight="1" s="51">
      <c r="A120" s="59">
        <f>IF(B120="","","OP-"&amp;TEXT(ROW()-4,"000"))</f>
        <v/>
      </c>
      <c r="B120" s="70" t="inlineStr">
        <is>
          <t>(not shown)</t>
        </is>
      </c>
      <c r="C120" s="71" t="n">
        <v>46305</v>
      </c>
      <c r="D120" s="70" t="inlineStr">
        <is>
          <t>donor / international</t>
        </is>
      </c>
      <c r="E120" s="70" t="inlineStr">
        <is>
          <t>https://www.find-tender.service.gov.uk/Search/Results?keywords=Tanzania</t>
        </is>
      </c>
      <c r="F120" s="70" t="inlineStr">
        <is>
          <t>UK Government (FCDO / British High Commission)</t>
        </is>
      </c>
      <c r="G120" s="70" t="inlineStr">
        <is>
          <t>donor</t>
        </is>
      </c>
      <c r="H120" s="70" t="inlineStr">
        <is>
          <t>Open opportunities - Planning or Tender stage notices with deadlines in the future Pipeline - Potential future contracts and dynamic markets - required for contracts over £2 million Planning - Early information or engagement about future contracts - bids not yet possible Tender - Bids can be submitt</t>
        </is>
      </c>
      <c r="I120" s="70" t="inlineStr">
        <is>
          <t>From donor / international notice (1 lot) – read the tender document</t>
        </is>
      </c>
      <c r="J120" s="70" t="inlineStr">
        <is>
          <t>Not stated – read the notice</t>
        </is>
      </c>
      <c r="K120" s="70" t="inlineStr">
        <is>
          <t>civil</t>
        </is>
      </c>
      <c r="L120" s="70" t="inlineStr">
        <is>
          <t>See tender document</t>
        </is>
      </c>
      <c r="M120" s="62" t="n"/>
      <c r="N120" s="70" t="inlineStr">
        <is>
          <t>unknown</t>
        </is>
      </c>
      <c r="O120" s="71" t="inlineStr">
        <is>
          <t>See tender document</t>
        </is>
      </c>
      <c r="P120" s="71" t="inlineStr">
        <is>
          <t>See tender document</t>
        </is>
      </c>
      <c r="Q120" s="72" t="n"/>
      <c r="R120" s="70" t="inlineStr">
        <is>
          <t>See tender document</t>
        </is>
      </c>
      <c r="S120" s="70" t="inlineStr">
        <is>
          <t>N</t>
        </is>
      </c>
      <c r="T120" s="64">
        <f>IF(A120="","",IFERROR(INDEX('Bid-NoBid'!$T:$T,MATCH(A120,'Bid-NoBid'!$A:$A,0)),""))</f>
        <v/>
      </c>
      <c r="U120" s="59">
        <f>IF(A120="","",IFERROR(IF(OR(INDEX('Bid-NoBid'!$U:$U,MATCH(A120,'Bid-NoBid'!$A:$A,0))="",LEFT(INDEX('Bid-NoBid'!$U:$U,MATCH(A120,'Bid-NoBid'!$A:$A,0)),10)="Incomplete"),"Screen: "&amp;AC120,INDEX('Bid-NoBid'!$U:$U,MATCH(A120,'Bid-NoBid'!$A:$A,0))),"Screen: "&amp;AC120))</f>
        <v/>
      </c>
      <c r="V120" s="60" t="n"/>
      <c r="W120" s="70" t="inlineStr">
        <is>
          <t>Watching</t>
        </is>
      </c>
      <c r="X120" s="70" t="inlineStr">
        <is>
          <t>Frank</t>
        </is>
      </c>
      <c r="Y120" s="60" t="n"/>
      <c r="Z120" s="60" t="n"/>
      <c r="AA120" s="73" t="n"/>
      <c r="AB120" s="74" t="inlineStr">
        <is>
          <t>UK Find a Tender – Tanzania (web page)</t>
        </is>
      </c>
      <c r="AC120" s="74" t="inlineStr">
        <is>
          <t>Check</t>
        </is>
      </c>
      <c r="AD120" s="74" t="inlineStr">
        <is>
          <t>Auto (UK Find a Tender – Tanzania): Deadline not shown on the source page – open the link and read the notice</t>
        </is>
      </c>
      <c r="AE120" s="67">
        <f>IF(ISNUMBER(Q120),ROUNDDOWN(Q120-NOW(),1),"")</f>
        <v/>
      </c>
      <c r="AF120" s="59">
        <f>IF(OR(A120="",AE120=""),"",IF(NOT(OR(W120="Watching",W120="Preparing")),"",IF(AE120&lt;0,"PASSED",IF(AND(AE120&lt;=7,W120&lt;&gt;"Preparing"),"RED",IF(AE120&lt;=14,"AMBER","GREEN")))))</f>
        <v/>
      </c>
      <c r="AG120" s="59">
        <f>IF(OR(A120="",NOT(OR(W120="Watching",W120="Preparing"))),"",IF(AND(ISNUMBER(M120),M120&gt;=3000000000),"YES – ≥ TZS 3bn",IF(AND(ISNUMBER(AE120),AE120&gt;=0,AE120&lt;10,V120=""),"YES – &lt;10 days","")))</f>
        <v/>
      </c>
      <c r="AH120" s="68" t="n"/>
      <c r="AI120" s="74" t="inlineStr">
        <is>
          <t>Read the notice and decide with the QS Director whether to pursue</t>
        </is>
      </c>
      <c r="AJ120" s="74" t="inlineStr">
        <is>
          <t>Auto-scan</t>
        </is>
      </c>
      <c r="AK120" s="74" t="inlineStr">
        <is>
          <t>WEB:uk_find_a_tender_tanzania:b27950ee1a9074a0</t>
        </is>
      </c>
      <c r="AL120" s="59">
        <f>IF(AND(OR(W120="Watching",W120="Preparing"),ISNUMBER(Q120)),IF(AND(Q120&gt;='Friday Summary'!$C$4,Q120&lt;='Friday Summary'!$C$4+14),Q120+ROW()/1000000,""),"")</f>
        <v/>
      </c>
    </row>
    <row r="121" ht="15" customHeight="1" s="51">
      <c r="A121" s="59">
        <f>IF(B121="","","OP-"&amp;TEXT(ROW()-4,"000"))</f>
        <v/>
      </c>
      <c r="B121" s="70" t="inlineStr">
        <is>
          <t>(not shown)</t>
        </is>
      </c>
      <c r="C121" s="71" t="n">
        <v>46305</v>
      </c>
      <c r="D121" s="70" t="inlineStr">
        <is>
          <t>aggregator</t>
        </is>
      </c>
      <c r="E121" s="70" t="inlineStr">
        <is>
          <t>https://www.globaltenders.com/tanzania-tenders.php</t>
        </is>
      </c>
      <c r="F121" s="70" t="inlineStr">
        <is>
          <t>See notice</t>
        </is>
      </c>
      <c r="G121" s="70" t="inlineStr">
        <is>
          <t>government</t>
        </is>
      </c>
      <c r="H121" s="70" t="inlineStr">
        <is>
          <t>How big is the Tanzania tender market?</t>
        </is>
      </c>
      <c r="I121" s="70" t="inlineStr">
        <is>
          <t>From aggregator notice (1 lot) – read the tender document</t>
        </is>
      </c>
      <c r="J121" s="70" t="inlineStr">
        <is>
          <t>Not stated – read the notice</t>
        </is>
      </c>
      <c r="K121" s="70" t="inlineStr">
        <is>
          <t>building</t>
        </is>
      </c>
      <c r="L121" s="70" t="inlineStr">
        <is>
          <t>See tender document</t>
        </is>
      </c>
      <c r="M121" s="62" t="n"/>
      <c r="N121" s="70" t="inlineStr">
        <is>
          <t>unknown</t>
        </is>
      </c>
      <c r="O121" s="71" t="inlineStr">
        <is>
          <t>See tender document</t>
        </is>
      </c>
      <c r="P121" s="71" t="inlineStr">
        <is>
          <t>See tender document</t>
        </is>
      </c>
      <c r="Q121" s="72" t="n"/>
      <c r="R121" s="70" t="inlineStr">
        <is>
          <t>See tender document</t>
        </is>
      </c>
      <c r="S121" s="70" t="inlineStr">
        <is>
          <t>N</t>
        </is>
      </c>
      <c r="T121" s="64">
        <f>IF(A121="","",IFERROR(INDEX('Bid-NoBid'!$T:$T,MATCH(A121,'Bid-NoBid'!$A:$A,0)),""))</f>
        <v/>
      </c>
      <c r="U121" s="59">
        <f>IF(A121="","",IFERROR(IF(OR(INDEX('Bid-NoBid'!$U:$U,MATCH(A121,'Bid-NoBid'!$A:$A,0))="",LEFT(INDEX('Bid-NoBid'!$U:$U,MATCH(A121,'Bid-NoBid'!$A:$A,0)),10)="Incomplete"),"Screen: "&amp;AC121,INDEX('Bid-NoBid'!$U:$U,MATCH(A121,'Bid-NoBid'!$A:$A,0))),"Screen: "&amp;AC121))</f>
        <v/>
      </c>
      <c r="V121" s="60" t="n"/>
      <c r="W121" s="70" t="inlineStr">
        <is>
          <t>Watching</t>
        </is>
      </c>
      <c r="X121" s="70" t="inlineStr">
        <is>
          <t>Frank</t>
        </is>
      </c>
      <c r="Y121" s="60" t="n"/>
      <c r="Z121" s="60" t="n"/>
      <c r="AA121" s="73" t="n"/>
      <c r="AB121" s="74" t="inlineStr">
        <is>
          <t>GlobalTenders – Tanzania (web page)</t>
        </is>
      </c>
      <c r="AC121" s="74" t="inlineStr">
        <is>
          <t>Check</t>
        </is>
      </c>
      <c r="AD121" s="74" t="inlineStr">
        <is>
          <t>Auto (GlobalTenders – Tanzania): Deadline not shown on the source page – open the link and read the notice</t>
        </is>
      </c>
      <c r="AE121" s="67">
        <f>IF(ISNUMBER(Q121),ROUNDDOWN(Q121-NOW(),1),"")</f>
        <v/>
      </c>
      <c r="AF121" s="59">
        <f>IF(OR(A121="",AE121=""),"",IF(NOT(OR(W121="Watching",W121="Preparing")),"",IF(AE121&lt;0,"PASSED",IF(AND(AE121&lt;=7,W121&lt;&gt;"Preparing"),"RED",IF(AE121&lt;=14,"AMBER","GREEN")))))</f>
        <v/>
      </c>
      <c r="AG121" s="59">
        <f>IF(OR(A121="",NOT(OR(W121="Watching",W121="Preparing"))),"",IF(AND(ISNUMBER(M121),M121&gt;=3000000000),"YES – ≥ TZS 3bn",IF(AND(ISNUMBER(AE121),AE121&gt;=0,AE121&lt;10,V121=""),"YES – &lt;10 days","")))</f>
        <v/>
      </c>
      <c r="AH121" s="68" t="n"/>
      <c r="AI121" s="74" t="inlineStr">
        <is>
          <t>Read the notice and decide with the QS Director whether to pursue</t>
        </is>
      </c>
      <c r="AJ121" s="74" t="inlineStr">
        <is>
          <t>Auto-scan</t>
        </is>
      </c>
      <c r="AK121" s="74" t="inlineStr">
        <is>
          <t>WEB:globaltenders_tanzania:a0d13a4cbcf28fc7</t>
        </is>
      </c>
      <c r="AL121" s="59">
        <f>IF(AND(OR(W121="Watching",W121="Preparing"),ISNUMBER(Q121)),IF(AND(Q121&gt;='Friday Summary'!$C$4,Q121&lt;='Friday Summary'!$C$4+14),Q121+ROW()/1000000,""),"")</f>
        <v/>
      </c>
    </row>
    <row r="122" ht="15" customHeight="1" s="51">
      <c r="A122" s="59">
        <f>IF(B122="","","OP-"&amp;TEXT(ROW()-4,"000"))</f>
        <v/>
      </c>
      <c r="B122" s="70" t="inlineStr">
        <is>
          <t>(not shown)</t>
        </is>
      </c>
      <c r="C122" s="71" t="n">
        <v>46305</v>
      </c>
      <c r="D122" s="70" t="inlineStr">
        <is>
          <t>aggregator</t>
        </is>
      </c>
      <c r="E122" s="70" t="inlineStr">
        <is>
          <t>https://www.globaltenders.com/contract-awards/tender-awards-tanzania</t>
        </is>
      </c>
      <c r="F122" s="70" t="inlineStr">
        <is>
          <t>See notice</t>
        </is>
      </c>
      <c r="G122" s="70" t="inlineStr">
        <is>
          <t>government</t>
        </is>
      </c>
      <c r="H122" s="70" t="inlineStr">
        <is>
          <t>Research Tanzania market rates and competitor pricing by searching past Tanzania tenders and contract awards - Tanzania tender winners</t>
        </is>
      </c>
      <c r="I122" s="70" t="inlineStr">
        <is>
          <t>From aggregator notice (1 lot) – read the tender document</t>
        </is>
      </c>
      <c r="J122" s="70" t="inlineStr">
        <is>
          <t>Not stated – read the notice</t>
        </is>
      </c>
      <c r="K122" s="70" t="inlineStr">
        <is>
          <t>building</t>
        </is>
      </c>
      <c r="L122" s="70" t="inlineStr">
        <is>
          <t>See tender document</t>
        </is>
      </c>
      <c r="M122" s="62" t="n"/>
      <c r="N122" s="70" t="inlineStr">
        <is>
          <t>unknown</t>
        </is>
      </c>
      <c r="O122" s="71" t="inlineStr">
        <is>
          <t>See tender document</t>
        </is>
      </c>
      <c r="P122" s="71" t="inlineStr">
        <is>
          <t>See tender document</t>
        </is>
      </c>
      <c r="Q122" s="72" t="n"/>
      <c r="R122" s="70" t="inlineStr">
        <is>
          <t>See tender document</t>
        </is>
      </c>
      <c r="S122" s="70" t="inlineStr">
        <is>
          <t>N</t>
        </is>
      </c>
      <c r="T122" s="64">
        <f>IF(A122="","",IFERROR(INDEX('Bid-NoBid'!$T:$T,MATCH(A122,'Bid-NoBid'!$A:$A,0)),""))</f>
        <v/>
      </c>
      <c r="U122" s="59">
        <f>IF(A122="","",IFERROR(IF(OR(INDEX('Bid-NoBid'!$U:$U,MATCH(A122,'Bid-NoBid'!$A:$A,0))="",LEFT(INDEX('Bid-NoBid'!$U:$U,MATCH(A122,'Bid-NoBid'!$A:$A,0)),10)="Incomplete"),"Screen: "&amp;AC122,INDEX('Bid-NoBid'!$U:$U,MATCH(A122,'Bid-NoBid'!$A:$A,0))),"Screen: "&amp;AC122))</f>
        <v/>
      </c>
      <c r="V122" s="60" t="n"/>
      <c r="W122" s="70" t="inlineStr">
        <is>
          <t>Watching</t>
        </is>
      </c>
      <c r="X122" s="70" t="inlineStr">
        <is>
          <t>Frank</t>
        </is>
      </c>
      <c r="Y122" s="60" t="n"/>
      <c r="Z122" s="60" t="n"/>
      <c r="AA122" s="73" t="n"/>
      <c r="AB122" s="74" t="inlineStr">
        <is>
          <t>GlobalTenders – Tanzania (web page)</t>
        </is>
      </c>
      <c r="AC122" s="74" t="inlineStr">
        <is>
          <t>Check</t>
        </is>
      </c>
      <c r="AD122" s="74" t="inlineStr">
        <is>
          <t>Auto (GlobalTenders – Tanzania): Deadline not shown on the source page – open the link and read the notice</t>
        </is>
      </c>
      <c r="AE122" s="67">
        <f>IF(ISNUMBER(Q122),ROUNDDOWN(Q122-NOW(),1),"")</f>
        <v/>
      </c>
      <c r="AF122" s="59">
        <f>IF(OR(A122="",AE122=""),"",IF(NOT(OR(W122="Watching",W122="Preparing")),"",IF(AE122&lt;0,"PASSED",IF(AND(AE122&lt;=7,W122&lt;&gt;"Preparing"),"RED",IF(AE122&lt;=14,"AMBER","GREEN")))))</f>
        <v/>
      </c>
      <c r="AG122" s="59">
        <f>IF(OR(A122="",NOT(OR(W122="Watching",W122="Preparing"))),"",IF(AND(ISNUMBER(M122),M122&gt;=3000000000),"YES – ≥ TZS 3bn",IF(AND(ISNUMBER(AE122),AE122&gt;=0,AE122&lt;10,V122=""),"YES – &lt;10 days","")))</f>
        <v/>
      </c>
      <c r="AH122" s="68" t="n"/>
      <c r="AI122" s="74" t="inlineStr">
        <is>
          <t>Read the notice and decide with the QS Director whether to pursue</t>
        </is>
      </c>
      <c r="AJ122" s="74" t="inlineStr">
        <is>
          <t>Auto-scan</t>
        </is>
      </c>
      <c r="AK122" s="74" t="inlineStr">
        <is>
          <t>WEB:globaltenders_tanzania:63b1de7562d8ed23</t>
        </is>
      </c>
      <c r="AL122" s="59">
        <f>IF(AND(OR(W122="Watching",W122="Preparing"),ISNUMBER(Q122)),IF(AND(Q122&gt;='Friday Summary'!$C$4,Q122&lt;='Friday Summary'!$C$4+14),Q122+ROW()/1000000,""),"")</f>
        <v/>
      </c>
    </row>
    <row r="123" ht="15" customHeight="1" s="51">
      <c r="A123" s="59">
        <f>IF(B123="","","OP-"&amp;TEXT(ROW()-4,"000"))</f>
        <v/>
      </c>
      <c r="B123" s="70" t="inlineStr">
        <is>
          <t>(not shown)</t>
        </is>
      </c>
      <c r="C123" s="71" t="n">
        <v>46305</v>
      </c>
      <c r="D123" s="70" t="inlineStr">
        <is>
          <t>aggregator</t>
        </is>
      </c>
      <c r="E123" s="70" t="inlineStr">
        <is>
          <t>https://www.globaltenders.com/tanzania-tenders.php</t>
        </is>
      </c>
      <c r="F123" s="70" t="inlineStr">
        <is>
          <t>See notice</t>
        </is>
      </c>
      <c r="G123" s="70" t="inlineStr">
        <is>
          <t>government</t>
        </is>
      </c>
      <c r="H123" s="70" t="inlineStr">
        <is>
          <t>The Tanzania tender market is estimated to be worth over US$10 billion per year. This includes tenders for all types of goods, services, and works.</t>
        </is>
      </c>
      <c r="I123" s="70" t="inlineStr">
        <is>
          <t>From aggregator notice (1 lot) – read the tender document</t>
        </is>
      </c>
      <c r="J123" s="70" t="inlineStr">
        <is>
          <t>Not stated – read the notice</t>
        </is>
      </c>
      <c r="K123" s="70" t="inlineStr">
        <is>
          <t>building</t>
        </is>
      </c>
      <c r="L123" s="70" t="inlineStr">
        <is>
          <t>See tender document</t>
        </is>
      </c>
      <c r="M123" s="62" t="n"/>
      <c r="N123" s="70" t="inlineStr">
        <is>
          <t>unknown</t>
        </is>
      </c>
      <c r="O123" s="71" t="inlineStr">
        <is>
          <t>See tender document</t>
        </is>
      </c>
      <c r="P123" s="71" t="inlineStr">
        <is>
          <t>See tender document</t>
        </is>
      </c>
      <c r="Q123" s="72" t="n"/>
      <c r="R123" s="70" t="inlineStr">
        <is>
          <t>See tender document</t>
        </is>
      </c>
      <c r="S123" s="70" t="inlineStr">
        <is>
          <t>N</t>
        </is>
      </c>
      <c r="T123" s="64">
        <f>IF(A123="","",IFERROR(INDEX('Bid-NoBid'!$T:$T,MATCH(A123,'Bid-NoBid'!$A:$A,0)),""))</f>
        <v/>
      </c>
      <c r="U123" s="59">
        <f>IF(A123="","",IFERROR(IF(OR(INDEX('Bid-NoBid'!$U:$U,MATCH(A123,'Bid-NoBid'!$A:$A,0))="",LEFT(INDEX('Bid-NoBid'!$U:$U,MATCH(A123,'Bid-NoBid'!$A:$A,0)),10)="Incomplete"),"Screen: "&amp;AC123,INDEX('Bid-NoBid'!$U:$U,MATCH(A123,'Bid-NoBid'!$A:$A,0))),"Screen: "&amp;AC123))</f>
        <v/>
      </c>
      <c r="V123" s="60" t="n"/>
      <c r="W123" s="70" t="inlineStr">
        <is>
          <t>Watching</t>
        </is>
      </c>
      <c r="X123" s="70" t="inlineStr">
        <is>
          <t>Frank</t>
        </is>
      </c>
      <c r="Y123" s="60" t="n"/>
      <c r="Z123" s="60" t="n"/>
      <c r="AA123" s="73" t="n"/>
      <c r="AB123" s="74" t="inlineStr">
        <is>
          <t>GlobalTenders – Tanzania (web page)</t>
        </is>
      </c>
      <c r="AC123" s="74" t="inlineStr">
        <is>
          <t>Check</t>
        </is>
      </c>
      <c r="AD123" s="74" t="inlineStr">
        <is>
          <t>Auto (GlobalTenders – Tanzania): Deadline not shown on the source page – open the link and read the notice</t>
        </is>
      </c>
      <c r="AE123" s="67">
        <f>IF(ISNUMBER(Q123),ROUNDDOWN(Q123-NOW(),1),"")</f>
        <v/>
      </c>
      <c r="AF123" s="59">
        <f>IF(OR(A123="",AE123=""),"",IF(NOT(OR(W123="Watching",W123="Preparing")),"",IF(AE123&lt;0,"PASSED",IF(AND(AE123&lt;=7,W123&lt;&gt;"Preparing"),"RED",IF(AE123&lt;=14,"AMBER","GREEN")))))</f>
        <v/>
      </c>
      <c r="AG123" s="59">
        <f>IF(OR(A123="",NOT(OR(W123="Watching",W123="Preparing"))),"",IF(AND(ISNUMBER(M123),M123&gt;=3000000000),"YES – ≥ TZS 3bn",IF(AND(ISNUMBER(AE123),AE123&gt;=0,AE123&lt;10,V123=""),"YES – &lt;10 days","")))</f>
        <v/>
      </c>
      <c r="AH123" s="68" t="n"/>
      <c r="AI123" s="74" t="inlineStr">
        <is>
          <t>Read the notice and decide with the QS Director whether to pursue</t>
        </is>
      </c>
      <c r="AJ123" s="74" t="inlineStr">
        <is>
          <t>Auto-scan</t>
        </is>
      </c>
      <c r="AK123" s="74" t="inlineStr">
        <is>
          <t>WEB:globaltenders_tanzania:f5fa7079d06711e1</t>
        </is>
      </c>
      <c r="AL123" s="59">
        <f>IF(AND(OR(W123="Watching",W123="Preparing"),ISNUMBER(Q123)),IF(AND(Q123&gt;='Friday Summary'!$C$4,Q123&lt;='Friday Summary'!$C$4+14),Q123+ROW()/1000000,""),"")</f>
        <v/>
      </c>
    </row>
    <row r="124" ht="15" customHeight="1" s="51">
      <c r="A124" s="59">
        <f>IF(B124="","","OP-"&amp;TEXT(ROW()-4,"000"))</f>
        <v/>
      </c>
      <c r="B124" s="70" t="inlineStr">
        <is>
          <t>(not shown)</t>
        </is>
      </c>
      <c r="C124" s="71" t="n">
        <v>46305</v>
      </c>
      <c r="D124" s="70" t="inlineStr">
        <is>
          <t>aggregator</t>
        </is>
      </c>
      <c r="E124" s="70" t="inlineStr">
        <is>
          <t>https://www.globaltenders.com/contract-awards/tender-awards-tanzania</t>
        </is>
      </c>
      <c r="F124" s="70" t="inlineStr">
        <is>
          <t>See notice</t>
        </is>
      </c>
      <c r="G124" s="70" t="inlineStr">
        <is>
          <t>government</t>
        </is>
      </c>
      <c r="H124" s="70" t="inlineStr">
        <is>
          <t xml:space="preserve">Find relevant Tanzania tenders on official and local websites, journals, newspapers or on aggregator portals like Global tenders. Check Eligibility to bid for the Tanzania tender. Research Tanzania market rates and competitor pricing by searching past Tanzania tenders and contract awards - Tanzania </t>
        </is>
      </c>
      <c r="I124" s="70" t="inlineStr">
        <is>
          <t>From aggregator notice (1 lot) – read the tender document</t>
        </is>
      </c>
      <c r="J124" s="70" t="inlineStr">
        <is>
          <t>Not stated – read the notice</t>
        </is>
      </c>
      <c r="K124" s="70" t="inlineStr">
        <is>
          <t>building</t>
        </is>
      </c>
      <c r="L124" s="70" t="inlineStr">
        <is>
          <t>See tender document</t>
        </is>
      </c>
      <c r="M124" s="62" t="n"/>
      <c r="N124" s="70" t="inlineStr">
        <is>
          <t>unknown</t>
        </is>
      </c>
      <c r="O124" s="71" t="inlineStr">
        <is>
          <t>See tender document</t>
        </is>
      </c>
      <c r="P124" s="71" t="inlineStr">
        <is>
          <t>See tender document</t>
        </is>
      </c>
      <c r="Q124" s="72" t="n"/>
      <c r="R124" s="70" t="inlineStr">
        <is>
          <t>See tender document</t>
        </is>
      </c>
      <c r="S124" s="70" t="inlineStr">
        <is>
          <t>N</t>
        </is>
      </c>
      <c r="T124" s="64">
        <f>IF(A124="","",IFERROR(INDEX('Bid-NoBid'!$T:$T,MATCH(A124,'Bid-NoBid'!$A:$A,0)),""))</f>
        <v/>
      </c>
      <c r="U124" s="59">
        <f>IF(A124="","",IFERROR(IF(OR(INDEX('Bid-NoBid'!$U:$U,MATCH(A124,'Bid-NoBid'!$A:$A,0))="",LEFT(INDEX('Bid-NoBid'!$U:$U,MATCH(A124,'Bid-NoBid'!$A:$A,0)),10)="Incomplete"),"Screen: "&amp;AC124,INDEX('Bid-NoBid'!$U:$U,MATCH(A124,'Bid-NoBid'!$A:$A,0))),"Screen: "&amp;AC124))</f>
        <v/>
      </c>
      <c r="V124" s="60" t="n"/>
      <c r="W124" s="70" t="inlineStr">
        <is>
          <t>Watching</t>
        </is>
      </c>
      <c r="X124" s="70" t="inlineStr">
        <is>
          <t>Frank</t>
        </is>
      </c>
      <c r="Y124" s="60" t="n"/>
      <c r="Z124" s="60" t="n"/>
      <c r="AA124" s="73" t="n"/>
      <c r="AB124" s="74" t="inlineStr">
        <is>
          <t>GlobalTenders – Tanzania (web page)</t>
        </is>
      </c>
      <c r="AC124" s="74" t="inlineStr">
        <is>
          <t>Check</t>
        </is>
      </c>
      <c r="AD124" s="74" t="inlineStr">
        <is>
          <t>Auto (GlobalTenders – Tanzania): Deadline not shown on the source page – open the link and read the notice</t>
        </is>
      </c>
      <c r="AE124" s="67">
        <f>IF(ISNUMBER(Q124),ROUNDDOWN(Q124-NOW(),1),"")</f>
        <v/>
      </c>
      <c r="AF124" s="59">
        <f>IF(OR(A124="",AE124=""),"",IF(NOT(OR(W124="Watching",W124="Preparing")),"",IF(AE124&lt;0,"PASSED",IF(AND(AE124&lt;=7,W124&lt;&gt;"Preparing"),"RED",IF(AE124&lt;=14,"AMBER","GREEN")))))</f>
        <v/>
      </c>
      <c r="AG124" s="59">
        <f>IF(OR(A124="",NOT(OR(W124="Watching",W124="Preparing"))),"",IF(AND(ISNUMBER(M124),M124&gt;=3000000000),"YES – ≥ TZS 3bn",IF(AND(ISNUMBER(AE124),AE124&gt;=0,AE124&lt;10,V124=""),"YES – &lt;10 days","")))</f>
        <v/>
      </c>
      <c r="AH124" s="68" t="n"/>
      <c r="AI124" s="74" t="inlineStr">
        <is>
          <t>Read the notice and decide with the QS Director whether to pursue</t>
        </is>
      </c>
      <c r="AJ124" s="74" t="inlineStr">
        <is>
          <t>Auto-scan</t>
        </is>
      </c>
      <c r="AK124" s="74" t="inlineStr">
        <is>
          <t>WEB:globaltenders_tanzania:0df4cf4d46a06988</t>
        </is>
      </c>
      <c r="AL124" s="59">
        <f>IF(AND(OR(W124="Watching",W124="Preparing"),ISNUMBER(Q124)),IF(AND(Q124&gt;='Friday Summary'!$C$4,Q124&lt;='Friday Summary'!$C$4+14),Q124+ROW()/1000000,""),"")</f>
        <v/>
      </c>
    </row>
    <row r="125" ht="15" customHeight="1" s="51">
      <c r="A125" s="59">
        <f>IF(B125="","","OP-"&amp;TEXT(ROW()-4,"000"))</f>
        <v/>
      </c>
      <c r="B125" s="70" t="inlineStr">
        <is>
          <t>(not shown)</t>
        </is>
      </c>
      <c r="C125" s="71" t="n">
        <v>46305</v>
      </c>
      <c r="D125" s="70" t="inlineStr">
        <is>
          <t>aggregator</t>
        </is>
      </c>
      <c r="E125" s="70" t="inlineStr">
        <is>
          <t>https://www.globaltenders.com/contract-awards/tender-awards-tanzania</t>
        </is>
      </c>
      <c r="F125" s="70" t="inlineStr">
        <is>
          <t>See notice</t>
        </is>
      </c>
      <c r="G125" s="70" t="inlineStr">
        <is>
          <t>government</t>
        </is>
      </c>
      <c r="H125" s="70" t="inlineStr">
        <is>
          <t>How to bid on Tanzania tenders? Find relevant Tanzania tenders on official and local websites, journals, newspapers or on aggregator portals like Global tenders. Check Eligibility to bid for the Tanzania tender. Research Tanzania market rates and competitor pricing by searching past Tanzania tenders</t>
        </is>
      </c>
      <c r="I125" s="70" t="inlineStr">
        <is>
          <t>From aggregator notice (1 lot) – read the tender document</t>
        </is>
      </c>
      <c r="J125" s="70" t="inlineStr">
        <is>
          <t>Not stated – read the notice</t>
        </is>
      </c>
      <c r="K125" s="70" t="inlineStr">
        <is>
          <t>building</t>
        </is>
      </c>
      <c r="L125" s="70" t="inlineStr">
        <is>
          <t>See tender document</t>
        </is>
      </c>
      <c r="M125" s="62" t="n"/>
      <c r="N125" s="70" t="inlineStr">
        <is>
          <t>unknown</t>
        </is>
      </c>
      <c r="O125" s="71" t="inlineStr">
        <is>
          <t>See tender document</t>
        </is>
      </c>
      <c r="P125" s="71" t="inlineStr">
        <is>
          <t>See tender document</t>
        </is>
      </c>
      <c r="Q125" s="72" t="n"/>
      <c r="R125" s="70" t="inlineStr">
        <is>
          <t>See tender document</t>
        </is>
      </c>
      <c r="S125" s="70" t="inlineStr">
        <is>
          <t>N</t>
        </is>
      </c>
      <c r="T125" s="64">
        <f>IF(A125="","",IFERROR(INDEX('Bid-NoBid'!$T:$T,MATCH(A125,'Bid-NoBid'!$A:$A,0)),""))</f>
        <v/>
      </c>
      <c r="U125" s="59">
        <f>IF(A125="","",IFERROR(IF(OR(INDEX('Bid-NoBid'!$U:$U,MATCH(A125,'Bid-NoBid'!$A:$A,0))="",LEFT(INDEX('Bid-NoBid'!$U:$U,MATCH(A125,'Bid-NoBid'!$A:$A,0)),10)="Incomplete"),"Screen: "&amp;AC125,INDEX('Bid-NoBid'!$U:$U,MATCH(A125,'Bid-NoBid'!$A:$A,0))),"Screen: "&amp;AC125))</f>
        <v/>
      </c>
      <c r="V125" s="60" t="n"/>
      <c r="W125" s="70" t="inlineStr">
        <is>
          <t>Watching</t>
        </is>
      </c>
      <c r="X125" s="70" t="inlineStr">
        <is>
          <t>Frank</t>
        </is>
      </c>
      <c r="Y125" s="60" t="n"/>
      <c r="Z125" s="60" t="n"/>
      <c r="AA125" s="73" t="n"/>
      <c r="AB125" s="74" t="inlineStr">
        <is>
          <t>GlobalTenders – Tanzania (web page)</t>
        </is>
      </c>
      <c r="AC125" s="74" t="inlineStr">
        <is>
          <t>Check</t>
        </is>
      </c>
      <c r="AD125" s="74" t="inlineStr">
        <is>
          <t>Auto (GlobalTenders – Tanzania): Deadline not shown on the source page – open the link and read the notice</t>
        </is>
      </c>
      <c r="AE125" s="67">
        <f>IF(ISNUMBER(Q125),ROUNDDOWN(Q125-NOW(),1),"")</f>
        <v/>
      </c>
      <c r="AF125" s="59">
        <f>IF(OR(A125="",AE125=""),"",IF(NOT(OR(W125="Watching",W125="Preparing")),"",IF(AE125&lt;0,"PASSED",IF(AND(AE125&lt;=7,W125&lt;&gt;"Preparing"),"RED",IF(AE125&lt;=14,"AMBER","GREEN")))))</f>
        <v/>
      </c>
      <c r="AG125" s="59">
        <f>IF(OR(A125="",NOT(OR(W125="Watching",W125="Preparing"))),"",IF(AND(ISNUMBER(M125),M125&gt;=3000000000),"YES – ≥ TZS 3bn",IF(AND(ISNUMBER(AE125),AE125&gt;=0,AE125&lt;10,V125=""),"YES – &lt;10 days","")))</f>
        <v/>
      </c>
      <c r="AH125" s="68" t="n"/>
      <c r="AI125" s="74" t="inlineStr">
        <is>
          <t>Read the notice and decide with the QS Director whether to pursue</t>
        </is>
      </c>
      <c r="AJ125" s="74" t="inlineStr">
        <is>
          <t>Auto-scan</t>
        </is>
      </c>
      <c r="AK125" s="74" t="inlineStr">
        <is>
          <t>WEB:globaltenders_tanzania:0ae0892e821e9b9e</t>
        </is>
      </c>
      <c r="AL125" s="59">
        <f>IF(AND(OR(W125="Watching",W125="Preparing"),ISNUMBER(Q125)),IF(AND(Q125&gt;='Friday Summary'!$C$4,Q125&lt;='Friday Summary'!$C$4+14),Q125+ROW()/1000000,""),"")</f>
        <v/>
      </c>
    </row>
    <row r="126" ht="15" customHeight="1" s="51">
      <c r="A126" s="59">
        <f>IF(B126="","","OP-"&amp;TEXT(ROW()-4,"000"))</f>
        <v/>
      </c>
      <c r="B126" s="70" t="inlineStr">
        <is>
          <t>(not shown)</t>
        </is>
      </c>
      <c r="C126" s="71" t="n">
        <v>46305</v>
      </c>
      <c r="D126" s="70" t="inlineStr">
        <is>
          <t>aggregator</t>
        </is>
      </c>
      <c r="E126" s="70" t="inlineStr">
        <is>
          <t>https://www.tenderimpulse.com/infrastructure-and-construction-tenders</t>
        </is>
      </c>
      <c r="F126" s="70" t="inlineStr">
        <is>
          <t>See notice</t>
        </is>
      </c>
      <c r="G126" s="70" t="inlineStr">
        <is>
          <t>government</t>
        </is>
      </c>
      <c r="H126" s="70" t="inlineStr">
        <is>
          <t>Infrastructure &amp; Construction Tenders</t>
        </is>
      </c>
      <c r="I126" s="70" t="inlineStr">
        <is>
          <t>From aggregator notice (1 lot) – read the tender document</t>
        </is>
      </c>
      <c r="J126" s="70" t="inlineStr">
        <is>
          <t>Not stated – read the notice</t>
        </is>
      </c>
      <c r="K126" s="70" t="inlineStr">
        <is>
          <t>building</t>
        </is>
      </c>
      <c r="L126" s="70" t="inlineStr">
        <is>
          <t>See tender document</t>
        </is>
      </c>
      <c r="M126" s="62" t="n"/>
      <c r="N126" s="70" t="inlineStr">
        <is>
          <t>unknown</t>
        </is>
      </c>
      <c r="O126" s="71" t="inlineStr">
        <is>
          <t>See tender document</t>
        </is>
      </c>
      <c r="P126" s="71" t="inlineStr">
        <is>
          <t>See tender document</t>
        </is>
      </c>
      <c r="Q126" s="72" t="n"/>
      <c r="R126" s="70" t="inlineStr">
        <is>
          <t>See tender document</t>
        </is>
      </c>
      <c r="S126" s="70" t="inlineStr">
        <is>
          <t>N</t>
        </is>
      </c>
      <c r="T126" s="64">
        <f>IF(A126="","",IFERROR(INDEX('Bid-NoBid'!$T:$T,MATCH(A126,'Bid-NoBid'!$A:$A,0)),""))</f>
        <v/>
      </c>
      <c r="U126" s="59">
        <f>IF(A126="","",IFERROR(IF(OR(INDEX('Bid-NoBid'!$U:$U,MATCH(A126,'Bid-NoBid'!$A:$A,0))="",LEFT(INDEX('Bid-NoBid'!$U:$U,MATCH(A126,'Bid-NoBid'!$A:$A,0)),10)="Incomplete"),"Screen: "&amp;AC126,INDEX('Bid-NoBid'!$U:$U,MATCH(A126,'Bid-NoBid'!$A:$A,0))),"Screen: "&amp;AC126))</f>
        <v/>
      </c>
      <c r="V126" s="60" t="n"/>
      <c r="W126" s="70" t="inlineStr">
        <is>
          <t>Watching</t>
        </is>
      </c>
      <c r="X126" s="70" t="inlineStr">
        <is>
          <t>Frank</t>
        </is>
      </c>
      <c r="Y126" s="60" t="n"/>
      <c r="Z126" s="60" t="n"/>
      <c r="AA126" s="73" t="n"/>
      <c r="AB126" s="74" t="inlineStr">
        <is>
          <t>TenderImpulse – Tanzania (web page)</t>
        </is>
      </c>
      <c r="AC126" s="74" t="inlineStr">
        <is>
          <t>Check</t>
        </is>
      </c>
      <c r="AD126" s="74" t="inlineStr">
        <is>
          <t>Auto (TenderImpulse – Tanzania): Deadline not shown on the source page – open the link and read the notice</t>
        </is>
      </c>
      <c r="AE126" s="67">
        <f>IF(ISNUMBER(Q126),ROUNDDOWN(Q126-NOW(),1),"")</f>
        <v/>
      </c>
      <c r="AF126" s="59">
        <f>IF(OR(A126="",AE126=""),"",IF(NOT(OR(W126="Watching",W126="Preparing")),"",IF(AE126&lt;0,"PASSED",IF(AND(AE126&lt;=7,W126&lt;&gt;"Preparing"),"RED",IF(AE126&lt;=14,"AMBER","GREEN")))))</f>
        <v/>
      </c>
      <c r="AG126" s="59">
        <f>IF(OR(A126="",NOT(OR(W126="Watching",W126="Preparing"))),"",IF(AND(ISNUMBER(M126),M126&gt;=3000000000),"YES – ≥ TZS 3bn",IF(AND(ISNUMBER(AE126),AE126&gt;=0,AE126&lt;10,V126=""),"YES – &lt;10 days","")))</f>
        <v/>
      </c>
      <c r="AH126" s="68" t="n"/>
      <c r="AI126" s="74" t="inlineStr">
        <is>
          <t>Read the notice and decide with the QS Director whether to pursue</t>
        </is>
      </c>
      <c r="AJ126" s="74" t="inlineStr">
        <is>
          <t>Auto-scan</t>
        </is>
      </c>
      <c r="AK126" s="74" t="inlineStr">
        <is>
          <t>WEB:tenderimpulse_tanzania:491217e64d5d9d48</t>
        </is>
      </c>
      <c r="AL126" s="59">
        <f>IF(AND(OR(W126="Watching",W126="Preparing"),ISNUMBER(Q126)),IF(AND(Q126&gt;='Friday Summary'!$C$4,Q126&lt;='Friday Summary'!$C$4+14),Q126+ROW()/1000000,""),"")</f>
        <v/>
      </c>
    </row>
    <row r="127" ht="15" customHeight="1" s="51">
      <c r="A127" s="59">
        <f>IF(B127="","","OP-"&amp;TEXT(ROW()-4,"000"))</f>
        <v/>
      </c>
      <c r="B127" s="70" t="inlineStr">
        <is>
          <t>(not shown)</t>
        </is>
      </c>
      <c r="C127" s="71" t="n">
        <v>46305</v>
      </c>
      <c r="D127" s="70" t="inlineStr">
        <is>
          <t>aggregator</t>
        </is>
      </c>
      <c r="E127" s="70" t="inlineStr">
        <is>
          <t>https://www.tenderimpulse.com/tanzania-tenders</t>
        </is>
      </c>
      <c r="F127" s="70" t="inlineStr">
        <is>
          <t>See notice</t>
        </is>
      </c>
      <c r="G127" s="70" t="inlineStr">
        <is>
          <t>government</t>
        </is>
      </c>
      <c r="H127" s="70" t="inlineStr">
        <is>
          <t>Construction: Construct a bright future for Tanzania with a vast construction tenders.</t>
        </is>
      </c>
      <c r="I127" s="70" t="inlineStr">
        <is>
          <t>From aggregator notice (1 lot) – read the tender document</t>
        </is>
      </c>
      <c r="J127" s="70" t="inlineStr">
        <is>
          <t>Not stated – read the notice</t>
        </is>
      </c>
      <c r="K127" s="70" t="inlineStr">
        <is>
          <t>building</t>
        </is>
      </c>
      <c r="L127" s="70" t="inlineStr">
        <is>
          <t>See tender document</t>
        </is>
      </c>
      <c r="M127" s="62" t="n"/>
      <c r="N127" s="70" t="inlineStr">
        <is>
          <t>unknown</t>
        </is>
      </c>
      <c r="O127" s="71" t="inlineStr">
        <is>
          <t>See tender document</t>
        </is>
      </c>
      <c r="P127" s="71" t="inlineStr">
        <is>
          <t>See tender document</t>
        </is>
      </c>
      <c r="Q127" s="72" t="n"/>
      <c r="R127" s="70" t="inlineStr">
        <is>
          <t>See tender document</t>
        </is>
      </c>
      <c r="S127" s="70" t="inlineStr">
        <is>
          <t>N</t>
        </is>
      </c>
      <c r="T127" s="64">
        <f>IF(A127="","",IFERROR(INDEX('Bid-NoBid'!$T:$T,MATCH(A127,'Bid-NoBid'!$A:$A,0)),""))</f>
        <v/>
      </c>
      <c r="U127" s="59">
        <f>IF(A127="","",IFERROR(IF(OR(INDEX('Bid-NoBid'!$U:$U,MATCH(A127,'Bid-NoBid'!$A:$A,0))="",LEFT(INDEX('Bid-NoBid'!$U:$U,MATCH(A127,'Bid-NoBid'!$A:$A,0)),10)="Incomplete"),"Screen: "&amp;AC127,INDEX('Bid-NoBid'!$U:$U,MATCH(A127,'Bid-NoBid'!$A:$A,0))),"Screen: "&amp;AC127))</f>
        <v/>
      </c>
      <c r="V127" s="60" t="n"/>
      <c r="W127" s="70" t="inlineStr">
        <is>
          <t>Watching</t>
        </is>
      </c>
      <c r="X127" s="70" t="inlineStr">
        <is>
          <t>Frank</t>
        </is>
      </c>
      <c r="Y127" s="60" t="n"/>
      <c r="Z127" s="60" t="n"/>
      <c r="AA127" s="73" t="n"/>
      <c r="AB127" s="74" t="inlineStr">
        <is>
          <t>TenderImpulse – Tanzania (web page)</t>
        </is>
      </c>
      <c r="AC127" s="74" t="inlineStr">
        <is>
          <t>Check</t>
        </is>
      </c>
      <c r="AD127" s="74" t="inlineStr">
        <is>
          <t>Auto (TenderImpulse – Tanzania): Deadline not shown on the source page – open the link and read the notice</t>
        </is>
      </c>
      <c r="AE127" s="67">
        <f>IF(ISNUMBER(Q127),ROUNDDOWN(Q127-NOW(),1),"")</f>
        <v/>
      </c>
      <c r="AF127" s="59">
        <f>IF(OR(A127="",AE127=""),"",IF(NOT(OR(W127="Watching",W127="Preparing")),"",IF(AE127&lt;0,"PASSED",IF(AND(AE127&lt;=7,W127&lt;&gt;"Preparing"),"RED",IF(AE127&lt;=14,"AMBER","GREEN")))))</f>
        <v/>
      </c>
      <c r="AG127" s="59">
        <f>IF(OR(A127="",NOT(OR(W127="Watching",W127="Preparing"))),"",IF(AND(ISNUMBER(M127),M127&gt;=3000000000),"YES – ≥ TZS 3bn",IF(AND(ISNUMBER(AE127),AE127&gt;=0,AE127&lt;10,V127=""),"YES – &lt;10 days","")))</f>
        <v/>
      </c>
      <c r="AH127" s="68" t="n"/>
      <c r="AI127" s="74" t="inlineStr">
        <is>
          <t>Read the notice and decide with the QS Director whether to pursue</t>
        </is>
      </c>
      <c r="AJ127" s="74" t="inlineStr">
        <is>
          <t>Auto-scan</t>
        </is>
      </c>
      <c r="AK127" s="74" t="inlineStr">
        <is>
          <t>WEB:tenderimpulse_tanzania:5be38a4f2bf5cf32</t>
        </is>
      </c>
      <c r="AL127" s="59">
        <f>IF(AND(OR(W127="Watching",W127="Preparing"),ISNUMBER(Q127)),IF(AND(Q127&gt;='Friday Summary'!$C$4,Q127&lt;='Friday Summary'!$C$4+14),Q127+ROW()/1000000,""),"")</f>
        <v/>
      </c>
    </row>
    <row r="128" ht="15" customHeight="1" s="51">
      <c r="A128" s="59">
        <f>IF(B128="","","OP-"&amp;TEXT(ROW()-4,"000"))</f>
        <v/>
      </c>
      <c r="B128" s="70" t="inlineStr">
        <is>
          <t>(not shown)</t>
        </is>
      </c>
      <c r="C128" s="71" t="n">
        <v>46305</v>
      </c>
      <c r="D128" s="70" t="inlineStr">
        <is>
          <t>aggregator</t>
        </is>
      </c>
      <c r="E128" s="70" t="inlineStr">
        <is>
          <t>https://www.tenderimpulse.com/tanzania-tenders</t>
        </is>
      </c>
      <c r="F128" s="70" t="inlineStr">
        <is>
          <t>See notice</t>
        </is>
      </c>
      <c r="G128" s="70" t="inlineStr">
        <is>
          <t>government</t>
        </is>
      </c>
      <c r="H128" s="70" t="inlineStr">
        <is>
          <t>Looking for the most updated opportunities in Tanzania's procurement market? Look no more. Tender Impulse is your first stop. We provide daily updated information on all Tanzania government tenders, projects, contracts, and tender notices. Whether you are looking for RFPs, Bids, RFQs, General Procur</t>
        </is>
      </c>
      <c r="I128" s="70" t="inlineStr">
        <is>
          <t>From aggregator notice (1 lot) – read the tender document</t>
        </is>
      </c>
      <c r="J128" s="70" t="inlineStr">
        <is>
          <t>Not stated – read the notice</t>
        </is>
      </c>
      <c r="K128" s="70" t="inlineStr">
        <is>
          <t>building</t>
        </is>
      </c>
      <c r="L128" s="70" t="inlineStr">
        <is>
          <t>See tender document</t>
        </is>
      </c>
      <c r="M128" s="62" t="n"/>
      <c r="N128" s="70" t="inlineStr">
        <is>
          <t>unknown</t>
        </is>
      </c>
      <c r="O128" s="71" t="inlineStr">
        <is>
          <t>See tender document</t>
        </is>
      </c>
      <c r="P128" s="71" t="inlineStr">
        <is>
          <t>See tender document</t>
        </is>
      </c>
      <c r="Q128" s="72" t="n"/>
      <c r="R128" s="70" t="inlineStr">
        <is>
          <t>See tender document</t>
        </is>
      </c>
      <c r="S128" s="70" t="inlineStr">
        <is>
          <t>N</t>
        </is>
      </c>
      <c r="T128" s="64">
        <f>IF(A128="","",IFERROR(INDEX('Bid-NoBid'!$T:$T,MATCH(A128,'Bid-NoBid'!$A:$A,0)),""))</f>
        <v/>
      </c>
      <c r="U128" s="59">
        <f>IF(A128="","",IFERROR(IF(OR(INDEX('Bid-NoBid'!$U:$U,MATCH(A128,'Bid-NoBid'!$A:$A,0))="",LEFT(INDEX('Bid-NoBid'!$U:$U,MATCH(A128,'Bid-NoBid'!$A:$A,0)),10)="Incomplete"),"Screen: "&amp;AC128,INDEX('Bid-NoBid'!$U:$U,MATCH(A128,'Bid-NoBid'!$A:$A,0))),"Screen: "&amp;AC128))</f>
        <v/>
      </c>
      <c r="V128" s="60" t="n"/>
      <c r="W128" s="70" t="inlineStr">
        <is>
          <t>Watching</t>
        </is>
      </c>
      <c r="X128" s="70" t="inlineStr">
        <is>
          <t>Frank</t>
        </is>
      </c>
      <c r="Y128" s="60" t="n"/>
      <c r="Z128" s="60" t="n"/>
      <c r="AA128" s="73" t="n"/>
      <c r="AB128" s="74" t="inlineStr">
        <is>
          <t>TenderImpulse – Tanzania (web page)</t>
        </is>
      </c>
      <c r="AC128" s="74" t="inlineStr">
        <is>
          <t>Check</t>
        </is>
      </c>
      <c r="AD128" s="74" t="inlineStr">
        <is>
          <t>Auto (TenderImpulse – Tanzania): Deadline not shown on the source page – open the link and read the notice</t>
        </is>
      </c>
      <c r="AE128" s="67">
        <f>IF(ISNUMBER(Q128),ROUNDDOWN(Q128-NOW(),1),"")</f>
        <v/>
      </c>
      <c r="AF128" s="59">
        <f>IF(OR(A128="",AE128=""),"",IF(NOT(OR(W128="Watching",W128="Preparing")),"",IF(AE128&lt;0,"PASSED",IF(AND(AE128&lt;=7,W128&lt;&gt;"Preparing"),"RED",IF(AE128&lt;=14,"AMBER","GREEN")))))</f>
        <v/>
      </c>
      <c r="AG128" s="59">
        <f>IF(OR(A128="",NOT(OR(W128="Watching",W128="Preparing"))),"",IF(AND(ISNUMBER(M128),M128&gt;=3000000000),"YES – ≥ TZS 3bn",IF(AND(ISNUMBER(AE128),AE128&gt;=0,AE128&lt;10,V128=""),"YES – &lt;10 days","")))</f>
        <v/>
      </c>
      <c r="AH128" s="68" t="n"/>
      <c r="AI128" s="74" t="inlineStr">
        <is>
          <t>Read the notice and decide with the QS Director whether to pursue</t>
        </is>
      </c>
      <c r="AJ128" s="74" t="inlineStr">
        <is>
          <t>Auto-scan</t>
        </is>
      </c>
      <c r="AK128" s="74" t="inlineStr">
        <is>
          <t>WEB:tenderimpulse_tanzania:3102f7c795847a65</t>
        </is>
      </c>
      <c r="AL128" s="59">
        <f>IF(AND(OR(W128="Watching",W128="Preparing"),ISNUMBER(Q128)),IF(AND(Q128&gt;='Friday Summary'!$C$4,Q128&lt;='Friday Summary'!$C$4+14),Q128+ROW()/1000000,""),"")</f>
        <v/>
      </c>
    </row>
    <row r="129" ht="15" customHeight="1" s="51">
      <c r="A129" s="59">
        <f>IF(B129="","","OP-"&amp;TEXT(ROW()-4,"000"))</f>
        <v/>
      </c>
      <c r="B129" s="70" t="inlineStr">
        <is>
          <t>(not shown)</t>
        </is>
      </c>
      <c r="C129" s="71" t="n">
        <v>46305</v>
      </c>
      <c r="D129" s="70" t="inlineStr">
        <is>
          <t>press</t>
        </is>
      </c>
      <c r="E129" s="70" t="inlineStr">
        <is>
          <t>https://www.tanzaniatenders.com/tender/provision-labour-charges-constructions-tafori-buildings-ifinga-and-isinga-madaba-district-ruvuma-re-8fc1ee5.php</t>
        </is>
      </c>
      <c r="F129" s="70" t="inlineStr">
        <is>
          <t>See advert</t>
        </is>
      </c>
      <c r="G129" s="70" t="inlineStr">
        <is>
          <t>government</t>
        </is>
      </c>
      <c r="H129" s="70" t="inlineStr">
        <is>
          <t>Provision of Labour Charges for Constructions of Tafori Buildings at Ifinga and Isinga in Madaba District, Ruvuma Region</t>
        </is>
      </c>
      <c r="I129" s="70" t="inlineStr">
        <is>
          <t>From press notice (1 lot) – read the tender document</t>
        </is>
      </c>
      <c r="J129" s="70" t="inlineStr">
        <is>
          <t>Ruvuma</t>
        </is>
      </c>
      <c r="K129" s="70" t="inlineStr">
        <is>
          <t>building</t>
        </is>
      </c>
      <c r="L129" s="70" t="inlineStr">
        <is>
          <t>See tender document</t>
        </is>
      </c>
      <c r="M129" s="62" t="n"/>
      <c r="N129" s="70" t="inlineStr">
        <is>
          <t>unknown</t>
        </is>
      </c>
      <c r="O129" s="71" t="inlineStr">
        <is>
          <t>See tender document</t>
        </is>
      </c>
      <c r="P129" s="71" t="inlineStr">
        <is>
          <t>See tender document</t>
        </is>
      </c>
      <c r="Q129" s="72" t="n">
        <v>46316.41666666666</v>
      </c>
      <c r="R129" s="70" t="inlineStr">
        <is>
          <t>See tender document</t>
        </is>
      </c>
      <c r="S129" s="70" t="inlineStr">
        <is>
          <t>N</t>
        </is>
      </c>
      <c r="T129" s="64">
        <f>IF(A129="","",IFERROR(INDEX('Bid-NoBid'!$T:$T,MATCH(A129,'Bid-NoBid'!$A:$A,0)),""))</f>
        <v/>
      </c>
      <c r="U129" s="59">
        <f>IF(A129="","",IFERROR(IF(OR(INDEX('Bid-NoBid'!$U:$U,MATCH(A129,'Bid-NoBid'!$A:$A,0))="",LEFT(INDEX('Bid-NoBid'!$U:$U,MATCH(A129,'Bid-NoBid'!$A:$A,0)),10)="Incomplete"),"Screen: "&amp;AC129,INDEX('Bid-NoBid'!$U:$U,MATCH(A129,'Bid-NoBid'!$A:$A,0))),"Screen: "&amp;AC129))</f>
        <v/>
      </c>
      <c r="V129" s="60" t="n"/>
      <c r="W129" s="70" t="inlineStr">
        <is>
          <t>Watching</t>
        </is>
      </c>
      <c r="X129" s="70" t="inlineStr">
        <is>
          <t>Frank</t>
        </is>
      </c>
      <c r="Y129" s="60" t="n"/>
      <c r="Z129" s="60" t="n"/>
      <c r="AA129" s="73" t="n"/>
      <c r="AB129" s="74" t="inlineStr">
        <is>
          <t>TanzaniaTenders.com (newspapers / portals / private)</t>
        </is>
      </c>
      <c r="AC129" s="74" t="inlineStr">
        <is>
          <t>Check</t>
        </is>
      </c>
      <c r="AD129" s="74" t="inlineStr">
        <is>
          <t>Auto (TanzaniaTenders.com): Building works but remote from Dar · deadline read from the web page – confirm</t>
        </is>
      </c>
      <c r="AE129" s="67">
        <f>IF(ISNUMBER(Q129),ROUNDDOWN(Q129-NOW(),1),"")</f>
        <v/>
      </c>
      <c r="AF129" s="59">
        <f>IF(OR(A129="",AE129=""),"",IF(NOT(OR(W129="Watching",W129="Preparing")),"",IF(AE129&lt;0,"PASSED",IF(AND(AE129&lt;=7,W129&lt;&gt;"Preparing"),"RED",IF(AE129&lt;=14,"AMBER","GREEN")))))</f>
        <v/>
      </c>
      <c r="AG129" s="59">
        <f>IF(OR(A129="",NOT(OR(W129="Watching",W129="Preparing"))),"",IF(AND(ISNUMBER(M129),M129&gt;=3000000000),"YES – ≥ TZS 3bn",IF(AND(ISNUMBER(AE129),AE129&gt;=0,AE129&lt;10,V129=""),"YES – &lt;10 days","")))</f>
        <v/>
      </c>
      <c r="AH129" s="68" t="n"/>
      <c r="AI129" s="74" t="inlineStr">
        <is>
          <t>Read the notice and decide with the QS Director whether to pursue</t>
        </is>
      </c>
      <c r="AJ129" s="74" t="inlineStr">
        <is>
          <t>Auto-scan</t>
        </is>
      </c>
      <c r="AK129" s="74" t="inlineStr">
        <is>
          <t>TZT:150740709</t>
        </is>
      </c>
      <c r="AL129" s="59">
        <f>IF(AND(OR(W129="Watching",W129="Preparing"),ISNUMBER(Q129)),IF(AND(Q129&gt;='Friday Summary'!$C$4,Q129&lt;='Friday Summary'!$C$4+14),Q129+ROW()/1000000,""),"")</f>
        <v/>
      </c>
    </row>
    <row r="130" ht="15" customHeight="1" s="51">
      <c r="A130" s="59">
        <f>IF(B130="","","OP-"&amp;TEXT(ROW()-4,"000"))</f>
        <v/>
      </c>
      <c r="B130" s="70" t="inlineStr">
        <is>
          <t>(not shown)</t>
        </is>
      </c>
      <c r="C130" s="71" t="n">
        <v>46305</v>
      </c>
      <c r="D130" s="70" t="inlineStr">
        <is>
          <t>press</t>
        </is>
      </c>
      <c r="E130" s="70" t="inlineStr">
        <is>
          <t>https://www.tanzaniatenders.com/tender/kufagia-barabara-kukusanya-takataka-na-ushuru-wa-takataka-kwenye-maeneo-ya-makazi-biashara-barab-8fc1ee0.php</t>
        </is>
      </c>
      <c r="F130" s="70" t="inlineStr">
        <is>
          <t>See advert</t>
        </is>
      </c>
      <c r="G130" s="70" t="inlineStr">
        <is>
          <t>government</t>
        </is>
      </c>
      <c r="H130" s="70" t="inlineStr">
        <is>
          <t>Kufagia Barabara, Kukusanya Takataka Na Ushuru Wa Takataka, Kwenye Maeneo Ya Makazi, Biashara, Barabara Na Taasisi Mbalimbali</t>
        </is>
      </c>
      <c r="I130" s="70" t="inlineStr">
        <is>
          <t>From press notice (1 lot) – read the tender document</t>
        </is>
      </c>
      <c r="J130" s="70" t="inlineStr">
        <is>
          <t>Not stated – read the notice</t>
        </is>
      </c>
      <c r="K130" s="70" t="inlineStr">
        <is>
          <t>civil</t>
        </is>
      </c>
      <c r="L130" s="70" t="inlineStr">
        <is>
          <t>See tender document</t>
        </is>
      </c>
      <c r="M130" s="62" t="n"/>
      <c r="N130" s="70" t="inlineStr">
        <is>
          <t>unknown</t>
        </is>
      </c>
      <c r="O130" s="71" t="inlineStr">
        <is>
          <t>See tender document</t>
        </is>
      </c>
      <c r="P130" s="71" t="inlineStr">
        <is>
          <t>See tender document</t>
        </is>
      </c>
      <c r="Q130" s="72" t="n">
        <v>46317.41666666666</v>
      </c>
      <c r="R130" s="70" t="inlineStr">
        <is>
          <t>See tender document</t>
        </is>
      </c>
      <c r="S130" s="70" t="inlineStr">
        <is>
          <t>N</t>
        </is>
      </c>
      <c r="T130" s="64">
        <f>IF(A130="","",IFERROR(INDEX('Bid-NoBid'!$T:$T,MATCH(A130,'Bid-NoBid'!$A:$A,0)),""))</f>
        <v/>
      </c>
      <c r="U130" s="59">
        <f>IF(A130="","",IFERROR(IF(OR(INDEX('Bid-NoBid'!$U:$U,MATCH(A130,'Bid-NoBid'!$A:$A,0))="",LEFT(INDEX('Bid-NoBid'!$U:$U,MATCH(A130,'Bid-NoBid'!$A:$A,0)),10)="Incomplete"),"Screen: "&amp;AC130,INDEX('Bid-NoBid'!$U:$U,MATCH(A130,'Bid-NoBid'!$A:$A,0))),"Screen: "&amp;AC130))</f>
        <v/>
      </c>
      <c r="V130" s="60" t="n"/>
      <c r="W130" s="70" t="inlineStr">
        <is>
          <t>Watching</t>
        </is>
      </c>
      <c r="X130" s="70" t="inlineStr">
        <is>
          <t>Frank</t>
        </is>
      </c>
      <c r="Y130" s="60" t="n"/>
      <c r="Z130" s="60" t="n"/>
      <c r="AA130" s="73" t="n"/>
      <c r="AB130" s="74" t="inlineStr">
        <is>
          <t>TanzaniaTenders.com (newspapers / portals / private)</t>
        </is>
      </c>
      <c r="AC130" s="74" t="inlineStr">
        <is>
          <t>Check</t>
        </is>
      </c>
      <c r="AD130" s="74" t="inlineStr">
        <is>
          <t>Auto (TanzaniaTenders.com): Civil works – confirm site, CRB class and margin · deadline read from the web page – confirm</t>
        </is>
      </c>
      <c r="AE130" s="67">
        <f>IF(ISNUMBER(Q130),ROUNDDOWN(Q130-NOW(),1),"")</f>
        <v/>
      </c>
      <c r="AF130" s="59">
        <f>IF(OR(A130="",AE130=""),"",IF(NOT(OR(W130="Watching",W130="Preparing")),"",IF(AE130&lt;0,"PASSED",IF(AND(AE130&lt;=7,W130&lt;&gt;"Preparing"),"RED",IF(AE130&lt;=14,"AMBER","GREEN")))))</f>
        <v/>
      </c>
      <c r="AG130" s="59">
        <f>IF(OR(A130="",NOT(OR(W130="Watching",W130="Preparing"))),"",IF(AND(ISNUMBER(M130),M130&gt;=3000000000),"YES – ≥ TZS 3bn",IF(AND(ISNUMBER(AE130),AE130&gt;=0,AE130&lt;10,V130=""),"YES – &lt;10 days","")))</f>
        <v/>
      </c>
      <c r="AH130" s="68" t="n"/>
      <c r="AI130" s="74" t="inlineStr">
        <is>
          <t>Read the notice and decide with the QS Director whether to pursue</t>
        </is>
      </c>
      <c r="AJ130" s="74" t="inlineStr">
        <is>
          <t>Auto-scan</t>
        </is>
      </c>
      <c r="AK130" s="74" t="inlineStr">
        <is>
          <t>TZT:150740704</t>
        </is>
      </c>
      <c r="AL130" s="59">
        <f>IF(AND(OR(W130="Watching",W130="Preparing"),ISNUMBER(Q130)),IF(AND(Q130&gt;='Friday Summary'!$C$4,Q130&lt;='Friday Summary'!$C$4+14),Q130+ROW()/1000000,""),"")</f>
        <v/>
      </c>
    </row>
    <row r="131" ht="15" customHeight="1" s="51">
      <c r="A131" s="59">
        <f>IF(B131="","","OP-"&amp;TEXT(ROW()-4,"000"))</f>
        <v/>
      </c>
      <c r="B131" s="70" t="inlineStr">
        <is>
          <t>TR212/2026/2027/W/23</t>
        </is>
      </c>
      <c r="C131" s="71" t="n">
        <v>46307</v>
      </c>
      <c r="D131" s="70" t="inlineStr">
        <is>
          <t>NeST</t>
        </is>
      </c>
      <c r="E131" s="70" t="inlineStr">
        <is>
          <t>https://nest.go.tz/tenders/published-tenders</t>
        </is>
      </c>
      <c r="F131" s="70" t="inlineStr">
        <is>
          <t>Tanzania Electric Supply Company Limited</t>
        </is>
      </c>
      <c r="G131" s="70" t="inlineStr">
        <is>
          <t>parastatal (verify)</t>
        </is>
      </c>
      <c r="H131" s="70" t="inlineStr">
        <is>
          <t>Repair of Substation Yard Concrete Roads and Kerbstones at Ubungo Substation</t>
        </is>
      </c>
      <c r="I131" s="70" t="inlineStr">
        <is>
          <t>From NeST notice (1 lot) – read the tender document</t>
        </is>
      </c>
      <c r="J131" s="70" t="inlineStr">
        <is>
          <t>Dar es Salaam (Ubungo)</t>
        </is>
      </c>
      <c r="K131" s="70" t="inlineStr">
        <is>
          <t>civil</t>
        </is>
      </c>
      <c r="L131" s="70" t="inlineStr">
        <is>
          <t>NeST login needed</t>
        </is>
      </c>
      <c r="M131" s="62" t="n"/>
      <c r="N131" s="70" t="inlineStr">
        <is>
          <t>unknown</t>
        </is>
      </c>
      <c r="O131" s="71" t="inlineStr">
        <is>
          <t>NeST login needed</t>
        </is>
      </c>
      <c r="P131" s="71" t="inlineStr">
        <is>
          <t>NeST login needed</t>
        </is>
      </c>
      <c r="Q131" s="72" t="n">
        <v>46314.58333333334</v>
      </c>
      <c r="R131" s="70" t="inlineStr">
        <is>
          <t>NeST login needed</t>
        </is>
      </c>
      <c r="S131" s="70" t="inlineStr">
        <is>
          <t>N</t>
        </is>
      </c>
      <c r="T131" s="64">
        <f>IF(A131="","",IFERROR(INDEX('Bid-NoBid'!$T:$T,MATCH(A131,'Bid-NoBid'!$A:$A,0)),""))</f>
        <v/>
      </c>
      <c r="U131" s="59">
        <f>IF(A131="","",IFERROR(IF(OR(INDEX('Bid-NoBid'!$U:$U,MATCH(A131,'Bid-NoBid'!$A:$A,0))="",LEFT(INDEX('Bid-NoBid'!$U:$U,MATCH(A131,'Bid-NoBid'!$A:$A,0)),10)="Incomplete"),"Screen: "&amp;AC131,INDEX('Bid-NoBid'!$U:$U,MATCH(A131,'Bid-NoBid'!$A:$A,0))),"Screen: "&amp;AC131))</f>
        <v/>
      </c>
      <c r="V131" s="60" t="n"/>
      <c r="W131" s="70" t="inlineStr">
        <is>
          <t>Watching</t>
        </is>
      </c>
      <c r="X131" s="70" t="inlineStr">
        <is>
          <t>Frank</t>
        </is>
      </c>
      <c r="Y131" s="60" t="n"/>
      <c r="Z131" s="60" t="n"/>
      <c r="AA131" s="73" t="n">
        <v>46307</v>
      </c>
      <c r="AB131" s="74" t="inlineStr">
        <is>
          <t>Small Works / Tender</t>
        </is>
      </c>
      <c r="AC131" s="74" t="inlineStr">
        <is>
          <t>Check</t>
        </is>
      </c>
      <c r="AD131" s="74" t="inlineStr">
        <is>
          <t>Auto (Small Works / Tender): Civil works in Dar/Coast – confirm CRB class and margin</t>
        </is>
      </c>
      <c r="AE131" s="67">
        <f>IF(ISNUMBER(Q131),ROUNDDOWN(Q131-NOW(),1),"")</f>
        <v/>
      </c>
      <c r="AF131" s="59">
        <f>IF(OR(A131="",AE131=""),"",IF(NOT(OR(W131="Watching",W131="Preparing")),"",IF(AE131&lt;0,"PASSED",IF(AND(AE131&lt;=7,W131&lt;&gt;"Preparing"),"RED",IF(AE131&lt;=14,"AMBER","GREEN")))))</f>
        <v/>
      </c>
      <c r="AG131" s="59">
        <f>IF(OR(A131="",NOT(OR(W131="Watching",W131="Preparing"))),"",IF(AND(ISNUMBER(M131),M131&gt;=3000000000),"YES – ≥ TZS 3bn",IF(AND(ISNUMBER(AE131),AE131&gt;=0,AE131&lt;10,V131=""),"YES – &lt;10 days","")))</f>
        <v/>
      </c>
      <c r="AH131" s="68" t="n"/>
      <c r="AI131" s="74" t="inlineStr">
        <is>
          <t>Read the notice and decide with the QS Director whether to pursue</t>
        </is>
      </c>
      <c r="AJ131" s="74" t="inlineStr">
        <is>
          <t>Auto-scan</t>
        </is>
      </c>
      <c r="AK131" s="74" t="inlineStr">
        <is>
          <t>97b7d5a5-18af-4ac9-bd29-f26652a06ad1</t>
        </is>
      </c>
      <c r="AL131" s="59">
        <f>IF(AND(OR(W131="Watching",W131="Preparing"),ISNUMBER(Q131)),IF(AND(Q131&gt;='Friday Summary'!$C$4,Q131&lt;='Friday Summary'!$C$4+14),Q131+ROW()/1000000,""),"")</f>
        <v/>
      </c>
    </row>
    <row r="132" ht="15" customHeight="1" s="51">
      <c r="A132" s="59">
        <f>IF(B132="","","OP-"&amp;TEXT(ROW()-4,"000"))</f>
        <v/>
      </c>
      <c r="B132" s="70" t="inlineStr">
        <is>
          <t>TR61/2026/2027/W/04</t>
        </is>
      </c>
      <c r="C132" s="71" t="n">
        <v>46307</v>
      </c>
      <c r="D132" s="70" t="inlineStr">
        <is>
          <t>NeST</t>
        </is>
      </c>
      <c r="E132" s="70" t="inlineStr">
        <is>
          <t>https://nest.go.tz/tenders/published-tenders</t>
        </is>
      </c>
      <c r="F132" s="70" t="inlineStr">
        <is>
          <t>Tanzania Broadcasting Corporation</t>
        </is>
      </c>
      <c r="G132" s="70" t="inlineStr">
        <is>
          <t>parastatal (verify)</t>
        </is>
      </c>
      <c r="H132" s="70" t="inlineStr">
        <is>
          <t>Rehabilitation of Tanzania Safari Channel Office Building</t>
        </is>
      </c>
      <c r="I132" s="70" t="inlineStr">
        <is>
          <t>From NeST notice (1 lot) – read the tender document</t>
        </is>
      </c>
      <c r="J132" s="70" t="inlineStr">
        <is>
          <t>Dar es Salaam (Temeke) (from client's office – confirm site)</t>
        </is>
      </c>
      <c r="K132" s="70" t="inlineStr">
        <is>
          <t>renovation</t>
        </is>
      </c>
      <c r="L132" s="70" t="inlineStr">
        <is>
          <t>NeST login needed</t>
        </is>
      </c>
      <c r="M132" s="62" t="n"/>
      <c r="N132" s="70" t="inlineStr">
        <is>
          <t>unknown</t>
        </is>
      </c>
      <c r="O132" s="71" t="inlineStr">
        <is>
          <t>NeST login needed</t>
        </is>
      </c>
      <c r="P132" s="71" t="inlineStr">
        <is>
          <t>NeST login needed</t>
        </is>
      </c>
      <c r="Q132" s="72" t="n">
        <v>46314.58333333334</v>
      </c>
      <c r="R132" s="70" t="inlineStr">
        <is>
          <t>NeST login needed</t>
        </is>
      </c>
      <c r="S132" s="70" t="inlineStr">
        <is>
          <t>N</t>
        </is>
      </c>
      <c r="T132" s="64">
        <f>IF(A132="","",IFERROR(INDEX('Bid-NoBid'!$T:$T,MATCH(A132,'Bid-NoBid'!$A:$A,0)),""))</f>
        <v/>
      </c>
      <c r="U132" s="59">
        <f>IF(A132="","",IFERROR(IF(OR(INDEX('Bid-NoBid'!$U:$U,MATCH(A132,'Bid-NoBid'!$A:$A,0))="",LEFT(INDEX('Bid-NoBid'!$U:$U,MATCH(A132,'Bid-NoBid'!$A:$A,0)),10)="Incomplete"),"Screen: "&amp;AC132,INDEX('Bid-NoBid'!$U:$U,MATCH(A132,'Bid-NoBid'!$A:$A,0))),"Screen: "&amp;AC132))</f>
        <v/>
      </c>
      <c r="V132" s="60" t="n"/>
      <c r="W132" s="70" t="inlineStr">
        <is>
          <t>Watching</t>
        </is>
      </c>
      <c r="X132" s="70" t="inlineStr">
        <is>
          <t>Frank</t>
        </is>
      </c>
      <c r="Y132" s="60" t="n"/>
      <c r="Z132" s="60" t="n"/>
      <c r="AA132" s="73" t="n">
        <v>46307</v>
      </c>
      <c r="AB132" s="74" t="inlineStr">
        <is>
          <t>Standard Invitation for Quotations -Works / Planned Tender</t>
        </is>
      </c>
      <c r="AC132" s="74" t="inlineStr">
        <is>
          <t>Check</t>
        </is>
      </c>
      <c r="AD132" s="74" t="inlineStr">
        <is>
          <t>Auto (Standard Invitation for Quotations -Works / Planned Tender): Quotation route – value may be below TZS 200m</t>
        </is>
      </c>
      <c r="AE132" s="67">
        <f>IF(ISNUMBER(Q132),ROUNDDOWN(Q132-NOW(),1),"")</f>
        <v/>
      </c>
      <c r="AF132" s="59">
        <f>IF(OR(A132="",AE132=""),"",IF(NOT(OR(W132="Watching",W132="Preparing")),"",IF(AE132&lt;0,"PASSED",IF(AND(AE132&lt;=7,W132&lt;&gt;"Preparing"),"RED",IF(AE132&lt;=14,"AMBER","GREEN")))))</f>
        <v/>
      </c>
      <c r="AG132" s="59">
        <f>IF(OR(A132="",NOT(OR(W132="Watching",W132="Preparing"))),"",IF(AND(ISNUMBER(M132),M132&gt;=3000000000),"YES – ≥ TZS 3bn",IF(AND(ISNUMBER(AE132),AE132&gt;=0,AE132&lt;10,V132=""),"YES – &lt;10 days","")))</f>
        <v/>
      </c>
      <c r="AH132" s="68" t="n"/>
      <c r="AI132" s="74" t="inlineStr">
        <is>
          <t>Read the notice and decide with the QS Director whether to pursue</t>
        </is>
      </c>
      <c r="AJ132" s="74" t="inlineStr">
        <is>
          <t>Auto-scan</t>
        </is>
      </c>
      <c r="AK132" s="74" t="inlineStr">
        <is>
          <t>979dd485-d9ba-4160-8bf7-d100a0b4db7b</t>
        </is>
      </c>
      <c r="AL132" s="59">
        <f>IF(AND(OR(W132="Watching",W132="Preparing"),ISNUMBER(Q132)),IF(AND(Q132&gt;='Friday Summary'!$C$4,Q132&lt;='Friday Summary'!$C$4+14),Q132+ROW()/1000000,""),"")</f>
        <v/>
      </c>
    </row>
    <row r="133" ht="15" customHeight="1" s="51">
      <c r="A133" s="59">
        <f>IF(B133="","","OP-"&amp;TEXT(ROW()-4,"000"))</f>
        <v/>
      </c>
      <c r="B133" s="70" t="inlineStr">
        <is>
          <t>(not shown)</t>
        </is>
      </c>
      <c r="C133" s="71" t="n">
        <v>46307</v>
      </c>
      <c r="D133" s="70" t="inlineStr">
        <is>
          <t>press</t>
        </is>
      </c>
      <c r="E133" s="70" t="inlineStr">
        <is>
          <t>https://www.tanzaniatenders.com/tender/procurement-therapeutic-and-patient-support-equipment-mri-compatible-anesthesia-machine-ventilator-8fcd741.php</t>
        </is>
      </c>
      <c r="F133" s="70" t="inlineStr">
        <is>
          <t>See advert</t>
        </is>
      </c>
      <c r="G133" s="70" t="inlineStr">
        <is>
          <t>government</t>
        </is>
      </c>
      <c r="H133" s="70" t="inlineStr">
        <is>
          <t>Procurement of Therapeutic and Patient Support Equipment (Mri Compatible Anesthesia Machine, Ventilators, Suction Machine, Rehabilitation Instrument, Ect Machine, Child and Adolescent Ot Tools, Perine...</t>
        </is>
      </c>
      <c r="I133" s="70" t="inlineStr">
        <is>
          <t>From press notice (1 lot) – read the tender document</t>
        </is>
      </c>
      <c r="J133" s="70" t="inlineStr">
        <is>
          <t>Not stated – read the notice</t>
        </is>
      </c>
      <c r="K133" s="70" t="inlineStr">
        <is>
          <t>renovation</t>
        </is>
      </c>
      <c r="L133" s="70" t="inlineStr">
        <is>
          <t>See tender document</t>
        </is>
      </c>
      <c r="M133" s="62" t="n"/>
      <c r="N133" s="70" t="inlineStr">
        <is>
          <t>unknown</t>
        </is>
      </c>
      <c r="O133" s="71" t="inlineStr">
        <is>
          <t>See tender document</t>
        </is>
      </c>
      <c r="P133" s="71" t="inlineStr">
        <is>
          <t>See tender document</t>
        </is>
      </c>
      <c r="Q133" s="72" t="n">
        <v>46314.41666666666</v>
      </c>
      <c r="R133" s="70" t="inlineStr">
        <is>
          <t>See tender document</t>
        </is>
      </c>
      <c r="S133" s="70" t="inlineStr">
        <is>
          <t>N</t>
        </is>
      </c>
      <c r="T133" s="64">
        <f>IF(A133="","",IFERROR(INDEX('Bid-NoBid'!$T:$T,MATCH(A133,'Bid-NoBid'!$A:$A,0)),""))</f>
        <v/>
      </c>
      <c r="U133" s="59">
        <f>IF(A133="","",IFERROR(IF(OR(INDEX('Bid-NoBid'!$U:$U,MATCH(A133,'Bid-NoBid'!$A:$A,0))="",LEFT(INDEX('Bid-NoBid'!$U:$U,MATCH(A133,'Bid-NoBid'!$A:$A,0)),10)="Incomplete"),"Screen: "&amp;AC133,INDEX('Bid-NoBid'!$U:$U,MATCH(A133,'Bid-NoBid'!$A:$A,0))),"Screen: "&amp;AC133))</f>
        <v/>
      </c>
      <c r="V133" s="60" t="n"/>
      <c r="W133" s="70" t="inlineStr">
        <is>
          <t>Watching</t>
        </is>
      </c>
      <c r="X133" s="70" t="inlineStr">
        <is>
          <t>Frank</t>
        </is>
      </c>
      <c r="Y133" s="60" t="n"/>
      <c r="Z133" s="60" t="n"/>
      <c r="AA133" s="73" t="n"/>
      <c r="AB133" s="74" t="inlineStr">
        <is>
          <t>TanzaniaTenders.com (newspapers / portals / private)</t>
        </is>
      </c>
      <c r="AC133" s="74" t="inlineStr">
        <is>
          <t>Check</t>
        </is>
      </c>
      <c r="AD133" s="74" t="inlineStr">
        <is>
          <t>Auto (TanzaniaTenders.com): Site not stated in the listing – read the notice · deadline read from the web page – confirm</t>
        </is>
      </c>
      <c r="AE133" s="67">
        <f>IF(ISNUMBER(Q133),ROUNDDOWN(Q133-NOW(),1),"")</f>
        <v/>
      </c>
      <c r="AF133" s="59">
        <f>IF(OR(A133="",AE133=""),"",IF(NOT(OR(W133="Watching",W133="Preparing")),"",IF(AE133&lt;0,"PASSED",IF(AND(AE133&lt;=7,W133&lt;&gt;"Preparing"),"RED",IF(AE133&lt;=14,"AMBER","GREEN")))))</f>
        <v/>
      </c>
      <c r="AG133" s="59">
        <f>IF(OR(A133="",NOT(OR(W133="Watching",W133="Preparing"))),"",IF(AND(ISNUMBER(M133),M133&gt;=3000000000),"YES – ≥ TZS 3bn",IF(AND(ISNUMBER(AE133),AE133&gt;=0,AE133&lt;10,V133=""),"YES – &lt;10 days","")))</f>
        <v/>
      </c>
      <c r="AH133" s="68" t="n"/>
      <c r="AI133" s="74" t="inlineStr">
        <is>
          <t>Read the notice and decide with the QS Director whether to pursue</t>
        </is>
      </c>
      <c r="AJ133" s="74" t="inlineStr">
        <is>
          <t>Auto-scan</t>
        </is>
      </c>
      <c r="AK133" s="74" t="inlineStr">
        <is>
          <t>TZT:150787905</t>
        </is>
      </c>
      <c r="AL133" s="59">
        <f>IF(AND(OR(W133="Watching",W133="Preparing"),ISNUMBER(Q133)),IF(AND(Q133&gt;='Friday Summary'!$C$4,Q133&lt;='Friday Summary'!$C$4+14),Q133+ROW()/1000000,""),"")</f>
        <v/>
      </c>
    </row>
    <row r="134" ht="15" customHeight="1" s="51">
      <c r="A134" s="59">
        <f>IF(B134="","","OP-"&amp;TEXT(ROW()-4,"000"))</f>
        <v/>
      </c>
      <c r="B134" s="70" t="inlineStr">
        <is>
          <t>(not shown)</t>
        </is>
      </c>
      <c r="C134" s="71" t="n">
        <v>46307</v>
      </c>
      <c r="D134" s="70" t="inlineStr">
        <is>
          <t>press</t>
        </is>
      </c>
      <c r="E134" s="70" t="inlineStr">
        <is>
          <t>https://www.tanzaniatenders.com/tender/installation-office-security-system-tbc1-mikocheni-8fcd73e.php</t>
        </is>
      </c>
      <c r="F134" s="70" t="inlineStr">
        <is>
          <t>See advert</t>
        </is>
      </c>
      <c r="G134" s="70" t="inlineStr">
        <is>
          <t>government</t>
        </is>
      </c>
      <c r="H134" s="70" t="inlineStr">
        <is>
          <t>Installation of Office Security System at Tbc1 Mikocheni</t>
        </is>
      </c>
      <c r="I134" s="70" t="inlineStr">
        <is>
          <t>From press notice (1 lot) – read the tender document</t>
        </is>
      </c>
      <c r="J134" s="70" t="inlineStr">
        <is>
          <t>Not stated – read the notice</t>
        </is>
      </c>
      <c r="K134" s="70" t="inlineStr">
        <is>
          <t>building</t>
        </is>
      </c>
      <c r="L134" s="70" t="inlineStr">
        <is>
          <t>See tender document</t>
        </is>
      </c>
      <c r="M134" s="62" t="n"/>
      <c r="N134" s="70" t="inlineStr">
        <is>
          <t>unknown</t>
        </is>
      </c>
      <c r="O134" s="71" t="inlineStr">
        <is>
          <t>See tender document</t>
        </is>
      </c>
      <c r="P134" s="71" t="inlineStr">
        <is>
          <t>See tender document</t>
        </is>
      </c>
      <c r="Q134" s="72" t="n">
        <v>46314.41666666666</v>
      </c>
      <c r="R134" s="70" t="inlineStr">
        <is>
          <t>See tender document</t>
        </is>
      </c>
      <c r="S134" s="70" t="inlineStr">
        <is>
          <t>N</t>
        </is>
      </c>
      <c r="T134" s="64">
        <f>IF(A134="","",IFERROR(INDEX('Bid-NoBid'!$T:$T,MATCH(A134,'Bid-NoBid'!$A:$A,0)),""))</f>
        <v/>
      </c>
      <c r="U134" s="59">
        <f>IF(A134="","",IFERROR(IF(OR(INDEX('Bid-NoBid'!$U:$U,MATCH(A134,'Bid-NoBid'!$A:$A,0))="",LEFT(INDEX('Bid-NoBid'!$U:$U,MATCH(A134,'Bid-NoBid'!$A:$A,0)),10)="Incomplete"),"Screen: "&amp;AC134,INDEX('Bid-NoBid'!$U:$U,MATCH(A134,'Bid-NoBid'!$A:$A,0))),"Screen: "&amp;AC134))</f>
        <v/>
      </c>
      <c r="V134" s="60" t="n"/>
      <c r="W134" s="70" t="inlineStr">
        <is>
          <t>Watching</t>
        </is>
      </c>
      <c r="X134" s="70" t="inlineStr">
        <is>
          <t>Frank</t>
        </is>
      </c>
      <c r="Y134" s="60" t="n"/>
      <c r="Z134" s="60" t="n"/>
      <c r="AA134" s="73" t="n"/>
      <c r="AB134" s="74" t="inlineStr">
        <is>
          <t>TanzaniaTenders.com (newspapers / portals / private)</t>
        </is>
      </c>
      <c r="AC134" s="74" t="inlineStr">
        <is>
          <t>Check</t>
        </is>
      </c>
      <c r="AD134" s="74" t="inlineStr">
        <is>
          <t>Auto (TanzaniaTenders.com): Site not stated in the listing – read the notice · deadline read from the web page – confirm</t>
        </is>
      </c>
      <c r="AE134" s="67">
        <f>IF(ISNUMBER(Q134),ROUNDDOWN(Q134-NOW(),1),"")</f>
        <v/>
      </c>
      <c r="AF134" s="59">
        <f>IF(OR(A134="",AE134=""),"",IF(NOT(OR(W134="Watching",W134="Preparing")),"",IF(AE134&lt;0,"PASSED",IF(AND(AE134&lt;=7,W134&lt;&gt;"Preparing"),"RED",IF(AE134&lt;=14,"AMBER","GREEN")))))</f>
        <v/>
      </c>
      <c r="AG134" s="59">
        <f>IF(OR(A134="",NOT(OR(W134="Watching",W134="Preparing"))),"",IF(AND(ISNUMBER(M134),M134&gt;=3000000000),"YES – ≥ TZS 3bn",IF(AND(ISNUMBER(AE134),AE134&gt;=0,AE134&lt;10,V134=""),"YES – &lt;10 days","")))</f>
        <v/>
      </c>
      <c r="AH134" s="68" t="n"/>
      <c r="AI134" s="74" t="inlineStr">
        <is>
          <t>Read the notice and decide with the QS Director whether to pursue</t>
        </is>
      </c>
      <c r="AJ134" s="74" t="inlineStr">
        <is>
          <t>Auto-scan</t>
        </is>
      </c>
      <c r="AK134" s="74" t="inlineStr">
        <is>
          <t>TZT:150787902</t>
        </is>
      </c>
      <c r="AL134" s="59">
        <f>IF(AND(OR(W134="Watching",W134="Preparing"),ISNUMBER(Q134)),IF(AND(Q134&gt;='Friday Summary'!$C$4,Q134&lt;='Friday Summary'!$C$4+14),Q134+ROW()/1000000,""),"")</f>
        <v/>
      </c>
    </row>
    <row r="135" ht="15" customHeight="1" s="51">
      <c r="A135" s="59">
        <f>IF(B135="","","OP-"&amp;TEXT(ROW()-4,"000"))</f>
        <v/>
      </c>
      <c r="B135" s="70" t="inlineStr">
        <is>
          <t>(not shown)</t>
        </is>
      </c>
      <c r="C135" s="71" t="n">
        <v>46307</v>
      </c>
      <c r="D135" s="70" t="inlineStr">
        <is>
          <t>client site</t>
        </is>
      </c>
      <c r="E135" s="70" t="inlineStr">
        <is>
          <t>https://www.tcra.go.tz/tcra-tovuti/2022/mamlaka-website/documents/tenders/en_1669799349_INVITATION_FOR_TENDERS_Conference_Hall_Facilities_PAPU_House_b8fc297abe.pdf</t>
        </is>
      </c>
      <c r="F135" s="70" t="inlineStr">
        <is>
          <t>Tanzania Communications Regulatory Authority (TCRA)</t>
        </is>
      </c>
      <c r="G135" s="70" t="inlineStr">
        <is>
          <t>government</t>
        </is>
      </c>
      <c r="H135" s="70" t="inlineStr">
        <is>
          <t>Tenders 1 5 29 th Nov, 2022 DESIGN AND INSTALLATION OF MULTIPURPOSE CONFERENCE HALL FACILITIES TO THE PAPU HOUSE Download View</t>
        </is>
      </c>
      <c r="I135" s="70" t="inlineStr">
        <is>
          <t>From client site notice (1 lot) – read the tender document</t>
        </is>
      </c>
      <c r="J135" s="70" t="inlineStr">
        <is>
          <t>Not stated – read the notice</t>
        </is>
      </c>
      <c r="K135" s="70" t="inlineStr">
        <is>
          <t>building</t>
        </is>
      </c>
      <c r="L135" s="70" t="inlineStr">
        <is>
          <t>See tender document</t>
        </is>
      </c>
      <c r="M135" s="62" t="n"/>
      <c r="N135" s="70" t="inlineStr">
        <is>
          <t>unknown</t>
        </is>
      </c>
      <c r="O135" s="71" t="inlineStr">
        <is>
          <t>See tender document</t>
        </is>
      </c>
      <c r="P135" s="71" t="inlineStr">
        <is>
          <t>See tender document</t>
        </is>
      </c>
      <c r="Q135" s="72" t="n"/>
      <c r="R135" s="70" t="inlineStr">
        <is>
          <t>See tender document</t>
        </is>
      </c>
      <c r="S135" s="70" t="inlineStr">
        <is>
          <t>N</t>
        </is>
      </c>
      <c r="T135" s="64">
        <f>IF(A135="","",IFERROR(INDEX('Bid-NoBid'!$T:$T,MATCH(A135,'Bid-NoBid'!$A:$A,0)),""))</f>
        <v/>
      </c>
      <c r="U135" s="59">
        <f>IF(A135="","",IFERROR(IF(OR(INDEX('Bid-NoBid'!$U:$U,MATCH(A135,'Bid-NoBid'!$A:$A,0))="",LEFT(INDEX('Bid-NoBid'!$U:$U,MATCH(A135,'Bid-NoBid'!$A:$A,0)),10)="Incomplete"),"Screen: "&amp;AC135,INDEX('Bid-NoBid'!$U:$U,MATCH(A135,'Bid-NoBid'!$A:$A,0))),"Screen: "&amp;AC135))</f>
        <v/>
      </c>
      <c r="V135" s="60" t="n"/>
      <c r="W135" s="70" t="inlineStr">
        <is>
          <t>Watching</t>
        </is>
      </c>
      <c r="X135" s="70" t="inlineStr">
        <is>
          <t>Frank</t>
        </is>
      </c>
      <c r="Y135" s="60" t="n"/>
      <c r="Z135" s="60" t="n"/>
      <c r="AA135" s="73" t="n"/>
      <c r="AB135" s="74" t="inlineStr">
        <is>
          <t>TCRA tenders (web page)</t>
        </is>
      </c>
      <c r="AC135" s="74" t="inlineStr">
        <is>
          <t>Check</t>
        </is>
      </c>
      <c r="AD135" s="74" t="inlineStr">
        <is>
          <t>Auto (TCRA tenders): Deadline not shown on the source page – open the link and read the notice</t>
        </is>
      </c>
      <c r="AE135" s="67">
        <f>IF(ISNUMBER(Q135),ROUNDDOWN(Q135-NOW(),1),"")</f>
        <v/>
      </c>
      <c r="AF135" s="59">
        <f>IF(OR(A135="",AE135=""),"",IF(NOT(OR(W135="Watching",W135="Preparing")),"",IF(AE135&lt;0,"PASSED",IF(AND(AE135&lt;=7,W135&lt;&gt;"Preparing"),"RED",IF(AE135&lt;=14,"AMBER","GREEN")))))</f>
        <v/>
      </c>
      <c r="AG135" s="59">
        <f>IF(OR(A135="",NOT(OR(W135="Watching",W135="Preparing"))),"",IF(AND(ISNUMBER(M135),M135&gt;=3000000000),"YES – ≥ TZS 3bn",IF(AND(ISNUMBER(AE135),AE135&gt;=0,AE135&lt;10,V135=""),"YES – &lt;10 days","")))</f>
        <v/>
      </c>
      <c r="AH135" s="68" t="n"/>
      <c r="AI135" s="74" t="inlineStr">
        <is>
          <t>Read the notice and decide with the QS Director whether to pursue</t>
        </is>
      </c>
      <c r="AJ135" s="74" t="inlineStr">
        <is>
          <t>Auto-scan</t>
        </is>
      </c>
      <c r="AK135" s="74" t="inlineStr">
        <is>
          <t>WEB:tcra_tenders:153ed7a6b77a83b7</t>
        </is>
      </c>
      <c r="AL135" s="59">
        <f>IF(AND(OR(W135="Watching",W135="Preparing"),ISNUMBER(Q135)),IF(AND(Q135&gt;='Friday Summary'!$C$4,Q135&lt;='Friday Summary'!$C$4+14),Q135+ROW()/1000000,""),"")</f>
        <v/>
      </c>
    </row>
    <row r="136" ht="15" customHeight="1" s="51">
      <c r="A136" s="59">
        <f>IF(B136="","","OP-"&amp;TEXT(ROW()-4,"000"))</f>
        <v/>
      </c>
      <c r="B136" s="70" t="inlineStr">
        <is>
          <t>(not shown)</t>
        </is>
      </c>
      <c r="C136" s="71" t="n">
        <v>46307</v>
      </c>
      <c r="D136" s="70" t="inlineStr">
        <is>
          <t>aggregator</t>
        </is>
      </c>
      <c r="E136" s="70" t="inlineStr">
        <is>
          <t>https://www.biddetail.com/latest-tenders/119227874$19f6d9f5-d21e-4420-b596-68f5f16b413d</t>
        </is>
      </c>
      <c r="F136" s="70" t="inlineStr">
        <is>
          <t>See notice</t>
        </is>
      </c>
      <c r="G136" s="70" t="inlineStr">
        <is>
          <t>government</t>
        </is>
      </c>
      <c r="H136" s="70" t="inlineStr">
        <is>
          <t>Presidents Office-Finance And Plann ...... Africa Invitation For Bids For Boosting Inclusive Growth For Zanzibar: I ......</t>
        </is>
      </c>
      <c r="I136" s="70" t="inlineStr">
        <is>
          <t>From aggregator notice (1 lot) – read the tender document</t>
        </is>
      </c>
      <c r="J136" s="70" t="inlineStr">
        <is>
          <t>Zanzibar</t>
        </is>
      </c>
      <c r="K136" s="70" t="inlineStr">
        <is>
          <t>building</t>
        </is>
      </c>
      <c r="L136" s="70" t="inlineStr">
        <is>
          <t>See tender document</t>
        </is>
      </c>
      <c r="M136" s="62" t="n"/>
      <c r="N136" s="70" t="inlineStr">
        <is>
          <t>unknown</t>
        </is>
      </c>
      <c r="O136" s="71" t="inlineStr">
        <is>
          <t>See tender document</t>
        </is>
      </c>
      <c r="P136" s="71" t="inlineStr">
        <is>
          <t>See tender document</t>
        </is>
      </c>
      <c r="Q136" s="72" t="n"/>
      <c r="R136" s="70" t="inlineStr">
        <is>
          <t>See tender document</t>
        </is>
      </c>
      <c r="S136" s="70" t="inlineStr">
        <is>
          <t>N</t>
        </is>
      </c>
      <c r="T136" s="64">
        <f>IF(A136="","",IFERROR(INDEX('Bid-NoBid'!$T:$T,MATCH(A136,'Bid-NoBid'!$A:$A,0)),""))</f>
        <v/>
      </c>
      <c r="U136" s="59">
        <f>IF(A136="","",IFERROR(IF(OR(INDEX('Bid-NoBid'!$U:$U,MATCH(A136,'Bid-NoBid'!$A:$A,0))="",LEFT(INDEX('Bid-NoBid'!$U:$U,MATCH(A136,'Bid-NoBid'!$A:$A,0)),10)="Incomplete"),"Screen: "&amp;AC136,INDEX('Bid-NoBid'!$U:$U,MATCH(A136,'Bid-NoBid'!$A:$A,0))),"Screen: "&amp;AC136))</f>
        <v/>
      </c>
      <c r="V136" s="60" t="n"/>
      <c r="W136" s="70" t="inlineStr">
        <is>
          <t>Watching</t>
        </is>
      </c>
      <c r="X136" s="70" t="inlineStr">
        <is>
          <t>Frank</t>
        </is>
      </c>
      <c r="Y136" s="60" t="n"/>
      <c r="Z136" s="60" t="n"/>
      <c r="AA136" s="73" t="n"/>
      <c r="AB136" s="74" t="inlineStr">
        <is>
          <t>BidDetail – Tanzania tenders (web page)</t>
        </is>
      </c>
      <c r="AC136" s="74" t="inlineStr">
        <is>
          <t>Check</t>
        </is>
      </c>
      <c r="AD136" s="74" t="inlineStr">
        <is>
          <t>Auto (BidDetail – Tanzania tenders): Deadline not shown on the source page – open the link and read the notice</t>
        </is>
      </c>
      <c r="AE136" s="67">
        <f>IF(ISNUMBER(Q136),ROUNDDOWN(Q136-NOW(),1),"")</f>
        <v/>
      </c>
      <c r="AF136" s="59">
        <f>IF(OR(A136="",AE136=""),"",IF(NOT(OR(W136="Watching",W136="Preparing")),"",IF(AE136&lt;0,"PASSED",IF(AND(AE136&lt;=7,W136&lt;&gt;"Preparing"),"RED",IF(AE136&lt;=14,"AMBER","GREEN")))))</f>
        <v/>
      </c>
      <c r="AG136" s="59">
        <f>IF(OR(A136="",NOT(OR(W136="Watching",W136="Preparing"))),"",IF(AND(ISNUMBER(M136),M136&gt;=3000000000),"YES – ≥ TZS 3bn",IF(AND(ISNUMBER(AE136),AE136&gt;=0,AE136&lt;10,V136=""),"YES – &lt;10 days","")))</f>
        <v/>
      </c>
      <c r="AH136" s="68" t="n"/>
      <c r="AI136" s="74" t="inlineStr">
        <is>
          <t>Read the notice and decide with the QS Director whether to pursue</t>
        </is>
      </c>
      <c r="AJ136" s="74" t="inlineStr">
        <is>
          <t>Auto-scan</t>
        </is>
      </c>
      <c r="AK136" s="74" t="inlineStr">
        <is>
          <t>WEB:biddetail_tanzania_tenders:42771fc2c17c4b6f</t>
        </is>
      </c>
      <c r="AL136" s="59">
        <f>IF(AND(OR(W136="Watching",W136="Preparing"),ISNUMBER(Q136)),IF(AND(Q136&gt;='Friday Summary'!$C$4,Q136&lt;='Friday Summary'!$C$4+14),Q136+ROW()/1000000,""),"")</f>
        <v/>
      </c>
    </row>
    <row r="137" ht="15" customHeight="1" s="51">
      <c r="A137" s="59">
        <f>IF(B137="","","OP-"&amp;TEXT(ROW()-4,"000"))</f>
        <v/>
      </c>
      <c r="B137" s="70" t="inlineStr">
        <is>
          <t>88Z3/2026/2027/W/117</t>
        </is>
      </c>
      <c r="C137" s="71" t="n">
        <v>46308</v>
      </c>
      <c r="D137" s="70" t="inlineStr">
        <is>
          <t>NeST</t>
        </is>
      </c>
      <c r="E137" s="70" t="inlineStr">
        <is>
          <t>https://nest.go.tz/tenders/published-tenders</t>
        </is>
      </c>
      <c r="F137" s="70" t="inlineStr">
        <is>
          <t>Kinondoni Municipal Council</t>
        </is>
      </c>
      <c r="G137" s="70" t="inlineStr">
        <is>
          <t>government</t>
        </is>
      </c>
      <c r="H137" s="70" t="inlineStr">
        <is>
          <t>To complete construction of 6 classrooms of storey building at Mkwawa primary school by june 2027</t>
        </is>
      </c>
      <c r="I137" s="70" t="inlineStr">
        <is>
          <t>From NeST notice (1 lot) – read the tender document</t>
        </is>
      </c>
      <c r="J137" s="70" t="inlineStr">
        <is>
          <t>Dar es Salaam (Kinondoni) (from client's office – confirm site)</t>
        </is>
      </c>
      <c r="K137" s="70" t="inlineStr">
        <is>
          <t>building</t>
        </is>
      </c>
      <c r="L137" s="70" t="inlineStr">
        <is>
          <t>NeST login needed</t>
        </is>
      </c>
      <c r="M137" s="62" t="n"/>
      <c r="N137" s="70" t="inlineStr">
        <is>
          <t>unknown</t>
        </is>
      </c>
      <c r="O137" s="71" t="inlineStr">
        <is>
          <t>NeST login needed</t>
        </is>
      </c>
      <c r="P137" s="71" t="inlineStr">
        <is>
          <t>NeST login needed</t>
        </is>
      </c>
      <c r="Q137" s="72" t="n">
        <v>46311.41666666666</v>
      </c>
      <c r="R137" s="70" t="inlineStr">
        <is>
          <t>NeST login needed</t>
        </is>
      </c>
      <c r="S137" s="70" t="inlineStr">
        <is>
          <t>N</t>
        </is>
      </c>
      <c r="T137" s="64">
        <f>IF(A137="","",IFERROR(INDEX('Bid-NoBid'!$T:$T,MATCH(A137,'Bid-NoBid'!$A:$A,0)),""))</f>
        <v/>
      </c>
      <c r="U137" s="59">
        <f>IF(A137="","",IFERROR(IF(OR(INDEX('Bid-NoBid'!$U:$U,MATCH(A137,'Bid-NoBid'!$A:$A,0))="",LEFT(INDEX('Bid-NoBid'!$U:$U,MATCH(A137,'Bid-NoBid'!$A:$A,0)),10)="Incomplete"),"Screen: "&amp;AC137,INDEX('Bid-NoBid'!$U:$U,MATCH(A137,'Bid-NoBid'!$A:$A,0))),"Screen: "&amp;AC137))</f>
        <v/>
      </c>
      <c r="V137" s="60" t="n"/>
      <c r="W137" s="70" t="inlineStr">
        <is>
          <t>Watching</t>
        </is>
      </c>
      <c r="X137" s="70" t="inlineStr">
        <is>
          <t>Frank</t>
        </is>
      </c>
      <c r="Y137" s="60" t="n"/>
      <c r="Z137" s="60" t="n"/>
      <c r="AA137" s="73" t="n">
        <v>46304</v>
      </c>
      <c r="AB137" s="74" t="inlineStr">
        <is>
          <t>Small Works / Planned Tender</t>
        </is>
      </c>
      <c r="AC137" s="74" t="inlineStr">
        <is>
          <t>Check</t>
        </is>
      </c>
      <c r="AD137" s="74" t="inlineStr">
        <is>
          <t>Auto (Small Works / Planned Tender): Good fit but little time left</t>
        </is>
      </c>
      <c r="AE137" s="67">
        <f>IF(ISNUMBER(Q137),ROUNDDOWN(Q137-NOW(),1),"")</f>
        <v/>
      </c>
      <c r="AF137" s="59">
        <f>IF(OR(A137="",AE137=""),"",IF(NOT(OR(W137="Watching",W137="Preparing")),"",IF(AE137&lt;0,"PASSED",IF(AND(AE137&lt;=7,W137&lt;&gt;"Preparing"),"RED",IF(AE137&lt;=14,"AMBER","GREEN")))))</f>
        <v/>
      </c>
      <c r="AG137" s="59">
        <f>IF(OR(A137="",NOT(OR(W137="Watching",W137="Preparing"))),"",IF(AND(ISNUMBER(M137),M137&gt;=3000000000),"YES – ≥ TZS 3bn",IF(AND(ISNUMBER(AE137),AE137&gt;=0,AE137&lt;10,V137=""),"YES – &lt;10 days","")))</f>
        <v/>
      </c>
      <c r="AH137" s="68" t="n"/>
      <c r="AI137" s="74" t="inlineStr">
        <is>
          <t>Read the notice and decide with the QS Director whether to pursue</t>
        </is>
      </c>
      <c r="AJ137" s="74" t="inlineStr">
        <is>
          <t>Auto-scan</t>
        </is>
      </c>
      <c r="AK137" s="74" t="inlineStr">
        <is>
          <t>e859f1d2-d9e2-401c-b1a5-171ac73597f7</t>
        </is>
      </c>
      <c r="AL137" s="59">
        <f>IF(AND(OR(W137="Watching",W137="Preparing"),ISNUMBER(Q137)),IF(AND(Q137&gt;='Friday Summary'!$C$4,Q137&lt;='Friday Summary'!$C$4+14),Q137+ROW()/1000000,""),"")</f>
        <v/>
      </c>
    </row>
    <row r="138" ht="15" customHeight="1" s="51">
      <c r="A138" s="59">
        <f>IF(B138="","","OP-"&amp;TEXT(ROW()-4,"000"))</f>
        <v/>
      </c>
      <c r="B138" s="70" t="inlineStr">
        <is>
          <t>79K3/2026/2027/W/02</t>
        </is>
      </c>
      <c r="C138" s="71" t="n">
        <v>46308</v>
      </c>
      <c r="D138" s="70" t="inlineStr">
        <is>
          <t>NeST</t>
        </is>
      </c>
      <c r="E138" s="70" t="inlineStr">
        <is>
          <t>https://nest.go.tz/tenders/published-tenders</t>
        </is>
      </c>
      <c r="F138" s="70" t="inlineStr">
        <is>
          <t>Ulanga District Council</t>
        </is>
      </c>
      <c r="G138" s="70" t="inlineStr">
        <is>
          <t>government</t>
        </is>
      </c>
      <c r="H138" s="70" t="inlineStr">
        <is>
          <t>CONSTUCTION OF HEAD OF DEPARTMENT HOUSES</t>
        </is>
      </c>
      <c r="I138" s="70" t="inlineStr">
        <is>
          <t>From NeST notice (1 lot) – read the tender document</t>
        </is>
      </c>
      <c r="J138" s="70" t="inlineStr">
        <is>
          <t>Morogoro (from client's office – confirm site)</t>
        </is>
      </c>
      <c r="K138" s="70" t="inlineStr">
        <is>
          <t>building</t>
        </is>
      </c>
      <c r="L138" s="70" t="inlineStr">
        <is>
          <t>NeST login needed</t>
        </is>
      </c>
      <c r="M138" s="62" t="n"/>
      <c r="N138" s="70" t="inlineStr">
        <is>
          <t>unknown</t>
        </is>
      </c>
      <c r="O138" s="71" t="inlineStr">
        <is>
          <t>NeST login needed</t>
        </is>
      </c>
      <c r="P138" s="71" t="inlineStr">
        <is>
          <t>NeST login needed</t>
        </is>
      </c>
      <c r="Q138" s="72" t="n">
        <v>46314.41666666666</v>
      </c>
      <c r="R138" s="70" t="inlineStr">
        <is>
          <t>NeST login needed</t>
        </is>
      </c>
      <c r="S138" s="70" t="inlineStr">
        <is>
          <t>N</t>
        </is>
      </c>
      <c r="T138" s="64">
        <f>IF(A138="","",IFERROR(INDEX('Bid-NoBid'!$T:$T,MATCH(A138,'Bid-NoBid'!$A:$A,0)),""))</f>
        <v/>
      </c>
      <c r="U138" s="59">
        <f>IF(A138="","",IFERROR(IF(OR(INDEX('Bid-NoBid'!$U:$U,MATCH(A138,'Bid-NoBid'!$A:$A,0))="",LEFT(INDEX('Bid-NoBid'!$U:$U,MATCH(A138,'Bid-NoBid'!$A:$A,0)),10)="Incomplete"),"Screen: "&amp;AC138,INDEX('Bid-NoBid'!$U:$U,MATCH(A138,'Bid-NoBid'!$A:$A,0))),"Screen: "&amp;AC138))</f>
        <v/>
      </c>
      <c r="V138" s="60" t="n"/>
      <c r="W138" s="70" t="inlineStr">
        <is>
          <t>Watching</t>
        </is>
      </c>
      <c r="X138" s="70" t="inlineStr">
        <is>
          <t>Frank</t>
        </is>
      </c>
      <c r="Y138" s="60" t="n"/>
      <c r="Z138" s="60" t="n"/>
      <c r="AA138" s="73" t="n">
        <v>46307</v>
      </c>
      <c r="AB138" s="74" t="inlineStr">
        <is>
          <t>Small Works / Tender</t>
        </is>
      </c>
      <c r="AC138" s="74" t="inlineStr">
        <is>
          <t>Pursue</t>
        </is>
      </c>
      <c r="AD138" s="74" t="inlineStr">
        <is>
          <t>Auto (Small Works / Tender): Building works within reach of Dar</t>
        </is>
      </c>
      <c r="AE138" s="67">
        <f>IF(ISNUMBER(Q138),ROUNDDOWN(Q138-NOW(),1),"")</f>
        <v/>
      </c>
      <c r="AF138" s="59">
        <f>IF(OR(A138="",AE138=""),"",IF(NOT(OR(W138="Watching",W138="Preparing")),"",IF(AE138&lt;0,"PASSED",IF(AND(AE138&lt;=7,W138&lt;&gt;"Preparing"),"RED",IF(AE138&lt;=14,"AMBER","GREEN")))))</f>
        <v/>
      </c>
      <c r="AG138" s="59">
        <f>IF(OR(A138="",NOT(OR(W138="Watching",W138="Preparing"))),"",IF(AND(ISNUMBER(M138),M138&gt;=3000000000),"YES – ≥ TZS 3bn",IF(AND(ISNUMBER(AE138),AE138&gt;=0,AE138&lt;10,V138=""),"YES – &lt;10 days","")))</f>
        <v/>
      </c>
      <c r="AH138" s="68" t="n"/>
      <c r="AI138" s="74" t="inlineStr">
        <is>
          <t>Get the tender document, confirm value, CRB class, site visit and bid security; brief the MD</t>
        </is>
      </c>
      <c r="AJ138" s="74" t="inlineStr">
        <is>
          <t>Auto-scan</t>
        </is>
      </c>
      <c r="AK138" s="74" t="inlineStr">
        <is>
          <t>0eae0b70-8774-473c-903b-2a539b64703a</t>
        </is>
      </c>
      <c r="AL138" s="59">
        <f>IF(AND(OR(W138="Watching",W138="Preparing"),ISNUMBER(Q138)),IF(AND(Q138&gt;='Friday Summary'!$C$4,Q138&lt;='Friday Summary'!$C$4+14),Q138+ROW()/1000000,""),"")</f>
        <v/>
      </c>
    </row>
    <row r="139" ht="15" customHeight="1" s="51">
      <c r="A139" s="59">
        <f>IF(B139="","","OP-"&amp;TEXT(ROW()-4,"000"))</f>
        <v/>
      </c>
      <c r="B139" s="70" t="inlineStr">
        <is>
          <t>TR140/010/2026/2027/W/05</t>
        </is>
      </c>
      <c r="C139" s="71" t="n">
        <v>46308</v>
      </c>
      <c r="D139" s="70" t="inlineStr">
        <is>
          <t>NeST</t>
        </is>
      </c>
      <c r="E139" s="70" t="inlineStr">
        <is>
          <t>https://nest.go.tz/tenders/published-tenders</t>
        </is>
      </c>
      <c r="F139" s="70" t="inlineStr">
        <is>
          <t>RUWASA - Manyara Regional Office</t>
        </is>
      </c>
      <c r="G139" s="70" t="inlineStr">
        <is>
          <t>government</t>
        </is>
      </c>
      <c r="H139" s="70" t="inlineStr">
        <is>
          <t>Procure of Contractor for Construction of Point Source at Mulbadaw Villages at RUWASA Hanang District, Construction of 3 point source with 5 DPs each to serve Loltepes, Mesera and Namelock Kiteto District in Manyara Region (1575 Programme)</t>
        </is>
      </c>
      <c r="I139" s="70" t="inlineStr">
        <is>
          <t>From NeST notice (1 lot) – read the tender document</t>
        </is>
      </c>
      <c r="J139" s="70" t="inlineStr">
        <is>
          <t>Manyara (Kiteto)</t>
        </is>
      </c>
      <c r="K139" s="70" t="inlineStr">
        <is>
          <t>building</t>
        </is>
      </c>
      <c r="L139" s="70" t="inlineStr">
        <is>
          <t>NeST login needed</t>
        </is>
      </c>
      <c r="M139" s="62" t="n"/>
      <c r="N139" s="70" t="inlineStr">
        <is>
          <t>unknown</t>
        </is>
      </c>
      <c r="O139" s="71" t="inlineStr">
        <is>
          <t>NeST login needed</t>
        </is>
      </c>
      <c r="P139" s="71" t="inlineStr">
        <is>
          <t>NeST login needed</t>
        </is>
      </c>
      <c r="Q139" s="72" t="n">
        <v>46314.58333333334</v>
      </c>
      <c r="R139" s="70" t="inlineStr">
        <is>
          <t>NeST login needed</t>
        </is>
      </c>
      <c r="S139" s="70" t="inlineStr">
        <is>
          <t>N</t>
        </is>
      </c>
      <c r="T139" s="64">
        <f>IF(A139="","",IFERROR(INDEX('Bid-NoBid'!$T:$T,MATCH(A139,'Bid-NoBid'!$A:$A,0)),""))</f>
        <v/>
      </c>
      <c r="U139" s="59">
        <f>IF(A139="","",IFERROR(IF(OR(INDEX('Bid-NoBid'!$U:$U,MATCH(A139,'Bid-NoBid'!$A:$A,0))="",LEFT(INDEX('Bid-NoBid'!$U:$U,MATCH(A139,'Bid-NoBid'!$A:$A,0)),10)="Incomplete"),"Screen: "&amp;AC139,INDEX('Bid-NoBid'!$U:$U,MATCH(A139,'Bid-NoBid'!$A:$A,0))),"Screen: "&amp;AC139))</f>
        <v/>
      </c>
      <c r="V139" s="60" t="n"/>
      <c r="W139" s="70" t="inlineStr">
        <is>
          <t>Watching</t>
        </is>
      </c>
      <c r="X139" s="70" t="inlineStr">
        <is>
          <t>Frank</t>
        </is>
      </c>
      <c r="Y139" s="60" t="n"/>
      <c r="Z139" s="60" t="n"/>
      <c r="AA139" s="73" t="n">
        <v>46307</v>
      </c>
      <c r="AB139" s="74" t="inlineStr">
        <is>
          <t>Standard Invitation for Quotations -Works / Planned Tender</t>
        </is>
      </c>
      <c r="AC139" s="74" t="inlineStr">
        <is>
          <t>Check</t>
        </is>
      </c>
      <c r="AD139" s="74" t="inlineStr">
        <is>
          <t>Auto (Standard Invitation for Quotations -Works / Planned Tender): Construction tender kept for review (would have been dropped: Remote and closing soon)</t>
        </is>
      </c>
      <c r="AE139" s="67">
        <f>IF(ISNUMBER(Q139),ROUNDDOWN(Q139-NOW(),1),"")</f>
        <v/>
      </c>
      <c r="AF139" s="59">
        <f>IF(OR(A139="",AE139=""),"",IF(NOT(OR(W139="Watching",W139="Preparing")),"",IF(AE139&lt;0,"PASSED",IF(AND(AE139&lt;=7,W139&lt;&gt;"Preparing"),"RED",IF(AE139&lt;=14,"AMBER","GREEN")))))</f>
        <v/>
      </c>
      <c r="AG139" s="59">
        <f>IF(OR(A139="",NOT(OR(W139="Watching",W139="Preparing"))),"",IF(AND(ISNUMBER(M139),M139&gt;=3000000000),"YES – ≥ TZS 3bn",IF(AND(ISNUMBER(AE139),AE139&gt;=0,AE139&lt;10,V139=""),"YES – &lt;10 days","")))</f>
        <v/>
      </c>
      <c r="AH139" s="68" t="n"/>
      <c r="AI139" s="74" t="inlineStr">
        <is>
          <t>Read the notice and decide with the QS Director whether to pursue</t>
        </is>
      </c>
      <c r="AJ139" s="74" t="inlineStr">
        <is>
          <t>Auto-scan</t>
        </is>
      </c>
      <c r="AK139" s="74" t="inlineStr">
        <is>
          <t>b11c0d14-4180-49e2-b218-9cc8542122ca</t>
        </is>
      </c>
      <c r="AL139" s="59">
        <f>IF(AND(OR(W139="Watching",W139="Preparing"),ISNUMBER(Q139)),IF(AND(Q139&gt;='Friday Summary'!$C$4,Q139&lt;='Friday Summary'!$C$4+14),Q139+ROW()/1000000,""),"")</f>
        <v/>
      </c>
    </row>
    <row r="140" ht="15" customHeight="1" s="51">
      <c r="A140" s="59">
        <f>IF(B140="","","OP-"&amp;TEXT(ROW()-4,"000"))</f>
        <v/>
      </c>
      <c r="B140" s="70" t="inlineStr">
        <is>
          <t>TR193/2026/2027/W/13</t>
        </is>
      </c>
      <c r="C140" s="71" t="n">
        <v>46308</v>
      </c>
      <c r="D140" s="70" t="inlineStr">
        <is>
          <t>NeST</t>
        </is>
      </c>
      <c r="E140" s="70" t="inlineStr">
        <is>
          <t>https://nest.go.tz/tenders/published-tenders</t>
        </is>
      </c>
      <c r="F140" s="70" t="inlineStr">
        <is>
          <t>Ngorongoro Conservation Area Authority</t>
        </is>
      </c>
      <c r="G140" s="70" t="inlineStr">
        <is>
          <t>government</t>
        </is>
      </c>
      <c r="H140" s="70" t="inlineStr">
        <is>
          <t>Upgrading of Endoro walking tray to Harden standard, Construction of Staff House and Pedestrial suspended bridge with associated facilities at Endoro gate</t>
        </is>
      </c>
      <c r="I140" s="70" t="inlineStr">
        <is>
          <t>From NeST notice (1 lot) – read the tender document</t>
        </is>
      </c>
      <c r="J140" s="70" t="inlineStr">
        <is>
          <t>Arusha (Ngorongoro) (from client's office – confirm site)</t>
        </is>
      </c>
      <c r="K140" s="70" t="inlineStr">
        <is>
          <t>civil</t>
        </is>
      </c>
      <c r="L140" s="70" t="inlineStr">
        <is>
          <t>NeST login needed</t>
        </is>
      </c>
      <c r="M140" s="62" t="n"/>
      <c r="N140" s="70" t="inlineStr">
        <is>
          <t>unknown</t>
        </is>
      </c>
      <c r="O140" s="71" t="inlineStr">
        <is>
          <t>NeST login needed</t>
        </is>
      </c>
      <c r="P140" s="71" t="inlineStr">
        <is>
          <t>NeST login needed</t>
        </is>
      </c>
      <c r="Q140" s="72" t="n">
        <v>46314.58333333334</v>
      </c>
      <c r="R140" s="70" t="inlineStr">
        <is>
          <t>NeST login needed</t>
        </is>
      </c>
      <c r="S140" s="70" t="inlineStr">
        <is>
          <t>N</t>
        </is>
      </c>
      <c r="T140" s="64">
        <f>IF(A140="","",IFERROR(INDEX('Bid-NoBid'!$T:$T,MATCH(A140,'Bid-NoBid'!$A:$A,0)),""))</f>
        <v/>
      </c>
      <c r="U140" s="59">
        <f>IF(A140="","",IFERROR(IF(OR(INDEX('Bid-NoBid'!$U:$U,MATCH(A140,'Bid-NoBid'!$A:$A,0))="",LEFT(INDEX('Bid-NoBid'!$U:$U,MATCH(A140,'Bid-NoBid'!$A:$A,0)),10)="Incomplete"),"Screen: "&amp;AC140,INDEX('Bid-NoBid'!$U:$U,MATCH(A140,'Bid-NoBid'!$A:$A,0))),"Screen: "&amp;AC140))</f>
        <v/>
      </c>
      <c r="V140" s="60" t="n"/>
      <c r="W140" s="70" t="inlineStr">
        <is>
          <t>Watching</t>
        </is>
      </c>
      <c r="X140" s="70" t="inlineStr">
        <is>
          <t>Frank</t>
        </is>
      </c>
      <c r="Y140" s="60" t="n"/>
      <c r="Z140" s="60" t="n"/>
      <c r="AA140" s="73" t="n">
        <v>46307</v>
      </c>
      <c r="AB140" s="74" t="inlineStr">
        <is>
          <t>Standard Invitation for Quotations -Works / Planned Tender</t>
        </is>
      </c>
      <c r="AC140" s="74" t="inlineStr">
        <is>
          <t>Check</t>
        </is>
      </c>
      <c r="AD140" s="74" t="inlineStr">
        <is>
          <t>Auto (Standard Invitation for Quotations -Works / Planned Tender): Construction tender kept for review (would have been dropped: Remote civil works)</t>
        </is>
      </c>
      <c r="AE140" s="67">
        <f>IF(ISNUMBER(Q140),ROUNDDOWN(Q140-NOW(),1),"")</f>
        <v/>
      </c>
      <c r="AF140" s="59">
        <f>IF(OR(A140="",AE140=""),"",IF(NOT(OR(W140="Watching",W140="Preparing")),"",IF(AE140&lt;0,"PASSED",IF(AND(AE140&lt;=7,W140&lt;&gt;"Preparing"),"RED",IF(AE140&lt;=14,"AMBER","GREEN")))))</f>
        <v/>
      </c>
      <c r="AG140" s="59">
        <f>IF(OR(A140="",NOT(OR(W140="Watching",W140="Preparing"))),"",IF(AND(ISNUMBER(M140),M140&gt;=3000000000),"YES – ≥ TZS 3bn",IF(AND(ISNUMBER(AE140),AE140&gt;=0,AE140&lt;10,V140=""),"YES – &lt;10 days","")))</f>
        <v/>
      </c>
      <c r="AH140" s="68" t="n"/>
      <c r="AI140" s="74" t="inlineStr">
        <is>
          <t>Read the notice and decide with the QS Director whether to pursue</t>
        </is>
      </c>
      <c r="AJ140" s="74" t="inlineStr">
        <is>
          <t>Auto-scan</t>
        </is>
      </c>
      <c r="AK140" s="74" t="inlineStr">
        <is>
          <t>a5cac097-d076-493e-888c-d1e2d5d1152f</t>
        </is>
      </c>
      <c r="AL140" s="59">
        <f>IF(AND(OR(W140="Watching",W140="Preparing"),ISNUMBER(Q140)),IF(AND(Q140&gt;='Friday Summary'!$C$4,Q140&lt;='Friday Summary'!$C$4+14),Q140+ROW()/1000000,""),"")</f>
        <v/>
      </c>
    </row>
    <row r="141" ht="15" customHeight="1" s="51">
      <c r="A141" s="59">
        <f>IF(B141="","","OP-"&amp;TEXT(ROW()-4,"000"))</f>
        <v/>
      </c>
      <c r="B141" s="70" t="inlineStr">
        <is>
          <t>78/2026/2027/W/05</t>
        </is>
      </c>
      <c r="C141" s="71" t="n">
        <v>46308</v>
      </c>
      <c r="D141" s="70" t="inlineStr">
        <is>
          <t>NeST</t>
        </is>
      </c>
      <c r="E141" s="70" t="inlineStr">
        <is>
          <t>https://nest.go.tz/tenders/published-tenders</t>
        </is>
      </c>
      <c r="F141" s="70" t="inlineStr">
        <is>
          <t>Mbeya Regional Secretariat</t>
        </is>
      </c>
      <c r="G141" s="70" t="inlineStr">
        <is>
          <t>government</t>
        </is>
      </c>
      <c r="H141" s="70" t="inlineStr">
        <is>
          <t>PROPOSED CONSTRUCTION OF DISTRICT COMMISSIONER'S OFFICE TO BE BUILT AT KYELA DISTRICT (PHASE II)</t>
        </is>
      </c>
      <c r="I141" s="70" t="inlineStr">
        <is>
          <t>From NeST notice (1 lot) – read the tender document</t>
        </is>
      </c>
      <c r="J141" s="70" t="inlineStr">
        <is>
          <t>Mbeya (from client's office – confirm site)</t>
        </is>
      </c>
      <c r="K141" s="70" t="inlineStr">
        <is>
          <t>building</t>
        </is>
      </c>
      <c r="L141" s="70" t="inlineStr">
        <is>
          <t>NeST login needed</t>
        </is>
      </c>
      <c r="M141" s="62" t="n"/>
      <c r="N141" s="70" t="inlineStr">
        <is>
          <t>unknown</t>
        </is>
      </c>
      <c r="O141" s="71" t="inlineStr">
        <is>
          <t>NeST login needed</t>
        </is>
      </c>
      <c r="P141" s="71" t="inlineStr">
        <is>
          <t>NeST login needed</t>
        </is>
      </c>
      <c r="Q141" s="72" t="n">
        <v>46314.58333333334</v>
      </c>
      <c r="R141" s="70" t="inlineStr">
        <is>
          <t>NeST login needed</t>
        </is>
      </c>
      <c r="S141" s="70" t="inlineStr">
        <is>
          <t>N</t>
        </is>
      </c>
      <c r="T141" s="64">
        <f>IF(A141="","",IFERROR(INDEX('Bid-NoBid'!$T:$T,MATCH(A141,'Bid-NoBid'!$A:$A,0)),""))</f>
        <v/>
      </c>
      <c r="U141" s="59">
        <f>IF(A141="","",IFERROR(IF(OR(INDEX('Bid-NoBid'!$U:$U,MATCH(A141,'Bid-NoBid'!$A:$A,0))="",LEFT(INDEX('Bid-NoBid'!$U:$U,MATCH(A141,'Bid-NoBid'!$A:$A,0)),10)="Incomplete"),"Screen: "&amp;AC141,INDEX('Bid-NoBid'!$U:$U,MATCH(A141,'Bid-NoBid'!$A:$A,0))),"Screen: "&amp;AC141))</f>
        <v/>
      </c>
      <c r="V141" s="60" t="n"/>
      <c r="W141" s="70" t="inlineStr">
        <is>
          <t>Watching</t>
        </is>
      </c>
      <c r="X141" s="70" t="inlineStr">
        <is>
          <t>Frank</t>
        </is>
      </c>
      <c r="Y141" s="60" t="n"/>
      <c r="Z141" s="60" t="n"/>
      <c r="AA141" s="73" t="n">
        <v>46307</v>
      </c>
      <c r="AB141" s="74" t="inlineStr">
        <is>
          <t>Small Works / Tender</t>
        </is>
      </c>
      <c r="AC141" s="74" t="inlineStr">
        <is>
          <t>Check</t>
        </is>
      </c>
      <c r="AD141" s="74" t="inlineStr">
        <is>
          <t>Auto (Small Works / Tender): Construction tender kept for review (would have been dropped: Remote and closing soon)</t>
        </is>
      </c>
      <c r="AE141" s="67">
        <f>IF(ISNUMBER(Q141),ROUNDDOWN(Q141-NOW(),1),"")</f>
        <v/>
      </c>
      <c r="AF141" s="59">
        <f>IF(OR(A141="",AE141=""),"",IF(NOT(OR(W141="Watching",W141="Preparing")),"",IF(AE141&lt;0,"PASSED",IF(AND(AE141&lt;=7,W141&lt;&gt;"Preparing"),"RED",IF(AE141&lt;=14,"AMBER","GREEN")))))</f>
        <v/>
      </c>
      <c r="AG141" s="59">
        <f>IF(OR(A141="",NOT(OR(W141="Watching",W141="Preparing"))),"",IF(AND(ISNUMBER(M141),M141&gt;=3000000000),"YES – ≥ TZS 3bn",IF(AND(ISNUMBER(AE141),AE141&gt;=0,AE141&lt;10,V141=""),"YES – &lt;10 days","")))</f>
        <v/>
      </c>
      <c r="AH141" s="68" t="n"/>
      <c r="AI141" s="74" t="inlineStr">
        <is>
          <t>Read the notice and decide with the QS Director whether to pursue</t>
        </is>
      </c>
      <c r="AJ141" s="74" t="inlineStr">
        <is>
          <t>Auto-scan</t>
        </is>
      </c>
      <c r="AK141" s="74" t="inlineStr">
        <is>
          <t>06a10049-96a8-4d0c-80af-a172fbe3bb22</t>
        </is>
      </c>
      <c r="AL141" s="59">
        <f>IF(AND(OR(W141="Watching",W141="Preparing"),ISNUMBER(Q141)),IF(AND(Q141&gt;='Friday Summary'!$C$4,Q141&lt;='Friday Summary'!$C$4+14),Q141+ROW()/1000000,""),"")</f>
        <v/>
      </c>
    </row>
    <row r="142" ht="15" customHeight="1" s="51">
      <c r="A142" s="59">
        <f>IF(B142="","","OP-"&amp;TEXT(ROW()-4,"000"))</f>
        <v/>
      </c>
      <c r="B142" s="70" t="inlineStr">
        <is>
          <t>88Z3/2026/2027/W/125</t>
        </is>
      </c>
      <c r="C142" s="71" t="n">
        <v>46308</v>
      </c>
      <c r="D142" s="70" t="inlineStr">
        <is>
          <t>NeST</t>
        </is>
      </c>
      <c r="E142" s="70" t="inlineStr">
        <is>
          <t>https://nest.go.tz/tenders/published-tenders</t>
        </is>
      </c>
      <c r="F142" s="70" t="inlineStr">
        <is>
          <t>Kinondoni Municipal Council</t>
        </is>
      </c>
      <c r="G142" s="70" t="inlineStr">
        <is>
          <t>government</t>
        </is>
      </c>
      <c r="H142" s="70" t="inlineStr">
        <is>
          <t>PROPOSED CONSTRUCTION OF MUNICIPAL DIRECTOR HOUSE AT MSASANI PENINSULA IN KMC</t>
        </is>
      </c>
      <c r="I142" s="70" t="inlineStr">
        <is>
          <t>From NeST notice (1 lot) – read the tender document</t>
        </is>
      </c>
      <c r="J142" s="70" t="inlineStr">
        <is>
          <t>Dar es Salaam (Kinondoni) (from client's office – confirm site)</t>
        </is>
      </c>
      <c r="K142" s="70" t="inlineStr">
        <is>
          <t>building</t>
        </is>
      </c>
      <c r="L142" s="70" t="inlineStr">
        <is>
          <t>NeST login needed</t>
        </is>
      </c>
      <c r="M142" s="62" t="n"/>
      <c r="N142" s="70" t="inlineStr">
        <is>
          <t>unknown</t>
        </is>
      </c>
      <c r="O142" s="71" t="inlineStr">
        <is>
          <t>NeST login needed</t>
        </is>
      </c>
      <c r="P142" s="71" t="inlineStr">
        <is>
          <t>NeST login needed</t>
        </is>
      </c>
      <c r="Q142" s="72" t="n">
        <v>46314.58333333334</v>
      </c>
      <c r="R142" s="70" t="inlineStr">
        <is>
          <t>NeST login needed</t>
        </is>
      </c>
      <c r="S142" s="70" t="inlineStr">
        <is>
          <t>N</t>
        </is>
      </c>
      <c r="T142" s="64">
        <f>IF(A142="","",IFERROR(INDEX('Bid-NoBid'!$T:$T,MATCH(A142,'Bid-NoBid'!$A:$A,0)),""))</f>
        <v/>
      </c>
      <c r="U142" s="59">
        <f>IF(A142="","",IFERROR(IF(OR(INDEX('Bid-NoBid'!$U:$U,MATCH(A142,'Bid-NoBid'!$A:$A,0))="",LEFT(INDEX('Bid-NoBid'!$U:$U,MATCH(A142,'Bid-NoBid'!$A:$A,0)),10)="Incomplete"),"Screen: "&amp;AC142,INDEX('Bid-NoBid'!$U:$U,MATCH(A142,'Bid-NoBid'!$A:$A,0))),"Screen: "&amp;AC142))</f>
        <v/>
      </c>
      <c r="V142" s="60" t="n"/>
      <c r="W142" s="70" t="inlineStr">
        <is>
          <t>Watching</t>
        </is>
      </c>
      <c r="X142" s="70" t="inlineStr">
        <is>
          <t>Frank</t>
        </is>
      </c>
      <c r="Y142" s="60" t="n"/>
      <c r="Z142" s="60" t="n"/>
      <c r="AA142" s="73" t="n">
        <v>46307</v>
      </c>
      <c r="AB142" s="74" t="inlineStr">
        <is>
          <t>Small Works / Tender</t>
        </is>
      </c>
      <c r="AC142" s="74" t="inlineStr">
        <is>
          <t>Pursue</t>
        </is>
      </c>
      <c r="AD142" s="74" t="inlineStr">
        <is>
          <t>Auto (Small Works / Tender): Building works within reach of Dar</t>
        </is>
      </c>
      <c r="AE142" s="67">
        <f>IF(ISNUMBER(Q142),ROUNDDOWN(Q142-NOW(),1),"")</f>
        <v/>
      </c>
      <c r="AF142" s="59">
        <f>IF(OR(A142="",AE142=""),"",IF(NOT(OR(W142="Watching",W142="Preparing")),"",IF(AE142&lt;0,"PASSED",IF(AND(AE142&lt;=7,W142&lt;&gt;"Preparing"),"RED",IF(AE142&lt;=14,"AMBER","GREEN")))))</f>
        <v/>
      </c>
      <c r="AG142" s="59">
        <f>IF(OR(A142="",NOT(OR(W142="Watching",W142="Preparing"))),"",IF(AND(ISNUMBER(M142),M142&gt;=3000000000),"YES – ≥ TZS 3bn",IF(AND(ISNUMBER(AE142),AE142&gt;=0,AE142&lt;10,V142=""),"YES – &lt;10 days","")))</f>
        <v/>
      </c>
      <c r="AH142" s="68" t="n"/>
      <c r="AI142" s="74" t="inlineStr">
        <is>
          <t>Get the tender document, confirm value, CRB class, site visit and bid security; brief the MD</t>
        </is>
      </c>
      <c r="AJ142" s="74" t="inlineStr">
        <is>
          <t>Auto-scan</t>
        </is>
      </c>
      <c r="AK142" s="74" t="inlineStr">
        <is>
          <t>2bead82a-8125-4674-bbdb-1ed5ef8f07d6</t>
        </is>
      </c>
      <c r="AL142" s="59">
        <f>IF(AND(OR(W142="Watching",W142="Preparing"),ISNUMBER(Q142)),IF(AND(Q142&gt;='Friday Summary'!$C$4,Q142&lt;='Friday Summary'!$C$4+14),Q142+ROW()/1000000,""),"")</f>
        <v/>
      </c>
    </row>
    <row r="143" ht="15" customHeight="1" s="51">
      <c r="A143" s="59">
        <f>IF(B143="","","OP-"&amp;TEXT(ROW()-4,"000"))</f>
        <v/>
      </c>
      <c r="B143" s="70" t="inlineStr">
        <is>
          <t>88Z3/2026/2027/W/131</t>
        </is>
      </c>
      <c r="C143" s="71" t="n">
        <v>46308</v>
      </c>
      <c r="D143" s="70" t="inlineStr">
        <is>
          <t>NeST</t>
        </is>
      </c>
      <c r="E143" s="70" t="inlineStr">
        <is>
          <t>https://nest.go.tz/tenders/published-tenders</t>
        </is>
      </c>
      <c r="F143" s="70" t="inlineStr">
        <is>
          <t>Kinondoni Municipal Council</t>
        </is>
      </c>
      <c r="G143" s="70" t="inlineStr">
        <is>
          <t>government</t>
        </is>
      </c>
      <c r="H143" s="70" t="inlineStr">
        <is>
          <t>PROPOSED CONSTRUCTION OF FENCE WALL AND PAVING BLOCKS AT KINONDONI MUNICIPAL COUNCIL</t>
        </is>
      </c>
      <c r="I143" s="70" t="inlineStr">
        <is>
          <t>From NeST notice (1 lot) – read the tender document</t>
        </is>
      </c>
      <c r="J143" s="70" t="inlineStr">
        <is>
          <t>Dar es Salaam (Kinondoni)</t>
        </is>
      </c>
      <c r="K143" s="70" t="inlineStr">
        <is>
          <t>civil</t>
        </is>
      </c>
      <c r="L143" s="70" t="inlineStr">
        <is>
          <t>NeST login needed</t>
        </is>
      </c>
      <c r="M143" s="62" t="n"/>
      <c r="N143" s="70" t="inlineStr">
        <is>
          <t>unknown</t>
        </is>
      </c>
      <c r="O143" s="71" t="inlineStr">
        <is>
          <t>NeST login needed</t>
        </is>
      </c>
      <c r="P143" s="71" t="inlineStr">
        <is>
          <t>NeST login needed</t>
        </is>
      </c>
      <c r="Q143" s="72" t="n">
        <v>46325.58333333334</v>
      </c>
      <c r="R143" s="70" t="inlineStr">
        <is>
          <t>NeST login needed</t>
        </is>
      </c>
      <c r="S143" s="70" t="inlineStr">
        <is>
          <t>N</t>
        </is>
      </c>
      <c r="T143" s="64">
        <f>IF(A143="","",IFERROR(INDEX('Bid-NoBid'!$T:$T,MATCH(A143,'Bid-NoBid'!$A:$A,0)),""))</f>
        <v/>
      </c>
      <c r="U143" s="59">
        <f>IF(A143="","",IFERROR(IF(OR(INDEX('Bid-NoBid'!$U:$U,MATCH(A143,'Bid-NoBid'!$A:$A,0))="",LEFT(INDEX('Bid-NoBid'!$U:$U,MATCH(A143,'Bid-NoBid'!$A:$A,0)),10)="Incomplete"),"Screen: "&amp;AC143,INDEX('Bid-NoBid'!$U:$U,MATCH(A143,'Bid-NoBid'!$A:$A,0))),"Screen: "&amp;AC143))</f>
        <v/>
      </c>
      <c r="V143" s="60" t="n"/>
      <c r="W143" s="70" t="inlineStr">
        <is>
          <t>Watching</t>
        </is>
      </c>
      <c r="X143" s="70" t="inlineStr">
        <is>
          <t>Frank</t>
        </is>
      </c>
      <c r="Y143" s="60" t="n"/>
      <c r="Z143" s="60" t="n"/>
      <c r="AA143" s="73" t="n">
        <v>46307</v>
      </c>
      <c r="AB143" s="74" t="inlineStr">
        <is>
          <t>Small Works / Tender</t>
        </is>
      </c>
      <c r="AC143" s="74" t="inlineStr">
        <is>
          <t>Check</t>
        </is>
      </c>
      <c r="AD143" s="74" t="inlineStr">
        <is>
          <t>Auto (Small Works / Tender): Civil works in Dar/Coast – confirm CRB class and margin</t>
        </is>
      </c>
      <c r="AE143" s="67">
        <f>IF(ISNUMBER(Q143),ROUNDDOWN(Q143-NOW(),1),"")</f>
        <v/>
      </c>
      <c r="AF143" s="59">
        <f>IF(OR(A143="",AE143=""),"",IF(NOT(OR(W143="Watching",W143="Preparing")),"",IF(AE143&lt;0,"PASSED",IF(AND(AE143&lt;=7,W143&lt;&gt;"Preparing"),"RED",IF(AE143&lt;=14,"AMBER","GREEN")))))</f>
        <v/>
      </c>
      <c r="AG143" s="59">
        <f>IF(OR(A143="",NOT(OR(W143="Watching",W143="Preparing"))),"",IF(AND(ISNUMBER(M143),M143&gt;=3000000000),"YES – ≥ TZS 3bn",IF(AND(ISNUMBER(AE143),AE143&gt;=0,AE143&lt;10,V143=""),"YES – &lt;10 days","")))</f>
        <v/>
      </c>
      <c r="AH143" s="68" t="n"/>
      <c r="AI143" s="74" t="inlineStr">
        <is>
          <t>Deadline changed at source 23-Oct (was 26-Oct 14:00). Deadline changed at source 19-Oct (was 19-Oct 14:00). Read the notice and decide with the QS Director whether to pursue</t>
        </is>
      </c>
      <c r="AJ143" s="74" t="inlineStr">
        <is>
          <t>Auto-scan</t>
        </is>
      </c>
      <c r="AK143" s="74" t="inlineStr">
        <is>
          <t>7fd2d334-fc33-434c-88ba-5072225c8f0a</t>
        </is>
      </c>
      <c r="AL143" s="59">
        <f>IF(AND(OR(W143="Watching",W143="Preparing"),ISNUMBER(Q143)),IF(AND(Q143&gt;='Friday Summary'!$C$4,Q143&lt;='Friday Summary'!$C$4+14),Q143+ROW()/1000000,""),"")</f>
        <v/>
      </c>
    </row>
    <row r="144" ht="15" customHeight="1" s="51">
      <c r="A144" s="59">
        <f>IF(B144="","","OP-"&amp;TEXT(ROW()-4,"000"))</f>
        <v/>
      </c>
      <c r="B144" s="70" t="inlineStr">
        <is>
          <t>(not shown)</t>
        </is>
      </c>
      <c r="C144" s="71" t="n">
        <v>46308</v>
      </c>
      <c r="D144" s="70" t="inlineStr">
        <is>
          <t>press</t>
        </is>
      </c>
      <c r="E144" s="70" t="inlineStr">
        <is>
          <t>https://www.tanzaniatenders.com/tender/provision-consultant-service-construction-tabora-nhif-building-8fd9728.php</t>
        </is>
      </c>
      <c r="F144" s="70" t="inlineStr">
        <is>
          <t>See advert</t>
        </is>
      </c>
      <c r="G144" s="70" t="inlineStr">
        <is>
          <t>government</t>
        </is>
      </c>
      <c r="H144" s="70" t="inlineStr">
        <is>
          <t>Provision of Consultant Service for Construction of Tabora Nhif Building</t>
        </is>
      </c>
      <c r="I144" s="70" t="inlineStr">
        <is>
          <t>From press notice (1 lot) – read the tender document</t>
        </is>
      </c>
      <c r="J144" s="70" t="inlineStr">
        <is>
          <t>Tabora</t>
        </is>
      </c>
      <c r="K144" s="70" t="inlineStr">
        <is>
          <t>building</t>
        </is>
      </c>
      <c r="L144" s="70" t="inlineStr">
        <is>
          <t>See tender document</t>
        </is>
      </c>
      <c r="M144" s="62" t="n"/>
      <c r="N144" s="70" t="inlineStr">
        <is>
          <t>unknown</t>
        </is>
      </c>
      <c r="O144" s="71" t="inlineStr">
        <is>
          <t>See tender document</t>
        </is>
      </c>
      <c r="P144" s="71" t="inlineStr">
        <is>
          <t>See tender document</t>
        </is>
      </c>
      <c r="Q144" s="72" t="n">
        <v>46321.41666666666</v>
      </c>
      <c r="R144" s="70" t="inlineStr">
        <is>
          <t>See tender document</t>
        </is>
      </c>
      <c r="S144" s="70" t="inlineStr">
        <is>
          <t>N</t>
        </is>
      </c>
      <c r="T144" s="64">
        <f>IF(A144="","",IFERROR(INDEX('Bid-NoBid'!$T:$T,MATCH(A144,'Bid-NoBid'!$A:$A,0)),""))</f>
        <v/>
      </c>
      <c r="U144" s="59">
        <f>IF(A144="","",IFERROR(IF(OR(INDEX('Bid-NoBid'!$U:$U,MATCH(A144,'Bid-NoBid'!$A:$A,0))="",LEFT(INDEX('Bid-NoBid'!$U:$U,MATCH(A144,'Bid-NoBid'!$A:$A,0)),10)="Incomplete"),"Screen: "&amp;AC144,INDEX('Bid-NoBid'!$U:$U,MATCH(A144,'Bid-NoBid'!$A:$A,0))),"Screen: "&amp;AC144))</f>
        <v/>
      </c>
      <c r="V144" s="60" t="n"/>
      <c r="W144" s="70" t="inlineStr">
        <is>
          <t>Watching</t>
        </is>
      </c>
      <c r="X144" s="70" t="inlineStr">
        <is>
          <t>Frank</t>
        </is>
      </c>
      <c r="Y144" s="60" t="n"/>
      <c r="Z144" s="60" t="n"/>
      <c r="AA144" s="73" t="n"/>
      <c r="AB144" s="74" t="inlineStr">
        <is>
          <t>TanzaniaTenders.com (newspapers / portals / private)</t>
        </is>
      </c>
      <c r="AC144" s="74" t="inlineStr">
        <is>
          <t>Check</t>
        </is>
      </c>
      <c r="AD144" s="74" t="inlineStr">
        <is>
          <t>Auto (TanzaniaTenders.com): Building works but remote from Dar · deadline read from the web page – confirm</t>
        </is>
      </c>
      <c r="AE144" s="67">
        <f>IF(ISNUMBER(Q144),ROUNDDOWN(Q144-NOW(),1),"")</f>
        <v/>
      </c>
      <c r="AF144" s="59">
        <f>IF(OR(A144="",AE144=""),"",IF(NOT(OR(W144="Watching",W144="Preparing")),"",IF(AE144&lt;0,"PASSED",IF(AND(AE144&lt;=7,W144&lt;&gt;"Preparing"),"RED",IF(AE144&lt;=14,"AMBER","GREEN")))))</f>
        <v/>
      </c>
      <c r="AG144" s="59">
        <f>IF(OR(A144="",NOT(OR(W144="Watching",W144="Preparing"))),"",IF(AND(ISNUMBER(M144),M144&gt;=3000000000),"YES – ≥ TZS 3bn",IF(AND(ISNUMBER(AE144),AE144&gt;=0,AE144&lt;10,V144=""),"YES – &lt;10 days","")))</f>
        <v/>
      </c>
      <c r="AH144" s="68" t="n"/>
      <c r="AI144" s="74" t="inlineStr">
        <is>
          <t>Read the notice and decide with the QS Director whether to pursue</t>
        </is>
      </c>
      <c r="AJ144" s="74" t="inlineStr">
        <is>
          <t>Auto-scan</t>
        </is>
      </c>
      <c r="AK144" s="74" t="inlineStr">
        <is>
          <t>TZT:150837032</t>
        </is>
      </c>
      <c r="AL144" s="59">
        <f>IF(AND(OR(W144="Watching",W144="Preparing"),ISNUMBER(Q144)),IF(AND(Q144&gt;='Friday Summary'!$C$4,Q144&lt;='Friday Summary'!$C$4+14),Q144+ROW()/1000000,""),"")</f>
        <v/>
      </c>
    </row>
    <row r="145" ht="15" customHeight="1" s="51">
      <c r="A145" s="59">
        <f>IF(B145="","","OP-"&amp;TEXT(ROW()-4,"000"))</f>
        <v/>
      </c>
      <c r="B145" s="70" t="inlineStr">
        <is>
          <t>(not shown)</t>
        </is>
      </c>
      <c r="C145" s="71" t="n">
        <v>46308</v>
      </c>
      <c r="D145" s="70" t="inlineStr">
        <is>
          <t>press</t>
        </is>
      </c>
      <c r="E145" s="70" t="inlineStr">
        <is>
          <t>https://www.tanzaniatenders.com/tender/specialized-monitoring-ac-voltage-induced-pipeline-powerlines-ac-corrosion-assessments-telluric-cu-8fe384d.php</t>
        </is>
      </c>
      <c r="F145" s="70" t="inlineStr">
        <is>
          <t>See advert</t>
        </is>
      </c>
      <c r="G145" s="70" t="inlineStr">
        <is>
          <t>government</t>
        </is>
      </c>
      <c r="H145" s="70" t="inlineStr">
        <is>
          <t>Specialized monitoring of AC voltage induced on the pipeline by powerlines, AC corrosion assessments, telluric current monitoring,</t>
        </is>
      </c>
      <c r="I145" s="70" t="inlineStr">
        <is>
          <t>From press notice (1 lot) – read the tender document</t>
        </is>
      </c>
      <c r="J145" s="70" t="inlineStr">
        <is>
          <t>Not stated – read the notice</t>
        </is>
      </c>
      <c r="K145" s="70" t="inlineStr">
        <is>
          <t>civil</t>
        </is>
      </c>
      <c r="L145" s="70" t="inlineStr">
        <is>
          <t>See tender document</t>
        </is>
      </c>
      <c r="M145" s="62" t="n"/>
      <c r="N145" s="70" t="inlineStr">
        <is>
          <t>unknown</t>
        </is>
      </c>
      <c r="O145" s="71" t="inlineStr">
        <is>
          <t>See tender document</t>
        </is>
      </c>
      <c r="P145" s="71" t="inlineStr">
        <is>
          <t>See tender document</t>
        </is>
      </c>
      <c r="Q145" s="72" t="n">
        <v>46325.41666666666</v>
      </c>
      <c r="R145" s="70" t="inlineStr">
        <is>
          <t>See tender document</t>
        </is>
      </c>
      <c r="S145" s="70" t="inlineStr">
        <is>
          <t>N</t>
        </is>
      </c>
      <c r="T145" s="64">
        <f>IF(A145="","",IFERROR(INDEX('Bid-NoBid'!$T:$T,MATCH(A145,'Bid-NoBid'!$A:$A,0)),""))</f>
        <v/>
      </c>
      <c r="U145" s="59">
        <f>IF(A145="","",IFERROR(IF(OR(INDEX('Bid-NoBid'!$U:$U,MATCH(A145,'Bid-NoBid'!$A:$A,0))="",LEFT(INDEX('Bid-NoBid'!$U:$U,MATCH(A145,'Bid-NoBid'!$A:$A,0)),10)="Incomplete"),"Screen: "&amp;AC145,INDEX('Bid-NoBid'!$U:$U,MATCH(A145,'Bid-NoBid'!$A:$A,0))),"Screen: "&amp;AC145))</f>
        <v/>
      </c>
      <c r="V145" s="60" t="n"/>
      <c r="W145" s="70" t="inlineStr">
        <is>
          <t>Watching</t>
        </is>
      </c>
      <c r="X145" s="70" t="inlineStr">
        <is>
          <t>Frank</t>
        </is>
      </c>
      <c r="Y145" s="60" t="n"/>
      <c r="Z145" s="60" t="n"/>
      <c r="AA145" s="73" t="n"/>
      <c r="AB145" s="74" t="inlineStr">
        <is>
          <t>TanzaniaTenders.com (newspapers / portals / private)</t>
        </is>
      </c>
      <c r="AC145" s="74" t="inlineStr">
        <is>
          <t>Check</t>
        </is>
      </c>
      <c r="AD145" s="74" t="inlineStr">
        <is>
          <t>Auto (TanzaniaTenders.com): Civil works – confirm site, CRB class and margin · deadline read from the web page – confirm</t>
        </is>
      </c>
      <c r="AE145" s="67">
        <f>IF(ISNUMBER(Q145),ROUNDDOWN(Q145-NOW(),1),"")</f>
        <v/>
      </c>
      <c r="AF145" s="59">
        <f>IF(OR(A145="",AE145=""),"",IF(NOT(OR(W145="Watching",W145="Preparing")),"",IF(AE145&lt;0,"PASSED",IF(AND(AE145&lt;=7,W145&lt;&gt;"Preparing"),"RED",IF(AE145&lt;=14,"AMBER","GREEN")))))</f>
        <v/>
      </c>
      <c r="AG145" s="59">
        <f>IF(OR(A145="",NOT(OR(W145="Watching",W145="Preparing"))),"",IF(AND(ISNUMBER(M145),M145&gt;=3000000000),"YES – ≥ TZS 3bn",IF(AND(ISNUMBER(AE145),AE145&gt;=0,AE145&lt;10,V145=""),"YES – &lt;10 days","")))</f>
        <v/>
      </c>
      <c r="AH145" s="68" t="n"/>
      <c r="AI145" s="74" t="inlineStr">
        <is>
          <t>Read the notice and decide with the QS Director whether to pursue</t>
        </is>
      </c>
      <c r="AJ145" s="74" t="inlineStr">
        <is>
          <t>Auto-scan</t>
        </is>
      </c>
      <c r="AK145" s="74" t="inlineStr">
        <is>
          <t>TZT:150878285</t>
        </is>
      </c>
      <c r="AL145" s="59">
        <f>IF(AND(OR(W145="Watching",W145="Preparing"),ISNUMBER(Q145)),IF(AND(Q145&gt;='Friday Summary'!$C$4,Q145&lt;='Friday Summary'!$C$4+14),Q145+ROW()/1000000,""),"")</f>
        <v/>
      </c>
    </row>
    <row r="146" ht="15" customHeight="1" s="51">
      <c r="A146" s="59">
        <f>IF(B146="","","OP-"&amp;TEXT(ROW()-4,"000"))</f>
        <v/>
      </c>
      <c r="B146" s="70" t="inlineStr">
        <is>
          <t>(not shown)</t>
        </is>
      </c>
      <c r="C146" s="71" t="n">
        <v>46308</v>
      </c>
      <c r="D146" s="70" t="inlineStr">
        <is>
          <t>press</t>
        </is>
      </c>
      <c r="E146" s="70" t="inlineStr">
        <is>
          <t>https://www.tanzaniatenders.com/tender/the-tender-involves-construction-works-integrated-tourism-development-infrastructure-and-livelihoo-8fe3851.php</t>
        </is>
      </c>
      <c r="F146" s="70" t="inlineStr">
        <is>
          <t>See advert</t>
        </is>
      </c>
      <c r="G146" s="70" t="inlineStr">
        <is>
          <t>government</t>
        </is>
      </c>
      <c r="H146" s="70" t="inlineStr">
        <is>
          <t>The tender involves construction works for integrated tourism development, infrastructure, and livelihood improvement in Unguja, Zanzibar (Nungwi Village). The scope includes the construction of a public square, a two-storey tourist information centr</t>
        </is>
      </c>
      <c r="I146" s="70" t="inlineStr">
        <is>
          <t>From press notice (1 lot) – read the tender document</t>
        </is>
      </c>
      <c r="J146" s="70" t="inlineStr">
        <is>
          <t>Zanzibar (Unguja)</t>
        </is>
      </c>
      <c r="K146" s="70" t="inlineStr">
        <is>
          <t>building</t>
        </is>
      </c>
      <c r="L146" s="70" t="inlineStr">
        <is>
          <t>See tender document</t>
        </is>
      </c>
      <c r="M146" s="62" t="n"/>
      <c r="N146" s="70" t="inlineStr">
        <is>
          <t>unknown</t>
        </is>
      </c>
      <c r="O146" s="71" t="inlineStr">
        <is>
          <t>See tender document</t>
        </is>
      </c>
      <c r="P146" s="71" t="inlineStr">
        <is>
          <t>See tender document</t>
        </is>
      </c>
      <c r="Q146" s="72" t="n">
        <v>46336.41666666666</v>
      </c>
      <c r="R146" s="70" t="inlineStr">
        <is>
          <t>See tender document</t>
        </is>
      </c>
      <c r="S146" s="70" t="inlineStr">
        <is>
          <t>N</t>
        </is>
      </c>
      <c r="T146" s="64">
        <f>IF(A146="","",IFERROR(INDEX('Bid-NoBid'!$T:$T,MATCH(A146,'Bid-NoBid'!$A:$A,0)),""))</f>
        <v/>
      </c>
      <c r="U146" s="59">
        <f>IF(A146="","",IFERROR(IF(OR(INDEX('Bid-NoBid'!$U:$U,MATCH(A146,'Bid-NoBid'!$A:$A,0))="",LEFT(INDEX('Bid-NoBid'!$U:$U,MATCH(A146,'Bid-NoBid'!$A:$A,0)),10)="Incomplete"),"Screen: "&amp;AC146,INDEX('Bid-NoBid'!$U:$U,MATCH(A146,'Bid-NoBid'!$A:$A,0))),"Screen: "&amp;AC146))</f>
        <v/>
      </c>
      <c r="V146" s="60" t="n"/>
      <c r="W146" s="70" t="inlineStr">
        <is>
          <t>Watching</t>
        </is>
      </c>
      <c r="X146" s="70" t="inlineStr">
        <is>
          <t>Frank</t>
        </is>
      </c>
      <c r="Y146" s="60" t="n"/>
      <c r="Z146" s="60" t="n"/>
      <c r="AA146" s="73" t="n"/>
      <c r="AB146" s="74" t="inlineStr">
        <is>
          <t>TanzaniaTenders.com (newspapers / portals / private)</t>
        </is>
      </c>
      <c r="AC146" s="74" t="inlineStr">
        <is>
          <t>Pursue</t>
        </is>
      </c>
      <c r="AD146" s="74" t="inlineStr">
        <is>
          <t>Auto (TanzaniaTenders.com): Building works within reach of Dar · deadline read from the web page – confirm</t>
        </is>
      </c>
      <c r="AE146" s="67">
        <f>IF(ISNUMBER(Q146),ROUNDDOWN(Q146-NOW(),1),"")</f>
        <v/>
      </c>
      <c r="AF146" s="59">
        <f>IF(OR(A146="",AE146=""),"",IF(NOT(OR(W146="Watching",W146="Preparing")),"",IF(AE146&lt;0,"PASSED",IF(AND(AE146&lt;=7,W146&lt;&gt;"Preparing"),"RED",IF(AE146&lt;=14,"AMBER","GREEN")))))</f>
        <v/>
      </c>
      <c r="AG146" s="59">
        <f>IF(OR(A146="",NOT(OR(W146="Watching",W146="Preparing"))),"",IF(AND(ISNUMBER(M146),M146&gt;=3000000000),"YES – ≥ TZS 3bn",IF(AND(ISNUMBER(AE146),AE146&gt;=0,AE146&lt;10,V146=""),"YES – &lt;10 days","")))</f>
        <v/>
      </c>
      <c r="AH146" s="68" t="n"/>
      <c r="AI146" s="74" t="inlineStr">
        <is>
          <t>Get the tender document, confirm value, CRB class, site visit and bid security; brief the MD</t>
        </is>
      </c>
      <c r="AJ146" s="74" t="inlineStr">
        <is>
          <t>Auto-scan</t>
        </is>
      </c>
      <c r="AK146" s="74" t="inlineStr">
        <is>
          <t>TZT:150878289</t>
        </is>
      </c>
      <c r="AL146" s="59">
        <f>IF(AND(OR(W146="Watching",W146="Preparing"),ISNUMBER(Q146)),IF(AND(Q146&gt;='Friday Summary'!$C$4,Q146&lt;='Friday Summary'!$C$4+14),Q146+ROW()/1000000,""),"")</f>
        <v/>
      </c>
    </row>
    <row r="147" ht="15" customHeight="1" s="51">
      <c r="A147" s="59">
        <f>IF(B147="","","OP-"&amp;TEXT(ROW()-4,"000"))</f>
        <v/>
      </c>
      <c r="B147" s="70" t="inlineStr">
        <is>
          <t>88Z4/2026/2027/W/45</t>
        </is>
      </c>
      <c r="C147" s="71" t="n">
        <v>46309</v>
      </c>
      <c r="D147" s="70" t="inlineStr">
        <is>
          <t>NeST</t>
        </is>
      </c>
      <c r="E147" s="70" t="inlineStr">
        <is>
          <t>https://nest.go.tz/tenders/published-tenders</t>
        </is>
      </c>
      <c r="F147" s="70" t="inlineStr">
        <is>
          <t>Ubungo Municipal Council</t>
        </is>
      </c>
      <c r="G147" s="70" t="inlineStr">
        <is>
          <t>government</t>
        </is>
      </c>
      <c r="H147" s="70" t="inlineStr">
        <is>
          <t>CONSTRUCTION OF SINGLE STOREY BUILDING OPD, MATERNITY AND RCH BUILDING FOR GOGONI DISPENSARY IN UBUNGO MUNICIPALITY - KIBAMBA WARD</t>
        </is>
      </c>
      <c r="I147" s="70" t="inlineStr">
        <is>
          <t>From NeST notice (1 lot) – read the tender document</t>
        </is>
      </c>
      <c r="J147" s="70" t="inlineStr">
        <is>
          <t>Dar es Salaam (Ubungo)</t>
        </is>
      </c>
      <c r="K147" s="70" t="inlineStr">
        <is>
          <t>building</t>
        </is>
      </c>
      <c r="L147" s="70" t="inlineStr">
        <is>
          <t>NeST login needed</t>
        </is>
      </c>
      <c r="M147" s="62" t="n"/>
      <c r="N147" s="70" t="inlineStr">
        <is>
          <t>unknown</t>
        </is>
      </c>
      <c r="O147" s="71" t="inlineStr">
        <is>
          <t>NeST login needed</t>
        </is>
      </c>
      <c r="P147" s="71" t="inlineStr">
        <is>
          <t>NeST login needed</t>
        </is>
      </c>
      <c r="Q147" s="72" t="n">
        <v>46314.58333333334</v>
      </c>
      <c r="R147" s="70" t="inlineStr">
        <is>
          <t>NeST login needed</t>
        </is>
      </c>
      <c r="S147" s="70" t="inlineStr">
        <is>
          <t>N</t>
        </is>
      </c>
      <c r="T147" s="64">
        <f>IF(A147="","",IFERROR(INDEX('Bid-NoBid'!$T:$T,MATCH(A147,'Bid-NoBid'!$A:$A,0)),""))</f>
        <v/>
      </c>
      <c r="U147" s="59">
        <f>IF(A147="","",IFERROR(IF(OR(INDEX('Bid-NoBid'!$U:$U,MATCH(A147,'Bid-NoBid'!$A:$A,0))="",LEFT(INDEX('Bid-NoBid'!$U:$U,MATCH(A147,'Bid-NoBid'!$A:$A,0)),10)="Incomplete"),"Screen: "&amp;AC147,INDEX('Bid-NoBid'!$U:$U,MATCH(A147,'Bid-NoBid'!$A:$A,0))),"Screen: "&amp;AC147))</f>
        <v/>
      </c>
      <c r="V147" s="60" t="n"/>
      <c r="W147" s="70" t="inlineStr">
        <is>
          <t>Watching</t>
        </is>
      </c>
      <c r="X147" s="70" t="inlineStr">
        <is>
          <t>Frank</t>
        </is>
      </c>
      <c r="Y147" s="60" t="n"/>
      <c r="Z147" s="60" t="n"/>
      <c r="AA147" s="73" t="n">
        <v>46307</v>
      </c>
      <c r="AB147" s="74" t="inlineStr">
        <is>
          <t>Small Works / Planned Tender</t>
        </is>
      </c>
      <c r="AC147" s="74" t="inlineStr">
        <is>
          <t>Pursue</t>
        </is>
      </c>
      <c r="AD147" s="74" t="inlineStr">
        <is>
          <t>Auto (Small Works / Planned Tender): Building works within reach of Dar</t>
        </is>
      </c>
      <c r="AE147" s="67">
        <f>IF(ISNUMBER(Q147),ROUNDDOWN(Q147-NOW(),1),"")</f>
        <v/>
      </c>
      <c r="AF147" s="59">
        <f>IF(OR(A147="",AE147=""),"",IF(NOT(OR(W147="Watching",W147="Preparing")),"",IF(AE147&lt;0,"PASSED",IF(AND(AE147&lt;=7,W147&lt;&gt;"Preparing"),"RED",IF(AE147&lt;=14,"AMBER","GREEN")))))</f>
        <v/>
      </c>
      <c r="AG147" s="59">
        <f>IF(OR(A147="",NOT(OR(W147="Watching",W147="Preparing"))),"",IF(AND(ISNUMBER(M147),M147&gt;=3000000000),"YES – ≥ TZS 3bn",IF(AND(ISNUMBER(AE147),AE147&gt;=0,AE147&lt;10,V147=""),"YES – &lt;10 days","")))</f>
        <v/>
      </c>
      <c r="AH147" s="68" t="n"/>
      <c r="AI147" s="74" t="inlineStr">
        <is>
          <t>Get the tender document, confirm value, CRB class, site visit and bid security; brief the MD</t>
        </is>
      </c>
      <c r="AJ147" s="74" t="inlineStr">
        <is>
          <t>Auto-scan</t>
        </is>
      </c>
      <c r="AK147" s="74" t="inlineStr">
        <is>
          <t>57af6020-21a4-4717-93ec-d0b01898ccd0</t>
        </is>
      </c>
      <c r="AL147" s="59">
        <f>IF(AND(OR(W147="Watching",W147="Preparing"),ISNUMBER(Q147)),IF(AND(Q147&gt;='Friday Summary'!$C$4,Q147&lt;='Friday Summary'!$C$4+14),Q147+ROW()/1000000,""),"")</f>
        <v/>
      </c>
    </row>
    <row r="148" ht="15" customHeight="1" s="51">
      <c r="A148" s="59">
        <f>IF(B148="","","OP-"&amp;TEXT(ROW()-4,"000"))</f>
        <v/>
      </c>
      <c r="B148" s="70" t="inlineStr">
        <is>
          <t>53/004/2026/2027/W/02</t>
        </is>
      </c>
      <c r="C148" s="71" t="n">
        <v>46309</v>
      </c>
      <c r="D148" s="70" t="inlineStr">
        <is>
          <t>NeST</t>
        </is>
      </c>
      <c r="E148" s="70" t="inlineStr">
        <is>
          <t>https://nest.go.tz/tenders/published-tenders</t>
        </is>
      </c>
      <c r="F148" s="70" t="inlineStr">
        <is>
          <t>Mcdgwsg - Rungemba Community Development Training Institute</t>
        </is>
      </c>
      <c r="G148" s="70" t="inlineStr">
        <is>
          <t>government</t>
        </is>
      </c>
      <c r="H148" s="70" t="inlineStr">
        <is>
          <t>Construction of Girls hostel at Rungemba CDTI</t>
        </is>
      </c>
      <c r="I148" s="70" t="inlineStr">
        <is>
          <t>From NeST notice (1 lot) – read the tender document</t>
        </is>
      </c>
      <c r="J148" s="70" t="inlineStr">
        <is>
          <t>Iringa (Mufindi) (from client's office – confirm site)</t>
        </is>
      </c>
      <c r="K148" s="70" t="inlineStr">
        <is>
          <t>building</t>
        </is>
      </c>
      <c r="L148" s="70" t="inlineStr">
        <is>
          <t>NeST login needed</t>
        </is>
      </c>
      <c r="M148" s="62" t="n"/>
      <c r="N148" s="70" t="inlineStr">
        <is>
          <t>unknown</t>
        </is>
      </c>
      <c r="O148" s="71" t="inlineStr">
        <is>
          <t>NeST login needed</t>
        </is>
      </c>
      <c r="P148" s="71" t="inlineStr">
        <is>
          <t>NeST login needed</t>
        </is>
      </c>
      <c r="Q148" s="72" t="n">
        <v>46315.58333333334</v>
      </c>
      <c r="R148" s="70" t="inlineStr">
        <is>
          <t>NeST login needed</t>
        </is>
      </c>
      <c r="S148" s="70" t="inlineStr">
        <is>
          <t>N</t>
        </is>
      </c>
      <c r="T148" s="64">
        <f>IF(A148="","",IFERROR(INDEX('Bid-NoBid'!$T:$T,MATCH(A148,'Bid-NoBid'!$A:$A,0)),""))</f>
        <v/>
      </c>
      <c r="U148" s="59">
        <f>IF(A148="","",IFERROR(IF(OR(INDEX('Bid-NoBid'!$U:$U,MATCH(A148,'Bid-NoBid'!$A:$A,0))="",LEFT(INDEX('Bid-NoBid'!$U:$U,MATCH(A148,'Bid-NoBid'!$A:$A,0)),10)="Incomplete"),"Screen: "&amp;AC148,INDEX('Bid-NoBid'!$U:$U,MATCH(A148,'Bid-NoBid'!$A:$A,0))),"Screen: "&amp;AC148))</f>
        <v/>
      </c>
      <c r="V148" s="60" t="n"/>
      <c r="W148" s="70" t="inlineStr">
        <is>
          <t>Watching</t>
        </is>
      </c>
      <c r="X148" s="70" t="inlineStr">
        <is>
          <t>Frank</t>
        </is>
      </c>
      <c r="Y148" s="60" t="n"/>
      <c r="Z148" s="60" t="n"/>
      <c r="AA148" s="73" t="n">
        <v>46308</v>
      </c>
      <c r="AB148" s="74" t="inlineStr">
        <is>
          <t>Design and Build / Tender</t>
        </is>
      </c>
      <c r="AC148" s="74" t="inlineStr">
        <is>
          <t>Check</t>
        </is>
      </c>
      <c r="AD148" s="74" t="inlineStr">
        <is>
          <t>Auto (Design and Build / Tender): Construction tender kept for review (would have been dropped: Remote and closing soon)</t>
        </is>
      </c>
      <c r="AE148" s="67">
        <f>IF(ISNUMBER(Q148),ROUNDDOWN(Q148-NOW(),1),"")</f>
        <v/>
      </c>
      <c r="AF148" s="59">
        <f>IF(OR(A148="",AE148=""),"",IF(NOT(OR(W148="Watching",W148="Preparing")),"",IF(AE148&lt;0,"PASSED",IF(AND(AE148&lt;=7,W148&lt;&gt;"Preparing"),"RED",IF(AE148&lt;=14,"AMBER","GREEN")))))</f>
        <v/>
      </c>
      <c r="AG148" s="59">
        <f>IF(OR(A148="",NOT(OR(W148="Watching",W148="Preparing"))),"",IF(AND(ISNUMBER(M148),M148&gt;=3000000000),"YES – ≥ TZS 3bn",IF(AND(ISNUMBER(AE148),AE148&gt;=0,AE148&lt;10,V148=""),"YES – &lt;10 days","")))</f>
        <v/>
      </c>
      <c r="AH148" s="68" t="n"/>
      <c r="AI148" s="74" t="inlineStr">
        <is>
          <t>Read the notice and decide with the QS Director whether to pursue</t>
        </is>
      </c>
      <c r="AJ148" s="74" t="inlineStr">
        <is>
          <t>Auto-scan</t>
        </is>
      </c>
      <c r="AK148" s="74" t="inlineStr">
        <is>
          <t>f63dc25a-0d02-4862-9f12-66a754efe926</t>
        </is>
      </c>
      <c r="AL148" s="59">
        <f>IF(AND(OR(W148="Watching",W148="Preparing"),ISNUMBER(Q148)),IF(AND(Q148&gt;='Friday Summary'!$C$4,Q148&lt;='Friday Summary'!$C$4+14),Q148+ROW()/1000000,""),"")</f>
        <v/>
      </c>
    </row>
    <row r="149" ht="15" customHeight="1" s="51">
      <c r="A149" s="59">
        <f>IF(B149="","","OP-"&amp;TEXT(ROW()-4,"000"))</f>
        <v/>
      </c>
      <c r="B149" s="70" t="inlineStr">
        <is>
          <t>88Z3/2026/2027/W/121</t>
        </is>
      </c>
      <c r="C149" s="71" t="n">
        <v>46309</v>
      </c>
      <c r="D149" s="70" t="inlineStr">
        <is>
          <t>NeST</t>
        </is>
      </c>
      <c r="E149" s="70" t="inlineStr">
        <is>
          <t>https://nest.go.tz/tenders/published-tenders</t>
        </is>
      </c>
      <c r="F149" s="70" t="inlineStr">
        <is>
          <t>Kinondoni Municipal Council</t>
        </is>
      </c>
      <c r="G149" s="70" t="inlineStr">
        <is>
          <t>government</t>
        </is>
      </c>
      <c r="H149" s="70" t="inlineStr">
        <is>
          <t>The proposed construction of Tandale Health Center in Kinondoni Municipality</t>
        </is>
      </c>
      <c r="I149" s="70" t="inlineStr">
        <is>
          <t>From NeST notice (1 lot) – read the tender document</t>
        </is>
      </c>
      <c r="J149" s="70" t="inlineStr">
        <is>
          <t>Dar es Salaam (Kinondoni)</t>
        </is>
      </c>
      <c r="K149" s="70" t="inlineStr">
        <is>
          <t>building</t>
        </is>
      </c>
      <c r="L149" s="70" t="inlineStr">
        <is>
          <t>NeST login needed</t>
        </is>
      </c>
      <c r="M149" s="62" t="n"/>
      <c r="N149" s="70" t="inlineStr">
        <is>
          <t>unknown</t>
        </is>
      </c>
      <c r="O149" s="71" t="inlineStr">
        <is>
          <t>NeST login needed</t>
        </is>
      </c>
      <c r="P149" s="71" t="inlineStr">
        <is>
          <t>NeST login needed</t>
        </is>
      </c>
      <c r="Q149" s="72" t="n">
        <v>46328.58333333334</v>
      </c>
      <c r="R149" s="70" t="inlineStr">
        <is>
          <t>NeST login needed</t>
        </is>
      </c>
      <c r="S149" s="70" t="inlineStr">
        <is>
          <t>N</t>
        </is>
      </c>
      <c r="T149" s="64">
        <f>IF(A149="","",IFERROR(INDEX('Bid-NoBid'!$T:$T,MATCH(A149,'Bid-NoBid'!$A:$A,0)),""))</f>
        <v/>
      </c>
      <c r="U149" s="59">
        <f>IF(A149="","",IFERROR(IF(OR(INDEX('Bid-NoBid'!$U:$U,MATCH(A149,'Bid-NoBid'!$A:$A,0))="",LEFT(INDEX('Bid-NoBid'!$U:$U,MATCH(A149,'Bid-NoBid'!$A:$A,0)),10)="Incomplete"),"Screen: "&amp;AC149,INDEX('Bid-NoBid'!$U:$U,MATCH(A149,'Bid-NoBid'!$A:$A,0))),"Screen: "&amp;AC149))</f>
        <v/>
      </c>
      <c r="V149" s="60" t="n"/>
      <c r="W149" s="70" t="inlineStr">
        <is>
          <t>Watching</t>
        </is>
      </c>
      <c r="X149" s="70" t="inlineStr">
        <is>
          <t>Frank</t>
        </is>
      </c>
      <c r="Y149" s="60" t="n"/>
      <c r="Z149" s="60" t="n"/>
      <c r="AA149" s="73" t="n">
        <v>46308</v>
      </c>
      <c r="AB149" s="74" t="inlineStr">
        <is>
          <t>Small Works / Tender</t>
        </is>
      </c>
      <c r="AC149" s="74" t="inlineStr">
        <is>
          <t>Pursue</t>
        </is>
      </c>
      <c r="AD149" s="74" t="inlineStr">
        <is>
          <t>Auto (Small Works / Tender): Building works within reach of Dar</t>
        </is>
      </c>
      <c r="AE149" s="67">
        <f>IF(ISNUMBER(Q149),ROUNDDOWN(Q149-NOW(),1),"")</f>
        <v/>
      </c>
      <c r="AF149" s="59">
        <f>IF(OR(A149="",AE149=""),"",IF(NOT(OR(W149="Watching",W149="Preparing")),"",IF(AE149&lt;0,"PASSED",IF(AND(AE149&lt;=7,W149&lt;&gt;"Preparing"),"RED",IF(AE149&lt;=14,"AMBER","GREEN")))))</f>
        <v/>
      </c>
      <c r="AG149" s="59">
        <f>IF(OR(A149="",NOT(OR(W149="Watching",W149="Preparing"))),"",IF(AND(ISNUMBER(M149),M149&gt;=3000000000),"YES – ≥ TZS 3bn",IF(AND(ISNUMBER(AE149),AE149&gt;=0,AE149&lt;10,V149=""),"YES – &lt;10 days","")))</f>
        <v/>
      </c>
      <c r="AH149" s="68" t="n"/>
      <c r="AI149" s="74" t="inlineStr">
        <is>
          <t>Deadline changed at source 20-Oct (was 21-Oct 14:00). Get the tender document, confirm value, CRB class, site visit and bid security; brief the MD</t>
        </is>
      </c>
      <c r="AJ149" s="74" t="inlineStr">
        <is>
          <t>Auto-scan</t>
        </is>
      </c>
      <c r="AK149" s="74" t="inlineStr">
        <is>
          <t>a47caa0a-2b99-4309-8a97-af4aa5ead91f</t>
        </is>
      </c>
      <c r="AL149" s="59">
        <f>IF(AND(OR(W149="Watching",W149="Preparing"),ISNUMBER(Q149)),IF(AND(Q149&gt;='Friday Summary'!$C$4,Q149&lt;='Friday Summary'!$C$4+14),Q149+ROW()/1000000,""),"")</f>
        <v/>
      </c>
    </row>
    <row r="150" ht="15" customHeight="1" s="51">
      <c r="A150" s="59">
        <f>IF(B150="","","OP-"&amp;TEXT(ROW()-4,"000"))</f>
        <v/>
      </c>
      <c r="B150" s="70" t="inlineStr">
        <is>
          <t>(not shown)</t>
        </is>
      </c>
      <c r="C150" s="71" t="n">
        <v>46309</v>
      </c>
      <c r="D150" s="70" t="inlineStr">
        <is>
          <t>press</t>
        </is>
      </c>
      <c r="E150" s="70" t="inlineStr">
        <is>
          <t>https://www.tanzaniatenders.com/tender/tender-leasing-shops-iaa-babati-campus-cafeteria-building-8fe9474.php</t>
        </is>
      </c>
      <c r="F150" s="70" t="inlineStr">
        <is>
          <t>See advert</t>
        </is>
      </c>
      <c r="G150" s="70" t="inlineStr">
        <is>
          <t>government</t>
        </is>
      </c>
      <c r="H150" s="70" t="inlineStr">
        <is>
          <t>Tender for Leasing Shops at Iaa Babati Campus- Cafeteria Building</t>
        </is>
      </c>
      <c r="I150" s="70" t="inlineStr">
        <is>
          <t>From press notice (1 lot) – read the tender document</t>
        </is>
      </c>
      <c r="J150" s="70" t="inlineStr">
        <is>
          <t>Manyara (Babati)</t>
        </is>
      </c>
      <c r="K150" s="70" t="inlineStr">
        <is>
          <t>building</t>
        </is>
      </c>
      <c r="L150" s="70" t="inlineStr">
        <is>
          <t>See tender document</t>
        </is>
      </c>
      <c r="M150" s="62" t="n"/>
      <c r="N150" s="70" t="inlineStr">
        <is>
          <t>unknown</t>
        </is>
      </c>
      <c r="O150" s="71" t="inlineStr">
        <is>
          <t>See tender document</t>
        </is>
      </c>
      <c r="P150" s="71" t="inlineStr">
        <is>
          <t>See tender document</t>
        </is>
      </c>
      <c r="Q150" s="72" t="n">
        <v>46316.41666666666</v>
      </c>
      <c r="R150" s="70" t="inlineStr">
        <is>
          <t>See tender document</t>
        </is>
      </c>
      <c r="S150" s="70" t="inlineStr">
        <is>
          <t>N</t>
        </is>
      </c>
      <c r="T150" s="64">
        <f>IF(A150="","",IFERROR(INDEX('Bid-NoBid'!$T:$T,MATCH(A150,'Bid-NoBid'!$A:$A,0)),""))</f>
        <v/>
      </c>
      <c r="U150" s="59">
        <f>IF(A150="","",IFERROR(IF(OR(INDEX('Bid-NoBid'!$U:$U,MATCH(A150,'Bid-NoBid'!$A:$A,0))="",LEFT(INDEX('Bid-NoBid'!$U:$U,MATCH(A150,'Bid-NoBid'!$A:$A,0)),10)="Incomplete"),"Screen: "&amp;AC150,INDEX('Bid-NoBid'!$U:$U,MATCH(A150,'Bid-NoBid'!$A:$A,0))),"Screen: "&amp;AC150))</f>
        <v/>
      </c>
      <c r="V150" s="60" t="n"/>
      <c r="W150" s="70" t="inlineStr">
        <is>
          <t>Watching</t>
        </is>
      </c>
      <c r="X150" s="70" t="inlineStr">
        <is>
          <t>Frank</t>
        </is>
      </c>
      <c r="Y150" s="60" t="n"/>
      <c r="Z150" s="60" t="n"/>
      <c r="AA150" s="73" t="n"/>
      <c r="AB150" s="74" t="inlineStr">
        <is>
          <t>TanzaniaTenders.com (newspapers / portals / private)</t>
        </is>
      </c>
      <c r="AC150" s="74" t="inlineStr">
        <is>
          <t>Check</t>
        </is>
      </c>
      <c r="AD150" s="74" t="inlineStr">
        <is>
          <t>Auto (TanzaniaTenders.com): Building works but remote from Dar · deadline read from the web page – confirm</t>
        </is>
      </c>
      <c r="AE150" s="67">
        <f>IF(ISNUMBER(Q150),ROUNDDOWN(Q150-NOW(),1),"")</f>
        <v/>
      </c>
      <c r="AF150" s="59">
        <f>IF(OR(A150="",AE150=""),"",IF(NOT(OR(W150="Watching",W150="Preparing")),"",IF(AE150&lt;0,"PASSED",IF(AND(AE150&lt;=7,W150&lt;&gt;"Preparing"),"RED",IF(AE150&lt;=14,"AMBER","GREEN")))))</f>
        <v/>
      </c>
      <c r="AG150" s="59">
        <f>IF(OR(A150="",NOT(OR(W150="Watching",W150="Preparing"))),"",IF(AND(ISNUMBER(M150),M150&gt;=3000000000),"YES – ≥ TZS 3bn",IF(AND(ISNUMBER(AE150),AE150&gt;=0,AE150&lt;10,V150=""),"YES – &lt;10 days","")))</f>
        <v/>
      </c>
      <c r="AH150" s="68" t="n"/>
      <c r="AI150" s="74" t="inlineStr">
        <is>
          <t>Read the notice and decide with the QS Director whether to pursue</t>
        </is>
      </c>
      <c r="AJ150" s="74" t="inlineStr">
        <is>
          <t>Auto-scan</t>
        </is>
      </c>
      <c r="AK150" s="74" t="inlineStr">
        <is>
          <t>TZT:150901876</t>
        </is>
      </c>
      <c r="AL150" s="59">
        <f>IF(AND(OR(W150="Watching",W150="Preparing"),ISNUMBER(Q150)),IF(AND(Q150&gt;='Friday Summary'!$C$4,Q150&lt;='Friday Summary'!$C$4+14),Q150+ROW()/1000000,""),"")</f>
        <v/>
      </c>
    </row>
    <row r="151" ht="15" customHeight="1" s="51">
      <c r="A151" s="59">
        <f>IF(B151="","","OP-"&amp;TEXT(ROW()-4,"000"))</f>
        <v/>
      </c>
      <c r="B151" s="70" t="inlineStr">
        <is>
          <t>(not shown)</t>
        </is>
      </c>
      <c r="C151" s="71" t="n">
        <v>46309</v>
      </c>
      <c r="D151" s="70" t="inlineStr">
        <is>
          <t>aggregator</t>
        </is>
      </c>
      <c r="E151" s="70" t="inlineStr">
        <is>
          <t>https://www.tenderimpulse.com/tanzania-tenders</t>
        </is>
      </c>
      <c r="F151" s="70" t="inlineStr">
        <is>
          <t>See notice</t>
        </is>
      </c>
      <c r="G151" s="70" t="inlineStr">
        <is>
          <t>government</t>
        </is>
      </c>
      <c r="H151" s="70" t="inlineStr">
        <is>
          <t>Main buyers in Tanzania on Tender Impulse include the Tanzania National Roads Agency (TANROADS), the Tanzania Rural and Urban Roads Agency (TARURA), the Ministry of Education and development agencies such as the Belgian agency Enabel. Development partners fund many of the larger Tanzanian projects.</t>
        </is>
      </c>
      <c r="I151" s="70" t="inlineStr">
        <is>
          <t>From aggregator notice (1 lot) – read the tender document</t>
        </is>
      </c>
      <c r="J151" s="70" t="inlineStr">
        <is>
          <t>Not stated – read the notice</t>
        </is>
      </c>
      <c r="K151" s="70" t="inlineStr">
        <is>
          <t>civil</t>
        </is>
      </c>
      <c r="L151" s="70" t="inlineStr">
        <is>
          <t>See tender document</t>
        </is>
      </c>
      <c r="M151" s="62" t="n"/>
      <c r="N151" s="70" t="inlineStr">
        <is>
          <t>unknown</t>
        </is>
      </c>
      <c r="O151" s="71" t="inlineStr">
        <is>
          <t>See tender document</t>
        </is>
      </c>
      <c r="P151" s="71" t="inlineStr">
        <is>
          <t>See tender document</t>
        </is>
      </c>
      <c r="Q151" s="72" t="n"/>
      <c r="R151" s="70" t="inlineStr">
        <is>
          <t>See tender document</t>
        </is>
      </c>
      <c r="S151" s="70" t="inlineStr">
        <is>
          <t>N</t>
        </is>
      </c>
      <c r="T151" s="64">
        <f>IF(A151="","",IFERROR(INDEX('Bid-NoBid'!$T:$T,MATCH(A151,'Bid-NoBid'!$A:$A,0)),""))</f>
        <v/>
      </c>
      <c r="U151" s="59">
        <f>IF(A151="","",IFERROR(IF(OR(INDEX('Bid-NoBid'!$U:$U,MATCH(A151,'Bid-NoBid'!$A:$A,0))="",LEFT(INDEX('Bid-NoBid'!$U:$U,MATCH(A151,'Bid-NoBid'!$A:$A,0)),10)="Incomplete"),"Screen: "&amp;AC151,INDEX('Bid-NoBid'!$U:$U,MATCH(A151,'Bid-NoBid'!$A:$A,0))),"Screen: "&amp;AC151))</f>
        <v/>
      </c>
      <c r="V151" s="60" t="n"/>
      <c r="W151" s="70" t="inlineStr">
        <is>
          <t>Watching</t>
        </is>
      </c>
      <c r="X151" s="70" t="inlineStr">
        <is>
          <t>Frank</t>
        </is>
      </c>
      <c r="Y151" s="60" t="n"/>
      <c r="Z151" s="60" t="n"/>
      <c r="AA151" s="73" t="n"/>
      <c r="AB151" s="74" t="inlineStr">
        <is>
          <t>TenderImpulse – Tanzania (web page)</t>
        </is>
      </c>
      <c r="AC151" s="74" t="inlineStr">
        <is>
          <t>Check</t>
        </is>
      </c>
      <c r="AD151" s="74" t="inlineStr">
        <is>
          <t>Auto (TenderImpulse – Tanzania): Deadline not shown on the source page – open the link and read the notice</t>
        </is>
      </c>
      <c r="AE151" s="67">
        <f>IF(ISNUMBER(Q151),ROUNDDOWN(Q151-NOW(),1),"")</f>
        <v/>
      </c>
      <c r="AF151" s="59">
        <f>IF(OR(A151="",AE151=""),"",IF(NOT(OR(W151="Watching",W151="Preparing")),"",IF(AE151&lt;0,"PASSED",IF(AND(AE151&lt;=7,W151&lt;&gt;"Preparing"),"RED",IF(AE151&lt;=14,"AMBER","GREEN")))))</f>
        <v/>
      </c>
      <c r="AG151" s="59">
        <f>IF(OR(A151="",NOT(OR(W151="Watching",W151="Preparing"))),"",IF(AND(ISNUMBER(M151),M151&gt;=3000000000),"YES – ≥ TZS 3bn",IF(AND(ISNUMBER(AE151),AE151&gt;=0,AE151&lt;10,V151=""),"YES – &lt;10 days","")))</f>
        <v/>
      </c>
      <c r="AH151" s="68" t="n"/>
      <c r="AI151" s="74" t="inlineStr">
        <is>
          <t>Read the notice and decide with the QS Director whether to pursue</t>
        </is>
      </c>
      <c r="AJ151" s="74" t="inlineStr">
        <is>
          <t>Auto-scan</t>
        </is>
      </c>
      <c r="AK151" s="74" t="inlineStr">
        <is>
          <t>WEB:tenderimpulse_tanzania:f507631fe5d8e789</t>
        </is>
      </c>
      <c r="AL151" s="59">
        <f>IF(AND(OR(W151="Watching",W151="Preparing"),ISNUMBER(Q151)),IF(AND(Q151&gt;='Friday Summary'!$C$4,Q151&lt;='Friday Summary'!$C$4+14),Q151+ROW()/1000000,""),"")</f>
        <v/>
      </c>
    </row>
    <row r="152" ht="15" customHeight="1" s="51">
      <c r="A152" s="59">
        <f>IF(B152="","","OP-"&amp;TEXT(ROW()-4,"000"))</f>
        <v/>
      </c>
      <c r="B152" s="70" t="inlineStr">
        <is>
          <t>(not shown)</t>
        </is>
      </c>
      <c r="C152" s="71" t="n">
        <v>46309</v>
      </c>
      <c r="D152" s="70" t="inlineStr">
        <is>
          <t>press</t>
        </is>
      </c>
      <c r="E152" s="70" t="inlineStr">
        <is>
          <t>https://www.tanzaniatenders.com/tender/time-release-study-plus-trs-port-dar-es-salaam-8fec5e1.php</t>
        </is>
      </c>
      <c r="F152" s="70" t="inlineStr">
        <is>
          <t>See advert</t>
        </is>
      </c>
      <c r="G152" s="70" t="inlineStr">
        <is>
          <t>government</t>
        </is>
      </c>
      <c r="H152" s="70" t="inlineStr">
        <is>
          <t>Time Release Study Plus (TRS+) for the Port of Dar Es Salaam</t>
        </is>
      </c>
      <c r="I152" s="70" t="inlineStr">
        <is>
          <t>From press notice (1 lot) – read the tender document</t>
        </is>
      </c>
      <c r="J152" s="70" t="inlineStr">
        <is>
          <t>Dar es Salaam</t>
        </is>
      </c>
      <c r="K152" s="70" t="inlineStr">
        <is>
          <t>civil</t>
        </is>
      </c>
      <c r="L152" s="70" t="inlineStr">
        <is>
          <t>See tender document</t>
        </is>
      </c>
      <c r="M152" s="62" t="n"/>
      <c r="N152" s="70" t="inlineStr">
        <is>
          <t>unknown</t>
        </is>
      </c>
      <c r="O152" s="71" t="inlineStr">
        <is>
          <t>See tender document</t>
        </is>
      </c>
      <c r="P152" s="71" t="inlineStr">
        <is>
          <t>See tender document</t>
        </is>
      </c>
      <c r="Q152" s="72" t="n">
        <v>46322.41666666666</v>
      </c>
      <c r="R152" s="70" t="inlineStr">
        <is>
          <t>See tender document</t>
        </is>
      </c>
      <c r="S152" s="70" t="inlineStr">
        <is>
          <t>N</t>
        </is>
      </c>
      <c r="T152" s="64">
        <f>IF(A152="","",IFERROR(INDEX('Bid-NoBid'!$T:$T,MATCH(A152,'Bid-NoBid'!$A:$A,0)),""))</f>
        <v/>
      </c>
      <c r="U152" s="59">
        <f>IF(A152="","",IFERROR(IF(OR(INDEX('Bid-NoBid'!$U:$U,MATCH(A152,'Bid-NoBid'!$A:$A,0))="",LEFT(INDEX('Bid-NoBid'!$U:$U,MATCH(A152,'Bid-NoBid'!$A:$A,0)),10)="Incomplete"),"Screen: "&amp;AC152,INDEX('Bid-NoBid'!$U:$U,MATCH(A152,'Bid-NoBid'!$A:$A,0))),"Screen: "&amp;AC152))</f>
        <v/>
      </c>
      <c r="V152" s="60" t="n"/>
      <c r="W152" s="70" t="inlineStr">
        <is>
          <t>Watching</t>
        </is>
      </c>
      <c r="X152" s="70" t="inlineStr">
        <is>
          <t>Frank</t>
        </is>
      </c>
      <c r="Y152" s="60" t="n"/>
      <c r="Z152" s="60" t="n"/>
      <c r="AA152" s="73" t="n"/>
      <c r="AB152" s="74" t="inlineStr">
        <is>
          <t>TanzaniaTenders.com (newspapers / portals / private)</t>
        </is>
      </c>
      <c r="AC152" s="74" t="inlineStr">
        <is>
          <t>Check</t>
        </is>
      </c>
      <c r="AD152" s="74" t="inlineStr">
        <is>
          <t>Auto (TanzaniaTenders.com): Civil works in Dar/Coast – confirm CRB class and margin · deadline read from the web page – confirm</t>
        </is>
      </c>
      <c r="AE152" s="67">
        <f>IF(ISNUMBER(Q152),ROUNDDOWN(Q152-NOW(),1),"")</f>
        <v/>
      </c>
      <c r="AF152" s="59">
        <f>IF(OR(A152="",AE152=""),"",IF(NOT(OR(W152="Watching",W152="Preparing")),"",IF(AE152&lt;0,"PASSED",IF(AND(AE152&lt;=7,W152&lt;&gt;"Preparing"),"RED",IF(AE152&lt;=14,"AMBER","GREEN")))))</f>
        <v/>
      </c>
      <c r="AG152" s="59">
        <f>IF(OR(A152="",NOT(OR(W152="Watching",W152="Preparing"))),"",IF(AND(ISNUMBER(M152),M152&gt;=3000000000),"YES – ≥ TZS 3bn",IF(AND(ISNUMBER(AE152),AE152&gt;=0,AE152&lt;10,V152=""),"YES – &lt;10 days","")))</f>
        <v/>
      </c>
      <c r="AH152" s="68" t="n"/>
      <c r="AI152" s="74" t="inlineStr">
        <is>
          <t>Read the notice and decide with the QS Director whether to pursue</t>
        </is>
      </c>
      <c r="AJ152" s="74" t="inlineStr">
        <is>
          <t>Auto-scan</t>
        </is>
      </c>
      <c r="AK152" s="74" t="inlineStr">
        <is>
          <t>TZT:150914529</t>
        </is>
      </c>
      <c r="AL152" s="59">
        <f>IF(AND(OR(W152="Watching",W152="Preparing"),ISNUMBER(Q152)),IF(AND(Q152&gt;='Friday Summary'!$C$4,Q152&lt;='Friday Summary'!$C$4+14),Q152+ROW()/1000000,""),"")</f>
        <v/>
      </c>
    </row>
    <row r="153" ht="15" customHeight="1" s="51">
      <c r="A153" s="59">
        <f>IF(B153="","","OP-"&amp;TEXT(ROW()-4,"000"))</f>
        <v/>
      </c>
      <c r="B153" s="70" t="inlineStr">
        <is>
          <t>TR219/019/2026/2027/W/01</t>
        </is>
      </c>
      <c r="C153" s="71" t="n">
        <v>46310</v>
      </c>
      <c r="D153" s="70" t="inlineStr">
        <is>
          <t>NeST</t>
        </is>
      </c>
      <c r="E153" s="70" t="inlineStr">
        <is>
          <t>https://nest.go.tz/tenders/published-tenders</t>
        </is>
      </c>
      <c r="F153" s="70" t="inlineStr">
        <is>
          <t>TANAPA - Rubondo National Park</t>
        </is>
      </c>
      <c r="G153" s="70" t="inlineStr">
        <is>
          <t>government</t>
        </is>
      </c>
      <c r="H153" s="70" t="inlineStr">
        <is>
          <t>Construction of three fish farming cages at the Bwongera village</t>
        </is>
      </c>
      <c r="I153" s="70" t="inlineStr">
        <is>
          <t>From NeST notice (1 lot) – read the tender document</t>
        </is>
      </c>
      <c r="J153" s="70" t="inlineStr">
        <is>
          <t>Geita (from client's office – confirm site)</t>
        </is>
      </c>
      <c r="K153" s="70" t="inlineStr">
        <is>
          <t>building</t>
        </is>
      </c>
      <c r="L153" s="70" t="inlineStr">
        <is>
          <t>NeST login needed</t>
        </is>
      </c>
      <c r="M153" s="62" t="n"/>
      <c r="N153" s="70" t="inlineStr">
        <is>
          <t>unknown</t>
        </is>
      </c>
      <c r="O153" s="71" t="inlineStr">
        <is>
          <t>NeST login needed</t>
        </is>
      </c>
      <c r="P153" s="71" t="inlineStr">
        <is>
          <t>NeST login needed</t>
        </is>
      </c>
      <c r="Q153" s="72" t="n">
        <v>46315.58333333334</v>
      </c>
      <c r="R153" s="70" t="inlineStr">
        <is>
          <t>NeST login needed</t>
        </is>
      </c>
      <c r="S153" s="70" t="inlineStr">
        <is>
          <t>N</t>
        </is>
      </c>
      <c r="T153" s="64">
        <f>IF(A153="","",IFERROR(INDEX('Bid-NoBid'!$T:$T,MATCH(A153,'Bid-NoBid'!$A:$A,0)),""))</f>
        <v/>
      </c>
      <c r="U153" s="59">
        <f>IF(A153="","",IFERROR(IF(OR(INDEX('Bid-NoBid'!$U:$U,MATCH(A153,'Bid-NoBid'!$A:$A,0))="",LEFT(INDEX('Bid-NoBid'!$U:$U,MATCH(A153,'Bid-NoBid'!$A:$A,0)),10)="Incomplete"),"Screen: "&amp;AC153,INDEX('Bid-NoBid'!$U:$U,MATCH(A153,'Bid-NoBid'!$A:$A,0))),"Screen: "&amp;AC153))</f>
        <v/>
      </c>
      <c r="V153" s="60" t="n"/>
      <c r="W153" s="70" t="inlineStr">
        <is>
          <t>Watching</t>
        </is>
      </c>
      <c r="X153" s="70" t="inlineStr">
        <is>
          <t>Frank</t>
        </is>
      </c>
      <c r="Y153" s="60" t="n"/>
      <c r="Z153" s="60" t="n"/>
      <c r="AA153" s="73" t="n">
        <v>46308</v>
      </c>
      <c r="AB153" s="74" t="inlineStr">
        <is>
          <t>Standard Invitation for Quotations -Works / Planned Tender</t>
        </is>
      </c>
      <c r="AC153" s="74" t="inlineStr">
        <is>
          <t>Check</t>
        </is>
      </c>
      <c r="AD153" s="74" t="inlineStr">
        <is>
          <t>Auto (Standard Invitation for Quotations -Works / Planned Tender): Construction tender kept for review (would have been dropped: Remote and closing soon)</t>
        </is>
      </c>
      <c r="AE153" s="67">
        <f>IF(ISNUMBER(Q153),ROUNDDOWN(Q153-NOW(),1),"")</f>
        <v/>
      </c>
      <c r="AF153" s="59">
        <f>IF(OR(A153="",AE153=""),"",IF(NOT(OR(W153="Watching",W153="Preparing")),"",IF(AE153&lt;0,"PASSED",IF(AND(AE153&lt;=7,W153&lt;&gt;"Preparing"),"RED",IF(AE153&lt;=14,"AMBER","GREEN")))))</f>
        <v/>
      </c>
      <c r="AG153" s="59">
        <f>IF(OR(A153="",NOT(OR(W153="Watching",W153="Preparing"))),"",IF(AND(ISNUMBER(M153),M153&gt;=3000000000),"YES – ≥ TZS 3bn",IF(AND(ISNUMBER(AE153),AE153&gt;=0,AE153&lt;10,V153=""),"YES – &lt;10 days","")))</f>
        <v/>
      </c>
      <c r="AH153" s="68" t="n"/>
      <c r="AI153" s="74" t="inlineStr">
        <is>
          <t>Read the notice and decide with the QS Director whether to pursue</t>
        </is>
      </c>
      <c r="AJ153" s="74" t="inlineStr">
        <is>
          <t>Auto-scan</t>
        </is>
      </c>
      <c r="AK153" s="74" t="inlineStr">
        <is>
          <t>5567219e-1a2d-49ba-a1e2-c4181fa59a73</t>
        </is>
      </c>
      <c r="AL153" s="59">
        <f>IF(AND(OR(W153="Watching",W153="Preparing"),ISNUMBER(Q153)),IF(AND(Q153&gt;='Friday Summary'!$C$4,Q153&lt;='Friday Summary'!$C$4+14),Q153+ROW()/1000000,""),"")</f>
        <v/>
      </c>
    </row>
    <row r="154" ht="15" customHeight="1" s="51">
      <c r="A154" s="59">
        <f>IF(B154="","","OP-"&amp;TEXT(ROW()-4,"000"))</f>
        <v/>
      </c>
      <c r="B154" s="70" t="inlineStr">
        <is>
          <t>TR170/2026/2027/W/04</t>
        </is>
      </c>
      <c r="C154" s="71" t="n">
        <v>46310</v>
      </c>
      <c r="D154" s="70" t="inlineStr">
        <is>
          <t>NeST</t>
        </is>
      </c>
      <c r="E154" s="70" t="inlineStr">
        <is>
          <t>https://nest.go.tz/tenders/published-tenders</t>
        </is>
      </c>
      <c r="F154" s="70" t="inlineStr">
        <is>
          <t>Land Transport Regulatory Authority</t>
        </is>
      </c>
      <c r="G154" s="70" t="inlineStr">
        <is>
          <t>government</t>
        </is>
      </c>
      <c r="H154" s="70" t="inlineStr">
        <is>
          <t>Partitioning of Mbeya Regional Office</t>
        </is>
      </c>
      <c r="I154" s="70" t="inlineStr">
        <is>
          <t>From NeST notice (1 lot) – read the tender document</t>
        </is>
      </c>
      <c r="J154" s="70" t="inlineStr">
        <is>
          <t>Mbeya</t>
        </is>
      </c>
      <c r="K154" s="70" t="inlineStr">
        <is>
          <t>fit-out</t>
        </is>
      </c>
      <c r="L154" s="70" t="inlineStr">
        <is>
          <t>NeST login needed</t>
        </is>
      </c>
      <c r="M154" s="62" t="n"/>
      <c r="N154" s="70" t="inlineStr">
        <is>
          <t>unknown</t>
        </is>
      </c>
      <c r="O154" s="71" t="inlineStr">
        <is>
          <t>NeST login needed</t>
        </is>
      </c>
      <c r="P154" s="71" t="inlineStr">
        <is>
          <t>NeST login needed</t>
        </is>
      </c>
      <c r="Q154" s="72" t="n">
        <v>46317.58333333334</v>
      </c>
      <c r="R154" s="70" t="inlineStr">
        <is>
          <t>NeST login needed</t>
        </is>
      </c>
      <c r="S154" s="70" t="inlineStr">
        <is>
          <t>N</t>
        </is>
      </c>
      <c r="T154" s="64">
        <f>IF(A154="","",IFERROR(INDEX('Bid-NoBid'!$T:$T,MATCH(A154,'Bid-NoBid'!$A:$A,0)),""))</f>
        <v/>
      </c>
      <c r="U154" s="59">
        <f>IF(A154="","",IFERROR(IF(OR(INDEX('Bid-NoBid'!$U:$U,MATCH(A154,'Bid-NoBid'!$A:$A,0))="",LEFT(INDEX('Bid-NoBid'!$U:$U,MATCH(A154,'Bid-NoBid'!$A:$A,0)),10)="Incomplete"),"Screen: "&amp;AC154,INDEX('Bid-NoBid'!$U:$U,MATCH(A154,'Bid-NoBid'!$A:$A,0))),"Screen: "&amp;AC154))</f>
        <v/>
      </c>
      <c r="V154" s="60" t="n"/>
      <c r="W154" s="70" t="inlineStr">
        <is>
          <t>Watching</t>
        </is>
      </c>
      <c r="X154" s="70" t="inlineStr">
        <is>
          <t>Frank</t>
        </is>
      </c>
      <c r="Y154" s="60" t="n"/>
      <c r="Z154" s="60" t="n"/>
      <c r="AA154" s="73" t="n">
        <v>46310</v>
      </c>
      <c r="AB154" s="74" t="inlineStr">
        <is>
          <t>Standard Invitation for Quotations -Works / Planned Tender</t>
        </is>
      </c>
      <c r="AC154" s="74" t="inlineStr">
        <is>
          <t>Check</t>
        </is>
      </c>
      <c r="AD154" s="74" t="inlineStr">
        <is>
          <t>Auto (Standard Invitation for Quotations -Works / Planned Tender): Building works but remote from Dar</t>
        </is>
      </c>
      <c r="AE154" s="67">
        <f>IF(ISNUMBER(Q154),ROUNDDOWN(Q154-NOW(),1),"")</f>
        <v/>
      </c>
      <c r="AF154" s="59">
        <f>IF(OR(A154="",AE154=""),"",IF(NOT(OR(W154="Watching",W154="Preparing")),"",IF(AE154&lt;0,"PASSED",IF(AND(AE154&lt;=7,W154&lt;&gt;"Preparing"),"RED",IF(AE154&lt;=14,"AMBER","GREEN")))))</f>
        <v/>
      </c>
      <c r="AG154" s="59">
        <f>IF(OR(A154="",NOT(OR(W154="Watching",W154="Preparing"))),"",IF(AND(ISNUMBER(M154),M154&gt;=3000000000),"YES – ≥ TZS 3bn",IF(AND(ISNUMBER(AE154),AE154&gt;=0,AE154&lt;10,V154=""),"YES – &lt;10 days","")))</f>
        <v/>
      </c>
      <c r="AH154" s="68" t="n"/>
      <c r="AI154" s="74" t="inlineStr">
        <is>
          <t>Read the notice and decide with the QS Director whether to pursue</t>
        </is>
      </c>
      <c r="AJ154" s="74" t="inlineStr">
        <is>
          <t>Auto-scan</t>
        </is>
      </c>
      <c r="AK154" s="74" t="inlineStr">
        <is>
          <t>62cd567d-2384-4629-9dfc-cba546a9662f</t>
        </is>
      </c>
      <c r="AL154" s="59">
        <f>IF(AND(OR(W154="Watching",W154="Preparing"),ISNUMBER(Q154)),IF(AND(Q154&gt;='Friday Summary'!$C$4,Q154&lt;='Friday Summary'!$C$4+14),Q154+ROW()/1000000,""),"")</f>
        <v/>
      </c>
    </row>
    <row r="155" ht="15" customHeight="1" s="51">
      <c r="A155" s="59">
        <f>IF(B155="","","OP-"&amp;TEXT(ROW()-4,"000"))</f>
        <v/>
      </c>
      <c r="B155" s="70" t="inlineStr">
        <is>
          <t>GIZ/IKI KATUMA/10058095/2026</t>
        </is>
      </c>
      <c r="C155" s="71" t="n">
        <v>46310</v>
      </c>
      <c r="D155" s="70" t="inlineStr">
        <is>
          <t>press</t>
        </is>
      </c>
      <c r="E155" s="70" t="inlineStr">
        <is>
          <t>https://www.ddotenders.co.tz/tender.php?page=home</t>
        </is>
      </c>
      <c r="F155" s="70" t="inlineStr">
        <is>
          <t>giz</t>
        </is>
      </c>
      <c r="G155" s="70" t="inlineStr">
        <is>
          <t>government</t>
        </is>
      </c>
      <c r="H155" s="70" t="inlineStr">
        <is>
          <t>Construction of lrbwb office</t>
        </is>
      </c>
      <c r="I155" s="70" t="inlineStr">
        <is>
          <t>From press notice (1 lot) – read the tender document</t>
        </is>
      </c>
      <c r="J155" s="70" t="inlineStr">
        <is>
          <t>Dar es Salaam</t>
        </is>
      </c>
      <c r="K155" s="70" t="inlineStr">
        <is>
          <t>building</t>
        </is>
      </c>
      <c r="L155" s="70" t="inlineStr">
        <is>
          <t>See tender document</t>
        </is>
      </c>
      <c r="M155" s="62" t="n"/>
      <c r="N155" s="70" t="inlineStr">
        <is>
          <t>unknown</t>
        </is>
      </c>
      <c r="O155" s="71" t="inlineStr">
        <is>
          <t>See tender document</t>
        </is>
      </c>
      <c r="P155" s="71" t="inlineStr">
        <is>
          <t>See tender document</t>
        </is>
      </c>
      <c r="Q155" s="72" t="n">
        <v>46327.41666666666</v>
      </c>
      <c r="R155" s="70" t="inlineStr">
        <is>
          <t>See tender document</t>
        </is>
      </c>
      <c r="S155" s="70" t="inlineStr">
        <is>
          <t>N</t>
        </is>
      </c>
      <c r="T155" s="64">
        <f>IF(A155="","",IFERROR(INDEX('Bid-NoBid'!$T:$T,MATCH(A155,'Bid-NoBid'!$A:$A,0)),""))</f>
        <v/>
      </c>
      <c r="U155" s="59">
        <f>IF(A155="","",IFERROR(IF(OR(INDEX('Bid-NoBid'!$U:$U,MATCH(A155,'Bid-NoBid'!$A:$A,0))="",LEFT(INDEX('Bid-NoBid'!$U:$U,MATCH(A155,'Bid-NoBid'!$A:$A,0)),10)="Incomplete"),"Screen: "&amp;AC155,INDEX('Bid-NoBid'!$U:$U,MATCH(A155,'Bid-NoBid'!$A:$A,0))),"Screen: "&amp;AC155))</f>
        <v/>
      </c>
      <c r="V155" s="60" t="n"/>
      <c r="W155" s="70" t="inlineStr">
        <is>
          <t>Watching</t>
        </is>
      </c>
      <c r="X155" s="70" t="inlineStr">
        <is>
          <t>Frank</t>
        </is>
      </c>
      <c r="Y155" s="60" t="n"/>
      <c r="Z155" s="60" t="n"/>
      <c r="AA155" s="73" t="n">
        <v>46310</v>
      </c>
      <c r="AB155" s="74" t="inlineStr">
        <is>
          <t>DDO Tenders (newspaper / private / donor)</t>
        </is>
      </c>
      <c r="AC155" s="74" t="inlineStr">
        <is>
          <t>Pursue</t>
        </is>
      </c>
      <c r="AD155" s="74" t="inlineStr">
        <is>
          <t>Auto (DDO Tenders): Building works within reach of Dar · deadline read from the web page – confirm</t>
        </is>
      </c>
      <c r="AE155" s="67">
        <f>IF(ISNUMBER(Q155),ROUNDDOWN(Q155-NOW(),1),"")</f>
        <v/>
      </c>
      <c r="AF155" s="59">
        <f>IF(OR(A155="",AE155=""),"",IF(NOT(OR(W155="Watching",W155="Preparing")),"",IF(AE155&lt;0,"PASSED",IF(AND(AE155&lt;=7,W155&lt;&gt;"Preparing"),"RED",IF(AE155&lt;=14,"AMBER","GREEN")))))</f>
        <v/>
      </c>
      <c r="AG155" s="59">
        <f>IF(OR(A155="",NOT(OR(W155="Watching",W155="Preparing"))),"",IF(AND(ISNUMBER(M155),M155&gt;=3000000000),"YES – ≥ TZS 3bn",IF(AND(ISNUMBER(AE155),AE155&gt;=0,AE155&lt;10,V155=""),"YES – &lt;10 days","")))</f>
        <v/>
      </c>
      <c r="AH155" s="68" t="n"/>
      <c r="AI155" s="74" t="inlineStr">
        <is>
          <t>Get the tender document, confirm value, CRB class, site visit and bid security; brief the MD</t>
        </is>
      </c>
      <c r="AJ155" s="74" t="inlineStr">
        <is>
          <t>Auto-scan</t>
        </is>
      </c>
      <c r="AK155" s="74" t="inlineStr">
        <is>
          <t>DDO:3088</t>
        </is>
      </c>
      <c r="AL155" s="59">
        <f>IF(AND(OR(W155="Watching",W155="Preparing"),ISNUMBER(Q155)),IF(AND(Q155&gt;='Friday Summary'!$C$4,Q155&lt;='Friday Summary'!$C$4+14),Q155+ROW()/1000000,""),"")</f>
        <v/>
      </c>
    </row>
    <row r="156" ht="15" customHeight="1" s="51">
      <c r="A156" s="59">
        <f>IF(B156="","","OP-"&amp;TEXT(ROW()-4,"000"))</f>
        <v/>
      </c>
      <c r="B156" s="70" t="inlineStr">
        <is>
          <t>(not shown)</t>
        </is>
      </c>
      <c r="C156" s="71" t="n">
        <v>46310</v>
      </c>
      <c r="D156" s="70" t="inlineStr">
        <is>
          <t>press</t>
        </is>
      </c>
      <c r="E156" s="70" t="inlineStr">
        <is>
          <t>https://www.tanzaniatenders.com/tender/construction-lrbwb-office-mpanda-part-project-conservation-biodiversity-wetlands-through-integrated-8fffb69.php</t>
        </is>
      </c>
      <c r="F156" s="70" t="inlineStr">
        <is>
          <t>See advert</t>
        </is>
      </c>
      <c r="G156" s="70" t="inlineStr">
        <is>
          <t>government</t>
        </is>
      </c>
      <c r="H156" s="70" t="inlineStr">
        <is>
          <t>Construction of LRBWB Office in Mpanda as part of the project 'Conservation of biodiversity in wetlands through integrated water resources management (IKI KATUMA)'.</t>
        </is>
      </c>
      <c r="I156" s="70" t="inlineStr">
        <is>
          <t>From press notice (1 lot) – read the tender document</t>
        </is>
      </c>
      <c r="J156" s="70" t="inlineStr">
        <is>
          <t>Katavi (Mpanda)</t>
        </is>
      </c>
      <c r="K156" s="70" t="inlineStr">
        <is>
          <t>building</t>
        </is>
      </c>
      <c r="L156" s="70" t="inlineStr">
        <is>
          <t>See tender document</t>
        </is>
      </c>
      <c r="M156" s="62" t="n"/>
      <c r="N156" s="70" t="inlineStr">
        <is>
          <t>unknown</t>
        </is>
      </c>
      <c r="O156" s="71" t="inlineStr">
        <is>
          <t>See tender document</t>
        </is>
      </c>
      <c r="P156" s="71" t="inlineStr">
        <is>
          <t>See tender document</t>
        </is>
      </c>
      <c r="Q156" s="72" t="n">
        <v>46327.41666666666</v>
      </c>
      <c r="R156" s="70" t="inlineStr">
        <is>
          <t>See tender document</t>
        </is>
      </c>
      <c r="S156" s="70" t="inlineStr">
        <is>
          <t>N</t>
        </is>
      </c>
      <c r="T156" s="64">
        <f>IF(A156="","",IFERROR(INDEX('Bid-NoBid'!$T:$T,MATCH(A156,'Bid-NoBid'!$A:$A,0)),""))</f>
        <v/>
      </c>
      <c r="U156" s="59">
        <f>IF(A156="","",IFERROR(IF(OR(INDEX('Bid-NoBid'!$U:$U,MATCH(A156,'Bid-NoBid'!$A:$A,0))="",LEFT(INDEX('Bid-NoBid'!$U:$U,MATCH(A156,'Bid-NoBid'!$A:$A,0)),10)="Incomplete"),"Screen: "&amp;AC156,INDEX('Bid-NoBid'!$U:$U,MATCH(A156,'Bid-NoBid'!$A:$A,0))),"Screen: "&amp;AC156))</f>
        <v/>
      </c>
      <c r="V156" s="60" t="n"/>
      <c r="W156" s="70" t="inlineStr">
        <is>
          <t>Watching</t>
        </is>
      </c>
      <c r="X156" s="70" t="inlineStr">
        <is>
          <t>Frank</t>
        </is>
      </c>
      <c r="Y156" s="60" t="n"/>
      <c r="Z156" s="60" t="n"/>
      <c r="AA156" s="73" t="n"/>
      <c r="AB156" s="74" t="inlineStr">
        <is>
          <t>TanzaniaTenders.com (newspapers / portals / private)</t>
        </is>
      </c>
      <c r="AC156" s="74" t="inlineStr">
        <is>
          <t>Check</t>
        </is>
      </c>
      <c r="AD156" s="74" t="inlineStr">
        <is>
          <t>Auto (TanzaniaTenders.com): Building works but remote from Dar · deadline read from the web page – confirm</t>
        </is>
      </c>
      <c r="AE156" s="67">
        <f>IF(ISNUMBER(Q156),ROUNDDOWN(Q156-NOW(),1),"")</f>
        <v/>
      </c>
      <c r="AF156" s="59">
        <f>IF(OR(A156="",AE156=""),"",IF(NOT(OR(W156="Watching",W156="Preparing")),"",IF(AE156&lt;0,"PASSED",IF(AND(AE156&lt;=7,W156&lt;&gt;"Preparing"),"RED",IF(AE156&lt;=14,"AMBER","GREEN")))))</f>
        <v/>
      </c>
      <c r="AG156" s="59">
        <f>IF(OR(A156="",NOT(OR(W156="Watching",W156="Preparing"))),"",IF(AND(ISNUMBER(M156),M156&gt;=3000000000),"YES – ≥ TZS 3bn",IF(AND(ISNUMBER(AE156),AE156&gt;=0,AE156&lt;10,V156=""),"YES – &lt;10 days","")))</f>
        <v/>
      </c>
      <c r="AH156" s="68" t="n"/>
      <c r="AI156" s="74" t="inlineStr">
        <is>
          <t>Read the notice and decide with the QS Director whether to pursue</t>
        </is>
      </c>
      <c r="AJ156" s="74" t="inlineStr">
        <is>
          <t>Auto-scan</t>
        </is>
      </c>
      <c r="AK156" s="74" t="inlineStr">
        <is>
          <t>TZT:150993769</t>
        </is>
      </c>
      <c r="AL156" s="59">
        <f>IF(AND(OR(W156="Watching",W156="Preparing"),ISNUMBER(Q156)),IF(AND(Q156&gt;='Friday Summary'!$C$4,Q156&lt;='Friday Summary'!$C$4+14),Q156+ROW()/1000000,""),"")</f>
        <v/>
      </c>
    </row>
    <row r="157" ht="15" customHeight="1" s="51">
      <c r="A157" s="59">
        <f>IF(B157="","","OP-"&amp;TEXT(ROW()-4,"000"))</f>
        <v/>
      </c>
      <c r="B157" s="70" t="inlineStr">
        <is>
          <t>TR103/2026/2027/W/12</t>
        </is>
      </c>
      <c r="C157" s="71" t="n">
        <v>46311</v>
      </c>
      <c r="D157" s="70" t="inlineStr">
        <is>
          <t>NeST</t>
        </is>
      </c>
      <c r="E157" s="70" t="inlineStr">
        <is>
          <t>https://nest.go.tz/tenders/published-tenders</t>
        </is>
      </c>
      <c r="F157" s="70" t="inlineStr">
        <is>
          <t>Agricultural Seeds Agency</t>
        </is>
      </c>
      <c r="G157" s="70" t="inlineStr">
        <is>
          <t>government</t>
        </is>
      </c>
      <c r="H157" s="70" t="inlineStr">
        <is>
          <t>Construction of Concerte fence at Msungura Seed Farm</t>
        </is>
      </c>
      <c r="I157" s="70" t="inlineStr">
        <is>
          <t>From NeST notice (1 lot) – read the tender document</t>
        </is>
      </c>
      <c r="J157" s="70" t="inlineStr">
        <is>
          <t>Morogoro (from client's office – confirm site)</t>
        </is>
      </c>
      <c r="K157" s="70" t="inlineStr">
        <is>
          <t>building</t>
        </is>
      </c>
      <c r="L157" s="70" t="inlineStr">
        <is>
          <t>NeST login needed</t>
        </is>
      </c>
      <c r="M157" s="62" t="n"/>
      <c r="N157" s="70" t="inlineStr">
        <is>
          <t>unknown</t>
        </is>
      </c>
      <c r="O157" s="71" t="inlineStr">
        <is>
          <t>NeST login needed</t>
        </is>
      </c>
      <c r="P157" s="71" t="inlineStr">
        <is>
          <t>NeST login needed</t>
        </is>
      </c>
      <c r="Q157" s="72" t="n">
        <v>46324.41666666666</v>
      </c>
      <c r="R157" s="70" t="inlineStr">
        <is>
          <t>NeST login needed</t>
        </is>
      </c>
      <c r="S157" s="70" t="inlineStr">
        <is>
          <t>N</t>
        </is>
      </c>
      <c r="T157" s="64">
        <f>IF(A157="","",IFERROR(INDEX('Bid-NoBid'!$T:$T,MATCH(A157,'Bid-NoBid'!$A:$A,0)),""))</f>
        <v/>
      </c>
      <c r="U157" s="59">
        <f>IF(A157="","",IFERROR(IF(OR(INDEX('Bid-NoBid'!$U:$U,MATCH(A157,'Bid-NoBid'!$A:$A,0))="",LEFT(INDEX('Bid-NoBid'!$U:$U,MATCH(A157,'Bid-NoBid'!$A:$A,0)),10)="Incomplete"),"Screen: "&amp;AC157,INDEX('Bid-NoBid'!$U:$U,MATCH(A157,'Bid-NoBid'!$A:$A,0))),"Screen: "&amp;AC157))</f>
        <v/>
      </c>
      <c r="V157" s="60" t="n"/>
      <c r="W157" s="70" t="inlineStr">
        <is>
          <t>Watching</t>
        </is>
      </c>
      <c r="X157" s="70" t="inlineStr">
        <is>
          <t>Frank</t>
        </is>
      </c>
      <c r="Y157" s="60" t="n"/>
      <c r="Z157" s="60" t="n"/>
      <c r="AA157" s="73" t="n">
        <v>46311</v>
      </c>
      <c r="AB157" s="74" t="inlineStr">
        <is>
          <t>Small Works / Tender</t>
        </is>
      </c>
      <c r="AC157" s="74" t="inlineStr">
        <is>
          <t>Pursue</t>
        </is>
      </c>
      <c r="AD157" s="74" t="inlineStr">
        <is>
          <t>Auto (Small Works / Tender): Building works within reach of Dar</t>
        </is>
      </c>
      <c r="AE157" s="67">
        <f>IF(ISNUMBER(Q157),ROUNDDOWN(Q157-NOW(),1),"")</f>
        <v/>
      </c>
      <c r="AF157" s="59">
        <f>IF(OR(A157="",AE157=""),"",IF(NOT(OR(W157="Watching",W157="Preparing")),"",IF(AE157&lt;0,"PASSED",IF(AND(AE157&lt;=7,W157&lt;&gt;"Preparing"),"RED",IF(AE157&lt;=14,"AMBER","GREEN")))))</f>
        <v/>
      </c>
      <c r="AG157" s="59">
        <f>IF(OR(A157="",NOT(OR(W157="Watching",W157="Preparing"))),"",IF(AND(ISNUMBER(M157),M157&gt;=3000000000),"YES – ≥ TZS 3bn",IF(AND(ISNUMBER(AE157),AE157&gt;=0,AE157&lt;10,V157=""),"YES – &lt;10 days","")))</f>
        <v/>
      </c>
      <c r="AH157" s="68" t="n"/>
      <c r="AI157" s="74" t="inlineStr">
        <is>
          <t>Get the tender document, confirm value, CRB class, site visit and bid security; brief the MD</t>
        </is>
      </c>
      <c r="AJ157" s="74" t="inlineStr">
        <is>
          <t>Auto-scan</t>
        </is>
      </c>
      <c r="AK157" s="74" t="inlineStr">
        <is>
          <t>d17aec02-c41f-49c0-aa64-3260b5e0d94e</t>
        </is>
      </c>
      <c r="AL157" s="59">
        <f>IF(AND(OR(W157="Watching",W157="Preparing"),ISNUMBER(Q157)),IF(AND(Q157&gt;='Friday Summary'!$C$4,Q157&lt;='Friday Summary'!$C$4+14),Q157+ROW()/1000000,""),"")</f>
        <v/>
      </c>
    </row>
    <row r="158" ht="15" customHeight="1" s="51">
      <c r="A158" s="59">
        <f>IF(B158="","","OP-"&amp;TEXT(ROW()-4,"000"))</f>
        <v/>
      </c>
      <c r="B158" s="70" t="inlineStr">
        <is>
          <t>(not shown)</t>
        </is>
      </c>
      <c r="C158" s="71" t="n">
        <v>46311</v>
      </c>
      <c r="D158" s="70" t="inlineStr">
        <is>
          <t>press</t>
        </is>
      </c>
      <c r="E158" s="70" t="inlineStr">
        <is>
          <t>https://www.tanzaniatenders.com/tender/provision-service-fire-alarm-systems-sukari-house-9005fdb.php</t>
        </is>
      </c>
      <c r="F158" s="70" t="inlineStr">
        <is>
          <t>See advert</t>
        </is>
      </c>
      <c r="G158" s="70" t="inlineStr">
        <is>
          <t>government</t>
        </is>
      </c>
      <c r="H158" s="70" t="inlineStr">
        <is>
          <t>Provision Service for Fire Alarm Systems at Sukari House</t>
        </is>
      </c>
      <c r="I158" s="70" t="inlineStr">
        <is>
          <t>From press notice (1 lot) – read the tender document</t>
        </is>
      </c>
      <c r="J158" s="70" t="inlineStr">
        <is>
          <t>Not stated – read the notice</t>
        </is>
      </c>
      <c r="K158" s="70" t="inlineStr">
        <is>
          <t>building</t>
        </is>
      </c>
      <c r="L158" s="70" t="inlineStr">
        <is>
          <t>See tender document</t>
        </is>
      </c>
      <c r="M158" s="62" t="n"/>
      <c r="N158" s="70" t="inlineStr">
        <is>
          <t>unknown</t>
        </is>
      </c>
      <c r="O158" s="71" t="inlineStr">
        <is>
          <t>See tender document</t>
        </is>
      </c>
      <c r="P158" s="71" t="inlineStr">
        <is>
          <t>See tender document</t>
        </is>
      </c>
      <c r="Q158" s="72" t="n">
        <v>46317.41666666666</v>
      </c>
      <c r="R158" s="70" t="inlineStr">
        <is>
          <t>See tender document</t>
        </is>
      </c>
      <c r="S158" s="70" t="inlineStr">
        <is>
          <t>N</t>
        </is>
      </c>
      <c r="T158" s="64">
        <f>IF(A158="","",IFERROR(INDEX('Bid-NoBid'!$T:$T,MATCH(A158,'Bid-NoBid'!$A:$A,0)),""))</f>
        <v/>
      </c>
      <c r="U158" s="59">
        <f>IF(A158="","",IFERROR(IF(OR(INDEX('Bid-NoBid'!$U:$U,MATCH(A158,'Bid-NoBid'!$A:$A,0))="",LEFT(INDEX('Bid-NoBid'!$U:$U,MATCH(A158,'Bid-NoBid'!$A:$A,0)),10)="Incomplete"),"Screen: "&amp;AC158,INDEX('Bid-NoBid'!$U:$U,MATCH(A158,'Bid-NoBid'!$A:$A,0))),"Screen: "&amp;AC158))</f>
        <v/>
      </c>
      <c r="V158" s="60" t="n"/>
      <c r="W158" s="70" t="inlineStr">
        <is>
          <t>Watching</t>
        </is>
      </c>
      <c r="X158" s="70" t="inlineStr">
        <is>
          <t>Frank</t>
        </is>
      </c>
      <c r="Y158" s="60" t="n"/>
      <c r="Z158" s="60" t="n"/>
      <c r="AA158" s="73" t="n"/>
      <c r="AB158" s="74" t="inlineStr">
        <is>
          <t>TanzaniaTenders.com (newspapers / portals / private)</t>
        </is>
      </c>
      <c r="AC158" s="74" t="inlineStr">
        <is>
          <t>Check</t>
        </is>
      </c>
      <c r="AD158" s="74" t="inlineStr">
        <is>
          <t>Auto (TanzaniaTenders.com): Site not stated in the listing – read the notice · deadline read from the web page – confirm</t>
        </is>
      </c>
      <c r="AE158" s="67">
        <f>IF(ISNUMBER(Q158),ROUNDDOWN(Q158-NOW(),1),"")</f>
        <v/>
      </c>
      <c r="AF158" s="59">
        <f>IF(OR(A158="",AE158=""),"",IF(NOT(OR(W158="Watching",W158="Preparing")),"",IF(AE158&lt;0,"PASSED",IF(AND(AE158&lt;=7,W158&lt;&gt;"Preparing"),"RED",IF(AE158&lt;=14,"AMBER","GREEN")))))</f>
        <v/>
      </c>
      <c r="AG158" s="59">
        <f>IF(OR(A158="",NOT(OR(W158="Watching",W158="Preparing"))),"",IF(AND(ISNUMBER(M158),M158&gt;=3000000000),"YES – ≥ TZS 3bn",IF(AND(ISNUMBER(AE158),AE158&gt;=0,AE158&lt;10,V158=""),"YES – &lt;10 days","")))</f>
        <v/>
      </c>
      <c r="AH158" s="68" t="n"/>
      <c r="AI158" s="74" t="inlineStr">
        <is>
          <t>Read the notice and decide with the QS Director whether to pursue</t>
        </is>
      </c>
      <c r="AJ158" s="74" t="inlineStr">
        <is>
          <t>Auto-scan</t>
        </is>
      </c>
      <c r="AK158" s="74" t="inlineStr">
        <is>
          <t>TZT:151019483</t>
        </is>
      </c>
      <c r="AL158" s="59">
        <f>IF(AND(OR(W158="Watching",W158="Preparing"),ISNUMBER(Q158)),IF(AND(Q158&gt;='Friday Summary'!$C$4,Q158&lt;='Friday Summary'!$C$4+14),Q158+ROW()/1000000,""),"")</f>
        <v/>
      </c>
    </row>
    <row r="159" ht="15" customHeight="1" s="51">
      <c r="A159" s="59">
        <f>IF(B159="","","OP-"&amp;TEXT(ROW()-4,"000"))</f>
        <v/>
      </c>
      <c r="B159" s="70" t="inlineStr">
        <is>
          <t>(not shown)</t>
        </is>
      </c>
      <c r="C159" s="71" t="n">
        <v>46311</v>
      </c>
      <c r="D159" s="70" t="inlineStr">
        <is>
          <t>press</t>
        </is>
      </c>
      <c r="E159" s="70" t="inlineStr">
        <is>
          <t>https://www.ddotenders.co.tz/tender.php?page=home</t>
        </is>
      </c>
      <c r="F159" s="70" t="inlineStr">
        <is>
          <t>UNHCR</t>
        </is>
      </c>
      <c r="G159" s="70" t="inlineStr">
        <is>
          <t>parastatal (verify)</t>
        </is>
      </c>
      <c r="H159" s="70" t="inlineStr">
        <is>
          <t>Logistics &amp; Warehouse Management</t>
        </is>
      </c>
      <c r="I159" s="70" t="inlineStr">
        <is>
          <t>From press notice (1 lot) – read the tender document</t>
        </is>
      </c>
      <c r="J159" s="70" t="inlineStr">
        <is>
          <t>Dar es Salaam</t>
        </is>
      </c>
      <c r="K159" s="70" t="inlineStr">
        <is>
          <t>building</t>
        </is>
      </c>
      <c r="L159" s="70" t="inlineStr">
        <is>
          <t>See tender document</t>
        </is>
      </c>
      <c r="M159" s="62" t="n"/>
      <c r="N159" s="70" t="inlineStr">
        <is>
          <t>unknown</t>
        </is>
      </c>
      <c r="O159" s="71" t="inlineStr">
        <is>
          <t>See tender document</t>
        </is>
      </c>
      <c r="P159" s="71" t="inlineStr">
        <is>
          <t>See tender document</t>
        </is>
      </c>
      <c r="Q159" s="72" t="n">
        <v>46332.41666666666</v>
      </c>
      <c r="R159" s="70" t="inlineStr">
        <is>
          <t>See tender document</t>
        </is>
      </c>
      <c r="S159" s="70" t="inlineStr">
        <is>
          <t>N</t>
        </is>
      </c>
      <c r="T159" s="64">
        <f>IF(A159="","",IFERROR(INDEX('Bid-NoBid'!$T:$T,MATCH(A159,'Bid-NoBid'!$A:$A,0)),""))</f>
        <v/>
      </c>
      <c r="U159" s="59">
        <f>IF(A159="","",IFERROR(IF(OR(INDEX('Bid-NoBid'!$U:$U,MATCH(A159,'Bid-NoBid'!$A:$A,0))="",LEFT(INDEX('Bid-NoBid'!$U:$U,MATCH(A159,'Bid-NoBid'!$A:$A,0)),10)="Incomplete"),"Screen: "&amp;AC159,INDEX('Bid-NoBid'!$U:$U,MATCH(A159,'Bid-NoBid'!$A:$A,0))),"Screen: "&amp;AC159))</f>
        <v/>
      </c>
      <c r="V159" s="60" t="n"/>
      <c r="W159" s="70" t="inlineStr">
        <is>
          <t>Watching</t>
        </is>
      </c>
      <c r="X159" s="70" t="inlineStr">
        <is>
          <t>Frank</t>
        </is>
      </c>
      <c r="Y159" s="60" t="n"/>
      <c r="Z159" s="60" t="n"/>
      <c r="AA159" s="73" t="n">
        <v>46311</v>
      </c>
      <c r="AB159" s="74" t="inlineStr">
        <is>
          <t>DDO Tenders (newspaper / private / donor)</t>
        </is>
      </c>
      <c r="AC159" s="74" t="inlineStr">
        <is>
          <t>Pursue</t>
        </is>
      </c>
      <c r="AD159" s="74" t="inlineStr">
        <is>
          <t>Auto (DDO Tenders): Building works within reach of Dar · deadline read from the web page – confirm</t>
        </is>
      </c>
      <c r="AE159" s="67">
        <f>IF(ISNUMBER(Q159),ROUNDDOWN(Q159-NOW(),1),"")</f>
        <v/>
      </c>
      <c r="AF159" s="59">
        <f>IF(OR(A159="",AE159=""),"",IF(NOT(OR(W159="Watching",W159="Preparing")),"",IF(AE159&lt;0,"PASSED",IF(AND(AE159&lt;=7,W159&lt;&gt;"Preparing"),"RED",IF(AE159&lt;=14,"AMBER","GREEN")))))</f>
        <v/>
      </c>
      <c r="AG159" s="59">
        <f>IF(OR(A159="",NOT(OR(W159="Watching",W159="Preparing"))),"",IF(AND(ISNUMBER(M159),M159&gt;=3000000000),"YES – ≥ TZS 3bn",IF(AND(ISNUMBER(AE159),AE159&gt;=0,AE159&lt;10,V159=""),"YES – &lt;10 days","")))</f>
        <v/>
      </c>
      <c r="AH159" s="68" t="n"/>
      <c r="AI159" s="74" t="inlineStr">
        <is>
          <t>Get the tender document, confirm value, CRB class, site visit and bid security; brief the MD</t>
        </is>
      </c>
      <c r="AJ159" s="74" t="inlineStr">
        <is>
          <t>Auto-scan</t>
        </is>
      </c>
      <c r="AK159" s="74" t="inlineStr">
        <is>
          <t>DDO:3095</t>
        </is>
      </c>
      <c r="AL159" s="59">
        <f>IF(AND(OR(W159="Watching",W159="Preparing"),ISNUMBER(Q159)),IF(AND(Q159&gt;='Friday Summary'!$C$4,Q159&lt;='Friday Summary'!$C$4+14),Q159+ROW()/1000000,""),"")</f>
        <v/>
      </c>
    </row>
    <row r="160" ht="15" customHeight="1" s="51">
      <c r="A160" s="59">
        <f>IF(B160="","","OP-"&amp;TEXT(ROW()-4,"000"))</f>
        <v/>
      </c>
      <c r="B160" s="70" t="inlineStr">
        <is>
          <t>82N7/2026/2027/W/24</t>
        </is>
      </c>
      <c r="C160" s="71" t="n">
        <v>46312</v>
      </c>
      <c r="D160" s="70" t="inlineStr">
        <is>
          <t>NeST</t>
        </is>
      </c>
      <c r="E160" s="70" t="inlineStr">
        <is>
          <t>https://nest.go.tz/tenders/published-tenders</t>
        </is>
      </c>
      <c r="F160" s="70" t="inlineStr">
        <is>
          <t>Mbinga Town Council</t>
        </is>
      </c>
      <c r="G160" s="70" t="inlineStr">
        <is>
          <t>government</t>
        </is>
      </c>
      <c r="H160" s="70" t="inlineStr">
        <is>
          <t>CONSTRUCTION OF COMMERCIAL SHOPS AT JUMBA LA MAENDELEO AREA IN MBINGA TOWN COUNCIL</t>
        </is>
      </c>
      <c r="I160" s="70" t="inlineStr">
        <is>
          <t>From NeST notice (1 lot) – read the tender document</t>
        </is>
      </c>
      <c r="J160" s="70" t="inlineStr">
        <is>
          <t>Ruvuma (Mbinga)</t>
        </is>
      </c>
      <c r="K160" s="70" t="inlineStr">
        <is>
          <t>building</t>
        </is>
      </c>
      <c r="L160" s="70" t="inlineStr">
        <is>
          <t>NeST login needed</t>
        </is>
      </c>
      <c r="M160" s="62" t="n"/>
      <c r="N160" s="70" t="inlineStr">
        <is>
          <t>unknown</t>
        </is>
      </c>
      <c r="O160" s="71" t="inlineStr">
        <is>
          <t>NeST login needed</t>
        </is>
      </c>
      <c r="P160" s="71" t="inlineStr">
        <is>
          <t>NeST login needed</t>
        </is>
      </c>
      <c r="Q160" s="72" t="n">
        <v>46317.58333333334</v>
      </c>
      <c r="R160" s="70" t="inlineStr">
        <is>
          <t>NeST login needed</t>
        </is>
      </c>
      <c r="S160" s="70" t="inlineStr">
        <is>
          <t>N</t>
        </is>
      </c>
      <c r="T160" s="64">
        <f>IF(A160="","",IFERROR(INDEX('Bid-NoBid'!$T:$T,MATCH(A160,'Bid-NoBid'!$A:$A,0)),""))</f>
        <v/>
      </c>
      <c r="U160" s="59">
        <f>IF(A160="","",IFERROR(IF(OR(INDEX('Bid-NoBid'!$U:$U,MATCH(A160,'Bid-NoBid'!$A:$A,0))="",LEFT(INDEX('Bid-NoBid'!$U:$U,MATCH(A160,'Bid-NoBid'!$A:$A,0)),10)="Incomplete"),"Screen: "&amp;AC160,INDEX('Bid-NoBid'!$U:$U,MATCH(A160,'Bid-NoBid'!$A:$A,0))),"Screen: "&amp;AC160))</f>
        <v/>
      </c>
      <c r="V160" s="60" t="n"/>
      <c r="W160" s="70" t="inlineStr">
        <is>
          <t>Watching</t>
        </is>
      </c>
      <c r="X160" s="70" t="inlineStr">
        <is>
          <t>Frank</t>
        </is>
      </c>
      <c r="Y160" s="60" t="n"/>
      <c r="Z160" s="60" t="n"/>
      <c r="AA160" s="73" t="n">
        <v>46311</v>
      </c>
      <c r="AB160" s="74" t="inlineStr">
        <is>
          <t>Small Works / Tender</t>
        </is>
      </c>
      <c r="AC160" s="74" t="inlineStr">
        <is>
          <t>Check</t>
        </is>
      </c>
      <c r="AD160" s="74" t="inlineStr">
        <is>
          <t>Auto (Small Works / Tender): Construction tender kept for review (would have been dropped: Remote and closing soon)</t>
        </is>
      </c>
      <c r="AE160" s="67">
        <f>IF(ISNUMBER(Q160),ROUNDDOWN(Q160-NOW(),1),"")</f>
        <v/>
      </c>
      <c r="AF160" s="59">
        <f>IF(OR(A160="",AE160=""),"",IF(NOT(OR(W160="Watching",W160="Preparing")),"",IF(AE160&lt;0,"PASSED",IF(AND(AE160&lt;=7,W160&lt;&gt;"Preparing"),"RED",IF(AE160&lt;=14,"AMBER","GREEN")))))</f>
        <v/>
      </c>
      <c r="AG160" s="59">
        <f>IF(OR(A160="",NOT(OR(W160="Watching",W160="Preparing"))),"",IF(AND(ISNUMBER(M160),M160&gt;=3000000000),"YES – ≥ TZS 3bn",IF(AND(ISNUMBER(AE160),AE160&gt;=0,AE160&lt;10,V160=""),"YES – &lt;10 days","")))</f>
        <v/>
      </c>
      <c r="AH160" s="68" t="n"/>
      <c r="AI160" s="74" t="inlineStr">
        <is>
          <t>Read the notice and decide with the QS Director whether to pursue</t>
        </is>
      </c>
      <c r="AJ160" s="74" t="inlineStr">
        <is>
          <t>Auto-scan</t>
        </is>
      </c>
      <c r="AK160" s="74" t="inlineStr">
        <is>
          <t>3c0ce8d7-762b-471c-92a2-1466abf2abbf</t>
        </is>
      </c>
      <c r="AL160" s="59">
        <f>IF(AND(OR(W160="Watching",W160="Preparing"),ISNUMBER(Q160)),IF(AND(Q160&gt;='Friday Summary'!$C$4,Q160&lt;='Friday Summary'!$C$4+14),Q160+ROW()/1000000,""),"")</f>
        <v/>
      </c>
    </row>
    <row r="161" ht="15" customHeight="1" s="51">
      <c r="A161" s="59">
        <f>IF(B161="","","OP-"&amp;TEXT(ROW()-4,"000"))</f>
        <v/>
      </c>
      <c r="B161" s="70" t="inlineStr">
        <is>
          <t>82N7/2026/2027/W/23</t>
        </is>
      </c>
      <c r="C161" s="71" t="n">
        <v>46312</v>
      </c>
      <c r="D161" s="70" t="inlineStr">
        <is>
          <t>NeST</t>
        </is>
      </c>
      <c r="E161" s="70" t="inlineStr">
        <is>
          <t>https://nest.go.tz/tenders/published-tenders</t>
        </is>
      </c>
      <c r="F161" s="70" t="inlineStr">
        <is>
          <t>Mbinga Town Council</t>
        </is>
      </c>
      <c r="G161" s="70" t="inlineStr">
        <is>
          <t>government</t>
        </is>
      </c>
      <c r="H161" s="70" t="inlineStr">
        <is>
          <t>CONSTRUCTION OF COMMERCIAL SHOPS AT MAKTABA AREA IN MBINGA TOWN COUNCIL</t>
        </is>
      </c>
      <c r="I161" s="70" t="inlineStr">
        <is>
          <t>From NeST notice (1 lot) – read the tender document</t>
        </is>
      </c>
      <c r="J161" s="70" t="inlineStr">
        <is>
          <t>Ruvuma (Mbinga)</t>
        </is>
      </c>
      <c r="K161" s="70" t="inlineStr">
        <is>
          <t>building</t>
        </is>
      </c>
      <c r="L161" s="70" t="inlineStr">
        <is>
          <t>NeST login needed</t>
        </is>
      </c>
      <c r="M161" s="62" t="n"/>
      <c r="N161" s="70" t="inlineStr">
        <is>
          <t>unknown</t>
        </is>
      </c>
      <c r="O161" s="71" t="inlineStr">
        <is>
          <t>NeST login needed</t>
        </is>
      </c>
      <c r="P161" s="71" t="inlineStr">
        <is>
          <t>NeST login needed</t>
        </is>
      </c>
      <c r="Q161" s="72" t="n">
        <v>46317.58333333334</v>
      </c>
      <c r="R161" s="70" t="inlineStr">
        <is>
          <t>NeST login needed</t>
        </is>
      </c>
      <c r="S161" s="70" t="inlineStr">
        <is>
          <t>N</t>
        </is>
      </c>
      <c r="T161" s="64">
        <f>IF(A161="","",IFERROR(INDEX('Bid-NoBid'!$T:$T,MATCH(A161,'Bid-NoBid'!$A:$A,0)),""))</f>
        <v/>
      </c>
      <c r="U161" s="59">
        <f>IF(A161="","",IFERROR(IF(OR(INDEX('Bid-NoBid'!$U:$U,MATCH(A161,'Bid-NoBid'!$A:$A,0))="",LEFT(INDEX('Bid-NoBid'!$U:$U,MATCH(A161,'Bid-NoBid'!$A:$A,0)),10)="Incomplete"),"Screen: "&amp;AC161,INDEX('Bid-NoBid'!$U:$U,MATCH(A161,'Bid-NoBid'!$A:$A,0))),"Screen: "&amp;AC161))</f>
        <v/>
      </c>
      <c r="V161" s="60" t="n"/>
      <c r="W161" s="70" t="inlineStr">
        <is>
          <t>Watching</t>
        </is>
      </c>
      <c r="X161" s="70" t="inlineStr">
        <is>
          <t>Frank</t>
        </is>
      </c>
      <c r="Y161" s="60" t="n"/>
      <c r="Z161" s="60" t="n"/>
      <c r="AA161" s="73" t="n">
        <v>46311</v>
      </c>
      <c r="AB161" s="74" t="inlineStr">
        <is>
          <t>Small Works / Tender</t>
        </is>
      </c>
      <c r="AC161" s="74" t="inlineStr">
        <is>
          <t>Check</t>
        </is>
      </c>
      <c r="AD161" s="74" t="inlineStr">
        <is>
          <t>Auto (Small Works / Tender): Construction tender kept for review (would have been dropped: Remote and closing soon)</t>
        </is>
      </c>
      <c r="AE161" s="67">
        <f>IF(ISNUMBER(Q161),ROUNDDOWN(Q161-NOW(),1),"")</f>
        <v/>
      </c>
      <c r="AF161" s="59">
        <f>IF(OR(A161="",AE161=""),"",IF(NOT(OR(W161="Watching",W161="Preparing")),"",IF(AE161&lt;0,"PASSED",IF(AND(AE161&lt;=7,W161&lt;&gt;"Preparing"),"RED",IF(AE161&lt;=14,"AMBER","GREEN")))))</f>
        <v/>
      </c>
      <c r="AG161" s="59">
        <f>IF(OR(A161="",NOT(OR(W161="Watching",W161="Preparing"))),"",IF(AND(ISNUMBER(M161),M161&gt;=3000000000),"YES – ≥ TZS 3bn",IF(AND(ISNUMBER(AE161),AE161&gt;=0,AE161&lt;10,V161=""),"YES – &lt;10 days","")))</f>
        <v/>
      </c>
      <c r="AH161" s="68" t="n"/>
      <c r="AI161" s="74" t="inlineStr">
        <is>
          <t>Read the notice and decide with the QS Director whether to pursue</t>
        </is>
      </c>
      <c r="AJ161" s="74" t="inlineStr">
        <is>
          <t>Auto-scan</t>
        </is>
      </c>
      <c r="AK161" s="74" t="inlineStr">
        <is>
          <t>98c3a0fe-df06-42a7-914b-4572ded2dc55</t>
        </is>
      </c>
      <c r="AL161" s="59">
        <f>IF(AND(OR(W161="Watching",W161="Preparing"),ISNUMBER(Q161)),IF(AND(Q161&gt;='Friday Summary'!$C$4,Q161&lt;='Friday Summary'!$C$4+14),Q161+ROW()/1000000,""),"")</f>
        <v/>
      </c>
    </row>
    <row r="162" ht="15" customHeight="1" s="51">
      <c r="A162" s="59">
        <f>IF(B162="","","OP-"&amp;TEXT(ROW()-4,"000"))</f>
        <v/>
      </c>
      <c r="B162" s="70" t="inlineStr">
        <is>
          <t>TR36/023/2026/2027/W/33</t>
        </is>
      </c>
      <c r="C162" s="71" t="n">
        <v>46312</v>
      </c>
      <c r="D162" s="70" t="inlineStr">
        <is>
          <t>NeST</t>
        </is>
      </c>
      <c r="E162" s="70" t="inlineStr">
        <is>
          <t>https://nest.go.tz/tenders/published-tenders</t>
        </is>
      </c>
      <c r="F162" s="70" t="inlineStr">
        <is>
          <t>TANROADS - Singida Regional Office</t>
        </is>
      </c>
      <c r="G162" s="70" t="inlineStr">
        <is>
          <t>government</t>
        </is>
      </c>
      <c r="H162" s="70" t="inlineStr">
        <is>
          <t>Construction of Box Culverts (Composite Box Culverts) Size 2.5m X 2.0m Along Soweto (Kiomboi) - Kisiriri - Chemchem Unpaved Regional Road (R435) to be Financed through Development Consolidated Funds and Rehabilitation Works Between Km 42 + 000 - Km 45 + 000 Along Soweto (Kiomboi) - Kisiriri - Chemchem Unpaved Regional Road (R435) to be Financed tthrough Development Road Funds</t>
        </is>
      </c>
      <c r="I162" s="70" t="inlineStr">
        <is>
          <t>From NeST notice (1 lot) – read the tender document</t>
        </is>
      </c>
      <c r="J162" s="70" t="inlineStr">
        <is>
          <t>Singida (from client's office – confirm site)</t>
        </is>
      </c>
      <c r="K162" s="70" t="inlineStr">
        <is>
          <t>renovation</t>
        </is>
      </c>
      <c r="L162" s="70" t="inlineStr">
        <is>
          <t>NeST login needed</t>
        </is>
      </c>
      <c r="M162" s="62" t="n"/>
      <c r="N162" s="70" t="inlineStr">
        <is>
          <t>unknown</t>
        </is>
      </c>
      <c r="O162" s="71" t="inlineStr">
        <is>
          <t>NeST login needed</t>
        </is>
      </c>
      <c r="P162" s="71" t="inlineStr">
        <is>
          <t>NeST login needed</t>
        </is>
      </c>
      <c r="Q162" s="72" t="n">
        <v>46318.41666666666</v>
      </c>
      <c r="R162" s="70" t="inlineStr">
        <is>
          <t>NeST login needed</t>
        </is>
      </c>
      <c r="S162" s="70" t="inlineStr">
        <is>
          <t>N</t>
        </is>
      </c>
      <c r="T162" s="64">
        <f>IF(A162="","",IFERROR(INDEX('Bid-NoBid'!$T:$T,MATCH(A162,'Bid-NoBid'!$A:$A,0)),""))</f>
        <v/>
      </c>
      <c r="U162" s="59">
        <f>IF(A162="","",IFERROR(IF(OR(INDEX('Bid-NoBid'!$U:$U,MATCH(A162,'Bid-NoBid'!$A:$A,0))="",LEFT(INDEX('Bid-NoBid'!$U:$U,MATCH(A162,'Bid-NoBid'!$A:$A,0)),10)="Incomplete"),"Screen: "&amp;AC162,INDEX('Bid-NoBid'!$U:$U,MATCH(A162,'Bid-NoBid'!$A:$A,0))),"Screen: "&amp;AC162))</f>
        <v/>
      </c>
      <c r="V162" s="60" t="n"/>
      <c r="W162" s="70" t="inlineStr">
        <is>
          <t>Watching</t>
        </is>
      </c>
      <c r="X162" s="70" t="inlineStr">
        <is>
          <t>Frank</t>
        </is>
      </c>
      <c r="Y162" s="60" t="n"/>
      <c r="Z162" s="60" t="n"/>
      <c r="AA162" s="73" t="n">
        <v>46311</v>
      </c>
      <c r="AB162" s="74" t="inlineStr">
        <is>
          <t>Small Works / Tender</t>
        </is>
      </c>
      <c r="AC162" s="74" t="inlineStr">
        <is>
          <t>Check</t>
        </is>
      </c>
      <c r="AD162" s="74" t="inlineStr">
        <is>
          <t>Auto (Small Works / Tender): Construction tender kept for review (would have been dropped: Remote and closing soon)</t>
        </is>
      </c>
      <c r="AE162" s="67">
        <f>IF(ISNUMBER(Q162),ROUNDDOWN(Q162-NOW(),1),"")</f>
        <v/>
      </c>
      <c r="AF162" s="59">
        <f>IF(OR(A162="",AE162=""),"",IF(NOT(OR(W162="Watching",W162="Preparing")),"",IF(AE162&lt;0,"PASSED",IF(AND(AE162&lt;=7,W162&lt;&gt;"Preparing"),"RED",IF(AE162&lt;=14,"AMBER","GREEN")))))</f>
        <v/>
      </c>
      <c r="AG162" s="59">
        <f>IF(OR(A162="",NOT(OR(W162="Watching",W162="Preparing"))),"",IF(AND(ISNUMBER(M162),M162&gt;=3000000000),"YES – ≥ TZS 3bn",IF(AND(ISNUMBER(AE162),AE162&gt;=0,AE162&lt;10,V162=""),"YES – &lt;10 days","")))</f>
        <v/>
      </c>
      <c r="AH162" s="68" t="n"/>
      <c r="AI162" s="74" t="inlineStr">
        <is>
          <t>Read the notice and decide with the QS Director whether to pursue</t>
        </is>
      </c>
      <c r="AJ162" s="74" t="inlineStr">
        <is>
          <t>Auto-scan</t>
        </is>
      </c>
      <c r="AK162" s="74" t="inlineStr">
        <is>
          <t>5a7d4e7d-c2ac-437e-ad0d-a2674b2a8dc7</t>
        </is>
      </c>
      <c r="AL162" s="59">
        <f>IF(AND(OR(W162="Watching",W162="Preparing"),ISNUMBER(Q162)),IF(AND(Q162&gt;='Friday Summary'!$C$4,Q162&lt;='Friday Summary'!$C$4+14),Q162+ROW()/1000000,""),"")</f>
        <v/>
      </c>
    </row>
    <row r="163" ht="15" customHeight="1" s="51">
      <c r="A163" s="59">
        <f>IF(B163="","","OP-"&amp;TEXT(ROW()-4,"000"))</f>
        <v/>
      </c>
      <c r="B163" s="70" t="inlineStr">
        <is>
          <t>70A2/2026/2027/W/10</t>
        </is>
      </c>
      <c r="C163" s="71" t="n">
        <v>46312</v>
      </c>
      <c r="D163" s="70" t="inlineStr">
        <is>
          <t>NeST</t>
        </is>
      </c>
      <c r="E163" s="70" t="inlineStr">
        <is>
          <t>https://nest.go.tz/tenders/published-tenders</t>
        </is>
      </c>
      <c r="F163" s="70" t="inlineStr">
        <is>
          <t>Monduli District Council</t>
        </is>
      </c>
      <c r="G163" s="70" t="inlineStr">
        <is>
          <t>government</t>
        </is>
      </c>
      <c r="H163" s="70" t="inlineStr">
        <is>
          <t>CONSTRUCTION OF DIPPING TANKS (JOSHO) TO MESERANI CHINI, NAALARAMI, ALKATANI &amp; NANJA VILLAGES IN MONDULI DISTRICT</t>
        </is>
      </c>
      <c r="I163" s="70" t="inlineStr">
        <is>
          <t>From NeST notice (1 lot) – read the tender document</t>
        </is>
      </c>
      <c r="J163" s="70" t="inlineStr">
        <is>
          <t>Arusha (Monduli)</t>
        </is>
      </c>
      <c r="K163" s="70" t="inlineStr">
        <is>
          <t>building</t>
        </is>
      </c>
      <c r="L163" s="70" t="inlineStr">
        <is>
          <t>NeST login needed</t>
        </is>
      </c>
      <c r="M163" s="62" t="n"/>
      <c r="N163" s="70" t="inlineStr">
        <is>
          <t>unknown</t>
        </is>
      </c>
      <c r="O163" s="71" t="inlineStr">
        <is>
          <t>NeST login needed</t>
        </is>
      </c>
      <c r="P163" s="71" t="inlineStr">
        <is>
          <t>NeST login needed</t>
        </is>
      </c>
      <c r="Q163" s="72" t="n">
        <v>46318.41666666666</v>
      </c>
      <c r="R163" s="70" t="inlineStr">
        <is>
          <t>NeST login needed</t>
        </is>
      </c>
      <c r="S163" s="70" t="inlineStr">
        <is>
          <t>N</t>
        </is>
      </c>
      <c r="T163" s="64">
        <f>IF(A163="","",IFERROR(INDEX('Bid-NoBid'!$T:$T,MATCH(A163,'Bid-NoBid'!$A:$A,0)),""))</f>
        <v/>
      </c>
      <c r="U163" s="59">
        <f>IF(A163="","",IFERROR(IF(OR(INDEX('Bid-NoBid'!$U:$U,MATCH(A163,'Bid-NoBid'!$A:$A,0))="",LEFT(INDEX('Bid-NoBid'!$U:$U,MATCH(A163,'Bid-NoBid'!$A:$A,0)),10)="Incomplete"),"Screen: "&amp;AC163,INDEX('Bid-NoBid'!$U:$U,MATCH(A163,'Bid-NoBid'!$A:$A,0))),"Screen: "&amp;AC163))</f>
        <v/>
      </c>
      <c r="V163" s="60" t="n"/>
      <c r="W163" s="70" t="inlineStr">
        <is>
          <t>Watching</t>
        </is>
      </c>
      <c r="X163" s="70" t="inlineStr">
        <is>
          <t>Frank</t>
        </is>
      </c>
      <c r="Y163" s="60" t="n"/>
      <c r="Z163" s="60" t="n"/>
      <c r="AA163" s="73" t="n">
        <v>46311</v>
      </c>
      <c r="AB163" s="74" t="inlineStr">
        <is>
          <t>Small Works / Tender</t>
        </is>
      </c>
      <c r="AC163" s="74" t="inlineStr">
        <is>
          <t>Check</t>
        </is>
      </c>
      <c r="AD163" s="74" t="inlineStr">
        <is>
          <t>Auto (Small Works / Tender): Construction tender kept for review (would have been dropped: Remote and closing soon)</t>
        </is>
      </c>
      <c r="AE163" s="67">
        <f>IF(ISNUMBER(Q163),ROUNDDOWN(Q163-NOW(),1),"")</f>
        <v/>
      </c>
      <c r="AF163" s="59">
        <f>IF(OR(A163="",AE163=""),"",IF(NOT(OR(W163="Watching",W163="Preparing")),"",IF(AE163&lt;0,"PASSED",IF(AND(AE163&lt;=7,W163&lt;&gt;"Preparing"),"RED",IF(AE163&lt;=14,"AMBER","GREEN")))))</f>
        <v/>
      </c>
      <c r="AG163" s="59">
        <f>IF(OR(A163="",NOT(OR(W163="Watching",W163="Preparing"))),"",IF(AND(ISNUMBER(M163),M163&gt;=3000000000),"YES – ≥ TZS 3bn",IF(AND(ISNUMBER(AE163),AE163&gt;=0,AE163&lt;10,V163=""),"YES – &lt;10 days","")))</f>
        <v/>
      </c>
      <c r="AH163" s="68" t="n"/>
      <c r="AI163" s="74" t="inlineStr">
        <is>
          <t>Read the notice and decide with the QS Director whether to pursue</t>
        </is>
      </c>
      <c r="AJ163" s="74" t="inlineStr">
        <is>
          <t>Auto-scan</t>
        </is>
      </c>
      <c r="AK163" s="74" t="inlineStr">
        <is>
          <t>f558993f-cfdb-4c35-8ede-4514cd9f0652</t>
        </is>
      </c>
      <c r="AL163" s="59">
        <f>IF(AND(OR(W163="Watching",W163="Preparing"),ISNUMBER(Q163)),IF(AND(Q163&gt;='Friday Summary'!$C$4,Q163&lt;='Friday Summary'!$C$4+14),Q163+ROW()/1000000,""),"")</f>
        <v/>
      </c>
    </row>
    <row r="164" ht="15" customHeight="1" s="51">
      <c r="A164" s="59">
        <f>IF(B164="","","OP-"&amp;TEXT(ROW()-4,"000"))</f>
        <v/>
      </c>
      <c r="B164" s="70" t="inlineStr">
        <is>
          <t>TR36/023/2026/2027/W/32</t>
        </is>
      </c>
      <c r="C164" s="71" t="n">
        <v>46312</v>
      </c>
      <c r="D164" s="70" t="inlineStr">
        <is>
          <t>NeST</t>
        </is>
      </c>
      <c r="E164" s="70" t="inlineStr">
        <is>
          <t>https://nest.go.tz/tenders/published-tenders</t>
        </is>
      </c>
      <c r="F164" s="70" t="inlineStr">
        <is>
          <t>TANROADS - Singida Regional Office</t>
        </is>
      </c>
      <c r="G164" s="70" t="inlineStr">
        <is>
          <t>government</t>
        </is>
      </c>
      <c r="H164" s="70" t="inlineStr">
        <is>
          <t>Construction of Reinforced Concrete Drift Size 20mx6.5 Along Sibiti (SMY/SGD Brd.) - Nyahaa - Matala (SGD/Arusha Brd.) Unpaved Trunk Road (T037) to be Financed through Development Consolidated Fund and Construction of Reinforced Concrete Drift Size 20mx6.5 Along Sibiti (SMY/SGD Brd.) - Nyahaa - Matala (SGD/Arusha Brd.) Unpaved Trunk Road (T037) to be Financed Through Development Consolidated Fund</t>
        </is>
      </c>
      <c r="I164" s="70" t="inlineStr">
        <is>
          <t>From NeST notice (1 lot) – read the tender document</t>
        </is>
      </c>
      <c r="J164" s="70" t="inlineStr">
        <is>
          <t>Arusha</t>
        </is>
      </c>
      <c r="K164" s="70" t="inlineStr">
        <is>
          <t>civil</t>
        </is>
      </c>
      <c r="L164" s="70" t="inlineStr">
        <is>
          <t>NeST login needed</t>
        </is>
      </c>
      <c r="M164" s="62" t="n"/>
      <c r="N164" s="70" t="inlineStr">
        <is>
          <t>unknown</t>
        </is>
      </c>
      <c r="O164" s="71" t="inlineStr">
        <is>
          <t>NeST login needed</t>
        </is>
      </c>
      <c r="P164" s="71" t="inlineStr">
        <is>
          <t>NeST login needed</t>
        </is>
      </c>
      <c r="Q164" s="72" t="n">
        <v>46318.41666666666</v>
      </c>
      <c r="R164" s="70" t="inlineStr">
        <is>
          <t>NeST login needed</t>
        </is>
      </c>
      <c r="S164" s="70" t="inlineStr">
        <is>
          <t>N</t>
        </is>
      </c>
      <c r="T164" s="64">
        <f>IF(A164="","",IFERROR(INDEX('Bid-NoBid'!$T:$T,MATCH(A164,'Bid-NoBid'!$A:$A,0)),""))</f>
        <v/>
      </c>
      <c r="U164" s="59">
        <f>IF(A164="","",IFERROR(IF(OR(INDEX('Bid-NoBid'!$U:$U,MATCH(A164,'Bid-NoBid'!$A:$A,0))="",LEFT(INDEX('Bid-NoBid'!$U:$U,MATCH(A164,'Bid-NoBid'!$A:$A,0)),10)="Incomplete"),"Screen: "&amp;AC164,INDEX('Bid-NoBid'!$U:$U,MATCH(A164,'Bid-NoBid'!$A:$A,0))),"Screen: "&amp;AC164))</f>
        <v/>
      </c>
      <c r="V164" s="60" t="n"/>
      <c r="W164" s="70" t="inlineStr">
        <is>
          <t>Watching</t>
        </is>
      </c>
      <c r="X164" s="70" t="inlineStr">
        <is>
          <t>Frank</t>
        </is>
      </c>
      <c r="Y164" s="60" t="n"/>
      <c r="Z164" s="60" t="n"/>
      <c r="AA164" s="73" t="n">
        <v>46311</v>
      </c>
      <c r="AB164" s="74" t="inlineStr">
        <is>
          <t>Small Works / Tender</t>
        </is>
      </c>
      <c r="AC164" s="74" t="inlineStr">
        <is>
          <t>Check</t>
        </is>
      </c>
      <c r="AD164" s="74" t="inlineStr">
        <is>
          <t>Auto (Small Works / Tender): Construction tender kept for review (would have been dropped: Remote civil works)</t>
        </is>
      </c>
      <c r="AE164" s="67">
        <f>IF(ISNUMBER(Q164),ROUNDDOWN(Q164-NOW(),1),"")</f>
        <v/>
      </c>
      <c r="AF164" s="59">
        <f>IF(OR(A164="",AE164=""),"",IF(NOT(OR(W164="Watching",W164="Preparing")),"",IF(AE164&lt;0,"PASSED",IF(AND(AE164&lt;=7,W164&lt;&gt;"Preparing"),"RED",IF(AE164&lt;=14,"AMBER","GREEN")))))</f>
        <v/>
      </c>
      <c r="AG164" s="59">
        <f>IF(OR(A164="",NOT(OR(W164="Watching",W164="Preparing"))),"",IF(AND(ISNUMBER(M164),M164&gt;=3000000000),"YES – ≥ TZS 3bn",IF(AND(ISNUMBER(AE164),AE164&gt;=0,AE164&lt;10,V164=""),"YES – &lt;10 days","")))</f>
        <v/>
      </c>
      <c r="AH164" s="68" t="n"/>
      <c r="AI164" s="74" t="inlineStr">
        <is>
          <t>Read the notice and decide with the QS Director whether to pursue</t>
        </is>
      </c>
      <c r="AJ164" s="74" t="inlineStr">
        <is>
          <t>Auto-scan</t>
        </is>
      </c>
      <c r="AK164" s="74" t="inlineStr">
        <is>
          <t>053db907-9a6b-4b83-b773-6272c7adb366</t>
        </is>
      </c>
      <c r="AL164" s="59">
        <f>IF(AND(OR(W164="Watching",W164="Preparing"),ISNUMBER(Q164)),IF(AND(Q164&gt;='Friday Summary'!$C$4,Q164&lt;='Friday Summary'!$C$4+14),Q164+ROW()/1000000,""),"")</f>
        <v/>
      </c>
    </row>
    <row r="165" ht="15" customHeight="1" s="51">
      <c r="A165" s="59">
        <f>IF(B165="","","OP-"&amp;TEXT(ROW()-4,"000"))</f>
        <v/>
      </c>
      <c r="B165" s="70" t="inlineStr">
        <is>
          <t>TR36/023/2026/2027/W/26</t>
        </is>
      </c>
      <c r="C165" s="71" t="n">
        <v>46312</v>
      </c>
      <c r="D165" s="70" t="inlineStr">
        <is>
          <t>NeST</t>
        </is>
      </c>
      <c r="E165" s="70" t="inlineStr">
        <is>
          <t>https://nest.go.tz/tenders/published-tenders</t>
        </is>
      </c>
      <c r="F165" s="70" t="inlineStr">
        <is>
          <t>TANROADS - Singida Regional Office</t>
        </is>
      </c>
      <c r="G165" s="70" t="inlineStr">
        <is>
          <t>government</t>
        </is>
      </c>
      <c r="H165" s="70" t="inlineStr">
        <is>
          <t>Rehabilitation Works Between Km 14 + 000 - KM 18 + 000 along Iyumbu (TBR/SGD Brd.) - Mgungira - Magereza (R436) Unpaved Regional Road to be Financed Through Development Consolidated Fund and Construction Of Reinforced Concrete Box Culverts(2Nos) Size 2.5m X 1.5m At Km 15 + 140 &amp; Km 17 + 900 along Iyumbu (TBR/SGD Brd.) - Mgungira - Mtunduru - Magereza Unpaved Regional Road (R436) to be Financed through Development Roads Fund</t>
        </is>
      </c>
      <c r="I165" s="70" t="inlineStr">
        <is>
          <t>From NeST notice (1 lot) – read the tender document</t>
        </is>
      </c>
      <c r="J165" s="70" t="inlineStr">
        <is>
          <t>Singida (from client's office – confirm site)</t>
        </is>
      </c>
      <c r="K165" s="70" t="inlineStr">
        <is>
          <t>renovation</t>
        </is>
      </c>
      <c r="L165" s="70" t="inlineStr">
        <is>
          <t>NeST login needed</t>
        </is>
      </c>
      <c r="M165" s="62" t="n"/>
      <c r="N165" s="70" t="inlineStr">
        <is>
          <t>unknown</t>
        </is>
      </c>
      <c r="O165" s="71" t="inlineStr">
        <is>
          <t>NeST login needed</t>
        </is>
      </c>
      <c r="P165" s="71" t="inlineStr">
        <is>
          <t>NeST login needed</t>
        </is>
      </c>
      <c r="Q165" s="72" t="n">
        <v>46318.41666666666</v>
      </c>
      <c r="R165" s="70" t="inlineStr">
        <is>
          <t>NeST login needed</t>
        </is>
      </c>
      <c r="S165" s="70" t="inlineStr">
        <is>
          <t>N</t>
        </is>
      </c>
      <c r="T165" s="64">
        <f>IF(A165="","",IFERROR(INDEX('Bid-NoBid'!$T:$T,MATCH(A165,'Bid-NoBid'!$A:$A,0)),""))</f>
        <v/>
      </c>
      <c r="U165" s="59">
        <f>IF(A165="","",IFERROR(IF(OR(INDEX('Bid-NoBid'!$U:$U,MATCH(A165,'Bid-NoBid'!$A:$A,0))="",LEFT(INDEX('Bid-NoBid'!$U:$U,MATCH(A165,'Bid-NoBid'!$A:$A,0)),10)="Incomplete"),"Screen: "&amp;AC165,INDEX('Bid-NoBid'!$U:$U,MATCH(A165,'Bid-NoBid'!$A:$A,0))),"Screen: "&amp;AC165))</f>
        <v/>
      </c>
      <c r="V165" s="60" t="n"/>
      <c r="W165" s="70" t="inlineStr">
        <is>
          <t>Watching</t>
        </is>
      </c>
      <c r="X165" s="70" t="inlineStr">
        <is>
          <t>Frank</t>
        </is>
      </c>
      <c r="Y165" s="60" t="n"/>
      <c r="Z165" s="60" t="n"/>
      <c r="AA165" s="73" t="n">
        <v>46311</v>
      </c>
      <c r="AB165" s="74" t="inlineStr">
        <is>
          <t>Small Works / Tender</t>
        </is>
      </c>
      <c r="AC165" s="74" t="inlineStr">
        <is>
          <t>Check</t>
        </is>
      </c>
      <c r="AD165" s="74" t="inlineStr">
        <is>
          <t>Auto (Small Works / Tender): Construction tender kept for review (would have been dropped: Remote and closing soon)</t>
        </is>
      </c>
      <c r="AE165" s="67">
        <f>IF(ISNUMBER(Q165),ROUNDDOWN(Q165-NOW(),1),"")</f>
        <v/>
      </c>
      <c r="AF165" s="59">
        <f>IF(OR(A165="",AE165=""),"",IF(NOT(OR(W165="Watching",W165="Preparing")),"",IF(AE165&lt;0,"PASSED",IF(AND(AE165&lt;=7,W165&lt;&gt;"Preparing"),"RED",IF(AE165&lt;=14,"AMBER","GREEN")))))</f>
        <v/>
      </c>
      <c r="AG165" s="59">
        <f>IF(OR(A165="",NOT(OR(W165="Watching",W165="Preparing"))),"",IF(AND(ISNUMBER(M165),M165&gt;=3000000000),"YES – ≥ TZS 3bn",IF(AND(ISNUMBER(AE165),AE165&gt;=0,AE165&lt;10,V165=""),"YES – &lt;10 days","")))</f>
        <v/>
      </c>
      <c r="AH165" s="68" t="n"/>
      <c r="AI165" s="74" t="inlineStr">
        <is>
          <t>Read the notice and decide with the QS Director whether to pursue</t>
        </is>
      </c>
      <c r="AJ165" s="74" t="inlineStr">
        <is>
          <t>Auto-scan</t>
        </is>
      </c>
      <c r="AK165" s="74" t="inlineStr">
        <is>
          <t>07412897-d2eb-4183-8b52-b60c289e2362</t>
        </is>
      </c>
      <c r="AL165" s="59">
        <f>IF(AND(OR(W165="Watching",W165="Preparing"),ISNUMBER(Q165)),IF(AND(Q165&gt;='Friday Summary'!$C$4,Q165&lt;='Friday Summary'!$C$4+14),Q165+ROW()/1000000,""),"")</f>
        <v/>
      </c>
    </row>
    <row r="166" ht="15" customHeight="1" s="51">
      <c r="A166" s="59">
        <f>IF(B166="","","OP-"&amp;TEXT(ROW()-4,"000"))</f>
        <v/>
      </c>
      <c r="B166" s="70" t="inlineStr">
        <is>
          <t>TR36/023/2026/2027/W/31</t>
        </is>
      </c>
      <c r="C166" s="71" t="n">
        <v>46312</v>
      </c>
      <c r="D166" s="70" t="inlineStr">
        <is>
          <t>NeST</t>
        </is>
      </c>
      <c r="E166" s="70" t="inlineStr">
        <is>
          <t>https://nest.go.tz/tenders/published-tenders</t>
        </is>
      </c>
      <c r="F166" s="70" t="inlineStr">
        <is>
          <t>TANROADS - Singida Regional Office</t>
        </is>
      </c>
      <c r="G166" s="70" t="inlineStr">
        <is>
          <t>government</t>
        </is>
      </c>
      <c r="H166" s="70" t="inlineStr">
        <is>
          <t>Rehabilitation Works Between Km 60 + 000 - Km 64 + 000 along Shelui - Sekenke - Tulya - Tyegelo Unpaved Regional Road (R421) to be Financed through Development Consolidated Funds, Construction of Reinforced Concrete Box Culvert (2nos) along Shelui - Sekenke - Tulya - Tyegelo Unpaved Regional Road (R421) to be Financed through Development Consolidated Funds and Construction of Reinforced Concrete Box Culvert (2nos) along Shelui - Sekenke - Tulya - Tyegelo Unpaved Regional Road (R421) to be Financed through Development Consolidated Funds</t>
        </is>
      </c>
      <c r="I166" s="70" t="inlineStr">
        <is>
          <t>From NeST notice (1 lot) – read the tender document</t>
        </is>
      </c>
      <c r="J166" s="70" t="inlineStr">
        <is>
          <t>Singida (from client's office – confirm site)</t>
        </is>
      </c>
      <c r="K166" s="70" t="inlineStr">
        <is>
          <t>renovation</t>
        </is>
      </c>
      <c r="L166" s="70" t="inlineStr">
        <is>
          <t>NeST login needed</t>
        </is>
      </c>
      <c r="M166" s="62" t="n"/>
      <c r="N166" s="70" t="inlineStr">
        <is>
          <t>unknown</t>
        </is>
      </c>
      <c r="O166" s="71" t="inlineStr">
        <is>
          <t>NeST login needed</t>
        </is>
      </c>
      <c r="P166" s="71" t="inlineStr">
        <is>
          <t>NeST login needed</t>
        </is>
      </c>
      <c r="Q166" s="72" t="n">
        <v>46318.41666666666</v>
      </c>
      <c r="R166" s="70" t="inlineStr">
        <is>
          <t>NeST login needed</t>
        </is>
      </c>
      <c r="S166" s="70" t="inlineStr">
        <is>
          <t>N</t>
        </is>
      </c>
      <c r="T166" s="64">
        <f>IF(A166="","",IFERROR(INDEX('Bid-NoBid'!$T:$T,MATCH(A166,'Bid-NoBid'!$A:$A,0)),""))</f>
        <v/>
      </c>
      <c r="U166" s="59">
        <f>IF(A166="","",IFERROR(IF(OR(INDEX('Bid-NoBid'!$U:$U,MATCH(A166,'Bid-NoBid'!$A:$A,0))="",LEFT(INDEX('Bid-NoBid'!$U:$U,MATCH(A166,'Bid-NoBid'!$A:$A,0)),10)="Incomplete"),"Screen: "&amp;AC166,INDEX('Bid-NoBid'!$U:$U,MATCH(A166,'Bid-NoBid'!$A:$A,0))),"Screen: "&amp;AC166))</f>
        <v/>
      </c>
      <c r="V166" s="60" t="n"/>
      <c r="W166" s="70" t="inlineStr">
        <is>
          <t>Watching</t>
        </is>
      </c>
      <c r="X166" s="70" t="inlineStr">
        <is>
          <t>Frank</t>
        </is>
      </c>
      <c r="Y166" s="60" t="n"/>
      <c r="Z166" s="60" t="n"/>
      <c r="AA166" s="73" t="n">
        <v>46311</v>
      </c>
      <c r="AB166" s="74" t="inlineStr">
        <is>
          <t>Small Works / Tender</t>
        </is>
      </c>
      <c r="AC166" s="74" t="inlineStr">
        <is>
          <t>Check</t>
        </is>
      </c>
      <c r="AD166" s="74" t="inlineStr">
        <is>
          <t>Auto (Small Works / Tender): Construction tender kept for review (would have been dropped: Remote and closing soon)</t>
        </is>
      </c>
      <c r="AE166" s="67">
        <f>IF(ISNUMBER(Q166),ROUNDDOWN(Q166-NOW(),1),"")</f>
        <v/>
      </c>
      <c r="AF166" s="59">
        <f>IF(OR(A166="",AE166=""),"",IF(NOT(OR(W166="Watching",W166="Preparing")),"",IF(AE166&lt;0,"PASSED",IF(AND(AE166&lt;=7,W166&lt;&gt;"Preparing"),"RED",IF(AE166&lt;=14,"AMBER","GREEN")))))</f>
        <v/>
      </c>
      <c r="AG166" s="59">
        <f>IF(OR(A166="",NOT(OR(W166="Watching",W166="Preparing"))),"",IF(AND(ISNUMBER(M166),M166&gt;=3000000000),"YES – ≥ TZS 3bn",IF(AND(ISNUMBER(AE166),AE166&gt;=0,AE166&lt;10,V166=""),"YES – &lt;10 days","")))</f>
        <v/>
      </c>
      <c r="AH166" s="68" t="n"/>
      <c r="AI166" s="74" t="inlineStr">
        <is>
          <t>Read the notice and decide with the QS Director whether to pursue</t>
        </is>
      </c>
      <c r="AJ166" s="74" t="inlineStr">
        <is>
          <t>Auto-scan</t>
        </is>
      </c>
      <c r="AK166" s="74" t="inlineStr">
        <is>
          <t>06413d47-4991-49c3-8625-972a644ab87b</t>
        </is>
      </c>
      <c r="AL166" s="59">
        <f>IF(AND(OR(W166="Watching",W166="Preparing"),ISNUMBER(Q166)),IF(AND(Q166&gt;='Friday Summary'!$C$4,Q166&lt;='Friday Summary'!$C$4+14),Q166+ROW()/1000000,""),"")</f>
        <v/>
      </c>
    </row>
    <row r="167" ht="15" customHeight="1" s="51">
      <c r="A167" s="59">
        <f>IF(B167="","","OP-"&amp;TEXT(ROW()-4,"000"))</f>
        <v/>
      </c>
      <c r="B167" s="70" t="inlineStr">
        <is>
          <t>TR36/023/2026/2027/W/30</t>
        </is>
      </c>
      <c r="C167" s="71" t="n">
        <v>46312</v>
      </c>
      <c r="D167" s="70" t="inlineStr">
        <is>
          <t>NeST</t>
        </is>
      </c>
      <c r="E167" s="70" t="inlineStr">
        <is>
          <t>https://nest.go.tz/tenders/published-tenders</t>
        </is>
      </c>
      <c r="F167" s="70" t="inlineStr">
        <is>
          <t>TANROADS - Singida Regional Office</t>
        </is>
      </c>
      <c r="G167" s="70" t="inlineStr">
        <is>
          <t>government</t>
        </is>
      </c>
      <c r="H167" s="70" t="inlineStr">
        <is>
          <t>Rehabilitation Works to Gravel Standard Between Km 60 + 000 - Km 63 + 000 along Sepuka - Mlandala - Mgungira Unpaved Regional Road (R422) to be Financed through Consolidated Fund, Rehabilitation Works to Gravel Standard Between Km 63 + 000 - Km 68 + 500 along Sepuka - Mlandala - Mgungira Unpaved Regional Road (R422) to be Financed through Roads Fund and Rehabilitation Works (Construction of Reinforced Concrete Box Culverts (2nos) Size 2.5m X 1.5m Single Cell) at Km 68 + 000 &amp; 78 + 100 along Sepuka - Mlandala - Mgungira Unpaved Regional Road (R422) to be Financed through Roads Fund</t>
        </is>
      </c>
      <c r="I167" s="70" t="inlineStr">
        <is>
          <t>From NeST notice (1 lot) – read the tender document</t>
        </is>
      </c>
      <c r="J167" s="70" t="inlineStr">
        <is>
          <t>Singida (from client's office – confirm site)</t>
        </is>
      </c>
      <c r="K167" s="70" t="inlineStr">
        <is>
          <t>renovation</t>
        </is>
      </c>
      <c r="L167" s="70" t="inlineStr">
        <is>
          <t>NeST login needed</t>
        </is>
      </c>
      <c r="M167" s="62" t="n"/>
      <c r="N167" s="70" t="inlineStr">
        <is>
          <t>unknown</t>
        </is>
      </c>
      <c r="O167" s="71" t="inlineStr">
        <is>
          <t>NeST login needed</t>
        </is>
      </c>
      <c r="P167" s="71" t="inlineStr">
        <is>
          <t>NeST login needed</t>
        </is>
      </c>
      <c r="Q167" s="72" t="n">
        <v>46318.41666666666</v>
      </c>
      <c r="R167" s="70" t="inlineStr">
        <is>
          <t>NeST login needed</t>
        </is>
      </c>
      <c r="S167" s="70" t="inlineStr">
        <is>
          <t>N</t>
        </is>
      </c>
      <c r="T167" s="64">
        <f>IF(A167="","",IFERROR(INDEX('Bid-NoBid'!$T:$T,MATCH(A167,'Bid-NoBid'!$A:$A,0)),""))</f>
        <v/>
      </c>
      <c r="U167" s="59">
        <f>IF(A167="","",IFERROR(IF(OR(INDEX('Bid-NoBid'!$U:$U,MATCH(A167,'Bid-NoBid'!$A:$A,0))="",LEFT(INDEX('Bid-NoBid'!$U:$U,MATCH(A167,'Bid-NoBid'!$A:$A,0)),10)="Incomplete"),"Screen: "&amp;AC167,INDEX('Bid-NoBid'!$U:$U,MATCH(A167,'Bid-NoBid'!$A:$A,0))),"Screen: "&amp;AC167))</f>
        <v/>
      </c>
      <c r="V167" s="60" t="n"/>
      <c r="W167" s="70" t="inlineStr">
        <is>
          <t>Watching</t>
        </is>
      </c>
      <c r="X167" s="70" t="inlineStr">
        <is>
          <t>Frank</t>
        </is>
      </c>
      <c r="Y167" s="60" t="n"/>
      <c r="Z167" s="60" t="n"/>
      <c r="AA167" s="73" t="n">
        <v>46311</v>
      </c>
      <c r="AB167" s="74" t="inlineStr">
        <is>
          <t>Small Works / Tender</t>
        </is>
      </c>
      <c r="AC167" s="74" t="inlineStr">
        <is>
          <t>Check</t>
        </is>
      </c>
      <c r="AD167" s="74" t="inlineStr">
        <is>
          <t>Auto (Small Works / Tender): Construction tender kept for review (would have been dropped: Remote and closing soon)</t>
        </is>
      </c>
      <c r="AE167" s="67">
        <f>IF(ISNUMBER(Q167),ROUNDDOWN(Q167-NOW(),1),"")</f>
        <v/>
      </c>
      <c r="AF167" s="59">
        <f>IF(OR(A167="",AE167=""),"",IF(NOT(OR(W167="Watching",W167="Preparing")),"",IF(AE167&lt;0,"PASSED",IF(AND(AE167&lt;=7,W167&lt;&gt;"Preparing"),"RED",IF(AE167&lt;=14,"AMBER","GREEN")))))</f>
        <v/>
      </c>
      <c r="AG167" s="59">
        <f>IF(OR(A167="",NOT(OR(W167="Watching",W167="Preparing"))),"",IF(AND(ISNUMBER(M167),M167&gt;=3000000000),"YES – ≥ TZS 3bn",IF(AND(ISNUMBER(AE167),AE167&gt;=0,AE167&lt;10,V167=""),"YES – &lt;10 days","")))</f>
        <v/>
      </c>
      <c r="AH167" s="68" t="n"/>
      <c r="AI167" s="74" t="inlineStr">
        <is>
          <t>Read the notice and decide with the QS Director whether to pursue</t>
        </is>
      </c>
      <c r="AJ167" s="74" t="inlineStr">
        <is>
          <t>Auto-scan</t>
        </is>
      </c>
      <c r="AK167" s="74" t="inlineStr">
        <is>
          <t>5726dbc5-6181-4fbe-a645-8c2a463516e3</t>
        </is>
      </c>
      <c r="AL167" s="59">
        <f>IF(AND(OR(W167="Watching",W167="Preparing"),ISNUMBER(Q167)),IF(AND(Q167&gt;='Friday Summary'!$C$4,Q167&lt;='Friday Summary'!$C$4+14),Q167+ROW()/1000000,""),"")</f>
        <v/>
      </c>
    </row>
    <row r="168" ht="15" customHeight="1" s="51">
      <c r="A168" s="59">
        <f>IF(B168="","","OP-"&amp;TEXT(ROW()-4,"000"))</f>
        <v/>
      </c>
      <c r="B168" s="70" t="inlineStr">
        <is>
          <t>(not shown)</t>
        </is>
      </c>
      <c r="C168" s="71" t="n">
        <v>46312</v>
      </c>
      <c r="D168" s="70" t="inlineStr">
        <is>
          <t>press</t>
        </is>
      </c>
      <c r="E168" s="70" t="inlineStr">
        <is>
          <t>https://www.tanzaniatenders.com/tender/hiv-awareness-campaign-trunk-and-regional-roads-9015cb7.php</t>
        </is>
      </c>
      <c r="F168" s="70" t="inlineStr">
        <is>
          <t>See advert</t>
        </is>
      </c>
      <c r="G168" s="70" t="inlineStr">
        <is>
          <t>government</t>
        </is>
      </c>
      <c r="H168" s="70" t="inlineStr">
        <is>
          <t>Hiv Awareness Campaign on Trunk and Regional Roads</t>
        </is>
      </c>
      <c r="I168" s="70" t="inlineStr">
        <is>
          <t>From press notice (1 lot) – read the tender document</t>
        </is>
      </c>
      <c r="J168" s="70" t="inlineStr">
        <is>
          <t>Not stated – read the notice</t>
        </is>
      </c>
      <c r="K168" s="70" t="inlineStr">
        <is>
          <t>civil</t>
        </is>
      </c>
      <c r="L168" s="70" t="inlineStr">
        <is>
          <t>See tender document</t>
        </is>
      </c>
      <c r="M168" s="62" t="n"/>
      <c r="N168" s="70" t="inlineStr">
        <is>
          <t>unknown</t>
        </is>
      </c>
      <c r="O168" s="71" t="inlineStr">
        <is>
          <t>See tender document</t>
        </is>
      </c>
      <c r="P168" s="71" t="inlineStr">
        <is>
          <t>See tender document</t>
        </is>
      </c>
      <c r="Q168" s="72" t="n">
        <v>46318.41666666666</v>
      </c>
      <c r="R168" s="70" t="inlineStr">
        <is>
          <t>See tender document</t>
        </is>
      </c>
      <c r="S168" s="70" t="inlineStr">
        <is>
          <t>N</t>
        </is>
      </c>
      <c r="T168" s="64">
        <f>IF(A168="","",IFERROR(INDEX('Bid-NoBid'!$T:$T,MATCH(A168,'Bid-NoBid'!$A:$A,0)),""))</f>
        <v/>
      </c>
      <c r="U168" s="59">
        <f>IF(A168="","",IFERROR(IF(OR(INDEX('Bid-NoBid'!$U:$U,MATCH(A168,'Bid-NoBid'!$A:$A,0))="",LEFT(INDEX('Bid-NoBid'!$U:$U,MATCH(A168,'Bid-NoBid'!$A:$A,0)),10)="Incomplete"),"Screen: "&amp;AC168,INDEX('Bid-NoBid'!$U:$U,MATCH(A168,'Bid-NoBid'!$A:$A,0))),"Screen: "&amp;AC168))</f>
        <v/>
      </c>
      <c r="V168" s="60" t="n"/>
      <c r="W168" s="70" t="inlineStr">
        <is>
          <t>Watching</t>
        </is>
      </c>
      <c r="X168" s="70" t="inlineStr">
        <is>
          <t>Frank</t>
        </is>
      </c>
      <c r="Y168" s="60" t="n"/>
      <c r="Z168" s="60" t="n"/>
      <c r="AA168" s="73" t="n"/>
      <c r="AB168" s="74" t="inlineStr">
        <is>
          <t>TanzaniaTenders.com (newspapers / portals / private)</t>
        </is>
      </c>
      <c r="AC168" s="74" t="inlineStr">
        <is>
          <t>Check</t>
        </is>
      </c>
      <c r="AD168" s="74" t="inlineStr">
        <is>
          <t>Auto (TanzaniaTenders.com): Civil works – confirm site, CRB class and margin · deadline read from the web page – confirm</t>
        </is>
      </c>
      <c r="AE168" s="67">
        <f>IF(ISNUMBER(Q168),ROUNDDOWN(Q168-NOW(),1),"")</f>
        <v/>
      </c>
      <c r="AF168" s="59">
        <f>IF(OR(A168="",AE168=""),"",IF(NOT(OR(W168="Watching",W168="Preparing")),"",IF(AE168&lt;0,"PASSED",IF(AND(AE168&lt;=7,W168&lt;&gt;"Preparing"),"RED",IF(AE168&lt;=14,"AMBER","GREEN")))))</f>
        <v/>
      </c>
      <c r="AG168" s="59">
        <f>IF(OR(A168="",NOT(OR(W168="Watching",W168="Preparing"))),"",IF(AND(ISNUMBER(M168),M168&gt;=3000000000),"YES – ≥ TZS 3bn",IF(AND(ISNUMBER(AE168),AE168&gt;=0,AE168&lt;10,V168=""),"YES – &lt;10 days","")))</f>
        <v/>
      </c>
      <c r="AH168" s="68" t="n"/>
      <c r="AI168" s="74" t="inlineStr">
        <is>
          <t>Read the notice and decide with the QS Director whether to pursue</t>
        </is>
      </c>
      <c r="AJ168" s="74" t="inlineStr">
        <is>
          <t>Auto-scan</t>
        </is>
      </c>
      <c r="AK168" s="74" t="inlineStr">
        <is>
          <t>TZT:151084215</t>
        </is>
      </c>
      <c r="AL168" s="59">
        <f>IF(AND(OR(W168="Watching",W168="Preparing"),ISNUMBER(Q168)),IF(AND(Q168&gt;='Friday Summary'!$C$4,Q168&lt;='Friday Summary'!$C$4+14),Q168+ROW()/1000000,""),"")</f>
        <v/>
      </c>
    </row>
    <row r="169" ht="15" customHeight="1" s="51">
      <c r="A169" s="59">
        <f>IF(B169="","","OP-"&amp;TEXT(ROW()-4,"000"))</f>
        <v/>
      </c>
      <c r="B169" s="70" t="inlineStr">
        <is>
          <t>(not shown)</t>
        </is>
      </c>
      <c r="C169" s="71" t="n">
        <v>46312</v>
      </c>
      <c r="D169" s="70" t="inlineStr">
        <is>
          <t>press</t>
        </is>
      </c>
      <c r="E169" s="70" t="inlineStr">
        <is>
          <t>https://www.tanzaniatenders.com/tender/provision-construction-two-2-market-sheds-64-stalls-and-associated-external-works-including-paving-90199db.php</t>
        </is>
      </c>
      <c r="F169" s="70" t="inlineStr">
        <is>
          <t>See advert</t>
        </is>
      </c>
      <c r="G169" s="70" t="inlineStr">
        <is>
          <t>government</t>
        </is>
      </c>
      <c r="H169" s="70" t="inlineStr">
        <is>
          <t>Provision of Construction of Two (2) Market Sheds with 64 Stalls and Associated External Works including paving, storm-water drainage, rainwater-harvesting tanks and wash points at Mkigo Ward, Kigoma District Council.</t>
        </is>
      </c>
      <c r="I169" s="70" t="inlineStr">
        <is>
          <t>From press notice (1 lot) – read the tender document</t>
        </is>
      </c>
      <c r="J169" s="70" t="inlineStr">
        <is>
          <t>Kigoma</t>
        </is>
      </c>
      <c r="K169" s="70" t="inlineStr">
        <is>
          <t>civil</t>
        </is>
      </c>
      <c r="L169" s="70" t="inlineStr">
        <is>
          <t>See tender document</t>
        </is>
      </c>
      <c r="M169" s="62" t="n"/>
      <c r="N169" s="70" t="inlineStr">
        <is>
          <t>unknown</t>
        </is>
      </c>
      <c r="O169" s="71" t="inlineStr">
        <is>
          <t>See tender document</t>
        </is>
      </c>
      <c r="P169" s="71" t="inlineStr">
        <is>
          <t>See tender document</t>
        </is>
      </c>
      <c r="Q169" s="72" t="n">
        <v>46339.41666666666</v>
      </c>
      <c r="R169" s="70" t="inlineStr">
        <is>
          <t>See tender document</t>
        </is>
      </c>
      <c r="S169" s="70" t="inlineStr">
        <is>
          <t>N</t>
        </is>
      </c>
      <c r="T169" s="64">
        <f>IF(A169="","",IFERROR(INDEX('Bid-NoBid'!$T:$T,MATCH(A169,'Bid-NoBid'!$A:$A,0)),""))</f>
        <v/>
      </c>
      <c r="U169" s="59">
        <f>IF(A169="","",IFERROR(IF(OR(INDEX('Bid-NoBid'!$U:$U,MATCH(A169,'Bid-NoBid'!$A:$A,0))="",LEFT(INDEX('Bid-NoBid'!$U:$U,MATCH(A169,'Bid-NoBid'!$A:$A,0)),10)="Incomplete"),"Screen: "&amp;AC169,INDEX('Bid-NoBid'!$U:$U,MATCH(A169,'Bid-NoBid'!$A:$A,0))),"Screen: "&amp;AC169))</f>
        <v/>
      </c>
      <c r="V169" s="60" t="n"/>
      <c r="W169" s="70" t="inlineStr">
        <is>
          <t>Watching</t>
        </is>
      </c>
      <c r="X169" s="70" t="inlineStr">
        <is>
          <t>Frank</t>
        </is>
      </c>
      <c r="Y169" s="60" t="n"/>
      <c r="Z169" s="60" t="n"/>
      <c r="AA169" s="73" t="n"/>
      <c r="AB169" s="74" t="inlineStr">
        <is>
          <t>TanzaniaTenders.com (newspapers / portals / private)</t>
        </is>
      </c>
      <c r="AC169" s="74" t="inlineStr">
        <is>
          <t>Check</t>
        </is>
      </c>
      <c r="AD169" s="74" t="inlineStr">
        <is>
          <t>Auto (TanzaniaTenders.com): Construction tender kept for review (would have been dropped: Remote civil works) · deadline read from the web page – confirm</t>
        </is>
      </c>
      <c r="AE169" s="67">
        <f>IF(ISNUMBER(Q169),ROUNDDOWN(Q169-NOW(),1),"")</f>
        <v/>
      </c>
      <c r="AF169" s="59">
        <f>IF(OR(A169="",AE169=""),"",IF(NOT(OR(W169="Watching",W169="Preparing")),"",IF(AE169&lt;0,"PASSED",IF(AND(AE169&lt;=7,W169&lt;&gt;"Preparing"),"RED",IF(AE169&lt;=14,"AMBER","GREEN")))))</f>
        <v/>
      </c>
      <c r="AG169" s="59">
        <f>IF(OR(A169="",NOT(OR(W169="Watching",W169="Preparing"))),"",IF(AND(ISNUMBER(M169),M169&gt;=3000000000),"YES – ≥ TZS 3bn",IF(AND(ISNUMBER(AE169),AE169&gt;=0,AE169&lt;10,V169=""),"YES – &lt;10 days","")))</f>
        <v/>
      </c>
      <c r="AH169" s="68" t="n"/>
      <c r="AI169" s="74" t="inlineStr">
        <is>
          <t>Read the notice and decide with the QS Director whether to pursue</t>
        </is>
      </c>
      <c r="AJ169" s="74" t="inlineStr">
        <is>
          <t>Auto-scan</t>
        </is>
      </c>
      <c r="AK169" s="74" t="inlineStr">
        <is>
          <t>TZT:151099867</t>
        </is>
      </c>
      <c r="AL169" s="59">
        <f>IF(AND(OR(W169="Watching",W169="Preparing"),ISNUMBER(Q169)),IF(AND(Q169&gt;='Friday Summary'!$C$4,Q169&lt;='Friday Summary'!$C$4+14),Q169+ROW()/1000000,""),"")</f>
        <v/>
      </c>
    </row>
    <row r="170" ht="15" customHeight="1" s="51">
      <c r="A170" s="59">
        <f>IF(B170="","","OP-"&amp;TEXT(ROW()-4,"000"))</f>
        <v/>
      </c>
      <c r="B170" s="70" t="inlineStr">
        <is>
          <t>(not shown)</t>
        </is>
      </c>
      <c r="C170" s="71" t="n">
        <v>46312</v>
      </c>
      <c r="D170" s="70" t="inlineStr">
        <is>
          <t>aggregator</t>
        </is>
      </c>
      <c r="E170" s="70" t="inlineStr">
        <is>
          <t>https://www.biddetail.com/latest-tenders/119516093$196555f7-b599-4c09-85c1-6d3824b434ba</t>
        </is>
      </c>
      <c r="F170" s="70" t="inlineStr">
        <is>
          <t>See notice</t>
        </is>
      </c>
      <c r="G170" s="70" t="inlineStr">
        <is>
          <t>government</t>
        </is>
      </c>
      <c r="H170" s="70" t="inlineStr">
        <is>
          <t>Ministry Of Agriculture, Irrigation ...... Africa Invitation For Bids For Tanzania Food Systems Resilience Program ......</t>
        </is>
      </c>
      <c r="I170" s="70" t="inlineStr">
        <is>
          <t>From aggregator notice (1 lot) – read the tender document</t>
        </is>
      </c>
      <c r="J170" s="70" t="inlineStr">
        <is>
          <t>Not stated – read the notice</t>
        </is>
      </c>
      <c r="K170" s="70" t="inlineStr">
        <is>
          <t>civil</t>
        </is>
      </c>
      <c r="L170" s="70" t="inlineStr">
        <is>
          <t>See tender document</t>
        </is>
      </c>
      <c r="M170" s="62" t="n"/>
      <c r="N170" s="70" t="inlineStr">
        <is>
          <t>unknown</t>
        </is>
      </c>
      <c r="O170" s="71" t="inlineStr">
        <is>
          <t>See tender document</t>
        </is>
      </c>
      <c r="P170" s="71" t="inlineStr">
        <is>
          <t>See tender document</t>
        </is>
      </c>
      <c r="Q170" s="72" t="n"/>
      <c r="R170" s="70" t="inlineStr">
        <is>
          <t>See tender document</t>
        </is>
      </c>
      <c r="S170" s="70" t="inlineStr">
        <is>
          <t>N</t>
        </is>
      </c>
      <c r="T170" s="64">
        <f>IF(A170="","",IFERROR(INDEX('Bid-NoBid'!$T:$T,MATCH(A170,'Bid-NoBid'!$A:$A,0)),""))</f>
        <v/>
      </c>
      <c r="U170" s="59">
        <f>IF(A170="","",IFERROR(IF(OR(INDEX('Bid-NoBid'!$U:$U,MATCH(A170,'Bid-NoBid'!$A:$A,0))="",LEFT(INDEX('Bid-NoBid'!$U:$U,MATCH(A170,'Bid-NoBid'!$A:$A,0)),10)="Incomplete"),"Screen: "&amp;AC170,INDEX('Bid-NoBid'!$U:$U,MATCH(A170,'Bid-NoBid'!$A:$A,0))),"Screen: "&amp;AC170))</f>
        <v/>
      </c>
      <c r="V170" s="60" t="n"/>
      <c r="W170" s="70" t="inlineStr">
        <is>
          <t>Watching</t>
        </is>
      </c>
      <c r="X170" s="70" t="inlineStr">
        <is>
          <t>Frank</t>
        </is>
      </c>
      <c r="Y170" s="60" t="n"/>
      <c r="Z170" s="60" t="n"/>
      <c r="AA170" s="73" t="n"/>
      <c r="AB170" s="74" t="inlineStr">
        <is>
          <t>BidDetail – Tanzania tenders (web page)</t>
        </is>
      </c>
      <c r="AC170" s="74" t="inlineStr">
        <is>
          <t>Check</t>
        </is>
      </c>
      <c r="AD170" s="74" t="inlineStr">
        <is>
          <t>Auto (BidDetail – Tanzania tenders): Deadline not shown on the source page – open the link and read the notice</t>
        </is>
      </c>
      <c r="AE170" s="67">
        <f>IF(ISNUMBER(Q170),ROUNDDOWN(Q170-NOW(),1),"")</f>
        <v/>
      </c>
      <c r="AF170" s="59">
        <f>IF(OR(A170="",AE170=""),"",IF(NOT(OR(W170="Watching",W170="Preparing")),"",IF(AE170&lt;0,"PASSED",IF(AND(AE170&lt;=7,W170&lt;&gt;"Preparing"),"RED",IF(AE170&lt;=14,"AMBER","GREEN")))))</f>
        <v/>
      </c>
      <c r="AG170" s="59">
        <f>IF(OR(A170="",NOT(OR(W170="Watching",W170="Preparing"))),"",IF(AND(ISNUMBER(M170),M170&gt;=3000000000),"YES – ≥ TZS 3bn",IF(AND(ISNUMBER(AE170),AE170&gt;=0,AE170&lt;10,V170=""),"YES – &lt;10 days","")))</f>
        <v/>
      </c>
      <c r="AH170" s="68" t="n"/>
      <c r="AI170" s="74" t="inlineStr">
        <is>
          <t>Read the notice and decide with the QS Director whether to pursue</t>
        </is>
      </c>
      <c r="AJ170" s="74" t="inlineStr">
        <is>
          <t>Auto-scan</t>
        </is>
      </c>
      <c r="AK170" s="74" t="inlineStr">
        <is>
          <t>WEB:biddetail_tanzania_tenders:e75019b7295b6e35</t>
        </is>
      </c>
      <c r="AL170" s="59">
        <f>IF(AND(OR(W170="Watching",W170="Preparing"),ISNUMBER(Q170)),IF(AND(Q170&gt;='Friday Summary'!$C$4,Q170&lt;='Friday Summary'!$C$4+14),Q170+ROW()/1000000,""),"")</f>
        <v/>
      </c>
    </row>
    <row r="171" ht="15" customHeight="1" s="51">
      <c r="A171" s="59">
        <f>IF(B171="","","OP-"&amp;TEXT(ROW()-4,"000"))</f>
        <v/>
      </c>
      <c r="B171" s="70" t="inlineStr">
        <is>
          <t>(not shown)</t>
        </is>
      </c>
      <c r="C171" s="71" t="n">
        <v>46312</v>
      </c>
      <c r="D171" s="70" t="inlineStr">
        <is>
          <t>press</t>
        </is>
      </c>
      <c r="E171" s="70" t="inlineStr">
        <is>
          <t>https://www.tanzaniatenders.com/tender/proposed-construction-national-prosecutions-service-nps-regional-office-building-mara-plot-no-611-9015d0f.php</t>
        </is>
      </c>
      <c r="F171" s="70" t="inlineStr">
        <is>
          <t>See advert</t>
        </is>
      </c>
      <c r="G171" s="70" t="inlineStr">
        <is>
          <t>government</t>
        </is>
      </c>
      <c r="H171" s="70" t="inlineStr">
        <is>
          <t>Proposed Construction of National Prosecutions Service (Nps) Regional Office Building at Mara on Plot No.611 Block C at Bweri in Musoma Municipality</t>
        </is>
      </c>
      <c r="I171" s="70" t="inlineStr">
        <is>
          <t>From press notice (1 lot) – read the tender document</t>
        </is>
      </c>
      <c r="J171" s="70" t="inlineStr">
        <is>
          <t>Mara (Musoma)</t>
        </is>
      </c>
      <c r="K171" s="70" t="inlineStr">
        <is>
          <t>building</t>
        </is>
      </c>
      <c r="L171" s="70" t="inlineStr">
        <is>
          <t>See tender document</t>
        </is>
      </c>
      <c r="M171" s="62" t="n"/>
      <c r="N171" s="70" t="inlineStr">
        <is>
          <t>unknown</t>
        </is>
      </c>
      <c r="O171" s="71" t="inlineStr">
        <is>
          <t>See tender document</t>
        </is>
      </c>
      <c r="P171" s="71" t="inlineStr">
        <is>
          <t>See tender document</t>
        </is>
      </c>
      <c r="Q171" s="72" t="n">
        <v>46317.41666666666</v>
      </c>
      <c r="R171" s="70" t="inlineStr">
        <is>
          <t>See tender document</t>
        </is>
      </c>
      <c r="S171" s="70" t="inlineStr">
        <is>
          <t>N</t>
        </is>
      </c>
      <c r="T171" s="64">
        <f>IF(A171="","",IFERROR(INDEX('Bid-NoBid'!$T:$T,MATCH(A171,'Bid-NoBid'!$A:$A,0)),""))</f>
        <v/>
      </c>
      <c r="U171" s="59">
        <f>IF(A171="","",IFERROR(IF(OR(INDEX('Bid-NoBid'!$U:$U,MATCH(A171,'Bid-NoBid'!$A:$A,0))="",LEFT(INDEX('Bid-NoBid'!$U:$U,MATCH(A171,'Bid-NoBid'!$A:$A,0)),10)="Incomplete"),"Screen: "&amp;AC171,INDEX('Bid-NoBid'!$U:$U,MATCH(A171,'Bid-NoBid'!$A:$A,0))),"Screen: "&amp;AC171))</f>
        <v/>
      </c>
      <c r="V171" s="60" t="n"/>
      <c r="W171" s="70" t="inlineStr">
        <is>
          <t>Watching</t>
        </is>
      </c>
      <c r="X171" s="70" t="inlineStr">
        <is>
          <t>Frank</t>
        </is>
      </c>
      <c r="Y171" s="60" t="n"/>
      <c r="Z171" s="60" t="n"/>
      <c r="AA171" s="73" t="n"/>
      <c r="AB171" s="74" t="inlineStr">
        <is>
          <t>TanzaniaTenders.com (newspapers / portals / private)</t>
        </is>
      </c>
      <c r="AC171" s="74" t="inlineStr">
        <is>
          <t>Check</t>
        </is>
      </c>
      <c r="AD171" s="74" t="inlineStr">
        <is>
          <t>Auto (TanzaniaTenders.com): Construction tender kept for review (would have been dropped: Remote and closing soon) · deadline read from the web page – confirm</t>
        </is>
      </c>
      <c r="AE171" s="67">
        <f>IF(ISNUMBER(Q171),ROUNDDOWN(Q171-NOW(),1),"")</f>
        <v/>
      </c>
      <c r="AF171" s="59">
        <f>IF(OR(A171="",AE171=""),"",IF(NOT(OR(W171="Watching",W171="Preparing")),"",IF(AE171&lt;0,"PASSED",IF(AND(AE171&lt;=7,W171&lt;&gt;"Preparing"),"RED",IF(AE171&lt;=14,"AMBER","GREEN")))))</f>
        <v/>
      </c>
      <c r="AG171" s="59">
        <f>IF(OR(A171="",NOT(OR(W171="Watching",W171="Preparing"))),"",IF(AND(ISNUMBER(M171),M171&gt;=3000000000),"YES – ≥ TZS 3bn",IF(AND(ISNUMBER(AE171),AE171&gt;=0,AE171&lt;10,V171=""),"YES – &lt;10 days","")))</f>
        <v/>
      </c>
      <c r="AH171" s="68" t="n"/>
      <c r="AI171" s="74" t="inlineStr">
        <is>
          <t>Read the notice and decide with the QS Director whether to pursue</t>
        </is>
      </c>
      <c r="AJ171" s="74" t="inlineStr">
        <is>
          <t>Auto-scan</t>
        </is>
      </c>
      <c r="AK171" s="74" t="inlineStr">
        <is>
          <t>TZT:151084303</t>
        </is>
      </c>
      <c r="AL171" s="59">
        <f>IF(AND(OR(W171="Watching",W171="Preparing"),ISNUMBER(Q171)),IF(AND(Q171&gt;='Friday Summary'!$C$4,Q171&lt;='Friday Summary'!$C$4+14),Q171+ROW()/1000000,""),"")</f>
        <v/>
      </c>
    </row>
    <row r="172" ht="15" customHeight="1" s="51">
      <c r="A172" s="59">
        <f>IF(B172="","","OP-"&amp;TEXT(ROW()-4,"000"))</f>
        <v/>
      </c>
      <c r="B172" s="70" t="inlineStr">
        <is>
          <t>(not shown)</t>
        </is>
      </c>
      <c r="C172" s="71" t="n">
        <v>46312</v>
      </c>
      <c r="D172" s="70" t="inlineStr">
        <is>
          <t>press</t>
        </is>
      </c>
      <c r="E172" s="70" t="inlineStr">
        <is>
          <t>https://www.tanzaniatenders.com/tender/rehabilitation-works-between-km-46-900-km-51-400-along-mkalama-mwangeza-kidarafa-unpaved-r-9015cdf.php</t>
        </is>
      </c>
      <c r="F172" s="70" t="inlineStr">
        <is>
          <t>See advert</t>
        </is>
      </c>
      <c r="G172" s="70" t="inlineStr">
        <is>
          <t>government</t>
        </is>
      </c>
      <c r="H172" s="70" t="inlineStr">
        <is>
          <t>Rehabilitation Works between Km 46 + 900 - Km 51 + 400 Along Mkalama - Mwangeza - Kidarafa Unpaved Regional Road (R437) to be Financed through Development Consolidated Funds and Rehabilitation Works B...</t>
        </is>
      </c>
      <c r="I172" s="70" t="inlineStr">
        <is>
          <t>From press notice (1 lot) – read the tender document</t>
        </is>
      </c>
      <c r="J172" s="70" t="inlineStr">
        <is>
          <t>Not stated – read the notice</t>
        </is>
      </c>
      <c r="K172" s="70" t="inlineStr">
        <is>
          <t>civil</t>
        </is>
      </c>
      <c r="L172" s="70" t="inlineStr">
        <is>
          <t>See tender document</t>
        </is>
      </c>
      <c r="M172" s="62" t="n"/>
      <c r="N172" s="70" t="inlineStr">
        <is>
          <t>unknown</t>
        </is>
      </c>
      <c r="O172" s="71" t="inlineStr">
        <is>
          <t>See tender document</t>
        </is>
      </c>
      <c r="P172" s="71" t="inlineStr">
        <is>
          <t>See tender document</t>
        </is>
      </c>
      <c r="Q172" s="72" t="n">
        <v>46318.41666666666</v>
      </c>
      <c r="R172" s="70" t="inlineStr">
        <is>
          <t>See tender document</t>
        </is>
      </c>
      <c r="S172" s="70" t="inlineStr">
        <is>
          <t>N</t>
        </is>
      </c>
      <c r="T172" s="64">
        <f>IF(A172="","",IFERROR(INDEX('Bid-NoBid'!$T:$T,MATCH(A172,'Bid-NoBid'!$A:$A,0)),""))</f>
        <v/>
      </c>
      <c r="U172" s="59">
        <f>IF(A172="","",IFERROR(IF(OR(INDEX('Bid-NoBid'!$U:$U,MATCH(A172,'Bid-NoBid'!$A:$A,0))="",LEFT(INDEX('Bid-NoBid'!$U:$U,MATCH(A172,'Bid-NoBid'!$A:$A,0)),10)="Incomplete"),"Screen: "&amp;AC172,INDEX('Bid-NoBid'!$U:$U,MATCH(A172,'Bid-NoBid'!$A:$A,0))),"Screen: "&amp;AC172))</f>
        <v/>
      </c>
      <c r="V172" s="60" t="n"/>
      <c r="W172" s="70" t="inlineStr">
        <is>
          <t>Watching</t>
        </is>
      </c>
      <c r="X172" s="70" t="inlineStr">
        <is>
          <t>Frank</t>
        </is>
      </c>
      <c r="Y172" s="60" t="n"/>
      <c r="Z172" s="60" t="n"/>
      <c r="AA172" s="73" t="n"/>
      <c r="AB172" s="74" t="inlineStr">
        <is>
          <t>TanzaniaTenders.com (newspapers / portals / private)</t>
        </is>
      </c>
      <c r="AC172" s="74" t="inlineStr">
        <is>
          <t>Check</t>
        </is>
      </c>
      <c r="AD172" s="74" t="inlineStr">
        <is>
          <t>Auto (TanzaniaTenders.com): Civil works – confirm site, CRB class and margin · deadline read from the web page – confirm</t>
        </is>
      </c>
      <c r="AE172" s="67">
        <f>IF(ISNUMBER(Q172),ROUNDDOWN(Q172-NOW(),1),"")</f>
        <v/>
      </c>
      <c r="AF172" s="59">
        <f>IF(OR(A172="",AE172=""),"",IF(NOT(OR(W172="Watching",W172="Preparing")),"",IF(AE172&lt;0,"PASSED",IF(AND(AE172&lt;=7,W172&lt;&gt;"Preparing"),"RED",IF(AE172&lt;=14,"AMBER","GREEN")))))</f>
        <v/>
      </c>
      <c r="AG172" s="59">
        <f>IF(OR(A172="",NOT(OR(W172="Watching",W172="Preparing"))),"",IF(AND(ISNUMBER(M172),M172&gt;=3000000000),"YES – ≥ TZS 3bn",IF(AND(ISNUMBER(AE172),AE172&gt;=0,AE172&lt;10,V172=""),"YES – &lt;10 days","")))</f>
        <v/>
      </c>
      <c r="AH172" s="68" t="n"/>
      <c r="AI172" s="74" t="inlineStr">
        <is>
          <t>Read the notice and decide with the QS Director whether to pursue</t>
        </is>
      </c>
      <c r="AJ172" s="74" t="inlineStr">
        <is>
          <t>Auto-scan</t>
        </is>
      </c>
      <c r="AK172" s="74" t="inlineStr">
        <is>
          <t>TZT:151084255</t>
        </is>
      </c>
      <c r="AL172" s="59">
        <f>IF(AND(OR(W172="Watching",W172="Preparing"),ISNUMBER(Q172)),IF(AND(Q172&gt;='Friday Summary'!$C$4,Q172&lt;='Friday Summary'!$C$4+14),Q172+ROW()/1000000,""),"")</f>
        <v/>
      </c>
    </row>
    <row r="173" ht="15" customHeight="1" s="51">
      <c r="A173" s="59">
        <f>IF(B173="","","OP-"&amp;TEXT(ROW()-4,"000"))</f>
        <v/>
      </c>
      <c r="B173" s="70" t="inlineStr">
        <is>
          <t>(not shown)</t>
        </is>
      </c>
      <c r="C173" s="71" t="n">
        <v>46312</v>
      </c>
      <c r="D173" s="70" t="inlineStr">
        <is>
          <t>press</t>
        </is>
      </c>
      <c r="E173" s="70" t="inlineStr">
        <is>
          <t>https://www.tanzaniatenders.com/tender/rehabilitation-works-between-sanza-chaliigongo-road-section-along-manyoni-east-heka-sanza-ch-9015cde.php</t>
        </is>
      </c>
      <c r="F173" s="70" t="inlineStr">
        <is>
          <t>See advert</t>
        </is>
      </c>
      <c r="G173" s="70" t="inlineStr">
        <is>
          <t>government</t>
        </is>
      </c>
      <c r="H173" s="70" t="inlineStr">
        <is>
          <t>Rehabilitation Works between Sanza - Chaliigongo Road Section Along Manyoni East - Heka - Sanza - Chali Igongo Unpaved Regional Road (R433) to be Financed through Development Consolidated Funds, Rehab...</t>
        </is>
      </c>
      <c r="I173" s="70" t="inlineStr">
        <is>
          <t>From press notice (1 lot) – read the tender document</t>
        </is>
      </c>
      <c r="J173" s="70" t="inlineStr">
        <is>
          <t>Not stated – read the notice</t>
        </is>
      </c>
      <c r="K173" s="70" t="inlineStr">
        <is>
          <t>civil</t>
        </is>
      </c>
      <c r="L173" s="70" t="inlineStr">
        <is>
          <t>See tender document</t>
        </is>
      </c>
      <c r="M173" s="62" t="n"/>
      <c r="N173" s="70" t="inlineStr">
        <is>
          <t>unknown</t>
        </is>
      </c>
      <c r="O173" s="71" t="inlineStr">
        <is>
          <t>See tender document</t>
        </is>
      </c>
      <c r="P173" s="71" t="inlineStr">
        <is>
          <t>See tender document</t>
        </is>
      </c>
      <c r="Q173" s="72" t="n">
        <v>46318.41666666666</v>
      </c>
      <c r="R173" s="70" t="inlineStr">
        <is>
          <t>See tender document</t>
        </is>
      </c>
      <c r="S173" s="70" t="inlineStr">
        <is>
          <t>N</t>
        </is>
      </c>
      <c r="T173" s="64">
        <f>IF(A173="","",IFERROR(INDEX('Bid-NoBid'!$T:$T,MATCH(A173,'Bid-NoBid'!$A:$A,0)),""))</f>
        <v/>
      </c>
      <c r="U173" s="59">
        <f>IF(A173="","",IFERROR(IF(OR(INDEX('Bid-NoBid'!$U:$U,MATCH(A173,'Bid-NoBid'!$A:$A,0))="",LEFT(INDEX('Bid-NoBid'!$U:$U,MATCH(A173,'Bid-NoBid'!$A:$A,0)),10)="Incomplete"),"Screen: "&amp;AC173,INDEX('Bid-NoBid'!$U:$U,MATCH(A173,'Bid-NoBid'!$A:$A,0))),"Screen: "&amp;AC173))</f>
        <v/>
      </c>
      <c r="V173" s="60" t="n"/>
      <c r="W173" s="70" t="inlineStr">
        <is>
          <t>Watching</t>
        </is>
      </c>
      <c r="X173" s="70" t="inlineStr">
        <is>
          <t>Frank</t>
        </is>
      </c>
      <c r="Y173" s="60" t="n"/>
      <c r="Z173" s="60" t="n"/>
      <c r="AA173" s="73" t="n"/>
      <c r="AB173" s="74" t="inlineStr">
        <is>
          <t>TanzaniaTenders.com (newspapers / portals / private)</t>
        </is>
      </c>
      <c r="AC173" s="74" t="inlineStr">
        <is>
          <t>Check</t>
        </is>
      </c>
      <c r="AD173" s="74" t="inlineStr">
        <is>
          <t>Auto (TanzaniaTenders.com): Civil works – confirm site, CRB class and margin · deadline read from the web page – confirm</t>
        </is>
      </c>
      <c r="AE173" s="67">
        <f>IF(ISNUMBER(Q173),ROUNDDOWN(Q173-NOW(),1),"")</f>
        <v/>
      </c>
      <c r="AF173" s="59">
        <f>IF(OR(A173="",AE173=""),"",IF(NOT(OR(W173="Watching",W173="Preparing")),"",IF(AE173&lt;0,"PASSED",IF(AND(AE173&lt;=7,W173&lt;&gt;"Preparing"),"RED",IF(AE173&lt;=14,"AMBER","GREEN")))))</f>
        <v/>
      </c>
      <c r="AG173" s="59">
        <f>IF(OR(A173="",NOT(OR(W173="Watching",W173="Preparing"))),"",IF(AND(ISNUMBER(M173),M173&gt;=3000000000),"YES – ≥ TZS 3bn",IF(AND(ISNUMBER(AE173),AE173&gt;=0,AE173&lt;10,V173=""),"YES – &lt;10 days","")))</f>
        <v/>
      </c>
      <c r="AH173" s="68" t="n"/>
      <c r="AI173" s="74" t="inlineStr">
        <is>
          <t>Read the notice and decide with the QS Director whether to pursue</t>
        </is>
      </c>
      <c r="AJ173" s="74" t="inlineStr">
        <is>
          <t>Auto-scan</t>
        </is>
      </c>
      <c r="AK173" s="74" t="inlineStr">
        <is>
          <t>TZT:151084254</t>
        </is>
      </c>
      <c r="AL173" s="59">
        <f>IF(AND(OR(W173="Watching",W173="Preparing"),ISNUMBER(Q173)),IF(AND(Q173&gt;='Friday Summary'!$C$4,Q173&lt;='Friday Summary'!$C$4+14),Q173+ROW()/1000000,""),"")</f>
        <v/>
      </c>
    </row>
    <row r="174" ht="15" customHeight="1" s="51">
      <c r="A174" s="59">
        <f>IF(B174="","","OP-"&amp;TEXT(ROW()-4,"000"))</f>
        <v/>
      </c>
      <c r="B174" s="70" t="inlineStr">
        <is>
          <t>(not shown)</t>
        </is>
      </c>
      <c r="C174" s="71" t="n">
        <v>46312</v>
      </c>
      <c r="D174" s="70" t="inlineStr">
        <is>
          <t>press</t>
        </is>
      </c>
      <c r="E174" s="70" t="inlineStr">
        <is>
          <t>https://www.tanzaniatenders.com/tender/proposed-upgrading-0-8-km-dampo-road-rigid-pavement-standard-9015cd1.php</t>
        </is>
      </c>
      <c r="F174" s="70" t="inlineStr">
        <is>
          <t>See advert</t>
        </is>
      </c>
      <c r="G174" s="70" t="inlineStr">
        <is>
          <t>government</t>
        </is>
      </c>
      <c r="H174" s="70" t="inlineStr">
        <is>
          <t>Proposed Upgrading of the 0.8 Km Dampo Road to Rigid Pavement Standard</t>
        </is>
      </c>
      <c r="I174" s="70" t="inlineStr">
        <is>
          <t>From press notice (1 lot) – read the tender document</t>
        </is>
      </c>
      <c r="J174" s="70" t="inlineStr">
        <is>
          <t>Not stated – read the notice</t>
        </is>
      </c>
      <c r="K174" s="70" t="inlineStr">
        <is>
          <t>civil</t>
        </is>
      </c>
      <c r="L174" s="70" t="inlineStr">
        <is>
          <t>See tender document</t>
        </is>
      </c>
      <c r="M174" s="62" t="n"/>
      <c r="N174" s="70" t="inlineStr">
        <is>
          <t>unknown</t>
        </is>
      </c>
      <c r="O174" s="71" t="inlineStr">
        <is>
          <t>See tender document</t>
        </is>
      </c>
      <c r="P174" s="71" t="inlineStr">
        <is>
          <t>See tender document</t>
        </is>
      </c>
      <c r="Q174" s="72" t="n">
        <v>46318.41666666666</v>
      </c>
      <c r="R174" s="70" t="inlineStr">
        <is>
          <t>See tender document</t>
        </is>
      </c>
      <c r="S174" s="70" t="inlineStr">
        <is>
          <t>N</t>
        </is>
      </c>
      <c r="T174" s="64">
        <f>IF(A174="","",IFERROR(INDEX('Bid-NoBid'!$T:$T,MATCH(A174,'Bid-NoBid'!$A:$A,0)),""))</f>
        <v/>
      </c>
      <c r="U174" s="59">
        <f>IF(A174="","",IFERROR(IF(OR(INDEX('Bid-NoBid'!$U:$U,MATCH(A174,'Bid-NoBid'!$A:$A,0))="",LEFT(INDEX('Bid-NoBid'!$U:$U,MATCH(A174,'Bid-NoBid'!$A:$A,0)),10)="Incomplete"),"Screen: "&amp;AC174,INDEX('Bid-NoBid'!$U:$U,MATCH(A174,'Bid-NoBid'!$A:$A,0))),"Screen: "&amp;AC174))</f>
        <v/>
      </c>
      <c r="V174" s="60" t="n"/>
      <c r="W174" s="70" t="inlineStr">
        <is>
          <t>Watching</t>
        </is>
      </c>
      <c r="X174" s="70" t="inlineStr">
        <is>
          <t>Frank</t>
        </is>
      </c>
      <c r="Y174" s="60" t="n"/>
      <c r="Z174" s="60" t="n"/>
      <c r="AA174" s="73" t="n"/>
      <c r="AB174" s="74" t="inlineStr">
        <is>
          <t>TanzaniaTenders.com (newspapers / portals / private)</t>
        </is>
      </c>
      <c r="AC174" s="74" t="inlineStr">
        <is>
          <t>Check</t>
        </is>
      </c>
      <c r="AD174" s="74" t="inlineStr">
        <is>
          <t>Auto (TanzaniaTenders.com): Civil works – confirm site, CRB class and margin · deadline read from the web page – confirm</t>
        </is>
      </c>
      <c r="AE174" s="67">
        <f>IF(ISNUMBER(Q174),ROUNDDOWN(Q174-NOW(),1),"")</f>
        <v/>
      </c>
      <c r="AF174" s="59">
        <f>IF(OR(A174="",AE174=""),"",IF(NOT(OR(W174="Watching",W174="Preparing")),"",IF(AE174&lt;0,"PASSED",IF(AND(AE174&lt;=7,W174&lt;&gt;"Preparing"),"RED",IF(AE174&lt;=14,"AMBER","GREEN")))))</f>
        <v/>
      </c>
      <c r="AG174" s="59">
        <f>IF(OR(A174="",NOT(OR(W174="Watching",W174="Preparing"))),"",IF(AND(ISNUMBER(M174),M174&gt;=3000000000),"YES – ≥ TZS 3bn",IF(AND(ISNUMBER(AE174),AE174&gt;=0,AE174&lt;10,V174=""),"YES – &lt;10 days","")))</f>
        <v/>
      </c>
      <c r="AH174" s="68" t="n"/>
      <c r="AI174" s="74" t="inlineStr">
        <is>
          <t>Read the notice and decide with the QS Director whether to pursue</t>
        </is>
      </c>
      <c r="AJ174" s="74" t="inlineStr">
        <is>
          <t>Auto-scan</t>
        </is>
      </c>
      <c r="AK174" s="74" t="inlineStr">
        <is>
          <t>TZT:151084241</t>
        </is>
      </c>
      <c r="AL174" s="59">
        <f>IF(AND(OR(W174="Watching",W174="Preparing"),ISNUMBER(Q174)),IF(AND(Q174&gt;='Friday Summary'!$C$4,Q174&lt;='Friday Summary'!$C$4+14),Q174+ROW()/1000000,""),"")</f>
        <v/>
      </c>
    </row>
    <row r="175" ht="15" customHeight="1" s="51">
      <c r="A175" s="59">
        <f>IF(B175="","","OP-"&amp;TEXT(ROW()-4,"000"))</f>
        <v/>
      </c>
      <c r="B175" s="70" t="inlineStr">
        <is>
          <t>(not shown)</t>
        </is>
      </c>
      <c r="C175" s="71" t="n">
        <v>46312</v>
      </c>
      <c r="D175" s="70" t="inlineStr">
        <is>
          <t>press</t>
        </is>
      </c>
      <c r="E175" s="70" t="inlineStr">
        <is>
          <t>https://www.tanzaniatenders.com/tender/tender-repair-residential-house-9015cc6.php</t>
        </is>
      </c>
      <c r="F175" s="70" t="inlineStr">
        <is>
          <t>See advert</t>
        </is>
      </c>
      <c r="G175" s="70" t="inlineStr">
        <is>
          <t>government</t>
        </is>
      </c>
      <c r="H175" s="70" t="inlineStr">
        <is>
          <t>Tender for Repair of Residential House</t>
        </is>
      </c>
      <c r="I175" s="70" t="inlineStr">
        <is>
          <t>From press notice (1 lot) – read the tender document</t>
        </is>
      </c>
      <c r="J175" s="70" t="inlineStr">
        <is>
          <t>Not stated – read the notice</t>
        </is>
      </c>
      <c r="K175" s="70" t="inlineStr">
        <is>
          <t>building</t>
        </is>
      </c>
      <c r="L175" s="70" t="inlineStr">
        <is>
          <t>See tender document</t>
        </is>
      </c>
      <c r="M175" s="62" t="n"/>
      <c r="N175" s="70" t="inlineStr">
        <is>
          <t>unknown</t>
        </is>
      </c>
      <c r="O175" s="71" t="inlineStr">
        <is>
          <t>See tender document</t>
        </is>
      </c>
      <c r="P175" s="71" t="inlineStr">
        <is>
          <t>See tender document</t>
        </is>
      </c>
      <c r="Q175" s="72" t="n">
        <v>46318.41666666666</v>
      </c>
      <c r="R175" s="70" t="inlineStr">
        <is>
          <t>See tender document</t>
        </is>
      </c>
      <c r="S175" s="70" t="inlineStr">
        <is>
          <t>N</t>
        </is>
      </c>
      <c r="T175" s="64">
        <f>IF(A175="","",IFERROR(INDEX('Bid-NoBid'!$T:$T,MATCH(A175,'Bid-NoBid'!$A:$A,0)),""))</f>
        <v/>
      </c>
      <c r="U175" s="59">
        <f>IF(A175="","",IFERROR(IF(OR(INDEX('Bid-NoBid'!$U:$U,MATCH(A175,'Bid-NoBid'!$A:$A,0))="",LEFT(INDEX('Bid-NoBid'!$U:$U,MATCH(A175,'Bid-NoBid'!$A:$A,0)),10)="Incomplete"),"Screen: "&amp;AC175,INDEX('Bid-NoBid'!$U:$U,MATCH(A175,'Bid-NoBid'!$A:$A,0))),"Screen: "&amp;AC175))</f>
        <v/>
      </c>
      <c r="V175" s="60" t="n"/>
      <c r="W175" s="70" t="inlineStr">
        <is>
          <t>Watching</t>
        </is>
      </c>
      <c r="X175" s="70" t="inlineStr">
        <is>
          <t>Frank</t>
        </is>
      </c>
      <c r="Y175" s="60" t="n"/>
      <c r="Z175" s="60" t="n"/>
      <c r="AA175" s="73" t="n"/>
      <c r="AB175" s="74" t="inlineStr">
        <is>
          <t>TanzaniaTenders.com (newspapers / portals / private)</t>
        </is>
      </c>
      <c r="AC175" s="74" t="inlineStr">
        <is>
          <t>Check</t>
        </is>
      </c>
      <c r="AD175" s="74" t="inlineStr">
        <is>
          <t>Auto (TanzaniaTenders.com): Site not stated in the listing – read the notice · deadline read from the web page – confirm</t>
        </is>
      </c>
      <c r="AE175" s="67">
        <f>IF(ISNUMBER(Q175),ROUNDDOWN(Q175-NOW(),1),"")</f>
        <v/>
      </c>
      <c r="AF175" s="59">
        <f>IF(OR(A175="",AE175=""),"",IF(NOT(OR(W175="Watching",W175="Preparing")),"",IF(AE175&lt;0,"PASSED",IF(AND(AE175&lt;=7,W175&lt;&gt;"Preparing"),"RED",IF(AE175&lt;=14,"AMBER","GREEN")))))</f>
        <v/>
      </c>
      <c r="AG175" s="59">
        <f>IF(OR(A175="",NOT(OR(W175="Watching",W175="Preparing"))),"",IF(AND(ISNUMBER(M175),M175&gt;=3000000000),"YES – ≥ TZS 3bn",IF(AND(ISNUMBER(AE175),AE175&gt;=0,AE175&lt;10,V175=""),"YES – &lt;10 days","")))</f>
        <v/>
      </c>
      <c r="AH175" s="68" t="n"/>
      <c r="AI175" s="74" t="inlineStr">
        <is>
          <t>Read the notice and decide with the QS Director whether to pursue</t>
        </is>
      </c>
      <c r="AJ175" s="74" t="inlineStr">
        <is>
          <t>Auto-scan</t>
        </is>
      </c>
      <c r="AK175" s="74" t="inlineStr">
        <is>
          <t>TZT:151084230</t>
        </is>
      </c>
      <c r="AL175" s="59">
        <f>IF(AND(OR(W175="Watching",W175="Preparing"),ISNUMBER(Q175)),IF(AND(Q175&gt;='Friday Summary'!$C$4,Q175&lt;='Friday Summary'!$C$4+14),Q175+ROW()/1000000,""),"")</f>
        <v/>
      </c>
    </row>
    <row r="176" ht="15" customHeight="1" s="51">
      <c r="A176" s="59">
        <f>IF(B176="","","OP-"&amp;TEXT(ROW()-4,"000"))</f>
        <v/>
      </c>
      <c r="B176" s="70" t="inlineStr">
        <is>
          <t>(not shown)</t>
        </is>
      </c>
      <c r="C176" s="71" t="n">
        <v>46312</v>
      </c>
      <c r="D176" s="70" t="inlineStr">
        <is>
          <t>press</t>
        </is>
      </c>
      <c r="E176" s="70" t="inlineStr">
        <is>
          <t>https://www.tanzaniatenders.com/tender/rehabilitation-works-between-km-27-500-km-34-500-along-iguguno-shamba-nduguti-gumanga-unpa-9015cc2.php</t>
        </is>
      </c>
      <c r="F176" s="70" t="inlineStr">
        <is>
          <t>See advert</t>
        </is>
      </c>
      <c r="G176" s="70" t="inlineStr">
        <is>
          <t>government</t>
        </is>
      </c>
      <c r="H176" s="70" t="inlineStr">
        <is>
          <t>Rehabilitation Works between Km 27 + 500 - Km 34 + 500 Along Iguguno Shamba - Nduguti - Gumanga Unpaved Regional Road (R425) to be Financed through Development Consolidated Funds and Rehabilitation Wo...</t>
        </is>
      </c>
      <c r="I176" s="70" t="inlineStr">
        <is>
          <t>From press notice (1 lot) – read the tender document</t>
        </is>
      </c>
      <c r="J176" s="70" t="inlineStr">
        <is>
          <t>Not stated – read the notice</t>
        </is>
      </c>
      <c r="K176" s="70" t="inlineStr">
        <is>
          <t>civil</t>
        </is>
      </c>
      <c r="L176" s="70" t="inlineStr">
        <is>
          <t>See tender document</t>
        </is>
      </c>
      <c r="M176" s="62" t="n"/>
      <c r="N176" s="70" t="inlineStr">
        <is>
          <t>unknown</t>
        </is>
      </c>
      <c r="O176" s="71" t="inlineStr">
        <is>
          <t>See tender document</t>
        </is>
      </c>
      <c r="P176" s="71" t="inlineStr">
        <is>
          <t>See tender document</t>
        </is>
      </c>
      <c r="Q176" s="72" t="n">
        <v>46318.41666666666</v>
      </c>
      <c r="R176" s="70" t="inlineStr">
        <is>
          <t>See tender document</t>
        </is>
      </c>
      <c r="S176" s="70" t="inlineStr">
        <is>
          <t>N</t>
        </is>
      </c>
      <c r="T176" s="64">
        <f>IF(A176="","",IFERROR(INDEX('Bid-NoBid'!$T:$T,MATCH(A176,'Bid-NoBid'!$A:$A,0)),""))</f>
        <v/>
      </c>
      <c r="U176" s="59">
        <f>IF(A176="","",IFERROR(IF(OR(INDEX('Bid-NoBid'!$U:$U,MATCH(A176,'Bid-NoBid'!$A:$A,0))="",LEFT(INDEX('Bid-NoBid'!$U:$U,MATCH(A176,'Bid-NoBid'!$A:$A,0)),10)="Incomplete"),"Screen: "&amp;AC176,INDEX('Bid-NoBid'!$U:$U,MATCH(A176,'Bid-NoBid'!$A:$A,0))),"Screen: "&amp;AC176))</f>
        <v/>
      </c>
      <c r="V176" s="60" t="n"/>
      <c r="W176" s="70" t="inlineStr">
        <is>
          <t>Watching</t>
        </is>
      </c>
      <c r="X176" s="70" t="inlineStr">
        <is>
          <t>Frank</t>
        </is>
      </c>
      <c r="Y176" s="60" t="n"/>
      <c r="Z176" s="60" t="n"/>
      <c r="AA176" s="73" t="n"/>
      <c r="AB176" s="74" t="inlineStr">
        <is>
          <t>TanzaniaTenders.com (newspapers / portals / private)</t>
        </is>
      </c>
      <c r="AC176" s="74" t="inlineStr">
        <is>
          <t>Check</t>
        </is>
      </c>
      <c r="AD176" s="74" t="inlineStr">
        <is>
          <t>Auto (TanzaniaTenders.com): Civil works – confirm site, CRB class and margin · deadline read from the web page – confirm</t>
        </is>
      </c>
      <c r="AE176" s="67">
        <f>IF(ISNUMBER(Q176),ROUNDDOWN(Q176-NOW(),1),"")</f>
        <v/>
      </c>
      <c r="AF176" s="59">
        <f>IF(OR(A176="",AE176=""),"",IF(NOT(OR(W176="Watching",W176="Preparing")),"",IF(AE176&lt;0,"PASSED",IF(AND(AE176&lt;=7,W176&lt;&gt;"Preparing"),"RED",IF(AE176&lt;=14,"AMBER","GREEN")))))</f>
        <v/>
      </c>
      <c r="AG176" s="59">
        <f>IF(OR(A176="",NOT(OR(W176="Watching",W176="Preparing"))),"",IF(AND(ISNUMBER(M176),M176&gt;=3000000000),"YES – ≥ TZS 3bn",IF(AND(ISNUMBER(AE176),AE176&gt;=0,AE176&lt;10,V176=""),"YES – &lt;10 days","")))</f>
        <v/>
      </c>
      <c r="AH176" s="68" t="n"/>
      <c r="AI176" s="74" t="inlineStr">
        <is>
          <t>Read the notice and decide with the QS Director whether to pursue</t>
        </is>
      </c>
      <c r="AJ176" s="74" t="inlineStr">
        <is>
          <t>Auto-scan</t>
        </is>
      </c>
      <c r="AK176" s="74" t="inlineStr">
        <is>
          <t>TZT:151084226</t>
        </is>
      </c>
      <c r="AL176" s="59">
        <f>IF(AND(OR(W176="Watching",W176="Preparing"),ISNUMBER(Q176)),IF(AND(Q176&gt;='Friday Summary'!$C$4,Q176&lt;='Friday Summary'!$C$4+14),Q176+ROW()/1000000,""),"")</f>
        <v/>
      </c>
    </row>
    <row r="177" ht="15" customHeight="1" s="51">
      <c r="A177" s="59">
        <f>IF(B177="","","OP-"&amp;TEXT(ROW()-4,"000"))</f>
        <v/>
      </c>
      <c r="B177" s="70" t="inlineStr">
        <is>
          <t>S10/011/2026/2027/W/95</t>
        </is>
      </c>
      <c r="C177" s="71" t="n">
        <v>46314</v>
      </c>
      <c r="D177" s="70" t="inlineStr">
        <is>
          <t>NeST</t>
        </is>
      </c>
      <c r="E177" s="70" t="inlineStr">
        <is>
          <t>https://nest.go.tz/tenders/published-tenders</t>
        </is>
      </c>
      <c r="F177" s="70" t="inlineStr">
        <is>
          <t>TARURA - Manyara Regional Office</t>
        </is>
      </c>
      <c r="G177" s="70" t="inlineStr">
        <is>
          <t>government</t>
        </is>
      </c>
      <c r="H177" s="70" t="inlineStr">
        <is>
          <t>Rehabilitation of Ndedo-Makame road and construction storm drains along Kibaya Township in Kiteto District</t>
        </is>
      </c>
      <c r="I177" s="70" t="inlineStr">
        <is>
          <t>From NeST notice (1 lot) – read the tender document</t>
        </is>
      </c>
      <c r="J177" s="70" t="inlineStr">
        <is>
          <t>Manyara (Kiteto)</t>
        </is>
      </c>
      <c r="K177" s="70" t="inlineStr">
        <is>
          <t>renovation</t>
        </is>
      </c>
      <c r="L177" s="70" t="inlineStr">
        <is>
          <t>NeST login needed</t>
        </is>
      </c>
      <c r="M177" s="62" t="n"/>
      <c r="N177" s="70" t="inlineStr">
        <is>
          <t>unknown</t>
        </is>
      </c>
      <c r="O177" s="71" t="inlineStr">
        <is>
          <t>NeST login needed</t>
        </is>
      </c>
      <c r="P177" s="71" t="inlineStr">
        <is>
          <t>NeST login needed</t>
        </is>
      </c>
      <c r="Q177" s="72" t="n">
        <v>46321.58333333334</v>
      </c>
      <c r="R177" s="70" t="inlineStr">
        <is>
          <t>NeST login needed</t>
        </is>
      </c>
      <c r="S177" s="70" t="inlineStr">
        <is>
          <t>N</t>
        </is>
      </c>
      <c r="T177" s="64">
        <f>IF(A177="","",IFERROR(INDEX('Bid-NoBid'!$T:$T,MATCH(A177,'Bid-NoBid'!$A:$A,0)),""))</f>
        <v/>
      </c>
      <c r="U177" s="59">
        <f>IF(A177="","",IFERROR(IF(OR(INDEX('Bid-NoBid'!$U:$U,MATCH(A177,'Bid-NoBid'!$A:$A,0))="",LEFT(INDEX('Bid-NoBid'!$U:$U,MATCH(A177,'Bid-NoBid'!$A:$A,0)),10)="Incomplete"),"Screen: "&amp;AC177,INDEX('Bid-NoBid'!$U:$U,MATCH(A177,'Bid-NoBid'!$A:$A,0))),"Screen: "&amp;AC177))</f>
        <v/>
      </c>
      <c r="V177" s="60" t="n"/>
      <c r="W177" s="70" t="inlineStr">
        <is>
          <t>Watching</t>
        </is>
      </c>
      <c r="X177" s="70" t="inlineStr">
        <is>
          <t>Frank</t>
        </is>
      </c>
      <c r="Y177" s="60" t="n"/>
      <c r="Z177" s="60" t="n"/>
      <c r="AA177" s="73" t="n">
        <v>46314</v>
      </c>
      <c r="AB177" s="74" t="inlineStr">
        <is>
          <t>Small Works / Tender</t>
        </is>
      </c>
      <c r="AC177" s="74" t="inlineStr">
        <is>
          <t>Check</t>
        </is>
      </c>
      <c r="AD177" s="74" t="inlineStr">
        <is>
          <t>Auto (Small Works / Tender): Building works but remote from Dar</t>
        </is>
      </c>
      <c r="AE177" s="67">
        <f>IF(ISNUMBER(Q177),ROUNDDOWN(Q177-NOW(),1),"")</f>
        <v/>
      </c>
      <c r="AF177" s="59">
        <f>IF(OR(A177="",AE177=""),"",IF(NOT(OR(W177="Watching",W177="Preparing")),"",IF(AE177&lt;0,"PASSED",IF(AND(AE177&lt;=7,W177&lt;&gt;"Preparing"),"RED",IF(AE177&lt;=14,"AMBER","GREEN")))))</f>
        <v/>
      </c>
      <c r="AG177" s="59">
        <f>IF(OR(A177="",NOT(OR(W177="Watching",W177="Preparing"))),"",IF(AND(ISNUMBER(M177),M177&gt;=3000000000),"YES – ≥ TZS 3bn",IF(AND(ISNUMBER(AE177),AE177&gt;=0,AE177&lt;10,V177=""),"YES – &lt;10 days","")))</f>
        <v/>
      </c>
      <c r="AH177" s="68" t="n"/>
      <c r="AI177" s="74" t="inlineStr">
        <is>
          <t>Read the notice and decide with the QS Director whether to pursue</t>
        </is>
      </c>
      <c r="AJ177" s="74" t="inlineStr">
        <is>
          <t>Auto-scan</t>
        </is>
      </c>
      <c r="AK177" s="74" t="inlineStr">
        <is>
          <t>b07eab10-a483-4752-bd14-82cd291abab5</t>
        </is>
      </c>
      <c r="AL177" s="59">
        <f>IF(AND(OR(W177="Watching",W177="Preparing"),ISNUMBER(Q177)),IF(AND(Q177&gt;='Friday Summary'!$C$4,Q177&lt;='Friday Summary'!$C$4+14),Q177+ROW()/1000000,""),"")</f>
        <v/>
      </c>
    </row>
    <row r="178" ht="15" customHeight="1" s="51">
      <c r="A178" s="59">
        <f>IF(B178="","","OP-"&amp;TEXT(ROW()-4,"000"))</f>
        <v/>
      </c>
      <c r="B178" s="70" t="inlineStr">
        <is>
          <t>S10/011/2026/2027/W/94</t>
        </is>
      </c>
      <c r="C178" s="71" t="n">
        <v>46314</v>
      </c>
      <c r="D178" s="70" t="inlineStr">
        <is>
          <t>NeST</t>
        </is>
      </c>
      <c r="E178" s="70" t="inlineStr">
        <is>
          <t>https://nest.go.tz/tenders/published-tenders</t>
        </is>
      </c>
      <c r="F178" s="70" t="inlineStr">
        <is>
          <t>TARURA - Manyara Regional Office</t>
        </is>
      </c>
      <c r="G178" s="70" t="inlineStr">
        <is>
          <t>government</t>
        </is>
      </c>
      <c r="H178" s="70" t="inlineStr">
        <is>
          <t>Construction of Arch bridge along Namelock-Sunya Roads in Kiteto District</t>
        </is>
      </c>
      <c r="I178" s="70" t="inlineStr">
        <is>
          <t>From NeST notice (1 lot) – read the tender document</t>
        </is>
      </c>
      <c r="J178" s="70" t="inlineStr">
        <is>
          <t>Manyara (Kiteto)</t>
        </is>
      </c>
      <c r="K178" s="70" t="inlineStr">
        <is>
          <t>civil</t>
        </is>
      </c>
      <c r="L178" s="70" t="inlineStr">
        <is>
          <t>NeST login needed</t>
        </is>
      </c>
      <c r="M178" s="62" t="n"/>
      <c r="N178" s="70" t="inlineStr">
        <is>
          <t>unknown</t>
        </is>
      </c>
      <c r="O178" s="71" t="inlineStr">
        <is>
          <t>NeST login needed</t>
        </is>
      </c>
      <c r="P178" s="71" t="inlineStr">
        <is>
          <t>NeST login needed</t>
        </is>
      </c>
      <c r="Q178" s="72" t="n">
        <v>46321.58333333334</v>
      </c>
      <c r="R178" s="70" t="inlineStr">
        <is>
          <t>NeST login needed</t>
        </is>
      </c>
      <c r="S178" s="70" t="inlineStr">
        <is>
          <t>N</t>
        </is>
      </c>
      <c r="T178" s="64">
        <f>IF(A178="","",IFERROR(INDEX('Bid-NoBid'!$T:$T,MATCH(A178,'Bid-NoBid'!$A:$A,0)),""))</f>
        <v/>
      </c>
      <c r="U178" s="59">
        <f>IF(A178="","",IFERROR(IF(OR(INDEX('Bid-NoBid'!$U:$U,MATCH(A178,'Bid-NoBid'!$A:$A,0))="",LEFT(INDEX('Bid-NoBid'!$U:$U,MATCH(A178,'Bid-NoBid'!$A:$A,0)),10)="Incomplete"),"Screen: "&amp;AC178,INDEX('Bid-NoBid'!$U:$U,MATCH(A178,'Bid-NoBid'!$A:$A,0))),"Screen: "&amp;AC178))</f>
        <v/>
      </c>
      <c r="V178" s="60" t="n"/>
      <c r="W178" s="70" t="inlineStr">
        <is>
          <t>Watching</t>
        </is>
      </c>
      <c r="X178" s="70" t="inlineStr">
        <is>
          <t>Frank</t>
        </is>
      </c>
      <c r="Y178" s="60" t="n"/>
      <c r="Z178" s="60" t="n"/>
      <c r="AA178" s="73" t="n">
        <v>46314</v>
      </c>
      <c r="AB178" s="74" t="inlineStr">
        <is>
          <t>Small Works / Tender</t>
        </is>
      </c>
      <c r="AC178" s="74" t="inlineStr">
        <is>
          <t>Check</t>
        </is>
      </c>
      <c r="AD178" s="74" t="inlineStr">
        <is>
          <t>Auto (Small Works / Tender): Construction tender kept for review (would have been dropped: Remote civil works)</t>
        </is>
      </c>
      <c r="AE178" s="67">
        <f>IF(ISNUMBER(Q178),ROUNDDOWN(Q178-NOW(),1),"")</f>
        <v/>
      </c>
      <c r="AF178" s="59">
        <f>IF(OR(A178="",AE178=""),"",IF(NOT(OR(W178="Watching",W178="Preparing")),"",IF(AE178&lt;0,"PASSED",IF(AND(AE178&lt;=7,W178&lt;&gt;"Preparing"),"RED",IF(AE178&lt;=14,"AMBER","GREEN")))))</f>
        <v/>
      </c>
      <c r="AG178" s="59">
        <f>IF(OR(A178="",NOT(OR(W178="Watching",W178="Preparing"))),"",IF(AND(ISNUMBER(M178),M178&gt;=3000000000),"YES – ≥ TZS 3bn",IF(AND(ISNUMBER(AE178),AE178&gt;=0,AE178&lt;10,V178=""),"YES – &lt;10 days","")))</f>
        <v/>
      </c>
      <c r="AH178" s="68" t="n"/>
      <c r="AI178" s="74" t="inlineStr">
        <is>
          <t>Read the notice and decide with the QS Director whether to pursue</t>
        </is>
      </c>
      <c r="AJ178" s="74" t="inlineStr">
        <is>
          <t>Auto-scan</t>
        </is>
      </c>
      <c r="AK178" s="74" t="inlineStr">
        <is>
          <t>5b792d55-9981-4abb-9c67-35d820b1a9ed</t>
        </is>
      </c>
      <c r="AL178" s="59">
        <f>IF(AND(OR(W178="Watching",W178="Preparing"),ISNUMBER(Q178)),IF(AND(Q178&gt;='Friday Summary'!$C$4,Q178&lt;='Friday Summary'!$C$4+14),Q178+ROW()/1000000,""),"")</f>
        <v/>
      </c>
    </row>
    <row r="179" ht="15" customHeight="1" s="51">
      <c r="A179" s="59">
        <f>IF(B179="","","OP-"&amp;TEXT(ROW()-4,"000"))</f>
        <v/>
      </c>
      <c r="B179" s="70" t="inlineStr">
        <is>
          <t>S10/006/2026/2027/W/107</t>
        </is>
      </c>
      <c r="C179" s="71" t="n">
        <v>46314</v>
      </c>
      <c r="D179" s="70" t="inlineStr">
        <is>
          <t>NeST</t>
        </is>
      </c>
      <c r="E179" s="70" t="inlineStr">
        <is>
          <t>https://nest.go.tz/tenders/published-tenders</t>
        </is>
      </c>
      <c r="F179" s="70" t="inlineStr">
        <is>
          <t>TARURA - Kagera Regional Office</t>
        </is>
      </c>
      <c r="G179" s="70" t="inlineStr">
        <is>
          <t>government</t>
        </is>
      </c>
      <c r="H179" s="70" t="inlineStr">
        <is>
          <t>Upgrading of 25km to gravel standard and construction of 10 composite Box Culvert s and 11 concrete pipe Culverts along Kanyabureza- Runyanga, Ainurama- Igombe-Rwenkorongo and Nyakabanga Omukarilo in Karagwe District.</t>
        </is>
      </c>
      <c r="I179" s="70" t="inlineStr">
        <is>
          <t>From NeST notice (1 lot) – read the tender document</t>
        </is>
      </c>
      <c r="J179" s="70" t="inlineStr">
        <is>
          <t>Kagera (Bukoba) (from client's office – confirm site)</t>
        </is>
      </c>
      <c r="K179" s="70" t="inlineStr">
        <is>
          <t>civil</t>
        </is>
      </c>
      <c r="L179" s="70" t="inlineStr">
        <is>
          <t>NeST login needed</t>
        </is>
      </c>
      <c r="M179" s="62" t="n"/>
      <c r="N179" s="70" t="inlineStr">
        <is>
          <t>unknown</t>
        </is>
      </c>
      <c r="O179" s="71" t="inlineStr">
        <is>
          <t>NeST login needed</t>
        </is>
      </c>
      <c r="P179" s="71" t="inlineStr">
        <is>
          <t>NeST login needed</t>
        </is>
      </c>
      <c r="Q179" s="72" t="n">
        <v>46321.58333333334</v>
      </c>
      <c r="R179" s="70" t="inlineStr">
        <is>
          <t>NeST login needed</t>
        </is>
      </c>
      <c r="S179" s="70" t="inlineStr">
        <is>
          <t>N</t>
        </is>
      </c>
      <c r="T179" s="64">
        <f>IF(A179="","",IFERROR(INDEX('Bid-NoBid'!$T:$T,MATCH(A179,'Bid-NoBid'!$A:$A,0)),""))</f>
        <v/>
      </c>
      <c r="U179" s="59">
        <f>IF(A179="","",IFERROR(IF(OR(INDEX('Bid-NoBid'!$U:$U,MATCH(A179,'Bid-NoBid'!$A:$A,0))="",LEFT(INDEX('Bid-NoBid'!$U:$U,MATCH(A179,'Bid-NoBid'!$A:$A,0)),10)="Incomplete"),"Screen: "&amp;AC179,INDEX('Bid-NoBid'!$U:$U,MATCH(A179,'Bid-NoBid'!$A:$A,0))),"Screen: "&amp;AC179))</f>
        <v/>
      </c>
      <c r="V179" s="60" t="n"/>
      <c r="W179" s="70" t="inlineStr">
        <is>
          <t>Watching</t>
        </is>
      </c>
      <c r="X179" s="70" t="inlineStr">
        <is>
          <t>Frank</t>
        </is>
      </c>
      <c r="Y179" s="60" t="n"/>
      <c r="Z179" s="60" t="n"/>
      <c r="AA179" s="73" t="n">
        <v>46314</v>
      </c>
      <c r="AB179" s="74" t="inlineStr">
        <is>
          <t>Small Works / Tender</t>
        </is>
      </c>
      <c r="AC179" s="74" t="inlineStr">
        <is>
          <t>Check</t>
        </is>
      </c>
      <c r="AD179" s="74" t="inlineStr">
        <is>
          <t>Auto (Small Works / Tender): Construction tender kept for review (would have been dropped: Remote civil works)</t>
        </is>
      </c>
      <c r="AE179" s="67">
        <f>IF(ISNUMBER(Q179),ROUNDDOWN(Q179-NOW(),1),"")</f>
        <v/>
      </c>
      <c r="AF179" s="59">
        <f>IF(OR(A179="",AE179=""),"",IF(NOT(OR(W179="Watching",W179="Preparing")),"",IF(AE179&lt;0,"PASSED",IF(AND(AE179&lt;=7,W179&lt;&gt;"Preparing"),"RED",IF(AE179&lt;=14,"AMBER","GREEN")))))</f>
        <v/>
      </c>
      <c r="AG179" s="59">
        <f>IF(OR(A179="",NOT(OR(W179="Watching",W179="Preparing"))),"",IF(AND(ISNUMBER(M179),M179&gt;=3000000000),"YES – ≥ TZS 3bn",IF(AND(ISNUMBER(AE179),AE179&gt;=0,AE179&lt;10,V179=""),"YES – &lt;10 days","")))</f>
        <v/>
      </c>
      <c r="AH179" s="68" t="n"/>
      <c r="AI179" s="74" t="inlineStr">
        <is>
          <t>Read the notice and decide with the QS Director whether to pursue</t>
        </is>
      </c>
      <c r="AJ179" s="74" t="inlineStr">
        <is>
          <t>Auto-scan</t>
        </is>
      </c>
      <c r="AK179" s="74" t="inlineStr">
        <is>
          <t>524a92ca-940f-46c2-8784-6a4bd3bcb3b2</t>
        </is>
      </c>
      <c r="AL179" s="59">
        <f>IF(AND(OR(W179="Watching",W179="Preparing"),ISNUMBER(Q179)),IF(AND(Q179&gt;='Friday Summary'!$C$4,Q179&lt;='Friday Summary'!$C$4+14),Q179+ROW()/1000000,""),"")</f>
        <v/>
      </c>
    </row>
    <row r="180" ht="15" customHeight="1" s="51">
      <c r="A180" s="59">
        <f>IF(B180="","","OP-"&amp;TEXT(ROW()-4,"000"))</f>
        <v/>
      </c>
      <c r="B180" s="70" t="inlineStr">
        <is>
          <t>TR152/003/2026/2027/W/01</t>
        </is>
      </c>
      <c r="C180" s="71" t="n">
        <v>46314</v>
      </c>
      <c r="D180" s="70" t="inlineStr">
        <is>
          <t>NeST</t>
        </is>
      </c>
      <c r="E180" s="70" t="inlineStr">
        <is>
          <t>https://nest.go.tz/tenders/published-tenders</t>
        </is>
      </c>
      <c r="F180" s="70" t="inlineStr">
        <is>
          <t>Bank of Tanzania - Dodoma Head Office</t>
        </is>
      </c>
      <c r="G180" s="70" t="inlineStr">
        <is>
          <t>government</t>
        </is>
      </c>
      <c r="H180" s="70" t="inlineStr">
        <is>
          <t>Construction of Partitioning Wall at the Bank of Tanzania, Dodoma Residential Premises.</t>
        </is>
      </c>
      <c r="I180" s="70" t="inlineStr">
        <is>
          <t>From NeST notice (1 lot) – read the tender document</t>
        </is>
      </c>
      <c r="J180" s="70" t="inlineStr">
        <is>
          <t>Dodoma</t>
        </is>
      </c>
      <c r="K180" s="70" t="inlineStr">
        <is>
          <t>fit-out</t>
        </is>
      </c>
      <c r="L180" s="70" t="inlineStr">
        <is>
          <t>NeST login needed</t>
        </is>
      </c>
      <c r="M180" s="62" t="n"/>
      <c r="N180" s="70" t="inlineStr">
        <is>
          <t>unknown</t>
        </is>
      </c>
      <c r="O180" s="71" t="inlineStr">
        <is>
          <t>NeST login needed</t>
        </is>
      </c>
      <c r="P180" s="71" t="inlineStr">
        <is>
          <t>NeST login needed</t>
        </is>
      </c>
      <c r="Q180" s="72" t="n">
        <v>46325.45833333334</v>
      </c>
      <c r="R180" s="70" t="inlineStr">
        <is>
          <t>NeST login needed</t>
        </is>
      </c>
      <c r="S180" s="70" t="inlineStr">
        <is>
          <t>N</t>
        </is>
      </c>
      <c r="T180" s="64">
        <f>IF(A180="","",IFERROR(INDEX('Bid-NoBid'!$T:$T,MATCH(A180,'Bid-NoBid'!$A:$A,0)),""))</f>
        <v/>
      </c>
      <c r="U180" s="59">
        <f>IF(A180="","",IFERROR(IF(OR(INDEX('Bid-NoBid'!$U:$U,MATCH(A180,'Bid-NoBid'!$A:$A,0))="",LEFT(INDEX('Bid-NoBid'!$U:$U,MATCH(A180,'Bid-NoBid'!$A:$A,0)),10)="Incomplete"),"Screen: "&amp;AC180,INDEX('Bid-NoBid'!$U:$U,MATCH(A180,'Bid-NoBid'!$A:$A,0))),"Screen: "&amp;AC180))</f>
        <v/>
      </c>
      <c r="V180" s="60" t="n"/>
      <c r="W180" s="70" t="inlineStr">
        <is>
          <t>Watching</t>
        </is>
      </c>
      <c r="X180" s="70" t="inlineStr">
        <is>
          <t>Frank</t>
        </is>
      </c>
      <c r="Y180" s="60" t="n"/>
      <c r="Z180" s="60" t="n"/>
      <c r="AA180" s="73" t="n">
        <v>46314</v>
      </c>
      <c r="AB180" s="74" t="inlineStr">
        <is>
          <t>Small Works / Tender</t>
        </is>
      </c>
      <c r="AC180" s="74" t="inlineStr">
        <is>
          <t>Pursue</t>
        </is>
      </c>
      <c r="AD180" s="74" t="inlineStr">
        <is>
          <t>Auto (Small Works / Tender): Building works within reach of Dar</t>
        </is>
      </c>
      <c r="AE180" s="67">
        <f>IF(ISNUMBER(Q180),ROUNDDOWN(Q180-NOW(),1),"")</f>
        <v/>
      </c>
      <c r="AF180" s="59">
        <f>IF(OR(A180="",AE180=""),"",IF(NOT(OR(W180="Watching",W180="Preparing")),"",IF(AE180&lt;0,"PASSED",IF(AND(AE180&lt;=7,W180&lt;&gt;"Preparing"),"RED",IF(AE180&lt;=14,"AMBER","GREEN")))))</f>
        <v/>
      </c>
      <c r="AG180" s="59">
        <f>IF(OR(A180="",NOT(OR(W180="Watching",W180="Preparing"))),"",IF(AND(ISNUMBER(M180),M180&gt;=3000000000),"YES – ≥ TZS 3bn",IF(AND(ISNUMBER(AE180),AE180&gt;=0,AE180&lt;10,V180=""),"YES – &lt;10 days","")))</f>
        <v/>
      </c>
      <c r="AH180" s="68" t="n"/>
      <c r="AI180" s="74" t="inlineStr">
        <is>
          <t>Get the tender document, confirm value, CRB class, site visit and bid security; brief the MD</t>
        </is>
      </c>
      <c r="AJ180" s="74" t="inlineStr">
        <is>
          <t>Auto-scan</t>
        </is>
      </c>
      <c r="AK180" s="74" t="inlineStr">
        <is>
          <t>3e80dce1-510c-4d41-9f04-251418bf36f0</t>
        </is>
      </c>
      <c r="AL180" s="59">
        <f>IF(AND(OR(W180="Watching",W180="Preparing"),ISNUMBER(Q180)),IF(AND(Q180&gt;='Friday Summary'!$C$4,Q180&lt;='Friday Summary'!$C$4+14),Q180+ROW()/1000000,""),"")</f>
        <v/>
      </c>
    </row>
    <row r="181" ht="15" customHeight="1" s="51">
      <c r="A181" s="59">
        <f>IF(B181="","","OP-"&amp;TEXT(ROW()-4,"000"))</f>
        <v/>
      </c>
      <c r="B181" s="70" t="inlineStr">
        <is>
          <t>(not shown)</t>
        </is>
      </c>
      <c r="C181" s="71" t="n">
        <v>46314</v>
      </c>
      <c r="D181" s="70" t="inlineStr">
        <is>
          <t>aggregator</t>
        </is>
      </c>
      <c r="E181" s="70" t="inlineStr">
        <is>
          <t>https://www.biddetail.com/latest-tenders/119546998$0d5d3e50-b63a-45a0-9172-15928b8c8805</t>
        </is>
      </c>
      <c r="F181" s="70" t="inlineStr">
        <is>
          <t>See notice</t>
        </is>
      </c>
      <c r="G181" s="70" t="inlineStr">
        <is>
          <t>government</t>
        </is>
      </c>
      <c r="H181" s="70" t="inlineStr">
        <is>
          <t>Quotation Are Invited For Provision Of Construction Of Market She ......</t>
        </is>
      </c>
      <c r="I181" s="70" t="inlineStr">
        <is>
          <t>From aggregator notice (1 lot) – read the tender document</t>
        </is>
      </c>
      <c r="J181" s="70" t="inlineStr">
        <is>
          <t>Not stated – read the notice</t>
        </is>
      </c>
      <c r="K181" s="70" t="inlineStr">
        <is>
          <t>building</t>
        </is>
      </c>
      <c r="L181" s="70" t="inlineStr">
        <is>
          <t>See tender document</t>
        </is>
      </c>
      <c r="M181" s="62" t="n"/>
      <c r="N181" s="70" t="inlineStr">
        <is>
          <t>unknown</t>
        </is>
      </c>
      <c r="O181" s="71" t="inlineStr">
        <is>
          <t>See tender document</t>
        </is>
      </c>
      <c r="P181" s="71" t="inlineStr">
        <is>
          <t>See tender document</t>
        </is>
      </c>
      <c r="Q181" s="72" t="n"/>
      <c r="R181" s="70" t="inlineStr">
        <is>
          <t>See tender document</t>
        </is>
      </c>
      <c r="S181" s="70" t="inlineStr">
        <is>
          <t>N</t>
        </is>
      </c>
      <c r="T181" s="64">
        <f>IF(A181="","",IFERROR(INDEX('Bid-NoBid'!$T:$T,MATCH(A181,'Bid-NoBid'!$A:$A,0)),""))</f>
        <v/>
      </c>
      <c r="U181" s="59">
        <f>IF(A181="","",IFERROR(IF(OR(INDEX('Bid-NoBid'!$U:$U,MATCH(A181,'Bid-NoBid'!$A:$A,0))="",LEFT(INDEX('Bid-NoBid'!$U:$U,MATCH(A181,'Bid-NoBid'!$A:$A,0)),10)="Incomplete"),"Screen: "&amp;AC181,INDEX('Bid-NoBid'!$U:$U,MATCH(A181,'Bid-NoBid'!$A:$A,0))),"Screen: "&amp;AC181))</f>
        <v/>
      </c>
      <c r="V181" s="60" t="n"/>
      <c r="W181" s="70" t="inlineStr">
        <is>
          <t>Watching</t>
        </is>
      </c>
      <c r="X181" s="70" t="inlineStr">
        <is>
          <t>Frank</t>
        </is>
      </c>
      <c r="Y181" s="60" t="n"/>
      <c r="Z181" s="60" t="n"/>
      <c r="AA181" s="73" t="n"/>
      <c r="AB181" s="74" t="inlineStr">
        <is>
          <t>BidDetail – Tanzania tenders (web page)</t>
        </is>
      </c>
      <c r="AC181" s="74" t="inlineStr">
        <is>
          <t>Check</t>
        </is>
      </c>
      <c r="AD181" s="74" t="inlineStr">
        <is>
          <t>Auto (BidDetail – Tanzania tenders): Deadline not shown on the source page – open the link and read the notice</t>
        </is>
      </c>
      <c r="AE181" s="67">
        <f>IF(ISNUMBER(Q181),ROUNDDOWN(Q181-NOW(),1),"")</f>
        <v/>
      </c>
      <c r="AF181" s="59">
        <f>IF(OR(A181="",AE181=""),"",IF(NOT(OR(W181="Watching",W181="Preparing")),"",IF(AE181&lt;0,"PASSED",IF(AND(AE181&lt;=7,W181&lt;&gt;"Preparing"),"RED",IF(AE181&lt;=14,"AMBER","GREEN")))))</f>
        <v/>
      </c>
      <c r="AG181" s="59">
        <f>IF(OR(A181="",NOT(OR(W181="Watching",W181="Preparing"))),"",IF(AND(ISNUMBER(M181),M181&gt;=3000000000),"YES – ≥ TZS 3bn",IF(AND(ISNUMBER(AE181),AE181&gt;=0,AE181&lt;10,V181=""),"YES – &lt;10 days","")))</f>
        <v/>
      </c>
      <c r="AH181" s="68" t="n"/>
      <c r="AI181" s="74" t="inlineStr">
        <is>
          <t>Read the notice and decide with the QS Director whether to pursue</t>
        </is>
      </c>
      <c r="AJ181" s="74" t="inlineStr">
        <is>
          <t>Auto-scan</t>
        </is>
      </c>
      <c r="AK181" s="74" t="inlineStr">
        <is>
          <t>WEB:biddetail_tanzania_tenders:80f93a46a31b4c34</t>
        </is>
      </c>
      <c r="AL181" s="59">
        <f>IF(AND(OR(W181="Watching",W181="Preparing"),ISNUMBER(Q181)),IF(AND(Q181&gt;='Friday Summary'!$C$4,Q181&lt;='Friday Summary'!$C$4+14),Q181+ROW()/1000000,""),"")</f>
        <v/>
      </c>
    </row>
    <row r="182" ht="15" customHeight="1" s="51">
      <c r="A182" s="59">
        <f>IF(B182="","","OP-"&amp;TEXT(ROW()-4,"000"))</f>
        <v/>
      </c>
      <c r="B182" s="70" t="inlineStr">
        <is>
          <t>47BB5/2026/2027/W/06</t>
        </is>
      </c>
      <c r="C182" s="71" t="n">
        <v>46315</v>
      </c>
      <c r="D182" s="70" t="inlineStr">
        <is>
          <t>NeST</t>
        </is>
      </c>
      <c r="E182" s="70" t="inlineStr">
        <is>
          <t>https://nest.go.tz/tenders/published-tenders</t>
        </is>
      </c>
      <c r="F182" s="70" t="inlineStr">
        <is>
          <t>Busega District Council</t>
        </is>
      </c>
      <c r="G182" s="70" t="inlineStr">
        <is>
          <t>government</t>
        </is>
      </c>
      <c r="H182" s="70" t="inlineStr">
        <is>
          <t>CONSTRUCTION OF FENCE AND EXTERNAL WORKS AND LANDSCAPING AT BUSEGA DC</t>
        </is>
      </c>
      <c r="I182" s="70" t="inlineStr">
        <is>
          <t>From NeST notice (1 lot) – read the tender document</t>
        </is>
      </c>
      <c r="J182" s="70" t="inlineStr">
        <is>
          <t>Simiyu (from client's office – confirm site)</t>
        </is>
      </c>
      <c r="K182" s="70" t="inlineStr">
        <is>
          <t>civil</t>
        </is>
      </c>
      <c r="L182" s="70" t="inlineStr">
        <is>
          <t>NeST login needed</t>
        </is>
      </c>
      <c r="M182" s="62" t="n"/>
      <c r="N182" s="70" t="inlineStr">
        <is>
          <t>unknown</t>
        </is>
      </c>
      <c r="O182" s="71" t="inlineStr">
        <is>
          <t>NeST login needed</t>
        </is>
      </c>
      <c r="P182" s="71" t="inlineStr">
        <is>
          <t>NeST login needed</t>
        </is>
      </c>
      <c r="Q182" s="72" t="n">
        <v>46321.41666666666</v>
      </c>
      <c r="R182" s="70" t="inlineStr">
        <is>
          <t>NeST login needed</t>
        </is>
      </c>
      <c r="S182" s="70" t="inlineStr">
        <is>
          <t>N</t>
        </is>
      </c>
      <c r="T182" s="64">
        <f>IF(A182="","",IFERROR(INDEX('Bid-NoBid'!$T:$T,MATCH(A182,'Bid-NoBid'!$A:$A,0)),""))</f>
        <v/>
      </c>
      <c r="U182" s="59">
        <f>IF(A182="","",IFERROR(IF(OR(INDEX('Bid-NoBid'!$U:$U,MATCH(A182,'Bid-NoBid'!$A:$A,0))="",LEFT(INDEX('Bid-NoBid'!$U:$U,MATCH(A182,'Bid-NoBid'!$A:$A,0)),10)="Incomplete"),"Screen: "&amp;AC182,INDEX('Bid-NoBid'!$U:$U,MATCH(A182,'Bid-NoBid'!$A:$A,0))),"Screen: "&amp;AC182))</f>
        <v/>
      </c>
      <c r="V182" s="60" t="n"/>
      <c r="W182" s="70" t="inlineStr">
        <is>
          <t>Watching</t>
        </is>
      </c>
      <c r="X182" s="70" t="inlineStr">
        <is>
          <t>Frank</t>
        </is>
      </c>
      <c r="Y182" s="60" t="n"/>
      <c r="Z182" s="60" t="n"/>
      <c r="AA182" s="73" t="n">
        <v>46314</v>
      </c>
      <c r="AB182" s="74" t="inlineStr">
        <is>
          <t>Small Works / Planned Tender</t>
        </is>
      </c>
      <c r="AC182" s="74" t="inlineStr">
        <is>
          <t>Check</t>
        </is>
      </c>
      <c r="AD182" s="74" t="inlineStr">
        <is>
          <t>Auto (Small Works / Planned Tender): Construction tender kept for review (would have been dropped: Remote civil works)</t>
        </is>
      </c>
      <c r="AE182" s="67">
        <f>IF(ISNUMBER(Q182),ROUNDDOWN(Q182-NOW(),1),"")</f>
        <v/>
      </c>
      <c r="AF182" s="59">
        <f>IF(OR(A182="",AE182=""),"",IF(NOT(OR(W182="Watching",W182="Preparing")),"",IF(AE182&lt;0,"PASSED",IF(AND(AE182&lt;=7,W182&lt;&gt;"Preparing"),"RED",IF(AE182&lt;=14,"AMBER","GREEN")))))</f>
        <v/>
      </c>
      <c r="AG182" s="59">
        <f>IF(OR(A182="",NOT(OR(W182="Watching",W182="Preparing"))),"",IF(AND(ISNUMBER(M182),M182&gt;=3000000000),"YES – ≥ TZS 3bn",IF(AND(ISNUMBER(AE182),AE182&gt;=0,AE182&lt;10,V182=""),"YES – &lt;10 days","")))</f>
        <v/>
      </c>
      <c r="AH182" s="68" t="n"/>
      <c r="AI182" s="74" t="inlineStr">
        <is>
          <t>Read the notice and decide with the QS Director whether to pursue</t>
        </is>
      </c>
      <c r="AJ182" s="74" t="inlineStr">
        <is>
          <t>Auto-scan</t>
        </is>
      </c>
      <c r="AK182" s="74" t="inlineStr">
        <is>
          <t>44a5d48e-6f8e-4ac0-81d1-d395fe3e4f34</t>
        </is>
      </c>
      <c r="AL182" s="59">
        <f>IF(AND(OR(W182="Watching",W182="Preparing"),ISNUMBER(Q182)),IF(AND(Q182&gt;='Friday Summary'!$C$4,Q182&lt;='Friday Summary'!$C$4+14),Q182+ROW()/1000000,""),"")</f>
        <v/>
      </c>
    </row>
    <row r="183" ht="15" customHeight="1" s="51">
      <c r="A183" s="59">
        <f>IF(B183="","","OP-"&amp;TEXT(ROW()-4,"000"))</f>
        <v/>
      </c>
      <c r="B183" s="70" t="inlineStr">
        <is>
          <t>S10/005/2026/2027/W/105</t>
        </is>
      </c>
      <c r="C183" s="71" t="n">
        <v>46315</v>
      </c>
      <c r="D183" s="70" t="inlineStr">
        <is>
          <t>NeST</t>
        </is>
      </c>
      <c r="E183" s="70" t="inlineStr">
        <is>
          <t>https://nest.go.tz/tenders/published-tenders</t>
        </is>
      </c>
      <c r="F183" s="70" t="inlineStr">
        <is>
          <t>TARURA - Iringa Regional Office</t>
        </is>
      </c>
      <c r="G183" s="70" t="inlineStr">
        <is>
          <t>government</t>
        </is>
      </c>
      <c r="H183" s="70" t="inlineStr">
        <is>
          <t>CONSTRUCTION OF STORM WATER DRAINAGE ALONG MGOVANO, KITASENGWA MKOGA ROAD AND CLEMENT ROAD, CONSTRUCTION OF BOX CULVERT ALONG CLEMENT ROAD AND BRIDGE REPAIR ALONG MGONGO MSISINA ROAD</t>
        </is>
      </c>
      <c r="I183" s="70" t="inlineStr">
        <is>
          <t>From NeST notice (1 lot) – read the tender document</t>
        </is>
      </c>
      <c r="J183" s="70" t="inlineStr">
        <is>
          <t>Iringa (from client's office – confirm site)</t>
        </is>
      </c>
      <c r="K183" s="70" t="inlineStr">
        <is>
          <t>civil</t>
        </is>
      </c>
      <c r="L183" s="70" t="inlineStr">
        <is>
          <t>NeST login needed</t>
        </is>
      </c>
      <c r="M183" s="62" t="n"/>
      <c r="N183" s="70" t="inlineStr">
        <is>
          <t>unknown</t>
        </is>
      </c>
      <c r="O183" s="71" t="inlineStr">
        <is>
          <t>NeST login needed</t>
        </is>
      </c>
      <c r="P183" s="71" t="inlineStr">
        <is>
          <t>NeST login needed</t>
        </is>
      </c>
      <c r="Q183" s="72" t="n">
        <v>46321.41666666666</v>
      </c>
      <c r="R183" s="70" t="inlineStr">
        <is>
          <t>NeST login needed</t>
        </is>
      </c>
      <c r="S183" s="70" t="inlineStr">
        <is>
          <t>N</t>
        </is>
      </c>
      <c r="T183" s="64">
        <f>IF(A183="","",IFERROR(INDEX('Bid-NoBid'!$T:$T,MATCH(A183,'Bid-NoBid'!$A:$A,0)),""))</f>
        <v/>
      </c>
      <c r="U183" s="59">
        <f>IF(A183="","",IFERROR(IF(OR(INDEX('Bid-NoBid'!$U:$U,MATCH(A183,'Bid-NoBid'!$A:$A,0))="",LEFT(INDEX('Bid-NoBid'!$U:$U,MATCH(A183,'Bid-NoBid'!$A:$A,0)),10)="Incomplete"),"Screen: "&amp;AC183,INDEX('Bid-NoBid'!$U:$U,MATCH(A183,'Bid-NoBid'!$A:$A,0))),"Screen: "&amp;AC183))</f>
        <v/>
      </c>
      <c r="V183" s="60" t="n"/>
      <c r="W183" s="70" t="inlineStr">
        <is>
          <t>Watching</t>
        </is>
      </c>
      <c r="X183" s="70" t="inlineStr">
        <is>
          <t>Frank</t>
        </is>
      </c>
      <c r="Y183" s="60" t="n"/>
      <c r="Z183" s="60" t="n"/>
      <c r="AA183" s="73" t="n">
        <v>46314</v>
      </c>
      <c r="AB183" s="74" t="inlineStr">
        <is>
          <t>Small Works / Tender</t>
        </is>
      </c>
      <c r="AC183" s="74" t="inlineStr">
        <is>
          <t>Check</t>
        </is>
      </c>
      <c r="AD183" s="74" t="inlineStr">
        <is>
          <t>Auto (Small Works / Tender): Construction tender kept for review (would have been dropped: Remote civil works)</t>
        </is>
      </c>
      <c r="AE183" s="67">
        <f>IF(ISNUMBER(Q183),ROUNDDOWN(Q183-NOW(),1),"")</f>
        <v/>
      </c>
      <c r="AF183" s="59">
        <f>IF(OR(A183="",AE183=""),"",IF(NOT(OR(W183="Watching",W183="Preparing")),"",IF(AE183&lt;0,"PASSED",IF(AND(AE183&lt;=7,W183&lt;&gt;"Preparing"),"RED",IF(AE183&lt;=14,"AMBER","GREEN")))))</f>
        <v/>
      </c>
      <c r="AG183" s="59">
        <f>IF(OR(A183="",NOT(OR(W183="Watching",W183="Preparing"))),"",IF(AND(ISNUMBER(M183),M183&gt;=3000000000),"YES – ≥ TZS 3bn",IF(AND(ISNUMBER(AE183),AE183&gt;=0,AE183&lt;10,V183=""),"YES – &lt;10 days","")))</f>
        <v/>
      </c>
      <c r="AH183" s="68" t="n"/>
      <c r="AI183" s="74" t="inlineStr">
        <is>
          <t>Read the notice and decide with the QS Director whether to pursue</t>
        </is>
      </c>
      <c r="AJ183" s="74" t="inlineStr">
        <is>
          <t>Auto-scan</t>
        </is>
      </c>
      <c r="AK183" s="74" t="inlineStr">
        <is>
          <t>22748ceb-a710-4343-b187-dd173a3e99d3</t>
        </is>
      </c>
      <c r="AL183" s="59">
        <f>IF(AND(OR(W183="Watching",W183="Preparing"),ISNUMBER(Q183)),IF(AND(Q183&gt;='Friday Summary'!$C$4,Q183&lt;='Friday Summary'!$C$4+14),Q183+ROW()/1000000,""),"")</f>
        <v/>
      </c>
    </row>
    <row r="184" ht="15" customHeight="1" s="51">
      <c r="A184" s="59">
        <f>IF(B184="","","OP-"&amp;TEXT(ROW()-4,"000"))</f>
        <v/>
      </c>
      <c r="B184" s="70" t="inlineStr">
        <is>
          <t>47BB5/2026/2027/W/03</t>
        </is>
      </c>
      <c r="C184" s="71" t="n">
        <v>46315</v>
      </c>
      <c r="D184" s="70" t="inlineStr">
        <is>
          <t>NeST</t>
        </is>
      </c>
      <c r="E184" s="70" t="inlineStr">
        <is>
          <t>https://nest.go.tz/tenders/published-tenders</t>
        </is>
      </c>
      <c r="F184" s="70" t="inlineStr">
        <is>
          <t>Busega District Council</t>
        </is>
      </c>
      <c r="G184" s="70" t="inlineStr">
        <is>
          <t>government</t>
        </is>
      </c>
      <c r="H184" s="70" t="inlineStr">
        <is>
          <t>Construction of HOD residential house</t>
        </is>
      </c>
      <c r="I184" s="70" t="inlineStr">
        <is>
          <t>From NeST notice (1 lot) – read the tender document</t>
        </is>
      </c>
      <c r="J184" s="70" t="inlineStr">
        <is>
          <t>Simiyu (from client's office – confirm site)</t>
        </is>
      </c>
      <c r="K184" s="70" t="inlineStr">
        <is>
          <t>building</t>
        </is>
      </c>
      <c r="L184" s="70" t="inlineStr">
        <is>
          <t>NeST login needed</t>
        </is>
      </c>
      <c r="M184" s="62" t="n"/>
      <c r="N184" s="70" t="inlineStr">
        <is>
          <t>unknown</t>
        </is>
      </c>
      <c r="O184" s="71" t="inlineStr">
        <is>
          <t>NeST login needed</t>
        </is>
      </c>
      <c r="P184" s="71" t="inlineStr">
        <is>
          <t>NeST login needed</t>
        </is>
      </c>
      <c r="Q184" s="72" t="n">
        <v>46321.45833333334</v>
      </c>
      <c r="R184" s="70" t="inlineStr">
        <is>
          <t>NeST login needed</t>
        </is>
      </c>
      <c r="S184" s="70" t="inlineStr">
        <is>
          <t>N</t>
        </is>
      </c>
      <c r="T184" s="64">
        <f>IF(A184="","",IFERROR(INDEX('Bid-NoBid'!$T:$T,MATCH(A184,'Bid-NoBid'!$A:$A,0)),""))</f>
        <v/>
      </c>
      <c r="U184" s="59">
        <f>IF(A184="","",IFERROR(IF(OR(INDEX('Bid-NoBid'!$U:$U,MATCH(A184,'Bid-NoBid'!$A:$A,0))="",LEFT(INDEX('Bid-NoBid'!$U:$U,MATCH(A184,'Bid-NoBid'!$A:$A,0)),10)="Incomplete"),"Screen: "&amp;AC184,INDEX('Bid-NoBid'!$U:$U,MATCH(A184,'Bid-NoBid'!$A:$A,0))),"Screen: "&amp;AC184))</f>
        <v/>
      </c>
      <c r="V184" s="60" t="n"/>
      <c r="W184" s="70" t="inlineStr">
        <is>
          <t>Watching</t>
        </is>
      </c>
      <c r="X184" s="70" t="inlineStr">
        <is>
          <t>Frank</t>
        </is>
      </c>
      <c r="Y184" s="60" t="n"/>
      <c r="Z184" s="60" t="n"/>
      <c r="AA184" s="73" t="n">
        <v>46314</v>
      </c>
      <c r="AB184" s="74" t="inlineStr">
        <is>
          <t>Small Works / Tender</t>
        </is>
      </c>
      <c r="AC184" s="74" t="inlineStr">
        <is>
          <t>Check</t>
        </is>
      </c>
      <c r="AD184" s="74" t="inlineStr">
        <is>
          <t>Auto (Small Works / Tender): Construction tender kept for review (would have been dropped: Remote and closing soon)</t>
        </is>
      </c>
      <c r="AE184" s="67">
        <f>IF(ISNUMBER(Q184),ROUNDDOWN(Q184-NOW(),1),"")</f>
        <v/>
      </c>
      <c r="AF184" s="59">
        <f>IF(OR(A184="",AE184=""),"",IF(NOT(OR(W184="Watching",W184="Preparing")),"",IF(AE184&lt;0,"PASSED",IF(AND(AE184&lt;=7,W184&lt;&gt;"Preparing"),"RED",IF(AE184&lt;=14,"AMBER","GREEN")))))</f>
        <v/>
      </c>
      <c r="AG184" s="59">
        <f>IF(OR(A184="",NOT(OR(W184="Watching",W184="Preparing"))),"",IF(AND(ISNUMBER(M184),M184&gt;=3000000000),"YES – ≥ TZS 3bn",IF(AND(ISNUMBER(AE184),AE184&gt;=0,AE184&lt;10,V184=""),"YES – &lt;10 days","")))</f>
        <v/>
      </c>
      <c r="AH184" s="68" t="n"/>
      <c r="AI184" s="74" t="inlineStr">
        <is>
          <t>Read the notice and decide with the QS Director whether to pursue</t>
        </is>
      </c>
      <c r="AJ184" s="74" t="inlineStr">
        <is>
          <t>Auto-scan</t>
        </is>
      </c>
      <c r="AK184" s="74" t="inlineStr">
        <is>
          <t>659972b0-3fc5-44f7-bb64-003011f41c30</t>
        </is>
      </c>
      <c r="AL184" s="59">
        <f>IF(AND(OR(W184="Watching",W184="Preparing"),ISNUMBER(Q184)),IF(AND(Q184&gt;='Friday Summary'!$C$4,Q184&lt;='Friday Summary'!$C$4+14),Q184+ROW()/1000000,""),"")</f>
        <v/>
      </c>
    </row>
    <row r="185" ht="15" customHeight="1" s="51">
      <c r="A185" s="59">
        <f>IF(B185="","","OP-"&amp;TEXT(ROW()-4,"000"))</f>
        <v/>
      </c>
      <c r="B185" s="70" t="inlineStr">
        <is>
          <t>85/2026/2027/W/12</t>
        </is>
      </c>
      <c r="C185" s="71" t="n">
        <v>46315</v>
      </c>
      <c r="D185" s="70" t="inlineStr">
        <is>
          <t>NeST</t>
        </is>
      </c>
      <c r="E185" s="70" t="inlineStr">
        <is>
          <t>https://nest.go.tz/tenders/published-tenders</t>
        </is>
      </c>
      <c r="F185" s="70" t="inlineStr">
        <is>
          <t>Tabora Regional Secretariat</t>
        </is>
      </c>
      <c r="G185" s="70" t="inlineStr">
        <is>
          <t>government</t>
        </is>
      </c>
      <c r="H185" s="70" t="inlineStr">
        <is>
          <t>COMPLETE REHABILITATION OF SIKONGE DISTRICT ADMINISTRATIVE SECRETARY'S HOUSE (FENCING AND EXTERNAL WORKS)</t>
        </is>
      </c>
      <c r="I185" s="70" t="inlineStr">
        <is>
          <t>From NeST notice (1 lot) – read the tender document</t>
        </is>
      </c>
      <c r="J185" s="70" t="inlineStr">
        <is>
          <t>Tabora (Sikonge)</t>
        </is>
      </c>
      <c r="K185" s="70" t="inlineStr">
        <is>
          <t>renovation</t>
        </is>
      </c>
      <c r="L185" s="70" t="inlineStr">
        <is>
          <t>NeST login needed</t>
        </is>
      </c>
      <c r="M185" s="62" t="n"/>
      <c r="N185" s="70" t="inlineStr">
        <is>
          <t>unknown</t>
        </is>
      </c>
      <c r="O185" s="71" t="inlineStr">
        <is>
          <t>NeST login needed</t>
        </is>
      </c>
      <c r="P185" s="71" t="inlineStr">
        <is>
          <t>NeST login needed</t>
        </is>
      </c>
      <c r="Q185" s="72" t="n">
        <v>46322.58333333334</v>
      </c>
      <c r="R185" s="70" t="inlineStr">
        <is>
          <t>NeST login needed</t>
        </is>
      </c>
      <c r="S185" s="70" t="inlineStr">
        <is>
          <t>N</t>
        </is>
      </c>
      <c r="T185" s="64">
        <f>IF(A185="","",IFERROR(INDEX('Bid-NoBid'!$T:$T,MATCH(A185,'Bid-NoBid'!$A:$A,0)),""))</f>
        <v/>
      </c>
      <c r="U185" s="59">
        <f>IF(A185="","",IFERROR(IF(OR(INDEX('Bid-NoBid'!$U:$U,MATCH(A185,'Bid-NoBid'!$A:$A,0))="",LEFT(INDEX('Bid-NoBid'!$U:$U,MATCH(A185,'Bid-NoBid'!$A:$A,0)),10)="Incomplete"),"Screen: "&amp;AC185,INDEX('Bid-NoBid'!$U:$U,MATCH(A185,'Bid-NoBid'!$A:$A,0))),"Screen: "&amp;AC185))</f>
        <v/>
      </c>
      <c r="V185" s="60" t="n"/>
      <c r="W185" s="70" t="inlineStr">
        <is>
          <t>Watching</t>
        </is>
      </c>
      <c r="X185" s="70" t="inlineStr">
        <is>
          <t>Frank</t>
        </is>
      </c>
      <c r="Y185" s="60" t="n"/>
      <c r="Z185" s="60" t="n"/>
      <c r="AA185" s="73" t="n">
        <v>46315</v>
      </c>
      <c r="AB185" s="74" t="inlineStr">
        <is>
          <t>Standard Invitation for Quotations -Works / Planned Tender</t>
        </is>
      </c>
      <c r="AC185" s="74" t="inlineStr">
        <is>
          <t>Check</t>
        </is>
      </c>
      <c r="AD185" s="74" t="inlineStr">
        <is>
          <t>Auto (Standard Invitation for Quotations -Works / Planned Tender): Building works but remote from Dar</t>
        </is>
      </c>
      <c r="AE185" s="67">
        <f>IF(ISNUMBER(Q185),ROUNDDOWN(Q185-NOW(),1),"")</f>
        <v/>
      </c>
      <c r="AF185" s="59">
        <f>IF(OR(A185="",AE185=""),"",IF(NOT(OR(W185="Watching",W185="Preparing")),"",IF(AE185&lt;0,"PASSED",IF(AND(AE185&lt;=7,W185&lt;&gt;"Preparing"),"RED",IF(AE185&lt;=14,"AMBER","GREEN")))))</f>
        <v/>
      </c>
      <c r="AG185" s="59">
        <f>IF(OR(A185="",NOT(OR(W185="Watching",W185="Preparing"))),"",IF(AND(ISNUMBER(M185),M185&gt;=3000000000),"YES – ≥ TZS 3bn",IF(AND(ISNUMBER(AE185),AE185&gt;=0,AE185&lt;10,V185=""),"YES – &lt;10 days","")))</f>
        <v/>
      </c>
      <c r="AH185" s="68" t="n"/>
      <c r="AI185" s="74" t="inlineStr">
        <is>
          <t>Read the notice and decide with the QS Director whether to pursue</t>
        </is>
      </c>
      <c r="AJ185" s="74" t="inlineStr">
        <is>
          <t>Auto-scan</t>
        </is>
      </c>
      <c r="AK185" s="74" t="inlineStr">
        <is>
          <t>f62bba8b-4c09-412f-b77b-fdd3d0d6a9ce</t>
        </is>
      </c>
      <c r="AL185" s="59">
        <f>IF(AND(OR(W185="Watching",W185="Preparing"),ISNUMBER(Q185)),IF(AND(Q185&gt;='Friday Summary'!$C$4,Q185&lt;='Friday Summary'!$C$4+14),Q185+ROW()/1000000,""),"")</f>
        <v/>
      </c>
    </row>
    <row r="186" ht="15" customHeight="1" s="51">
      <c r="A186" s="59">
        <f>IF(B186="","","OP-"&amp;TEXT(ROW()-4,"000"))</f>
        <v/>
      </c>
      <c r="B186" s="70" t="inlineStr">
        <is>
          <t>85/2026/2027/W/03</t>
        </is>
      </c>
      <c r="C186" s="71" t="n">
        <v>46315</v>
      </c>
      <c r="D186" s="70" t="inlineStr">
        <is>
          <t>NeST</t>
        </is>
      </c>
      <c r="E186" s="70" t="inlineStr">
        <is>
          <t>https://nest.go.tz/tenders/published-tenders</t>
        </is>
      </c>
      <c r="F186" s="70" t="inlineStr">
        <is>
          <t>Tabora Regional Secretariat</t>
        </is>
      </c>
      <c r="G186" s="70" t="inlineStr">
        <is>
          <t>government</t>
        </is>
      </c>
      <c r="H186" s="70" t="inlineStr">
        <is>
          <t>COMPLETE CONSTRUCTION OF KALIUA DISTRICT COMMISSIONER'S OFFICE (FENCING AND EXTERNAL WORKS)</t>
        </is>
      </c>
      <c r="I186" s="70" t="inlineStr">
        <is>
          <t>From NeST notice (1 lot) – read the tender document</t>
        </is>
      </c>
      <c r="J186" s="70" t="inlineStr">
        <is>
          <t>Tabora (from client's office – confirm site)</t>
        </is>
      </c>
      <c r="K186" s="70" t="inlineStr">
        <is>
          <t>building</t>
        </is>
      </c>
      <c r="L186" s="70" t="inlineStr">
        <is>
          <t>NeST login needed</t>
        </is>
      </c>
      <c r="M186" s="62" t="n"/>
      <c r="N186" s="70" t="inlineStr">
        <is>
          <t>unknown</t>
        </is>
      </c>
      <c r="O186" s="71" t="inlineStr">
        <is>
          <t>NeST login needed</t>
        </is>
      </c>
      <c r="P186" s="71" t="inlineStr">
        <is>
          <t>NeST login needed</t>
        </is>
      </c>
      <c r="Q186" s="72" t="n">
        <v>46322.58333333334</v>
      </c>
      <c r="R186" s="70" t="inlineStr">
        <is>
          <t>NeST login needed</t>
        </is>
      </c>
      <c r="S186" s="70" t="inlineStr">
        <is>
          <t>N</t>
        </is>
      </c>
      <c r="T186" s="64">
        <f>IF(A186="","",IFERROR(INDEX('Bid-NoBid'!$T:$T,MATCH(A186,'Bid-NoBid'!$A:$A,0)),""))</f>
        <v/>
      </c>
      <c r="U186" s="59">
        <f>IF(A186="","",IFERROR(IF(OR(INDEX('Bid-NoBid'!$U:$U,MATCH(A186,'Bid-NoBid'!$A:$A,0))="",LEFT(INDEX('Bid-NoBid'!$U:$U,MATCH(A186,'Bid-NoBid'!$A:$A,0)),10)="Incomplete"),"Screen: "&amp;AC186,INDEX('Bid-NoBid'!$U:$U,MATCH(A186,'Bid-NoBid'!$A:$A,0))),"Screen: "&amp;AC186))</f>
        <v/>
      </c>
      <c r="V186" s="60" t="n"/>
      <c r="W186" s="70" t="inlineStr">
        <is>
          <t>Watching</t>
        </is>
      </c>
      <c r="X186" s="70" t="inlineStr">
        <is>
          <t>Frank</t>
        </is>
      </c>
      <c r="Y186" s="60" t="n"/>
      <c r="Z186" s="60" t="n"/>
      <c r="AA186" s="73" t="n">
        <v>46315</v>
      </c>
      <c r="AB186" s="74" t="inlineStr">
        <is>
          <t>Standard Invitation for Quotations -Works / Planned Tender</t>
        </is>
      </c>
      <c r="AC186" s="74" t="inlineStr">
        <is>
          <t>Check</t>
        </is>
      </c>
      <c r="AD186" s="74" t="inlineStr">
        <is>
          <t>Auto (Standard Invitation for Quotations -Works / Planned Tender): Building works but remote from Dar</t>
        </is>
      </c>
      <c r="AE186" s="67">
        <f>IF(ISNUMBER(Q186),ROUNDDOWN(Q186-NOW(),1),"")</f>
        <v/>
      </c>
      <c r="AF186" s="59">
        <f>IF(OR(A186="",AE186=""),"",IF(NOT(OR(W186="Watching",W186="Preparing")),"",IF(AE186&lt;0,"PASSED",IF(AND(AE186&lt;=7,W186&lt;&gt;"Preparing"),"RED",IF(AE186&lt;=14,"AMBER","GREEN")))))</f>
        <v/>
      </c>
      <c r="AG186" s="59">
        <f>IF(OR(A186="",NOT(OR(W186="Watching",W186="Preparing"))),"",IF(AND(ISNUMBER(M186),M186&gt;=3000000000),"YES – ≥ TZS 3bn",IF(AND(ISNUMBER(AE186),AE186&gt;=0,AE186&lt;10,V186=""),"YES – &lt;10 days","")))</f>
        <v/>
      </c>
      <c r="AH186" s="68" t="n"/>
      <c r="AI186" s="74" t="inlineStr">
        <is>
          <t>Read the notice and decide with the QS Director whether to pursue</t>
        </is>
      </c>
      <c r="AJ186" s="74" t="inlineStr">
        <is>
          <t>Auto-scan</t>
        </is>
      </c>
      <c r="AK186" s="74" t="inlineStr">
        <is>
          <t>124bceca-0c2a-406c-90b7-5f6c7620ddf0</t>
        </is>
      </c>
      <c r="AL186" s="59">
        <f>IF(AND(OR(W186="Watching",W186="Preparing"),ISNUMBER(Q186)),IF(AND(Q186&gt;='Friday Summary'!$C$4,Q186&lt;='Friday Summary'!$C$4+14),Q186+ROW()/1000000,""),"")</f>
        <v/>
      </c>
    </row>
    <row r="187" ht="15" customHeight="1" s="51">
      <c r="A187" s="59">
        <f>IF(B187="","","OP-"&amp;TEXT(ROW()-4,"000"))</f>
        <v/>
      </c>
      <c r="B187" s="70" t="inlineStr">
        <is>
          <t>85/2026/2027/W/11</t>
        </is>
      </c>
      <c r="C187" s="71" t="n">
        <v>46315</v>
      </c>
      <c r="D187" s="70" t="inlineStr">
        <is>
          <t>NeST</t>
        </is>
      </c>
      <c r="E187" s="70" t="inlineStr">
        <is>
          <t>https://nest.go.tz/tenders/published-tenders</t>
        </is>
      </c>
      <c r="F187" s="70" t="inlineStr">
        <is>
          <t>Tabora Regional Secretariat</t>
        </is>
      </c>
      <c r="G187" s="70" t="inlineStr">
        <is>
          <t>government</t>
        </is>
      </c>
      <c r="H187" s="70" t="inlineStr">
        <is>
          <t>CONSTRUCTION OF BUKENE DIVISION OFFICER'S OFFICE</t>
        </is>
      </c>
      <c r="I187" s="70" t="inlineStr">
        <is>
          <t>From NeST notice (1 lot) – read the tender document</t>
        </is>
      </c>
      <c r="J187" s="70" t="inlineStr">
        <is>
          <t>Tabora (from client's office – confirm site)</t>
        </is>
      </c>
      <c r="K187" s="70" t="inlineStr">
        <is>
          <t>building</t>
        </is>
      </c>
      <c r="L187" s="70" t="inlineStr">
        <is>
          <t>NeST login needed</t>
        </is>
      </c>
      <c r="M187" s="62" t="n"/>
      <c r="N187" s="70" t="inlineStr">
        <is>
          <t>unknown</t>
        </is>
      </c>
      <c r="O187" s="71" t="inlineStr">
        <is>
          <t>NeST login needed</t>
        </is>
      </c>
      <c r="P187" s="71" t="inlineStr">
        <is>
          <t>NeST login needed</t>
        </is>
      </c>
      <c r="Q187" s="72" t="n">
        <v>46322.58333333334</v>
      </c>
      <c r="R187" s="70" t="inlineStr">
        <is>
          <t>NeST login needed</t>
        </is>
      </c>
      <c r="S187" s="70" t="inlineStr">
        <is>
          <t>N</t>
        </is>
      </c>
      <c r="T187" s="64">
        <f>IF(A187="","",IFERROR(INDEX('Bid-NoBid'!$T:$T,MATCH(A187,'Bid-NoBid'!$A:$A,0)),""))</f>
        <v/>
      </c>
      <c r="U187" s="59">
        <f>IF(A187="","",IFERROR(IF(OR(INDEX('Bid-NoBid'!$U:$U,MATCH(A187,'Bid-NoBid'!$A:$A,0))="",LEFT(INDEX('Bid-NoBid'!$U:$U,MATCH(A187,'Bid-NoBid'!$A:$A,0)),10)="Incomplete"),"Screen: "&amp;AC187,INDEX('Bid-NoBid'!$U:$U,MATCH(A187,'Bid-NoBid'!$A:$A,0))),"Screen: "&amp;AC187))</f>
        <v/>
      </c>
      <c r="V187" s="60" t="n"/>
      <c r="W187" s="70" t="inlineStr">
        <is>
          <t>Watching</t>
        </is>
      </c>
      <c r="X187" s="70" t="inlineStr">
        <is>
          <t>Frank</t>
        </is>
      </c>
      <c r="Y187" s="60" t="n"/>
      <c r="Z187" s="60" t="n"/>
      <c r="AA187" s="73" t="n">
        <v>46315</v>
      </c>
      <c r="AB187" s="74" t="inlineStr">
        <is>
          <t>Standard Invitation for Quotations -Works / Planned Tender</t>
        </is>
      </c>
      <c r="AC187" s="74" t="inlineStr">
        <is>
          <t>Check</t>
        </is>
      </c>
      <c r="AD187" s="74" t="inlineStr">
        <is>
          <t>Auto (Standard Invitation for Quotations -Works / Planned Tender): Building works but remote from Dar</t>
        </is>
      </c>
      <c r="AE187" s="67">
        <f>IF(ISNUMBER(Q187),ROUNDDOWN(Q187-NOW(),1),"")</f>
        <v/>
      </c>
      <c r="AF187" s="59">
        <f>IF(OR(A187="",AE187=""),"",IF(NOT(OR(W187="Watching",W187="Preparing")),"",IF(AE187&lt;0,"PASSED",IF(AND(AE187&lt;=7,W187&lt;&gt;"Preparing"),"RED",IF(AE187&lt;=14,"AMBER","GREEN")))))</f>
        <v/>
      </c>
      <c r="AG187" s="59">
        <f>IF(OR(A187="",NOT(OR(W187="Watching",W187="Preparing"))),"",IF(AND(ISNUMBER(M187),M187&gt;=3000000000),"YES – ≥ TZS 3bn",IF(AND(ISNUMBER(AE187),AE187&gt;=0,AE187&lt;10,V187=""),"YES – &lt;10 days","")))</f>
        <v/>
      </c>
      <c r="AH187" s="68" t="n"/>
      <c r="AI187" s="74" t="inlineStr">
        <is>
          <t>Read the notice and decide with the QS Director whether to pursue</t>
        </is>
      </c>
      <c r="AJ187" s="74" t="inlineStr">
        <is>
          <t>Auto-scan</t>
        </is>
      </c>
      <c r="AK187" s="74" t="inlineStr">
        <is>
          <t>d9a5e17c-5902-412d-a44e-65770256d5e5</t>
        </is>
      </c>
      <c r="AL187" s="59">
        <f>IF(AND(OR(W187="Watching",W187="Preparing"),ISNUMBER(Q187)),IF(AND(Q187&gt;='Friday Summary'!$C$4,Q187&lt;='Friday Summary'!$C$4+14),Q187+ROW()/1000000,""),"")</f>
        <v/>
      </c>
    </row>
    <row r="188" ht="15" customHeight="1" s="51">
      <c r="A188" s="59">
        <f>IF(B188="","","OP-"&amp;TEXT(ROW()-4,"000"))</f>
        <v/>
      </c>
      <c r="B188" s="70" t="inlineStr">
        <is>
          <t>85/2026/2027/W/06</t>
        </is>
      </c>
      <c r="C188" s="71" t="n">
        <v>46315</v>
      </c>
      <c r="D188" s="70" t="inlineStr">
        <is>
          <t>NeST</t>
        </is>
      </c>
      <c r="E188" s="70" t="inlineStr">
        <is>
          <t>https://nest.go.tz/tenders/published-tenders</t>
        </is>
      </c>
      <c r="F188" s="70" t="inlineStr">
        <is>
          <t>Tabora Regional Secretariat</t>
        </is>
      </c>
      <c r="G188" s="70" t="inlineStr">
        <is>
          <t>government</t>
        </is>
      </c>
      <c r="H188" s="70" t="inlineStr">
        <is>
          <t>COMPLETE CONSTRUCTION OF KALIUA DISTRICT ADMINISTRATIVE SECRETARY'S HOUSE (FENCING AND EXTERNAL WORKS)</t>
        </is>
      </c>
      <c r="I188" s="70" t="inlineStr">
        <is>
          <t>From NeST notice (1 lot) – read the tender document</t>
        </is>
      </c>
      <c r="J188" s="70" t="inlineStr">
        <is>
          <t>Tabora (from client's office – confirm site)</t>
        </is>
      </c>
      <c r="K188" s="70" t="inlineStr">
        <is>
          <t>building</t>
        </is>
      </c>
      <c r="L188" s="70" t="inlineStr">
        <is>
          <t>NeST login needed</t>
        </is>
      </c>
      <c r="M188" s="62" t="n"/>
      <c r="N188" s="70" t="inlineStr">
        <is>
          <t>unknown</t>
        </is>
      </c>
      <c r="O188" s="71" t="inlineStr">
        <is>
          <t>NeST login needed</t>
        </is>
      </c>
      <c r="P188" s="71" t="inlineStr">
        <is>
          <t>NeST login needed</t>
        </is>
      </c>
      <c r="Q188" s="72" t="n">
        <v>46322.58333333334</v>
      </c>
      <c r="R188" s="70" t="inlineStr">
        <is>
          <t>NeST login needed</t>
        </is>
      </c>
      <c r="S188" s="70" t="inlineStr">
        <is>
          <t>N</t>
        </is>
      </c>
      <c r="T188" s="64">
        <f>IF(A188="","",IFERROR(INDEX('Bid-NoBid'!$T:$T,MATCH(A188,'Bid-NoBid'!$A:$A,0)),""))</f>
        <v/>
      </c>
      <c r="U188" s="59">
        <f>IF(A188="","",IFERROR(IF(OR(INDEX('Bid-NoBid'!$U:$U,MATCH(A188,'Bid-NoBid'!$A:$A,0))="",LEFT(INDEX('Bid-NoBid'!$U:$U,MATCH(A188,'Bid-NoBid'!$A:$A,0)),10)="Incomplete"),"Screen: "&amp;AC188,INDEX('Bid-NoBid'!$U:$U,MATCH(A188,'Bid-NoBid'!$A:$A,0))),"Screen: "&amp;AC188))</f>
        <v/>
      </c>
      <c r="V188" s="60" t="n"/>
      <c r="W188" s="70" t="inlineStr">
        <is>
          <t>Watching</t>
        </is>
      </c>
      <c r="X188" s="70" t="inlineStr">
        <is>
          <t>Frank</t>
        </is>
      </c>
      <c r="Y188" s="60" t="n"/>
      <c r="Z188" s="60" t="n"/>
      <c r="AA188" s="73" t="n">
        <v>46315</v>
      </c>
      <c r="AB188" s="74" t="inlineStr">
        <is>
          <t>Standard Invitation for Quotations -Works / Planned Tender</t>
        </is>
      </c>
      <c r="AC188" s="74" t="inlineStr">
        <is>
          <t>Check</t>
        </is>
      </c>
      <c r="AD188" s="74" t="inlineStr">
        <is>
          <t>Auto (Standard Invitation for Quotations -Works / Planned Tender): Building works but remote from Dar</t>
        </is>
      </c>
      <c r="AE188" s="67">
        <f>IF(ISNUMBER(Q188),ROUNDDOWN(Q188-NOW(),1),"")</f>
        <v/>
      </c>
      <c r="AF188" s="59">
        <f>IF(OR(A188="",AE188=""),"",IF(NOT(OR(W188="Watching",W188="Preparing")),"",IF(AE188&lt;0,"PASSED",IF(AND(AE188&lt;=7,W188&lt;&gt;"Preparing"),"RED",IF(AE188&lt;=14,"AMBER","GREEN")))))</f>
        <v/>
      </c>
      <c r="AG188" s="59">
        <f>IF(OR(A188="",NOT(OR(W188="Watching",W188="Preparing"))),"",IF(AND(ISNUMBER(M188),M188&gt;=3000000000),"YES – ≥ TZS 3bn",IF(AND(ISNUMBER(AE188),AE188&gt;=0,AE188&lt;10,V188=""),"YES – &lt;10 days","")))</f>
        <v/>
      </c>
      <c r="AH188" s="68" t="n"/>
      <c r="AI188" s="74" t="inlineStr">
        <is>
          <t>Read the notice and decide with the QS Director whether to pursue</t>
        </is>
      </c>
      <c r="AJ188" s="74" t="inlineStr">
        <is>
          <t>Auto-scan</t>
        </is>
      </c>
      <c r="AK188" s="74" t="inlineStr">
        <is>
          <t>de006103-62b6-4bcb-8f3c-411f78166313</t>
        </is>
      </c>
      <c r="AL188" s="59">
        <f>IF(AND(OR(W188="Watching",W188="Preparing"),ISNUMBER(Q188)),IF(AND(Q188&gt;='Friday Summary'!$C$4,Q188&lt;='Friday Summary'!$C$4+14),Q188+ROW()/1000000,""),"")</f>
        <v/>
      </c>
    </row>
    <row r="189" ht="15" customHeight="1" s="51">
      <c r="A189" s="59">
        <f>IF(B189="","","OP-"&amp;TEXT(ROW()-4,"000"))</f>
        <v/>
      </c>
      <c r="B189" s="70" t="inlineStr">
        <is>
          <t>85/2026/2027/W/01</t>
        </is>
      </c>
      <c r="C189" s="71" t="n">
        <v>46315</v>
      </c>
      <c r="D189" s="70" t="inlineStr">
        <is>
          <t>NeST</t>
        </is>
      </c>
      <c r="E189" s="70" t="inlineStr">
        <is>
          <t>https://nest.go.tz/tenders/published-tenders</t>
        </is>
      </c>
      <c r="F189" s="70" t="inlineStr">
        <is>
          <t>Tabora Regional Secretariat</t>
        </is>
      </c>
      <c r="G189" s="70" t="inlineStr">
        <is>
          <t>government</t>
        </is>
      </c>
      <c r="H189" s="70" t="inlineStr">
        <is>
          <t>CONSTRUCTION OF IGUNGA DISTRICT ADMINISTRATIVE SECRETARY'S HOUSE.</t>
        </is>
      </c>
      <c r="I189" s="70" t="inlineStr">
        <is>
          <t>From NeST notice (1 lot) – read the tender document</t>
        </is>
      </c>
      <c r="J189" s="70" t="inlineStr">
        <is>
          <t>Tabora (Igunga)</t>
        </is>
      </c>
      <c r="K189" s="70" t="inlineStr">
        <is>
          <t>building</t>
        </is>
      </c>
      <c r="L189" s="70" t="inlineStr">
        <is>
          <t>NeST login needed</t>
        </is>
      </c>
      <c r="M189" s="62" t="n"/>
      <c r="N189" s="70" t="inlineStr">
        <is>
          <t>unknown</t>
        </is>
      </c>
      <c r="O189" s="71" t="inlineStr">
        <is>
          <t>NeST login needed</t>
        </is>
      </c>
      <c r="P189" s="71" t="inlineStr">
        <is>
          <t>NeST login needed</t>
        </is>
      </c>
      <c r="Q189" s="72" t="n">
        <v>46322.58333333334</v>
      </c>
      <c r="R189" s="70" t="inlineStr">
        <is>
          <t>NeST login needed</t>
        </is>
      </c>
      <c r="S189" s="70" t="inlineStr">
        <is>
          <t>N</t>
        </is>
      </c>
      <c r="T189" s="64">
        <f>IF(A189="","",IFERROR(INDEX('Bid-NoBid'!$T:$T,MATCH(A189,'Bid-NoBid'!$A:$A,0)),""))</f>
        <v/>
      </c>
      <c r="U189" s="59">
        <f>IF(A189="","",IFERROR(IF(OR(INDEX('Bid-NoBid'!$U:$U,MATCH(A189,'Bid-NoBid'!$A:$A,0))="",LEFT(INDEX('Bid-NoBid'!$U:$U,MATCH(A189,'Bid-NoBid'!$A:$A,0)),10)="Incomplete"),"Screen: "&amp;AC189,INDEX('Bid-NoBid'!$U:$U,MATCH(A189,'Bid-NoBid'!$A:$A,0))),"Screen: "&amp;AC189))</f>
        <v/>
      </c>
      <c r="V189" s="60" t="n"/>
      <c r="W189" s="70" t="inlineStr">
        <is>
          <t>Watching</t>
        </is>
      </c>
      <c r="X189" s="70" t="inlineStr">
        <is>
          <t>Frank</t>
        </is>
      </c>
      <c r="Y189" s="60" t="n"/>
      <c r="Z189" s="60" t="n"/>
      <c r="AA189" s="73" t="n">
        <v>46315</v>
      </c>
      <c r="AB189" s="74" t="inlineStr">
        <is>
          <t>Standard Invitation for Quotations -Works / Planned Tender</t>
        </is>
      </c>
      <c r="AC189" s="74" t="inlineStr">
        <is>
          <t>Check</t>
        </is>
      </c>
      <c r="AD189" s="74" t="inlineStr">
        <is>
          <t>Auto (Standard Invitation for Quotations -Works / Planned Tender): Building works but remote from Dar</t>
        </is>
      </c>
      <c r="AE189" s="67">
        <f>IF(ISNUMBER(Q189),ROUNDDOWN(Q189-NOW(),1),"")</f>
        <v/>
      </c>
      <c r="AF189" s="59">
        <f>IF(OR(A189="",AE189=""),"",IF(NOT(OR(W189="Watching",W189="Preparing")),"",IF(AE189&lt;0,"PASSED",IF(AND(AE189&lt;=7,W189&lt;&gt;"Preparing"),"RED",IF(AE189&lt;=14,"AMBER","GREEN")))))</f>
        <v/>
      </c>
      <c r="AG189" s="59">
        <f>IF(OR(A189="",NOT(OR(W189="Watching",W189="Preparing"))),"",IF(AND(ISNUMBER(M189),M189&gt;=3000000000),"YES – ≥ TZS 3bn",IF(AND(ISNUMBER(AE189),AE189&gt;=0,AE189&lt;10,V189=""),"YES – &lt;10 days","")))</f>
        <v/>
      </c>
      <c r="AH189" s="68" t="n"/>
      <c r="AI189" s="74" t="inlineStr">
        <is>
          <t>Read the notice and decide with the QS Director whether to pursue</t>
        </is>
      </c>
      <c r="AJ189" s="74" t="inlineStr">
        <is>
          <t>Auto-scan</t>
        </is>
      </c>
      <c r="AK189" s="74" t="inlineStr">
        <is>
          <t>2707beb4-3d4c-402d-a13f-5066289a875f</t>
        </is>
      </c>
      <c r="AL189" s="59">
        <f>IF(AND(OR(W189="Watching",W189="Preparing"),ISNUMBER(Q189)),IF(AND(Q189&gt;='Friday Summary'!$C$4,Q189&lt;='Friday Summary'!$C$4+14),Q189+ROW()/1000000,""),"")</f>
        <v/>
      </c>
    </row>
    <row r="190" ht="15" customHeight="1" s="51">
      <c r="A190" s="59">
        <f>IF(B190="","","OP-"&amp;TEXT(ROW()-4,"000"))</f>
        <v/>
      </c>
      <c r="B190" s="70" t="inlineStr">
        <is>
          <t>85/2026/2027/W/02</t>
        </is>
      </c>
      <c r="C190" s="71" t="n">
        <v>46315</v>
      </c>
      <c r="D190" s="70" t="inlineStr">
        <is>
          <t>NeST</t>
        </is>
      </c>
      <c r="E190" s="70" t="inlineStr">
        <is>
          <t>https://nest.go.tz/tenders/published-tenders</t>
        </is>
      </c>
      <c r="F190" s="70" t="inlineStr">
        <is>
          <t>Tabora Regional Secretariat</t>
        </is>
      </c>
      <c r="G190" s="70" t="inlineStr">
        <is>
          <t>government</t>
        </is>
      </c>
      <c r="H190" s="70" t="inlineStr">
        <is>
          <t>CONSTRUCTION OF UYUI DISTRICT ADMINISTRATIVE SECRETARY'S HOUSE.</t>
        </is>
      </c>
      <c r="I190" s="70" t="inlineStr">
        <is>
          <t>From NeST notice (1 lot) – read the tender document</t>
        </is>
      </c>
      <c r="J190" s="70" t="inlineStr">
        <is>
          <t>Tabora (from client's office – confirm site)</t>
        </is>
      </c>
      <c r="K190" s="70" t="inlineStr">
        <is>
          <t>building</t>
        </is>
      </c>
      <c r="L190" s="70" t="inlineStr">
        <is>
          <t>NeST login needed</t>
        </is>
      </c>
      <c r="M190" s="62" t="n"/>
      <c r="N190" s="70" t="inlineStr">
        <is>
          <t>unknown</t>
        </is>
      </c>
      <c r="O190" s="71" t="inlineStr">
        <is>
          <t>NeST login needed</t>
        </is>
      </c>
      <c r="P190" s="71" t="inlineStr">
        <is>
          <t>NeST login needed</t>
        </is>
      </c>
      <c r="Q190" s="72" t="n">
        <v>46322.58333333334</v>
      </c>
      <c r="R190" s="70" t="inlineStr">
        <is>
          <t>NeST login needed</t>
        </is>
      </c>
      <c r="S190" s="70" t="inlineStr">
        <is>
          <t>N</t>
        </is>
      </c>
      <c r="T190" s="64">
        <f>IF(A190="","",IFERROR(INDEX('Bid-NoBid'!$T:$T,MATCH(A190,'Bid-NoBid'!$A:$A,0)),""))</f>
        <v/>
      </c>
      <c r="U190" s="59">
        <f>IF(A190="","",IFERROR(IF(OR(INDEX('Bid-NoBid'!$U:$U,MATCH(A190,'Bid-NoBid'!$A:$A,0))="",LEFT(INDEX('Bid-NoBid'!$U:$U,MATCH(A190,'Bid-NoBid'!$A:$A,0)),10)="Incomplete"),"Screen: "&amp;AC190,INDEX('Bid-NoBid'!$U:$U,MATCH(A190,'Bid-NoBid'!$A:$A,0))),"Screen: "&amp;AC190))</f>
        <v/>
      </c>
      <c r="V190" s="60" t="n"/>
      <c r="W190" s="70" t="inlineStr">
        <is>
          <t>Watching</t>
        </is>
      </c>
      <c r="X190" s="70" t="inlineStr">
        <is>
          <t>Frank</t>
        </is>
      </c>
      <c r="Y190" s="60" t="n"/>
      <c r="Z190" s="60" t="n"/>
      <c r="AA190" s="73" t="n">
        <v>46315</v>
      </c>
      <c r="AB190" s="74" t="inlineStr">
        <is>
          <t>Standard Invitation for Quotations -Works / Planned Tender</t>
        </is>
      </c>
      <c r="AC190" s="74" t="inlineStr">
        <is>
          <t>Check</t>
        </is>
      </c>
      <c r="AD190" s="74" t="inlineStr">
        <is>
          <t>Auto (Standard Invitation for Quotations -Works / Planned Tender): Building works but remote from Dar</t>
        </is>
      </c>
      <c r="AE190" s="67">
        <f>IF(ISNUMBER(Q190),ROUNDDOWN(Q190-NOW(),1),"")</f>
        <v/>
      </c>
      <c r="AF190" s="59">
        <f>IF(OR(A190="",AE190=""),"",IF(NOT(OR(W190="Watching",W190="Preparing")),"",IF(AE190&lt;0,"PASSED",IF(AND(AE190&lt;=7,W190&lt;&gt;"Preparing"),"RED",IF(AE190&lt;=14,"AMBER","GREEN")))))</f>
        <v/>
      </c>
      <c r="AG190" s="59">
        <f>IF(OR(A190="",NOT(OR(W190="Watching",W190="Preparing"))),"",IF(AND(ISNUMBER(M190),M190&gt;=3000000000),"YES – ≥ TZS 3bn",IF(AND(ISNUMBER(AE190),AE190&gt;=0,AE190&lt;10,V190=""),"YES – &lt;10 days","")))</f>
        <v/>
      </c>
      <c r="AH190" s="68" t="n"/>
      <c r="AI190" s="74" t="inlineStr">
        <is>
          <t>Read the notice and decide with the QS Director whether to pursue</t>
        </is>
      </c>
      <c r="AJ190" s="74" t="inlineStr">
        <is>
          <t>Auto-scan</t>
        </is>
      </c>
      <c r="AK190" s="74" t="inlineStr">
        <is>
          <t>dfa9997b-658a-40da-8ecf-3e8a39da3be6</t>
        </is>
      </c>
      <c r="AL190" s="59">
        <f>IF(AND(OR(W190="Watching",W190="Preparing"),ISNUMBER(Q190)),IF(AND(Q190&gt;='Friday Summary'!$C$4,Q190&lt;='Friday Summary'!$C$4+14),Q190+ROW()/1000000,""),"")</f>
        <v/>
      </c>
    </row>
    <row r="191" ht="15" customHeight="1" s="51">
      <c r="A191" s="59">
        <f>IF(B191="","","OP-"&amp;TEXT(ROW()-4,"000"))</f>
        <v/>
      </c>
      <c r="B191" s="70" t="inlineStr">
        <is>
          <t>85/2026/2027/W/05</t>
        </is>
      </c>
      <c r="C191" s="71" t="n">
        <v>46315</v>
      </c>
      <c r="D191" s="70" t="inlineStr">
        <is>
          <t>NeST</t>
        </is>
      </c>
      <c r="E191" s="70" t="inlineStr">
        <is>
          <t>https://nest.go.tz/tenders/published-tenders</t>
        </is>
      </c>
      <c r="F191" s="70" t="inlineStr">
        <is>
          <t>Tabora Regional Secretariat</t>
        </is>
      </c>
      <c r="G191" s="70" t="inlineStr">
        <is>
          <t>government</t>
        </is>
      </c>
      <c r="H191" s="70" t="inlineStr">
        <is>
          <t>COMPLETE REHABILITATION OF SIKONGE DISTRICT COMMISSIONER'S HOUSE(FENCING AND EXTERNAL WORKS</t>
        </is>
      </c>
      <c r="I191" s="70" t="inlineStr">
        <is>
          <t>From NeST notice (1 lot) – read the tender document</t>
        </is>
      </c>
      <c r="J191" s="70" t="inlineStr">
        <is>
          <t>Tabora (Sikonge)</t>
        </is>
      </c>
      <c r="K191" s="70" t="inlineStr">
        <is>
          <t>renovation</t>
        </is>
      </c>
      <c r="L191" s="70" t="inlineStr">
        <is>
          <t>NeST login needed</t>
        </is>
      </c>
      <c r="M191" s="62" t="n"/>
      <c r="N191" s="70" t="inlineStr">
        <is>
          <t>unknown</t>
        </is>
      </c>
      <c r="O191" s="71" t="inlineStr">
        <is>
          <t>NeST login needed</t>
        </is>
      </c>
      <c r="P191" s="71" t="inlineStr">
        <is>
          <t>NeST login needed</t>
        </is>
      </c>
      <c r="Q191" s="72" t="n">
        <v>46322.58333333334</v>
      </c>
      <c r="R191" s="70" t="inlineStr">
        <is>
          <t>NeST login needed</t>
        </is>
      </c>
      <c r="S191" s="70" t="inlineStr">
        <is>
          <t>N</t>
        </is>
      </c>
      <c r="T191" s="64">
        <f>IF(A191="","",IFERROR(INDEX('Bid-NoBid'!$T:$T,MATCH(A191,'Bid-NoBid'!$A:$A,0)),""))</f>
        <v/>
      </c>
      <c r="U191" s="59">
        <f>IF(A191="","",IFERROR(IF(OR(INDEX('Bid-NoBid'!$U:$U,MATCH(A191,'Bid-NoBid'!$A:$A,0))="",LEFT(INDEX('Bid-NoBid'!$U:$U,MATCH(A191,'Bid-NoBid'!$A:$A,0)),10)="Incomplete"),"Screen: "&amp;AC191,INDEX('Bid-NoBid'!$U:$U,MATCH(A191,'Bid-NoBid'!$A:$A,0))),"Screen: "&amp;AC191))</f>
        <v/>
      </c>
      <c r="V191" s="60" t="n"/>
      <c r="W191" s="70" t="inlineStr">
        <is>
          <t>Watching</t>
        </is>
      </c>
      <c r="X191" s="70" t="inlineStr">
        <is>
          <t>Frank</t>
        </is>
      </c>
      <c r="Y191" s="60" t="n"/>
      <c r="Z191" s="60" t="n"/>
      <c r="AA191" s="73" t="n">
        <v>46315</v>
      </c>
      <c r="AB191" s="74" t="inlineStr">
        <is>
          <t>Standard Invitation for Quotations -Works / Planned Tender</t>
        </is>
      </c>
      <c r="AC191" s="74" t="inlineStr">
        <is>
          <t>Check</t>
        </is>
      </c>
      <c r="AD191" s="74" t="inlineStr">
        <is>
          <t>Auto (Standard Invitation for Quotations -Works / Planned Tender): Building works but remote from Dar</t>
        </is>
      </c>
      <c r="AE191" s="67">
        <f>IF(ISNUMBER(Q191),ROUNDDOWN(Q191-NOW(),1),"")</f>
        <v/>
      </c>
      <c r="AF191" s="59">
        <f>IF(OR(A191="",AE191=""),"",IF(NOT(OR(W191="Watching",W191="Preparing")),"",IF(AE191&lt;0,"PASSED",IF(AND(AE191&lt;=7,W191&lt;&gt;"Preparing"),"RED",IF(AE191&lt;=14,"AMBER","GREEN")))))</f>
        <v/>
      </c>
      <c r="AG191" s="59">
        <f>IF(OR(A191="",NOT(OR(W191="Watching",W191="Preparing"))),"",IF(AND(ISNUMBER(M191),M191&gt;=3000000000),"YES – ≥ TZS 3bn",IF(AND(ISNUMBER(AE191),AE191&gt;=0,AE191&lt;10,V191=""),"YES – &lt;10 days","")))</f>
        <v/>
      </c>
      <c r="AH191" s="68" t="n"/>
      <c r="AI191" s="74" t="inlineStr">
        <is>
          <t>Read the notice and decide with the QS Director whether to pursue</t>
        </is>
      </c>
      <c r="AJ191" s="74" t="inlineStr">
        <is>
          <t>Auto-scan</t>
        </is>
      </c>
      <c r="AK191" s="74" t="inlineStr">
        <is>
          <t>43eefae6-c091-4773-adff-108f2acd7350</t>
        </is>
      </c>
      <c r="AL191" s="59">
        <f>IF(AND(OR(W191="Watching",W191="Preparing"),ISNUMBER(Q191)),IF(AND(Q191&gt;='Friday Summary'!$C$4,Q191&lt;='Friday Summary'!$C$4+14),Q191+ROW()/1000000,""),"")</f>
        <v/>
      </c>
    </row>
    <row r="192" ht="15" customHeight="1" s="51">
      <c r="A192" s="59">
        <f>IF(B192="","","OP-"&amp;TEXT(ROW()-4,"000"))</f>
        <v/>
      </c>
      <c r="B192" s="70" t="inlineStr">
        <is>
          <t>85/2026/2027/W/07</t>
        </is>
      </c>
      <c r="C192" s="71" t="n">
        <v>46315</v>
      </c>
      <c r="D192" s="70" t="inlineStr">
        <is>
          <t>NeST</t>
        </is>
      </c>
      <c r="E192" s="70" t="inlineStr">
        <is>
          <t>https://nest.go.tz/tenders/published-tenders</t>
        </is>
      </c>
      <c r="F192" s="70" t="inlineStr">
        <is>
          <t>Tabora Regional Secretariat</t>
        </is>
      </c>
      <c r="G192" s="70" t="inlineStr">
        <is>
          <t>government</t>
        </is>
      </c>
      <c r="H192" s="70" t="inlineStr">
        <is>
          <t>CONSTRUCTION OF URAMBO DISTRICT ADMINISTRATIVE SECRETARY'S HOUSE.</t>
        </is>
      </c>
      <c r="I192" s="70" t="inlineStr">
        <is>
          <t>From NeST notice (1 lot) – read the tender document</t>
        </is>
      </c>
      <c r="J192" s="70" t="inlineStr">
        <is>
          <t>Tabora (from client's office – confirm site)</t>
        </is>
      </c>
      <c r="K192" s="70" t="inlineStr">
        <is>
          <t>building</t>
        </is>
      </c>
      <c r="L192" s="70" t="inlineStr">
        <is>
          <t>NeST login needed</t>
        </is>
      </c>
      <c r="M192" s="62" t="n"/>
      <c r="N192" s="70" t="inlineStr">
        <is>
          <t>unknown</t>
        </is>
      </c>
      <c r="O192" s="71" t="inlineStr">
        <is>
          <t>NeST login needed</t>
        </is>
      </c>
      <c r="P192" s="71" t="inlineStr">
        <is>
          <t>NeST login needed</t>
        </is>
      </c>
      <c r="Q192" s="72" t="n">
        <v>46322.58333333334</v>
      </c>
      <c r="R192" s="70" t="inlineStr">
        <is>
          <t>NeST login needed</t>
        </is>
      </c>
      <c r="S192" s="70" t="inlineStr">
        <is>
          <t>N</t>
        </is>
      </c>
      <c r="T192" s="64">
        <f>IF(A192="","",IFERROR(INDEX('Bid-NoBid'!$T:$T,MATCH(A192,'Bid-NoBid'!$A:$A,0)),""))</f>
        <v/>
      </c>
      <c r="U192" s="59">
        <f>IF(A192="","",IFERROR(IF(OR(INDEX('Bid-NoBid'!$U:$U,MATCH(A192,'Bid-NoBid'!$A:$A,0))="",LEFT(INDEX('Bid-NoBid'!$U:$U,MATCH(A192,'Bid-NoBid'!$A:$A,0)),10)="Incomplete"),"Screen: "&amp;AC192,INDEX('Bid-NoBid'!$U:$U,MATCH(A192,'Bid-NoBid'!$A:$A,0))),"Screen: "&amp;AC192))</f>
        <v/>
      </c>
      <c r="V192" s="60" t="n"/>
      <c r="W192" s="70" t="inlineStr">
        <is>
          <t>Watching</t>
        </is>
      </c>
      <c r="X192" s="70" t="inlineStr">
        <is>
          <t>Frank</t>
        </is>
      </c>
      <c r="Y192" s="60" t="n"/>
      <c r="Z192" s="60" t="n"/>
      <c r="AA192" s="73" t="n">
        <v>46315</v>
      </c>
      <c r="AB192" s="74" t="inlineStr">
        <is>
          <t>Standard Invitation for Quotations -Works / Planned Tender</t>
        </is>
      </c>
      <c r="AC192" s="74" t="inlineStr">
        <is>
          <t>Check</t>
        </is>
      </c>
      <c r="AD192" s="74" t="inlineStr">
        <is>
          <t>Auto (Standard Invitation for Quotations -Works / Planned Tender): Building works but remote from Dar</t>
        </is>
      </c>
      <c r="AE192" s="67">
        <f>IF(ISNUMBER(Q192),ROUNDDOWN(Q192-NOW(),1),"")</f>
        <v/>
      </c>
      <c r="AF192" s="59">
        <f>IF(OR(A192="",AE192=""),"",IF(NOT(OR(W192="Watching",W192="Preparing")),"",IF(AE192&lt;0,"PASSED",IF(AND(AE192&lt;=7,W192&lt;&gt;"Preparing"),"RED",IF(AE192&lt;=14,"AMBER","GREEN")))))</f>
        <v/>
      </c>
      <c r="AG192" s="59">
        <f>IF(OR(A192="",NOT(OR(W192="Watching",W192="Preparing"))),"",IF(AND(ISNUMBER(M192),M192&gt;=3000000000),"YES – ≥ TZS 3bn",IF(AND(ISNUMBER(AE192),AE192&gt;=0,AE192&lt;10,V192=""),"YES – &lt;10 days","")))</f>
        <v/>
      </c>
      <c r="AH192" s="68" t="n"/>
      <c r="AI192" s="74" t="inlineStr">
        <is>
          <t>Read the notice and decide with the QS Director whether to pursue</t>
        </is>
      </c>
      <c r="AJ192" s="74" t="inlineStr">
        <is>
          <t>Auto-scan</t>
        </is>
      </c>
      <c r="AK192" s="74" t="inlineStr">
        <is>
          <t>a72570b7-f137-4388-a67b-cc672acafceb</t>
        </is>
      </c>
      <c r="AL192" s="59">
        <f>IF(AND(OR(W192="Watching",W192="Preparing"),ISNUMBER(Q192)),IF(AND(Q192&gt;='Friday Summary'!$C$4,Q192&lt;='Friday Summary'!$C$4+14),Q192+ROW()/1000000,""),"")</f>
        <v/>
      </c>
    </row>
    <row r="193" ht="15" customHeight="1" s="51">
      <c r="A193" s="59">
        <f>IF(B193="","","OP-"&amp;TEXT(ROW()-4,"000"))</f>
        <v/>
      </c>
      <c r="B193" s="70" t="inlineStr">
        <is>
          <t>85/2026/2027/W/04</t>
        </is>
      </c>
      <c r="C193" s="71" t="n">
        <v>46315</v>
      </c>
      <c r="D193" s="70" t="inlineStr">
        <is>
          <t>NeST</t>
        </is>
      </c>
      <c r="E193" s="70" t="inlineStr">
        <is>
          <t>https://nest.go.tz/tenders/published-tenders</t>
        </is>
      </c>
      <c r="F193" s="70" t="inlineStr">
        <is>
          <t>Tabora Regional Secretariat</t>
        </is>
      </c>
      <c r="G193" s="70" t="inlineStr">
        <is>
          <t>government</t>
        </is>
      </c>
      <c r="H193" s="70" t="inlineStr">
        <is>
          <t>CONSTRUCTION OF NZEGA DISTRICT ADMINISTRATIVE SECRETARY'S HOUSE.</t>
        </is>
      </c>
      <c r="I193" s="70" t="inlineStr">
        <is>
          <t>From NeST notice (1 lot) – read the tender document</t>
        </is>
      </c>
      <c r="J193" s="70" t="inlineStr">
        <is>
          <t>Tabora (from client's office – confirm site)</t>
        </is>
      </c>
      <c r="K193" s="70" t="inlineStr">
        <is>
          <t>building</t>
        </is>
      </c>
      <c r="L193" s="70" t="inlineStr">
        <is>
          <t>NeST login needed</t>
        </is>
      </c>
      <c r="M193" s="62" t="n"/>
      <c r="N193" s="70" t="inlineStr">
        <is>
          <t>unknown</t>
        </is>
      </c>
      <c r="O193" s="71" t="inlineStr">
        <is>
          <t>NeST login needed</t>
        </is>
      </c>
      <c r="P193" s="71" t="inlineStr">
        <is>
          <t>NeST login needed</t>
        </is>
      </c>
      <c r="Q193" s="72" t="n">
        <v>46322.58333333334</v>
      </c>
      <c r="R193" s="70" t="inlineStr">
        <is>
          <t>NeST login needed</t>
        </is>
      </c>
      <c r="S193" s="70" t="inlineStr">
        <is>
          <t>N</t>
        </is>
      </c>
      <c r="T193" s="64">
        <f>IF(A193="","",IFERROR(INDEX('Bid-NoBid'!$T:$T,MATCH(A193,'Bid-NoBid'!$A:$A,0)),""))</f>
        <v/>
      </c>
      <c r="U193" s="59">
        <f>IF(A193="","",IFERROR(IF(OR(INDEX('Bid-NoBid'!$U:$U,MATCH(A193,'Bid-NoBid'!$A:$A,0))="",LEFT(INDEX('Bid-NoBid'!$U:$U,MATCH(A193,'Bid-NoBid'!$A:$A,0)),10)="Incomplete"),"Screen: "&amp;AC193,INDEX('Bid-NoBid'!$U:$U,MATCH(A193,'Bid-NoBid'!$A:$A,0))),"Screen: "&amp;AC193))</f>
        <v/>
      </c>
      <c r="V193" s="60" t="n"/>
      <c r="W193" s="70" t="inlineStr">
        <is>
          <t>Watching</t>
        </is>
      </c>
      <c r="X193" s="70" t="inlineStr">
        <is>
          <t>Frank</t>
        </is>
      </c>
      <c r="Y193" s="60" t="n"/>
      <c r="Z193" s="60" t="n"/>
      <c r="AA193" s="73" t="n">
        <v>46315</v>
      </c>
      <c r="AB193" s="74" t="inlineStr">
        <is>
          <t>Standard Invitation for Quotations -Works / Planned Tender</t>
        </is>
      </c>
      <c r="AC193" s="74" t="inlineStr">
        <is>
          <t>Check</t>
        </is>
      </c>
      <c r="AD193" s="74" t="inlineStr">
        <is>
          <t>Auto (Standard Invitation for Quotations -Works / Planned Tender): Building works but remote from Dar</t>
        </is>
      </c>
      <c r="AE193" s="67">
        <f>IF(ISNUMBER(Q193),ROUNDDOWN(Q193-NOW(),1),"")</f>
        <v/>
      </c>
      <c r="AF193" s="59">
        <f>IF(OR(A193="",AE193=""),"",IF(NOT(OR(W193="Watching",W193="Preparing")),"",IF(AE193&lt;0,"PASSED",IF(AND(AE193&lt;=7,W193&lt;&gt;"Preparing"),"RED",IF(AE193&lt;=14,"AMBER","GREEN")))))</f>
        <v/>
      </c>
      <c r="AG193" s="59">
        <f>IF(OR(A193="",NOT(OR(W193="Watching",W193="Preparing"))),"",IF(AND(ISNUMBER(M193),M193&gt;=3000000000),"YES – ≥ TZS 3bn",IF(AND(ISNUMBER(AE193),AE193&gt;=0,AE193&lt;10,V193=""),"YES – &lt;10 days","")))</f>
        <v/>
      </c>
      <c r="AH193" s="68" t="n"/>
      <c r="AI193" s="74" t="inlineStr">
        <is>
          <t>Read the notice and decide with the QS Director whether to pursue</t>
        </is>
      </c>
      <c r="AJ193" s="74" t="inlineStr">
        <is>
          <t>Auto-scan</t>
        </is>
      </c>
      <c r="AK193" s="74" t="inlineStr">
        <is>
          <t>de3b9518-bfcc-441c-bf2f-4c91c1b60c5d</t>
        </is>
      </c>
      <c r="AL193" s="59">
        <f>IF(AND(OR(W193="Watching",W193="Preparing"),ISNUMBER(Q193)),IF(AND(Q193&gt;='Friday Summary'!$C$4,Q193&lt;='Friday Summary'!$C$4+14),Q193+ROW()/1000000,""),"")</f>
        <v/>
      </c>
    </row>
    <row r="194" ht="15" customHeight="1" s="51">
      <c r="A194" s="59">
        <f>IF(B194="","","OP-"&amp;TEXT(ROW()-4,"000"))</f>
        <v/>
      </c>
      <c r="B194" s="70" t="inlineStr">
        <is>
          <t>85/2026/2027/W/10</t>
        </is>
      </c>
      <c r="C194" s="71" t="n">
        <v>46315</v>
      </c>
      <c r="D194" s="70" t="inlineStr">
        <is>
          <t>NeST</t>
        </is>
      </c>
      <c r="E194" s="70" t="inlineStr">
        <is>
          <t>https://nest.go.tz/tenders/published-tenders</t>
        </is>
      </c>
      <c r="F194" s="70" t="inlineStr">
        <is>
          <t>Tabora Regional Secretariat</t>
        </is>
      </c>
      <c r="G194" s="70" t="inlineStr">
        <is>
          <t>government</t>
        </is>
      </c>
      <c r="H194" s="70" t="inlineStr">
        <is>
          <t>CONSTRUCTION OF TABORA DISTRICT COMMISSIONER'S HOUSE.</t>
        </is>
      </c>
      <c r="I194" s="70" t="inlineStr">
        <is>
          <t>From NeST notice (1 lot) – read the tender document</t>
        </is>
      </c>
      <c r="J194" s="70" t="inlineStr">
        <is>
          <t>Tabora</t>
        </is>
      </c>
      <c r="K194" s="70" t="inlineStr">
        <is>
          <t>building</t>
        </is>
      </c>
      <c r="L194" s="70" t="inlineStr">
        <is>
          <t>NeST login needed</t>
        </is>
      </c>
      <c r="M194" s="62" t="n"/>
      <c r="N194" s="70" t="inlineStr">
        <is>
          <t>unknown</t>
        </is>
      </c>
      <c r="O194" s="71" t="inlineStr">
        <is>
          <t>NeST login needed</t>
        </is>
      </c>
      <c r="P194" s="71" t="inlineStr">
        <is>
          <t>NeST login needed</t>
        </is>
      </c>
      <c r="Q194" s="72" t="n">
        <v>46322.58333333334</v>
      </c>
      <c r="R194" s="70" t="inlineStr">
        <is>
          <t>NeST login needed</t>
        </is>
      </c>
      <c r="S194" s="70" t="inlineStr">
        <is>
          <t>N</t>
        </is>
      </c>
      <c r="T194" s="64">
        <f>IF(A194="","",IFERROR(INDEX('Bid-NoBid'!$T:$T,MATCH(A194,'Bid-NoBid'!$A:$A,0)),""))</f>
        <v/>
      </c>
      <c r="U194" s="59">
        <f>IF(A194="","",IFERROR(IF(OR(INDEX('Bid-NoBid'!$U:$U,MATCH(A194,'Bid-NoBid'!$A:$A,0))="",LEFT(INDEX('Bid-NoBid'!$U:$U,MATCH(A194,'Bid-NoBid'!$A:$A,0)),10)="Incomplete"),"Screen: "&amp;AC194,INDEX('Bid-NoBid'!$U:$U,MATCH(A194,'Bid-NoBid'!$A:$A,0))),"Screen: "&amp;AC194))</f>
        <v/>
      </c>
      <c r="V194" s="60" t="n"/>
      <c r="W194" s="70" t="inlineStr">
        <is>
          <t>Watching</t>
        </is>
      </c>
      <c r="X194" s="70" t="inlineStr">
        <is>
          <t>Frank</t>
        </is>
      </c>
      <c r="Y194" s="60" t="n"/>
      <c r="Z194" s="60" t="n"/>
      <c r="AA194" s="73" t="n">
        <v>46315</v>
      </c>
      <c r="AB194" s="74" t="inlineStr">
        <is>
          <t>Standard Invitation for Quotations -Works / Planned Tender</t>
        </is>
      </c>
      <c r="AC194" s="74" t="inlineStr">
        <is>
          <t>Check</t>
        </is>
      </c>
      <c r="AD194" s="74" t="inlineStr">
        <is>
          <t>Auto (Standard Invitation for Quotations -Works / Planned Tender): Building works but remote from Dar</t>
        </is>
      </c>
      <c r="AE194" s="67">
        <f>IF(ISNUMBER(Q194),ROUNDDOWN(Q194-NOW(),1),"")</f>
        <v/>
      </c>
      <c r="AF194" s="59">
        <f>IF(OR(A194="",AE194=""),"",IF(NOT(OR(W194="Watching",W194="Preparing")),"",IF(AE194&lt;0,"PASSED",IF(AND(AE194&lt;=7,W194&lt;&gt;"Preparing"),"RED",IF(AE194&lt;=14,"AMBER","GREEN")))))</f>
        <v/>
      </c>
      <c r="AG194" s="59">
        <f>IF(OR(A194="",NOT(OR(W194="Watching",W194="Preparing"))),"",IF(AND(ISNUMBER(M194),M194&gt;=3000000000),"YES – ≥ TZS 3bn",IF(AND(ISNUMBER(AE194),AE194&gt;=0,AE194&lt;10,V194=""),"YES – &lt;10 days","")))</f>
        <v/>
      </c>
      <c r="AH194" s="68" t="n"/>
      <c r="AI194" s="74" t="inlineStr">
        <is>
          <t>Read the notice and decide with the QS Director whether to pursue</t>
        </is>
      </c>
      <c r="AJ194" s="74" t="inlineStr">
        <is>
          <t>Auto-scan</t>
        </is>
      </c>
      <c r="AK194" s="74" t="inlineStr">
        <is>
          <t>f493d12f-2554-4627-93f5-cdd9407924df</t>
        </is>
      </c>
      <c r="AL194" s="59">
        <f>IF(AND(OR(W194="Watching",W194="Preparing"),ISNUMBER(Q194)),IF(AND(Q194&gt;='Friday Summary'!$C$4,Q194&lt;='Friday Summary'!$C$4+14),Q194+ROW()/1000000,""),"")</f>
        <v/>
      </c>
    </row>
    <row r="195" ht="15" customHeight="1" s="51">
      <c r="A195" s="59">
        <f>IF(B195="","","OP-"&amp;TEXT(ROW()-4,"000"))</f>
        <v/>
      </c>
      <c r="B195" s="70" t="inlineStr">
        <is>
          <t>TR219/2026/2027/W/13</t>
        </is>
      </c>
      <c r="C195" s="71" t="n">
        <v>46315</v>
      </c>
      <c r="D195" s="70" t="inlineStr">
        <is>
          <t>NeST</t>
        </is>
      </c>
      <c r="E195" s="70" t="inlineStr">
        <is>
          <t>https://nest.go.tz/tenders/published-tenders</t>
        </is>
      </c>
      <c r="F195" s="70" t="inlineStr">
        <is>
          <t>Tanzania National Parks</t>
        </is>
      </c>
      <c r="G195" s="70" t="inlineStr">
        <is>
          <t>government</t>
        </is>
      </c>
      <c r="H195" s="70" t="inlineStr">
        <is>
          <t>CONSTRUCTION OF BRIDGES AT BONA, MOKASI AND WARANGI YA CHINI IN SERENGETI NATIONAL PARK</t>
        </is>
      </c>
      <c r="I195" s="70" t="inlineStr">
        <is>
          <t>From NeST notice (1 lot) – read the tender document</t>
        </is>
      </c>
      <c r="J195" s="70" t="inlineStr">
        <is>
          <t>Arusha (from client's office – confirm site)</t>
        </is>
      </c>
      <c r="K195" s="70" t="inlineStr">
        <is>
          <t>civil</t>
        </is>
      </c>
      <c r="L195" s="70" t="inlineStr">
        <is>
          <t>NeST login needed</t>
        </is>
      </c>
      <c r="M195" s="62" t="n"/>
      <c r="N195" s="70" t="inlineStr">
        <is>
          <t>unknown</t>
        </is>
      </c>
      <c r="O195" s="71" t="inlineStr">
        <is>
          <t>NeST login needed</t>
        </is>
      </c>
      <c r="P195" s="71" t="inlineStr">
        <is>
          <t>NeST login needed</t>
        </is>
      </c>
      <c r="Q195" s="72" t="n">
        <v>46324.58333333334</v>
      </c>
      <c r="R195" s="70" t="inlineStr">
        <is>
          <t>NeST login needed</t>
        </is>
      </c>
      <c r="S195" s="70" t="inlineStr">
        <is>
          <t>N</t>
        </is>
      </c>
      <c r="T195" s="64">
        <f>IF(A195="","",IFERROR(INDEX('Bid-NoBid'!$T:$T,MATCH(A195,'Bid-NoBid'!$A:$A,0)),""))</f>
        <v/>
      </c>
      <c r="U195" s="59">
        <f>IF(A195="","",IFERROR(IF(OR(INDEX('Bid-NoBid'!$U:$U,MATCH(A195,'Bid-NoBid'!$A:$A,0))="",LEFT(INDEX('Bid-NoBid'!$U:$U,MATCH(A195,'Bid-NoBid'!$A:$A,0)),10)="Incomplete"),"Screen: "&amp;AC195,INDEX('Bid-NoBid'!$U:$U,MATCH(A195,'Bid-NoBid'!$A:$A,0))),"Screen: "&amp;AC195))</f>
        <v/>
      </c>
      <c r="V195" s="60" t="n"/>
      <c r="W195" s="70" t="inlineStr">
        <is>
          <t>Watching</t>
        </is>
      </c>
      <c r="X195" s="70" t="inlineStr">
        <is>
          <t>Frank</t>
        </is>
      </c>
      <c r="Y195" s="60" t="n"/>
      <c r="Z195" s="60" t="n"/>
      <c r="AA195" s="73" t="n">
        <v>46314</v>
      </c>
      <c r="AB195" s="74" t="inlineStr">
        <is>
          <t>Small Works / Tender</t>
        </is>
      </c>
      <c r="AC195" s="74" t="inlineStr">
        <is>
          <t>Check</t>
        </is>
      </c>
      <c r="AD195" s="74" t="inlineStr">
        <is>
          <t>Auto (Small Works / Tender): Construction tender kept for review (would have been dropped: Remote civil works)</t>
        </is>
      </c>
      <c r="AE195" s="67">
        <f>IF(ISNUMBER(Q195),ROUNDDOWN(Q195-NOW(),1),"")</f>
        <v/>
      </c>
      <c r="AF195" s="59">
        <f>IF(OR(A195="",AE195=""),"",IF(NOT(OR(W195="Watching",W195="Preparing")),"",IF(AE195&lt;0,"PASSED",IF(AND(AE195&lt;=7,W195&lt;&gt;"Preparing"),"RED",IF(AE195&lt;=14,"AMBER","GREEN")))))</f>
        <v/>
      </c>
      <c r="AG195" s="59">
        <f>IF(OR(A195="",NOT(OR(W195="Watching",W195="Preparing"))),"",IF(AND(ISNUMBER(M195),M195&gt;=3000000000),"YES – ≥ TZS 3bn",IF(AND(ISNUMBER(AE195),AE195&gt;=0,AE195&lt;10,V195=""),"YES – &lt;10 days","")))</f>
        <v/>
      </c>
      <c r="AH195" s="68" t="n"/>
      <c r="AI195" s="74" t="inlineStr">
        <is>
          <t>Read the notice and decide with the QS Director whether to pursue</t>
        </is>
      </c>
      <c r="AJ195" s="74" t="inlineStr">
        <is>
          <t>Auto-scan</t>
        </is>
      </c>
      <c r="AK195" s="74" t="inlineStr">
        <is>
          <t>466b1415-72b3-4bed-8c06-aed1fefecd10</t>
        </is>
      </c>
      <c r="AL195" s="59">
        <f>IF(AND(OR(W195="Watching",W195="Preparing"),ISNUMBER(Q195)),IF(AND(Q195&gt;='Friday Summary'!$C$4,Q195&lt;='Friday Summary'!$C$4+14),Q195+ROW()/1000000,""),"")</f>
        <v/>
      </c>
    </row>
    <row r="196" ht="15" customHeight="1" s="51">
      <c r="A196" s="59">
        <f>IF(B196="","","OP-"&amp;TEXT(ROW()-4,"000"))</f>
        <v/>
      </c>
      <c r="B196" s="70" t="inlineStr">
        <is>
          <t>(not shown)</t>
        </is>
      </c>
      <c r="C196" s="71" t="n">
        <v>46315</v>
      </c>
      <c r="D196" s="70" t="inlineStr">
        <is>
          <t>press</t>
        </is>
      </c>
      <c r="E196" s="70" t="inlineStr">
        <is>
          <t>https://www.tanzaniatenders.com/tender/iucn-26-10-renovation-storage-chamber-vz-1117-90328ab.php</t>
        </is>
      </c>
      <c r="F196" s="70" t="inlineStr">
        <is>
          <t>See advert</t>
        </is>
      </c>
      <c r="G196" s="70" t="inlineStr">
        <is>
          <t>government</t>
        </is>
      </c>
      <c r="H196" s="70" t="inlineStr">
        <is>
          <t>Iucn-26-10-Renovation Storage Chamber Vz-1117</t>
        </is>
      </c>
      <c r="I196" s="70" t="inlineStr">
        <is>
          <t>From press notice (1 lot) – read the tender document</t>
        </is>
      </c>
      <c r="J196" s="70" t="inlineStr">
        <is>
          <t>Not stated – read the notice</t>
        </is>
      </c>
      <c r="K196" s="70" t="inlineStr">
        <is>
          <t>renovation</t>
        </is>
      </c>
      <c r="L196" s="70" t="inlineStr">
        <is>
          <t>See tender document</t>
        </is>
      </c>
      <c r="M196" s="62" t="n"/>
      <c r="N196" s="70" t="inlineStr">
        <is>
          <t>unknown</t>
        </is>
      </c>
      <c r="O196" s="71" t="inlineStr">
        <is>
          <t>See tender document</t>
        </is>
      </c>
      <c r="P196" s="71" t="inlineStr">
        <is>
          <t>See tender document</t>
        </is>
      </c>
      <c r="Q196" s="72" t="n">
        <v>46334.41666666666</v>
      </c>
      <c r="R196" s="70" t="inlineStr">
        <is>
          <t>See tender document</t>
        </is>
      </c>
      <c r="S196" s="70" t="inlineStr">
        <is>
          <t>N</t>
        </is>
      </c>
      <c r="T196" s="64">
        <f>IF(A196="","",IFERROR(INDEX('Bid-NoBid'!$T:$T,MATCH(A196,'Bid-NoBid'!$A:$A,0)),""))</f>
        <v/>
      </c>
      <c r="U196" s="59">
        <f>IF(A196="","",IFERROR(IF(OR(INDEX('Bid-NoBid'!$U:$U,MATCH(A196,'Bid-NoBid'!$A:$A,0))="",LEFT(INDEX('Bid-NoBid'!$U:$U,MATCH(A196,'Bid-NoBid'!$A:$A,0)),10)="Incomplete"),"Screen: "&amp;AC196,INDEX('Bid-NoBid'!$U:$U,MATCH(A196,'Bid-NoBid'!$A:$A,0))),"Screen: "&amp;AC196))</f>
        <v/>
      </c>
      <c r="V196" s="60" t="n"/>
      <c r="W196" s="70" t="inlineStr">
        <is>
          <t>Watching</t>
        </is>
      </c>
      <c r="X196" s="70" t="inlineStr">
        <is>
          <t>Frank</t>
        </is>
      </c>
      <c r="Y196" s="60" t="n"/>
      <c r="Z196" s="60" t="n"/>
      <c r="AA196" s="73" t="n"/>
      <c r="AB196" s="74" t="inlineStr">
        <is>
          <t>TanzaniaTenders.com (newspapers / portals / private)</t>
        </is>
      </c>
      <c r="AC196" s="74" t="inlineStr">
        <is>
          <t>Check</t>
        </is>
      </c>
      <c r="AD196" s="74" t="inlineStr">
        <is>
          <t>Auto (TanzaniaTenders.com): Site not stated in the listing – read the notice · deadline read from the web page – confirm</t>
        </is>
      </c>
      <c r="AE196" s="67">
        <f>IF(ISNUMBER(Q196),ROUNDDOWN(Q196-NOW(),1),"")</f>
        <v/>
      </c>
      <c r="AF196" s="59">
        <f>IF(OR(A196="",AE196=""),"",IF(NOT(OR(W196="Watching",W196="Preparing")),"",IF(AE196&lt;0,"PASSED",IF(AND(AE196&lt;=7,W196&lt;&gt;"Preparing"),"RED",IF(AE196&lt;=14,"AMBER","GREEN")))))</f>
        <v/>
      </c>
      <c r="AG196" s="59">
        <f>IF(OR(A196="",NOT(OR(W196="Watching",W196="Preparing"))),"",IF(AND(ISNUMBER(M196),M196&gt;=3000000000),"YES – ≥ TZS 3bn",IF(AND(ISNUMBER(AE196),AE196&gt;=0,AE196&lt;10,V196=""),"YES – &lt;10 days","")))</f>
        <v/>
      </c>
      <c r="AH196" s="68" t="n"/>
      <c r="AI196" s="74" t="inlineStr">
        <is>
          <t>Read the notice and decide with the QS Director whether to pursue</t>
        </is>
      </c>
      <c r="AJ196" s="74" t="inlineStr">
        <is>
          <t>Auto-scan</t>
        </is>
      </c>
      <c r="AK196" s="74" t="inlineStr">
        <is>
          <t>TZT:151201963</t>
        </is>
      </c>
      <c r="AL196" s="59">
        <f>IF(AND(OR(W196="Watching",W196="Preparing"),ISNUMBER(Q196)),IF(AND(Q196&gt;='Friday Summary'!$C$4,Q196&lt;='Friday Summary'!$C$4+14),Q196+ROW()/1000000,""),"")</f>
        <v/>
      </c>
    </row>
    <row r="197" ht="15" customHeight="1" s="51">
      <c r="A197" s="59">
        <f>IF(B197="","","OP-"&amp;TEXT(ROW()-4,"000"))</f>
        <v/>
      </c>
      <c r="B197" s="70" t="inlineStr">
        <is>
          <t>70A8/2026/2027/W/03</t>
        </is>
      </c>
      <c r="C197" s="71" t="n">
        <v>46316</v>
      </c>
      <c r="D197" s="70" t="inlineStr">
        <is>
          <t>NeST</t>
        </is>
      </c>
      <c r="E197" s="70" t="inlineStr">
        <is>
          <t>https://nest.go.tz/tenders/published-tenders</t>
        </is>
      </c>
      <c r="F197" s="70" t="inlineStr">
        <is>
          <t>Simanjiro District Council</t>
        </is>
      </c>
      <c r="G197" s="70" t="inlineStr">
        <is>
          <t>government</t>
        </is>
      </c>
      <c r="H197" s="70" t="inlineStr">
        <is>
          <t>Construction 2 staff houses (Head of Division/Unit) at Simanjiro District Council</t>
        </is>
      </c>
      <c r="I197" s="70" t="inlineStr">
        <is>
          <t>From NeST notice (1 lot) – read the tender document</t>
        </is>
      </c>
      <c r="J197" s="70" t="inlineStr">
        <is>
          <t>Manyara (from client's office – confirm site)</t>
        </is>
      </c>
      <c r="K197" s="70" t="inlineStr">
        <is>
          <t>building</t>
        </is>
      </c>
      <c r="L197" s="70" t="inlineStr">
        <is>
          <t>NeST login needed</t>
        </is>
      </c>
      <c r="M197" s="62" t="n"/>
      <c r="N197" s="70" t="inlineStr">
        <is>
          <t>unknown</t>
        </is>
      </c>
      <c r="O197" s="71" t="inlineStr">
        <is>
          <t>NeST login needed</t>
        </is>
      </c>
      <c r="P197" s="71" t="inlineStr">
        <is>
          <t>NeST login needed</t>
        </is>
      </c>
      <c r="Q197" s="72" t="n">
        <v>46321.58333333334</v>
      </c>
      <c r="R197" s="70" t="inlineStr">
        <is>
          <t>NeST login needed</t>
        </is>
      </c>
      <c r="S197" s="70" t="inlineStr">
        <is>
          <t>N</t>
        </is>
      </c>
      <c r="T197" s="64">
        <f>IF(A197="","",IFERROR(INDEX('Bid-NoBid'!$T:$T,MATCH(A197,'Bid-NoBid'!$A:$A,0)),""))</f>
        <v/>
      </c>
      <c r="U197" s="59">
        <f>IF(A197="","",IFERROR(IF(OR(INDEX('Bid-NoBid'!$U:$U,MATCH(A197,'Bid-NoBid'!$A:$A,0))="",LEFT(INDEX('Bid-NoBid'!$U:$U,MATCH(A197,'Bid-NoBid'!$A:$A,0)),10)="Incomplete"),"Screen: "&amp;AC197,INDEX('Bid-NoBid'!$U:$U,MATCH(A197,'Bid-NoBid'!$A:$A,0))),"Screen: "&amp;AC197))</f>
        <v/>
      </c>
      <c r="V197" s="60" t="n"/>
      <c r="W197" s="70" t="inlineStr">
        <is>
          <t>Watching</t>
        </is>
      </c>
      <c r="X197" s="70" t="inlineStr">
        <is>
          <t>Frank</t>
        </is>
      </c>
      <c r="Y197" s="60" t="n"/>
      <c r="Z197" s="60" t="n"/>
      <c r="AA197" s="73" t="n">
        <v>46315</v>
      </c>
      <c r="AB197" s="74" t="inlineStr">
        <is>
          <t>Small Works / Tender</t>
        </is>
      </c>
      <c r="AC197" s="74" t="inlineStr">
        <is>
          <t>Check</t>
        </is>
      </c>
      <c r="AD197" s="74" t="inlineStr">
        <is>
          <t>Auto (Small Works / Tender): Construction tender kept for review (would have been dropped: Remote and closing soon)</t>
        </is>
      </c>
      <c r="AE197" s="67">
        <f>IF(ISNUMBER(Q197),ROUNDDOWN(Q197-NOW(),1),"")</f>
        <v/>
      </c>
      <c r="AF197" s="59">
        <f>IF(OR(A197="",AE197=""),"",IF(NOT(OR(W197="Watching",W197="Preparing")),"",IF(AE197&lt;0,"PASSED",IF(AND(AE197&lt;=7,W197&lt;&gt;"Preparing"),"RED",IF(AE197&lt;=14,"AMBER","GREEN")))))</f>
        <v/>
      </c>
      <c r="AG197" s="59">
        <f>IF(OR(A197="",NOT(OR(W197="Watching",W197="Preparing"))),"",IF(AND(ISNUMBER(M197),M197&gt;=3000000000),"YES – ≥ TZS 3bn",IF(AND(ISNUMBER(AE197),AE197&gt;=0,AE197&lt;10,V197=""),"YES – &lt;10 days","")))</f>
        <v/>
      </c>
      <c r="AH197" s="68" t="n"/>
      <c r="AI197" s="74" t="inlineStr">
        <is>
          <t>Read the notice and decide with the QS Director whether to pursue</t>
        </is>
      </c>
      <c r="AJ197" s="74" t="inlineStr">
        <is>
          <t>Auto-scan</t>
        </is>
      </c>
      <c r="AK197" s="74" t="inlineStr">
        <is>
          <t>997fd8a5-514e-4276-95bb-75656e422f29</t>
        </is>
      </c>
      <c r="AL197" s="59">
        <f>IF(AND(OR(W197="Watching",W197="Preparing"),ISNUMBER(Q197)),IF(AND(Q197&gt;='Friday Summary'!$C$4,Q197&lt;='Friday Summary'!$C$4+14),Q197+ROW()/1000000,""),"")</f>
        <v/>
      </c>
    </row>
    <row r="198" ht="15" customHeight="1" s="51">
      <c r="A198" s="59">
        <f>IF(B198="","","OP-"&amp;TEXT(ROW()-4,"000"))</f>
        <v/>
      </c>
      <c r="B198" s="70" t="inlineStr">
        <is>
          <t>TR168/2026/2027/W/11</t>
        </is>
      </c>
      <c r="C198" s="71" t="n">
        <v>46316</v>
      </c>
      <c r="D198" s="70" t="inlineStr">
        <is>
          <t>NeST</t>
        </is>
      </c>
      <c r="E198" s="70" t="inlineStr">
        <is>
          <t>https://nest.go.tz/tenders/published-tenders</t>
        </is>
      </c>
      <c r="F198" s="70" t="inlineStr">
        <is>
          <t>Kigoma Urban Water Supply and Sanitation Authority</t>
        </is>
      </c>
      <c r="G198" s="70" t="inlineStr">
        <is>
          <t>government</t>
        </is>
      </c>
      <c r="H198" s="70" t="inlineStr">
        <is>
          <t>CONSTRUCTION OF A WATER STORAGE TANK WITH A CAPACITY OF 1,000 CUBIC METERS AND WATER NETWORK IMPROVEMENT PROJECT AT MWANDIGA</t>
        </is>
      </c>
      <c r="I198" s="70" t="inlineStr">
        <is>
          <t>From NeST notice (1 lot) – read the tender document</t>
        </is>
      </c>
      <c r="J198" s="70" t="inlineStr">
        <is>
          <t>Kigoma (from client's office – confirm site)</t>
        </is>
      </c>
      <c r="K198" s="70" t="inlineStr">
        <is>
          <t>building</t>
        </is>
      </c>
      <c r="L198" s="70" t="inlineStr">
        <is>
          <t>NeST login needed</t>
        </is>
      </c>
      <c r="M198" s="62" t="n"/>
      <c r="N198" s="70" t="inlineStr">
        <is>
          <t>unknown</t>
        </is>
      </c>
      <c r="O198" s="71" t="inlineStr">
        <is>
          <t>NeST login needed</t>
        </is>
      </c>
      <c r="P198" s="71" t="inlineStr">
        <is>
          <t>NeST login needed</t>
        </is>
      </c>
      <c r="Q198" s="72" t="n">
        <v>46322.41666666666</v>
      </c>
      <c r="R198" s="70" t="inlineStr">
        <is>
          <t>NeST login needed</t>
        </is>
      </c>
      <c r="S198" s="70" t="inlineStr">
        <is>
          <t>N</t>
        </is>
      </c>
      <c r="T198" s="64">
        <f>IF(A198="","",IFERROR(INDEX('Bid-NoBid'!$T:$T,MATCH(A198,'Bid-NoBid'!$A:$A,0)),""))</f>
        <v/>
      </c>
      <c r="U198" s="59">
        <f>IF(A198="","",IFERROR(IF(OR(INDEX('Bid-NoBid'!$U:$U,MATCH(A198,'Bid-NoBid'!$A:$A,0))="",LEFT(INDEX('Bid-NoBid'!$U:$U,MATCH(A198,'Bid-NoBid'!$A:$A,0)),10)="Incomplete"),"Screen: "&amp;AC198,INDEX('Bid-NoBid'!$U:$U,MATCH(A198,'Bid-NoBid'!$A:$A,0))),"Screen: "&amp;AC198))</f>
        <v/>
      </c>
      <c r="V198" s="60" t="n"/>
      <c r="W198" s="70" t="inlineStr">
        <is>
          <t>Watching</t>
        </is>
      </c>
      <c r="X198" s="70" t="inlineStr">
        <is>
          <t>Frank</t>
        </is>
      </c>
      <c r="Y198" s="60" t="n"/>
      <c r="Z198" s="60" t="n"/>
      <c r="AA198" s="73" t="n">
        <v>46315</v>
      </c>
      <c r="AB198" s="74" t="inlineStr">
        <is>
          <t>Small Works / Tender</t>
        </is>
      </c>
      <c r="AC198" s="74" t="inlineStr">
        <is>
          <t>Check</t>
        </is>
      </c>
      <c r="AD198" s="74" t="inlineStr">
        <is>
          <t>Auto (Small Works / Tender): Construction tender kept for review (would have been dropped: Remote and closing soon)</t>
        </is>
      </c>
      <c r="AE198" s="67">
        <f>IF(ISNUMBER(Q198),ROUNDDOWN(Q198-NOW(),1),"")</f>
        <v/>
      </c>
      <c r="AF198" s="59">
        <f>IF(OR(A198="",AE198=""),"",IF(NOT(OR(W198="Watching",W198="Preparing")),"",IF(AE198&lt;0,"PASSED",IF(AND(AE198&lt;=7,W198&lt;&gt;"Preparing"),"RED",IF(AE198&lt;=14,"AMBER","GREEN")))))</f>
        <v/>
      </c>
      <c r="AG198" s="59">
        <f>IF(OR(A198="",NOT(OR(W198="Watching",W198="Preparing"))),"",IF(AND(ISNUMBER(M198),M198&gt;=3000000000),"YES – ≥ TZS 3bn",IF(AND(ISNUMBER(AE198),AE198&gt;=0,AE198&lt;10,V198=""),"YES – &lt;10 days","")))</f>
        <v/>
      </c>
      <c r="AH198" s="68" t="n"/>
      <c r="AI198" s="74" t="inlineStr">
        <is>
          <t>Read the notice and decide with the QS Director whether to pursue</t>
        </is>
      </c>
      <c r="AJ198" s="74" t="inlineStr">
        <is>
          <t>Auto-scan</t>
        </is>
      </c>
      <c r="AK198" s="74" t="inlineStr">
        <is>
          <t>81e48106-cebd-413d-b4b7-80904a5299f3</t>
        </is>
      </c>
      <c r="AL198" s="59">
        <f>IF(AND(OR(W198="Watching",W198="Preparing"),ISNUMBER(Q198)),IF(AND(Q198&gt;='Friday Summary'!$C$4,Q198&lt;='Friday Summary'!$C$4+14),Q198+ROW()/1000000,""),"")</f>
        <v/>
      </c>
    </row>
    <row r="199" ht="15" customHeight="1" s="51">
      <c r="A199" s="59">
        <f>IF(B199="","","OP-"&amp;TEXT(ROW()-4,"000"))</f>
        <v/>
      </c>
      <c r="B199" s="70" t="inlineStr">
        <is>
          <t>TR36/014/2026/2027/W/56</t>
        </is>
      </c>
      <c r="C199" s="71" t="n">
        <v>46316</v>
      </c>
      <c r="D199" s="70" t="inlineStr">
        <is>
          <t>NeST</t>
        </is>
      </c>
      <c r="E199" s="70" t="inlineStr">
        <is>
          <t>https://nest.go.tz/tenders/published-tenders</t>
        </is>
      </c>
      <c r="F199" s="70" t="inlineStr">
        <is>
          <t>TANROADS - Morogoro Regional Office</t>
        </is>
      </c>
      <c r="G199" s="70" t="inlineStr">
        <is>
          <t>government</t>
        </is>
      </c>
      <c r="H199" s="70" t="inlineStr">
        <is>
          <t>Bridge capacity improvement in Morogoro Region</t>
        </is>
      </c>
      <c r="I199" s="70" t="inlineStr">
        <is>
          <t>From NeST notice (1 lot) – read the tender document</t>
        </is>
      </c>
      <c r="J199" s="70" t="inlineStr">
        <is>
          <t>Morogoro</t>
        </is>
      </c>
      <c r="K199" s="70" t="inlineStr">
        <is>
          <t>civil</t>
        </is>
      </c>
      <c r="L199" s="70" t="inlineStr">
        <is>
          <t>NeST login needed</t>
        </is>
      </c>
      <c r="M199" s="62" t="n"/>
      <c r="N199" s="70" t="inlineStr">
        <is>
          <t>unknown</t>
        </is>
      </c>
      <c r="O199" s="71" t="inlineStr">
        <is>
          <t>NeST login needed</t>
        </is>
      </c>
      <c r="P199" s="71" t="inlineStr">
        <is>
          <t>NeST login needed</t>
        </is>
      </c>
      <c r="Q199" s="72" t="n">
        <v>46323.625</v>
      </c>
      <c r="R199" s="70" t="inlineStr">
        <is>
          <t>NeST login needed</t>
        </is>
      </c>
      <c r="S199" s="70" t="inlineStr">
        <is>
          <t>N</t>
        </is>
      </c>
      <c r="T199" s="64">
        <f>IF(A199="","",IFERROR(INDEX('Bid-NoBid'!$T:$T,MATCH(A199,'Bid-NoBid'!$A:$A,0)),""))</f>
        <v/>
      </c>
      <c r="U199" s="59">
        <f>IF(A199="","",IFERROR(IF(OR(INDEX('Bid-NoBid'!$U:$U,MATCH(A199,'Bid-NoBid'!$A:$A,0))="",LEFT(INDEX('Bid-NoBid'!$U:$U,MATCH(A199,'Bid-NoBid'!$A:$A,0)),10)="Incomplete"),"Screen: "&amp;AC199,INDEX('Bid-NoBid'!$U:$U,MATCH(A199,'Bid-NoBid'!$A:$A,0))),"Screen: "&amp;AC199))</f>
        <v/>
      </c>
      <c r="V199" s="60" t="n"/>
      <c r="W199" s="70" t="inlineStr">
        <is>
          <t>Watching</t>
        </is>
      </c>
      <c r="X199" s="70" t="inlineStr">
        <is>
          <t>Frank</t>
        </is>
      </c>
      <c r="Y199" s="60" t="n"/>
      <c r="Z199" s="60" t="n"/>
      <c r="AA199" s="73" t="n">
        <v>46316</v>
      </c>
      <c r="AB199" s="74" t="inlineStr">
        <is>
          <t>Small Works / Tender</t>
        </is>
      </c>
      <c r="AC199" s="74" t="inlineStr">
        <is>
          <t>Check</t>
        </is>
      </c>
      <c r="AD199" s="74" t="inlineStr">
        <is>
          <t>Auto (Small Works / Tender): Civil works – confirm site, CRB class and margin</t>
        </is>
      </c>
      <c r="AE199" s="67">
        <f>IF(ISNUMBER(Q199),ROUNDDOWN(Q199-NOW(),1),"")</f>
        <v/>
      </c>
      <c r="AF199" s="59">
        <f>IF(OR(A199="",AE199=""),"",IF(NOT(OR(W199="Watching",W199="Preparing")),"",IF(AE199&lt;0,"PASSED",IF(AND(AE199&lt;=7,W199&lt;&gt;"Preparing"),"RED",IF(AE199&lt;=14,"AMBER","GREEN")))))</f>
        <v/>
      </c>
      <c r="AG199" s="59">
        <f>IF(OR(A199="",NOT(OR(W199="Watching",W199="Preparing"))),"",IF(AND(ISNUMBER(M199),M199&gt;=3000000000),"YES – ≥ TZS 3bn",IF(AND(ISNUMBER(AE199),AE199&gt;=0,AE199&lt;10,V199=""),"YES – &lt;10 days","")))</f>
        <v/>
      </c>
      <c r="AH199" s="68" t="n"/>
      <c r="AI199" s="74" t="inlineStr">
        <is>
          <t>Read the notice and decide with the QS Director whether to pursue</t>
        </is>
      </c>
      <c r="AJ199" s="74" t="inlineStr">
        <is>
          <t>Auto-scan</t>
        </is>
      </c>
      <c r="AK199" s="74" t="inlineStr">
        <is>
          <t>d0ceb39c-0f55-4a0a-82a7-009152479e47</t>
        </is>
      </c>
      <c r="AL199" s="59">
        <f>IF(AND(OR(W199="Watching",W199="Preparing"),ISNUMBER(Q199)),IF(AND(Q199&gt;='Friday Summary'!$C$4,Q199&lt;='Friday Summary'!$C$4+14),Q199+ROW()/1000000,""),"")</f>
        <v/>
      </c>
    </row>
    <row r="200" ht="15" customHeight="1" s="51">
      <c r="A200" s="59">
        <f>IF(B200="","","OP-"&amp;TEXT(ROW()-4,"000"))</f>
        <v/>
      </c>
      <c r="B200" s="70" t="inlineStr">
        <is>
          <t>(not shown)</t>
        </is>
      </c>
      <c r="C200" s="71" t="n">
        <v>46316</v>
      </c>
      <c r="D200" s="70" t="inlineStr">
        <is>
          <t>press</t>
        </is>
      </c>
      <c r="E200" s="70" t="inlineStr">
        <is>
          <t>https://www.tanzaniatenders.com/tender/construction-two-residential-house-head-departments-chamwino-district-council-9036fb8.php</t>
        </is>
      </c>
      <c r="F200" s="70" t="inlineStr">
        <is>
          <t>See advert</t>
        </is>
      </c>
      <c r="G200" s="70" t="inlineStr">
        <is>
          <t>government</t>
        </is>
      </c>
      <c r="H200" s="70" t="inlineStr">
        <is>
          <t>Construction of Two Residential House for Head of Departments at Chamwino District Council</t>
        </is>
      </c>
      <c r="I200" s="70" t="inlineStr">
        <is>
          <t>From press notice (1 lot) – read the tender document</t>
        </is>
      </c>
      <c r="J200" s="70" t="inlineStr">
        <is>
          <t>Dodoma (Chamwino)</t>
        </is>
      </c>
      <c r="K200" s="70" t="inlineStr">
        <is>
          <t>building</t>
        </is>
      </c>
      <c r="L200" s="70" t="inlineStr">
        <is>
          <t>See tender document</t>
        </is>
      </c>
      <c r="M200" s="62" t="n"/>
      <c r="N200" s="70" t="inlineStr">
        <is>
          <t>unknown</t>
        </is>
      </c>
      <c r="O200" s="71" t="inlineStr">
        <is>
          <t>See tender document</t>
        </is>
      </c>
      <c r="P200" s="71" t="inlineStr">
        <is>
          <t>See tender document</t>
        </is>
      </c>
      <c r="Q200" s="72" t="n">
        <v>46321.41666666666</v>
      </c>
      <c r="R200" s="70" t="inlineStr">
        <is>
          <t>See tender document</t>
        </is>
      </c>
      <c r="S200" s="70" t="inlineStr">
        <is>
          <t>N</t>
        </is>
      </c>
      <c r="T200" s="64">
        <f>IF(A200="","",IFERROR(INDEX('Bid-NoBid'!$T:$T,MATCH(A200,'Bid-NoBid'!$A:$A,0)),""))</f>
        <v/>
      </c>
      <c r="U200" s="59">
        <f>IF(A200="","",IFERROR(IF(OR(INDEX('Bid-NoBid'!$U:$U,MATCH(A200,'Bid-NoBid'!$A:$A,0))="",LEFT(INDEX('Bid-NoBid'!$U:$U,MATCH(A200,'Bid-NoBid'!$A:$A,0)),10)="Incomplete"),"Screen: "&amp;AC200,INDEX('Bid-NoBid'!$U:$U,MATCH(A200,'Bid-NoBid'!$A:$A,0))),"Screen: "&amp;AC200))</f>
        <v/>
      </c>
      <c r="V200" s="60" t="n"/>
      <c r="W200" s="70" t="inlineStr">
        <is>
          <t>Watching</t>
        </is>
      </c>
      <c r="X200" s="70" t="inlineStr">
        <is>
          <t>Frank</t>
        </is>
      </c>
      <c r="Y200" s="60" t="n"/>
      <c r="Z200" s="60" t="n"/>
      <c r="AA200" s="73" t="n"/>
      <c r="AB200" s="74" t="inlineStr">
        <is>
          <t>TanzaniaTenders.com (newspapers / portals / private)</t>
        </is>
      </c>
      <c r="AC200" s="74" t="inlineStr">
        <is>
          <t>Pursue</t>
        </is>
      </c>
      <c r="AD200" s="74" t="inlineStr">
        <is>
          <t>Auto (TanzaniaTenders.com): Building works within reach of Dar · deadline read from the web page – confirm</t>
        </is>
      </c>
      <c r="AE200" s="67">
        <f>IF(ISNUMBER(Q200),ROUNDDOWN(Q200-NOW(),1),"")</f>
        <v/>
      </c>
      <c r="AF200" s="59">
        <f>IF(OR(A200="",AE200=""),"",IF(NOT(OR(W200="Watching",W200="Preparing")),"",IF(AE200&lt;0,"PASSED",IF(AND(AE200&lt;=7,W200&lt;&gt;"Preparing"),"RED",IF(AE200&lt;=14,"AMBER","GREEN")))))</f>
        <v/>
      </c>
      <c r="AG200" s="59">
        <f>IF(OR(A200="",NOT(OR(W200="Watching",W200="Preparing"))),"",IF(AND(ISNUMBER(M200),M200&gt;=3000000000),"YES – ≥ TZS 3bn",IF(AND(ISNUMBER(AE200),AE200&gt;=0,AE200&lt;10,V200=""),"YES – &lt;10 days","")))</f>
        <v/>
      </c>
      <c r="AH200" s="68" t="n"/>
      <c r="AI200" s="74" t="inlineStr">
        <is>
          <t>Get the tender document, confirm value, CRB class, site visit and bid security; brief the MD</t>
        </is>
      </c>
      <c r="AJ200" s="74" t="inlineStr">
        <is>
          <t>Auto-scan</t>
        </is>
      </c>
      <c r="AK200" s="74" t="inlineStr">
        <is>
          <t>TZT:151220152</t>
        </is>
      </c>
      <c r="AL200" s="59">
        <f>IF(AND(OR(W200="Watching",W200="Preparing"),ISNUMBER(Q200)),IF(AND(Q200&gt;='Friday Summary'!$C$4,Q200&lt;='Friday Summary'!$C$4+14),Q200+ROW()/1000000,""),"")</f>
        <v/>
      </c>
    </row>
    <row r="201" ht="15" customHeight="1" s="51">
      <c r="A201" s="59">
        <f>IF(B201="","","OP-"&amp;TEXT(ROW()-4,"000"))</f>
        <v/>
      </c>
      <c r="B201" s="70" t="inlineStr">
        <is>
          <t>(not shown)</t>
        </is>
      </c>
      <c r="C201" s="71" t="n">
        <v>46316</v>
      </c>
      <c r="D201" s="70" t="inlineStr">
        <is>
          <t>press</t>
        </is>
      </c>
      <c r="E201" s="70" t="inlineStr">
        <is>
          <t>https://www.tanzaniatenders.com/tender/banners-hospital-9036f88.php</t>
        </is>
      </c>
      <c r="F201" s="70" t="inlineStr">
        <is>
          <t>See advert</t>
        </is>
      </c>
      <c r="G201" s="70" t="inlineStr">
        <is>
          <t>government</t>
        </is>
      </c>
      <c r="H201" s="70" t="inlineStr">
        <is>
          <t>Banners for Hospital</t>
        </is>
      </c>
      <c r="I201" s="70" t="inlineStr">
        <is>
          <t>From press notice (1 lot) – read the tender document</t>
        </is>
      </c>
      <c r="J201" s="70" t="inlineStr">
        <is>
          <t>Not stated – read the notice</t>
        </is>
      </c>
      <c r="K201" s="70" t="inlineStr">
        <is>
          <t>building</t>
        </is>
      </c>
      <c r="L201" s="70" t="inlineStr">
        <is>
          <t>See tender document</t>
        </is>
      </c>
      <c r="M201" s="62" t="n"/>
      <c r="N201" s="70" t="inlineStr">
        <is>
          <t>unknown</t>
        </is>
      </c>
      <c r="O201" s="71" t="inlineStr">
        <is>
          <t>See tender document</t>
        </is>
      </c>
      <c r="P201" s="71" t="inlineStr">
        <is>
          <t>See tender document</t>
        </is>
      </c>
      <c r="Q201" s="72" t="n">
        <v>46322.41666666666</v>
      </c>
      <c r="R201" s="70" t="inlineStr">
        <is>
          <t>See tender document</t>
        </is>
      </c>
      <c r="S201" s="70" t="inlineStr">
        <is>
          <t>N</t>
        </is>
      </c>
      <c r="T201" s="64">
        <f>IF(A201="","",IFERROR(INDEX('Bid-NoBid'!$T:$T,MATCH(A201,'Bid-NoBid'!$A:$A,0)),""))</f>
        <v/>
      </c>
      <c r="U201" s="59">
        <f>IF(A201="","",IFERROR(IF(OR(INDEX('Bid-NoBid'!$U:$U,MATCH(A201,'Bid-NoBid'!$A:$A,0))="",LEFT(INDEX('Bid-NoBid'!$U:$U,MATCH(A201,'Bid-NoBid'!$A:$A,0)),10)="Incomplete"),"Screen: "&amp;AC201,INDEX('Bid-NoBid'!$U:$U,MATCH(A201,'Bid-NoBid'!$A:$A,0))),"Screen: "&amp;AC201))</f>
        <v/>
      </c>
      <c r="V201" s="60" t="n"/>
      <c r="W201" s="70" t="inlineStr">
        <is>
          <t>Watching</t>
        </is>
      </c>
      <c r="X201" s="70" t="inlineStr">
        <is>
          <t>Frank</t>
        </is>
      </c>
      <c r="Y201" s="60" t="n"/>
      <c r="Z201" s="60" t="n"/>
      <c r="AA201" s="73" t="n"/>
      <c r="AB201" s="74" t="inlineStr">
        <is>
          <t>TanzaniaTenders.com (newspapers / portals / private)</t>
        </is>
      </c>
      <c r="AC201" s="74" t="inlineStr">
        <is>
          <t>Check</t>
        </is>
      </c>
      <c r="AD201" s="74" t="inlineStr">
        <is>
          <t>Auto (TanzaniaTenders.com): Site not stated in the listing – read the notice · deadline read from the web page – confirm</t>
        </is>
      </c>
      <c r="AE201" s="67">
        <f>IF(ISNUMBER(Q201),ROUNDDOWN(Q201-NOW(),1),"")</f>
        <v/>
      </c>
      <c r="AF201" s="59">
        <f>IF(OR(A201="",AE201=""),"",IF(NOT(OR(W201="Watching",W201="Preparing")),"",IF(AE201&lt;0,"PASSED",IF(AND(AE201&lt;=7,W201&lt;&gt;"Preparing"),"RED",IF(AE201&lt;=14,"AMBER","GREEN")))))</f>
        <v/>
      </c>
      <c r="AG201" s="59">
        <f>IF(OR(A201="",NOT(OR(W201="Watching",W201="Preparing"))),"",IF(AND(ISNUMBER(M201),M201&gt;=3000000000),"YES – ≥ TZS 3bn",IF(AND(ISNUMBER(AE201),AE201&gt;=0,AE201&lt;10,V201=""),"YES – &lt;10 days","")))</f>
        <v/>
      </c>
      <c r="AH201" s="68" t="n"/>
      <c r="AI201" s="74" t="inlineStr">
        <is>
          <t>Read the notice and decide with the QS Director whether to pursue</t>
        </is>
      </c>
      <c r="AJ201" s="74" t="inlineStr">
        <is>
          <t>Auto-scan</t>
        </is>
      </c>
      <c r="AK201" s="74" t="inlineStr">
        <is>
          <t>TZT:151220104</t>
        </is>
      </c>
      <c r="AL201" s="59">
        <f>IF(AND(OR(W201="Watching",W201="Preparing"),ISNUMBER(Q201)),IF(AND(Q201&gt;='Friday Summary'!$C$4,Q201&lt;='Friday Summary'!$C$4+14),Q201+ROW()/1000000,""),"")</f>
        <v/>
      </c>
    </row>
    <row r="202" ht="15" customHeight="1" s="51">
      <c r="A202" s="59">
        <f>IF(B202="","","OP-"&amp;TEXT(ROW()-4,"000"))</f>
        <v/>
      </c>
      <c r="B202" s="70" t="inlineStr">
        <is>
          <t>(not shown)</t>
        </is>
      </c>
      <c r="C202" s="71" t="n">
        <v>46316</v>
      </c>
      <c r="D202" s="70" t="inlineStr">
        <is>
          <t>press</t>
        </is>
      </c>
      <c r="E202" s="70" t="inlineStr">
        <is>
          <t>https://www.tanzaniatenders.com/tender/bridge-preventive-works-along-regional-roads-9036f5c.php</t>
        </is>
      </c>
      <c r="F202" s="70" t="inlineStr">
        <is>
          <t>See advert</t>
        </is>
      </c>
      <c r="G202" s="70" t="inlineStr">
        <is>
          <t>government</t>
        </is>
      </c>
      <c r="H202" s="70" t="inlineStr">
        <is>
          <t>Bridge Preventive Works along Regional Roads **</t>
        </is>
      </c>
      <c r="I202" s="70" t="inlineStr">
        <is>
          <t>From press notice (1 lot) – read the tender document</t>
        </is>
      </c>
      <c r="J202" s="70" t="inlineStr">
        <is>
          <t>Not stated – read the notice</t>
        </is>
      </c>
      <c r="K202" s="70" t="inlineStr">
        <is>
          <t>civil</t>
        </is>
      </c>
      <c r="L202" s="70" t="inlineStr">
        <is>
          <t>See tender document</t>
        </is>
      </c>
      <c r="M202" s="62" t="n"/>
      <c r="N202" s="70" t="inlineStr">
        <is>
          <t>unknown</t>
        </is>
      </c>
      <c r="O202" s="71" t="inlineStr">
        <is>
          <t>See tender document</t>
        </is>
      </c>
      <c r="P202" s="71" t="inlineStr">
        <is>
          <t>See tender document</t>
        </is>
      </c>
      <c r="Q202" s="72" t="n">
        <v>46323.41666666666</v>
      </c>
      <c r="R202" s="70" t="inlineStr">
        <is>
          <t>See tender document</t>
        </is>
      </c>
      <c r="S202" s="70" t="inlineStr">
        <is>
          <t>N</t>
        </is>
      </c>
      <c r="T202" s="64">
        <f>IF(A202="","",IFERROR(INDEX('Bid-NoBid'!$T:$T,MATCH(A202,'Bid-NoBid'!$A:$A,0)),""))</f>
        <v/>
      </c>
      <c r="U202" s="59">
        <f>IF(A202="","",IFERROR(IF(OR(INDEX('Bid-NoBid'!$U:$U,MATCH(A202,'Bid-NoBid'!$A:$A,0))="",LEFT(INDEX('Bid-NoBid'!$U:$U,MATCH(A202,'Bid-NoBid'!$A:$A,0)),10)="Incomplete"),"Screen: "&amp;AC202,INDEX('Bid-NoBid'!$U:$U,MATCH(A202,'Bid-NoBid'!$A:$A,0))),"Screen: "&amp;AC202))</f>
        <v/>
      </c>
      <c r="V202" s="60" t="n"/>
      <c r="W202" s="70" t="inlineStr">
        <is>
          <t>Watching</t>
        </is>
      </c>
      <c r="X202" s="70" t="inlineStr">
        <is>
          <t>Frank</t>
        </is>
      </c>
      <c r="Y202" s="60" t="n"/>
      <c r="Z202" s="60" t="n"/>
      <c r="AA202" s="73" t="n"/>
      <c r="AB202" s="74" t="inlineStr">
        <is>
          <t>TanzaniaTenders.com (newspapers / portals / private)</t>
        </is>
      </c>
      <c r="AC202" s="74" t="inlineStr">
        <is>
          <t>Check</t>
        </is>
      </c>
      <c r="AD202" s="74" t="inlineStr">
        <is>
          <t>Auto (TanzaniaTenders.com): Civil works – confirm site, CRB class and margin · deadline read from the web page – confirm</t>
        </is>
      </c>
      <c r="AE202" s="67">
        <f>IF(ISNUMBER(Q202),ROUNDDOWN(Q202-NOW(),1),"")</f>
        <v/>
      </c>
      <c r="AF202" s="59">
        <f>IF(OR(A202="",AE202=""),"",IF(NOT(OR(W202="Watching",W202="Preparing")),"",IF(AE202&lt;0,"PASSED",IF(AND(AE202&lt;=7,W202&lt;&gt;"Preparing"),"RED",IF(AE202&lt;=14,"AMBER","GREEN")))))</f>
        <v/>
      </c>
      <c r="AG202" s="59">
        <f>IF(OR(A202="",NOT(OR(W202="Watching",W202="Preparing"))),"",IF(AND(ISNUMBER(M202),M202&gt;=3000000000),"YES – ≥ TZS 3bn",IF(AND(ISNUMBER(AE202),AE202&gt;=0,AE202&lt;10,V202=""),"YES – &lt;10 days","")))</f>
        <v/>
      </c>
      <c r="AH202" s="68" t="n"/>
      <c r="AI202" s="74" t="inlineStr">
        <is>
          <t>Read the notice and decide with the QS Director whether to pursue</t>
        </is>
      </c>
      <c r="AJ202" s="74" t="inlineStr">
        <is>
          <t>Auto-scan</t>
        </is>
      </c>
      <c r="AK202" s="74" t="inlineStr">
        <is>
          <t>TZT:151220060</t>
        </is>
      </c>
      <c r="AL202" s="59">
        <f>IF(AND(OR(W202="Watching",W202="Preparing"),ISNUMBER(Q202)),IF(AND(Q202&gt;='Friday Summary'!$C$4,Q202&lt;='Friday Summary'!$C$4+14),Q202+ROW()/1000000,""),"")</f>
        <v/>
      </c>
    </row>
    <row r="203" ht="15" customHeight="1" s="51">
      <c r="A203" s="59">
        <f>IF(B203="","","OP-"&amp;TEXT(ROW()-4,"000"))</f>
        <v/>
      </c>
      <c r="B203" s="70" t="inlineStr">
        <is>
          <t>(not shown)</t>
        </is>
      </c>
      <c r="C203" s="71" t="n">
        <v>46316</v>
      </c>
      <c r="D203" s="70" t="inlineStr">
        <is>
          <t>aggregator</t>
        </is>
      </c>
      <c r="E203" s="70" t="inlineStr">
        <is>
          <t>https://www.biddetail.com/latest-tenders/119618840$6557123a-0a99-4a66-8cc2-eedfba61fce8</t>
        </is>
      </c>
      <c r="F203" s="70" t="inlineStr">
        <is>
          <t>See notice</t>
        </is>
      </c>
      <c r="G203" s="70" t="inlineStr">
        <is>
          <t>government</t>
        </is>
      </c>
      <c r="H203" s="70" t="inlineStr">
        <is>
          <t>Request For Proposal For Chuini Fishing Port Project Preparation ......</t>
        </is>
      </c>
      <c r="I203" s="70" t="inlineStr">
        <is>
          <t>From aggregator notice (1 lot) – read the tender document</t>
        </is>
      </c>
      <c r="J203" s="70" t="inlineStr">
        <is>
          <t>Not stated – read the notice</t>
        </is>
      </c>
      <c r="K203" s="70" t="inlineStr">
        <is>
          <t>civil</t>
        </is>
      </c>
      <c r="L203" s="70" t="inlineStr">
        <is>
          <t>See tender document</t>
        </is>
      </c>
      <c r="M203" s="62" t="n"/>
      <c r="N203" s="70" t="inlineStr">
        <is>
          <t>unknown</t>
        </is>
      </c>
      <c r="O203" s="71" t="inlineStr">
        <is>
          <t>See tender document</t>
        </is>
      </c>
      <c r="P203" s="71" t="inlineStr">
        <is>
          <t>See tender document</t>
        </is>
      </c>
      <c r="Q203" s="72" t="n"/>
      <c r="R203" s="70" t="inlineStr">
        <is>
          <t>See tender document</t>
        </is>
      </c>
      <c r="S203" s="70" t="inlineStr">
        <is>
          <t>N</t>
        </is>
      </c>
      <c r="T203" s="64">
        <f>IF(A203="","",IFERROR(INDEX('Bid-NoBid'!$T:$T,MATCH(A203,'Bid-NoBid'!$A:$A,0)),""))</f>
        <v/>
      </c>
      <c r="U203" s="59">
        <f>IF(A203="","",IFERROR(IF(OR(INDEX('Bid-NoBid'!$U:$U,MATCH(A203,'Bid-NoBid'!$A:$A,0))="",LEFT(INDEX('Bid-NoBid'!$U:$U,MATCH(A203,'Bid-NoBid'!$A:$A,0)),10)="Incomplete"),"Screen: "&amp;AC203,INDEX('Bid-NoBid'!$U:$U,MATCH(A203,'Bid-NoBid'!$A:$A,0))),"Screen: "&amp;AC203))</f>
        <v/>
      </c>
      <c r="V203" s="60" t="n"/>
      <c r="W203" s="70" t="inlineStr">
        <is>
          <t>Watching</t>
        </is>
      </c>
      <c r="X203" s="70" t="inlineStr">
        <is>
          <t>Frank</t>
        </is>
      </c>
      <c r="Y203" s="60" t="n"/>
      <c r="Z203" s="60" t="n"/>
      <c r="AA203" s="73" t="n"/>
      <c r="AB203" s="74" t="inlineStr">
        <is>
          <t>BidDetail – Tanzania tenders (web page)</t>
        </is>
      </c>
      <c r="AC203" s="74" t="inlineStr">
        <is>
          <t>Check</t>
        </is>
      </c>
      <c r="AD203" s="74" t="inlineStr">
        <is>
          <t>Auto (BidDetail – Tanzania tenders): Deadline not shown on the source page – open the link and read the notice</t>
        </is>
      </c>
      <c r="AE203" s="67">
        <f>IF(ISNUMBER(Q203),ROUNDDOWN(Q203-NOW(),1),"")</f>
        <v/>
      </c>
      <c r="AF203" s="59">
        <f>IF(OR(A203="",AE203=""),"",IF(NOT(OR(W203="Watching",W203="Preparing")),"",IF(AE203&lt;0,"PASSED",IF(AND(AE203&lt;=7,W203&lt;&gt;"Preparing"),"RED",IF(AE203&lt;=14,"AMBER","GREEN")))))</f>
        <v/>
      </c>
      <c r="AG203" s="59">
        <f>IF(OR(A203="",NOT(OR(W203="Watching",W203="Preparing"))),"",IF(AND(ISNUMBER(M203),M203&gt;=3000000000),"YES – ≥ TZS 3bn",IF(AND(ISNUMBER(AE203),AE203&gt;=0,AE203&lt;10,V203=""),"YES – &lt;10 days","")))</f>
        <v/>
      </c>
      <c r="AH203" s="68" t="n"/>
      <c r="AI203" s="74" t="inlineStr">
        <is>
          <t>Read the notice and decide with the QS Director whether to pursue</t>
        </is>
      </c>
      <c r="AJ203" s="74" t="inlineStr">
        <is>
          <t>Auto-scan</t>
        </is>
      </c>
      <c r="AK203" s="74" t="inlineStr">
        <is>
          <t>WEB:biddetail_tanzania_tenders:1eb000c98e3cff8d</t>
        </is>
      </c>
      <c r="AL203" s="59">
        <f>IF(AND(OR(W203="Watching",W203="Preparing"),ISNUMBER(Q203)),IF(AND(Q203&gt;='Friday Summary'!$C$4,Q203&lt;='Friday Summary'!$C$4+14),Q203+ROW()/1000000,""),"")</f>
        <v/>
      </c>
    </row>
    <row r="204" ht="15" customHeight="1" s="51">
      <c r="A204" s="59">
        <f>IF(B204="","","OP-"&amp;TEXT(ROW()-4,"000"))</f>
        <v/>
      </c>
      <c r="B204" s="70" t="inlineStr">
        <is>
          <t>75F1/2026/2027/W/04</t>
        </is>
      </c>
      <c r="C204" s="71" t="n">
        <v>46317</v>
      </c>
      <c r="D204" s="70" t="inlineStr">
        <is>
          <t>NeST</t>
        </is>
      </c>
      <c r="E204" s="70" t="inlineStr">
        <is>
          <t>https://nest.go.tz/tenders/published-tenders</t>
        </is>
      </c>
      <c r="F204" s="70" t="inlineStr">
        <is>
          <t>Moshi District Council</t>
        </is>
      </c>
      <c r="G204" s="70" t="inlineStr">
        <is>
          <t>government</t>
        </is>
      </c>
      <c r="H204" s="70" t="inlineStr">
        <is>
          <t>HEAVY CONSTRUCTION SERVICES</t>
        </is>
      </c>
      <c r="I204" s="70" t="inlineStr">
        <is>
          <t>From NeST notice (1 lot) – read the tender document</t>
        </is>
      </c>
      <c r="J204" s="70" t="inlineStr">
        <is>
          <t>Kilimanjaro (Moshi) (from client's office – confirm site)</t>
        </is>
      </c>
      <c r="K204" s="70" t="inlineStr">
        <is>
          <t>building</t>
        </is>
      </c>
      <c r="L204" s="70" t="inlineStr">
        <is>
          <t>NeST login needed</t>
        </is>
      </c>
      <c r="M204" s="62" t="n"/>
      <c r="N204" s="70" t="inlineStr">
        <is>
          <t>unknown</t>
        </is>
      </c>
      <c r="O204" s="71" t="inlineStr">
        <is>
          <t>NeST login needed</t>
        </is>
      </c>
      <c r="P204" s="71" t="inlineStr">
        <is>
          <t>NeST login needed</t>
        </is>
      </c>
      <c r="Q204" s="72" t="n">
        <v>46323.41666666666</v>
      </c>
      <c r="R204" s="70" t="inlineStr">
        <is>
          <t>NeST login needed</t>
        </is>
      </c>
      <c r="S204" s="70" t="inlineStr">
        <is>
          <t>N</t>
        </is>
      </c>
      <c r="T204" s="64">
        <f>IF(A204="","",IFERROR(INDEX('Bid-NoBid'!$T:$T,MATCH(A204,'Bid-NoBid'!$A:$A,0)),""))</f>
        <v/>
      </c>
      <c r="U204" s="59">
        <f>IF(A204="","",IFERROR(IF(OR(INDEX('Bid-NoBid'!$U:$U,MATCH(A204,'Bid-NoBid'!$A:$A,0))="",LEFT(INDEX('Bid-NoBid'!$U:$U,MATCH(A204,'Bid-NoBid'!$A:$A,0)),10)="Incomplete"),"Screen: "&amp;AC204,INDEX('Bid-NoBid'!$U:$U,MATCH(A204,'Bid-NoBid'!$A:$A,0))),"Screen: "&amp;AC204))</f>
        <v/>
      </c>
      <c r="V204" s="60" t="n"/>
      <c r="W204" s="70" t="inlineStr">
        <is>
          <t>Watching</t>
        </is>
      </c>
      <c r="X204" s="70" t="inlineStr">
        <is>
          <t>Frank</t>
        </is>
      </c>
      <c r="Y204" s="60" t="n"/>
      <c r="Z204" s="60" t="n"/>
      <c r="AA204" s="73" t="n">
        <v>46316</v>
      </c>
      <c r="AB204" s="74" t="inlineStr">
        <is>
          <t>Small Works / Tender</t>
        </is>
      </c>
      <c r="AC204" s="74" t="inlineStr">
        <is>
          <t>Check</t>
        </is>
      </c>
      <c r="AD204" s="74" t="inlineStr">
        <is>
          <t>Auto (Small Works / Tender): Construction tender kept for review (would have been dropped: Remote and closing soon)</t>
        </is>
      </c>
      <c r="AE204" s="67">
        <f>IF(ISNUMBER(Q204),ROUNDDOWN(Q204-NOW(),1),"")</f>
        <v/>
      </c>
      <c r="AF204" s="59">
        <f>IF(OR(A204="",AE204=""),"",IF(NOT(OR(W204="Watching",W204="Preparing")),"",IF(AE204&lt;0,"PASSED",IF(AND(AE204&lt;=7,W204&lt;&gt;"Preparing"),"RED",IF(AE204&lt;=14,"AMBER","GREEN")))))</f>
        <v/>
      </c>
      <c r="AG204" s="59">
        <f>IF(OR(A204="",NOT(OR(W204="Watching",W204="Preparing"))),"",IF(AND(ISNUMBER(M204),M204&gt;=3000000000),"YES – ≥ TZS 3bn",IF(AND(ISNUMBER(AE204),AE204&gt;=0,AE204&lt;10,V204=""),"YES – &lt;10 days","")))</f>
        <v/>
      </c>
      <c r="AH204" s="68" t="n"/>
      <c r="AI204" s="74" t="inlineStr">
        <is>
          <t>Read the notice and decide with the QS Director whether to pursue</t>
        </is>
      </c>
      <c r="AJ204" s="74" t="inlineStr">
        <is>
          <t>Auto-scan</t>
        </is>
      </c>
      <c r="AK204" s="74" t="inlineStr">
        <is>
          <t>aad8707f-e361-4997-9b93-cec4a51fa863</t>
        </is>
      </c>
      <c r="AL204" s="59">
        <f>IF(AND(OR(W204="Watching",W204="Preparing"),ISNUMBER(Q204)),IF(AND(Q204&gt;='Friday Summary'!$C$4,Q204&lt;='Friday Summary'!$C$4+14),Q204+ROW()/1000000,""),"")</f>
        <v/>
      </c>
    </row>
    <row r="205" ht="15" customHeight="1" s="51">
      <c r="A205" s="59">
        <f>IF(B205="","","OP-"&amp;TEXT(ROW()-4,"000"))</f>
        <v/>
      </c>
      <c r="B205" s="70" t="inlineStr">
        <is>
          <t>52/074/2026/2027/W/07</t>
        </is>
      </c>
      <c r="C205" s="71" t="n">
        <v>46317</v>
      </c>
      <c r="D205" s="70" t="inlineStr">
        <is>
          <t>NeST</t>
        </is>
      </c>
      <c r="E205" s="70" t="inlineStr">
        <is>
          <t>https://nest.go.tz/tenders/published-tenders</t>
        </is>
      </c>
      <c r="F205" s="70" t="inlineStr">
        <is>
          <t>Tumbi Regional Referral Hospital (kibaha)</t>
        </is>
      </c>
      <c r="G205" s="70" t="inlineStr">
        <is>
          <t>government</t>
        </is>
      </c>
      <c r="H205" s="70" t="inlineStr">
        <is>
          <t>CONSTRUCTION OF CUSTOMER CARE POINT AT TUMBI RRH</t>
        </is>
      </c>
      <c r="I205" s="70" t="inlineStr">
        <is>
          <t>From NeST notice (1 lot) – read the tender document</t>
        </is>
      </c>
      <c r="J205" s="70" t="inlineStr">
        <is>
          <t>Pwani (Kibaha) (from client's office – confirm site)</t>
        </is>
      </c>
      <c r="K205" s="70" t="inlineStr">
        <is>
          <t>building</t>
        </is>
      </c>
      <c r="L205" s="70" t="inlineStr">
        <is>
          <t>NeST login needed</t>
        </is>
      </c>
      <c r="M205" s="62" t="n"/>
      <c r="N205" s="70" t="inlineStr">
        <is>
          <t>unknown</t>
        </is>
      </c>
      <c r="O205" s="71" t="inlineStr">
        <is>
          <t>NeST login needed</t>
        </is>
      </c>
      <c r="P205" s="71" t="inlineStr">
        <is>
          <t>NeST login needed</t>
        </is>
      </c>
      <c r="Q205" s="72" t="n">
        <v>46323.58333333334</v>
      </c>
      <c r="R205" s="70" t="inlineStr">
        <is>
          <t>NeST login needed</t>
        </is>
      </c>
      <c r="S205" s="70" t="inlineStr">
        <is>
          <t>N</t>
        </is>
      </c>
      <c r="T205" s="64">
        <f>IF(A205="","",IFERROR(INDEX('Bid-NoBid'!$T:$T,MATCH(A205,'Bid-NoBid'!$A:$A,0)),""))</f>
        <v/>
      </c>
      <c r="U205" s="59">
        <f>IF(A205="","",IFERROR(IF(OR(INDEX('Bid-NoBid'!$U:$U,MATCH(A205,'Bid-NoBid'!$A:$A,0))="",LEFT(INDEX('Bid-NoBid'!$U:$U,MATCH(A205,'Bid-NoBid'!$A:$A,0)),10)="Incomplete"),"Screen: "&amp;AC205,INDEX('Bid-NoBid'!$U:$U,MATCH(A205,'Bid-NoBid'!$A:$A,0))),"Screen: "&amp;AC205))</f>
        <v/>
      </c>
      <c r="V205" s="60" t="n"/>
      <c r="W205" s="70" t="inlineStr">
        <is>
          <t>Watching</t>
        </is>
      </c>
      <c r="X205" s="70" t="inlineStr">
        <is>
          <t>Frank</t>
        </is>
      </c>
      <c r="Y205" s="60" t="n"/>
      <c r="Z205" s="60" t="n"/>
      <c r="AA205" s="73" t="n">
        <v>46316</v>
      </c>
      <c r="AB205" s="74" t="inlineStr">
        <is>
          <t>Small Works / Tender</t>
        </is>
      </c>
      <c r="AC205" s="74" t="inlineStr">
        <is>
          <t>Pursue</t>
        </is>
      </c>
      <c r="AD205" s="74" t="inlineStr">
        <is>
          <t>Auto (Small Works / Tender): Building works within reach of Dar</t>
        </is>
      </c>
      <c r="AE205" s="67">
        <f>IF(ISNUMBER(Q205),ROUNDDOWN(Q205-NOW(),1),"")</f>
        <v/>
      </c>
      <c r="AF205" s="59">
        <f>IF(OR(A205="",AE205=""),"",IF(NOT(OR(W205="Watching",W205="Preparing")),"",IF(AE205&lt;0,"PASSED",IF(AND(AE205&lt;=7,W205&lt;&gt;"Preparing"),"RED",IF(AE205&lt;=14,"AMBER","GREEN")))))</f>
        <v/>
      </c>
      <c r="AG205" s="59">
        <f>IF(OR(A205="",NOT(OR(W205="Watching",W205="Preparing"))),"",IF(AND(ISNUMBER(M205),M205&gt;=3000000000),"YES – ≥ TZS 3bn",IF(AND(ISNUMBER(AE205),AE205&gt;=0,AE205&lt;10,V205=""),"YES – &lt;10 days","")))</f>
        <v/>
      </c>
      <c r="AH205" s="68" t="n"/>
      <c r="AI205" s="74" t="inlineStr">
        <is>
          <t>Get the tender document, confirm value, CRB class, site visit and bid security; brief the MD</t>
        </is>
      </c>
      <c r="AJ205" s="74" t="inlineStr">
        <is>
          <t>Auto-scan</t>
        </is>
      </c>
      <c r="AK205" s="74" t="inlineStr">
        <is>
          <t>197fe68a-bb6d-4ee1-ba81-452dc272e2d6</t>
        </is>
      </c>
      <c r="AL205" s="59">
        <f>IF(AND(OR(W205="Watching",W205="Preparing"),ISNUMBER(Q205)),IF(AND(Q205&gt;='Friday Summary'!$C$4,Q205&lt;='Friday Summary'!$C$4+14),Q205+ROW()/1000000,""),"")</f>
        <v/>
      </c>
    </row>
    <row r="206" ht="15" customHeight="1" s="51">
      <c r="A206" s="59">
        <f>IF(B206="","","OP-"&amp;TEXT(ROW()-4,"000"))</f>
        <v/>
      </c>
      <c r="B206" s="70" t="inlineStr">
        <is>
          <t>TR185/2026/2027/W/14</t>
        </is>
      </c>
      <c r="C206" s="71" t="n">
        <v>46317</v>
      </c>
      <c r="D206" s="70" t="inlineStr">
        <is>
          <t>NeST</t>
        </is>
      </c>
      <c r="E206" s="70" t="inlineStr">
        <is>
          <t>https://nest.go.tz/tenders/published-tenders</t>
        </is>
      </c>
      <c r="F206" s="70" t="inlineStr">
        <is>
          <t>National Development Corporation</t>
        </is>
      </c>
      <c r="G206" s="70" t="inlineStr">
        <is>
          <t>parastatal (verify)</t>
        </is>
      </c>
      <c r="H206" s="70" t="inlineStr">
        <is>
          <t>Rehabilitation of Registry (Open and Confidential) and Library</t>
        </is>
      </c>
      <c r="I206" s="70" t="inlineStr">
        <is>
          <t>From NeST notice (1 lot) – read the tender document</t>
        </is>
      </c>
      <c r="J206" s="70" t="inlineStr">
        <is>
          <t>Dar es Salaam (Ilala) (from client's office – confirm site)</t>
        </is>
      </c>
      <c r="K206" s="70" t="inlineStr">
        <is>
          <t>renovation</t>
        </is>
      </c>
      <c r="L206" s="70" t="inlineStr">
        <is>
          <t>NeST login needed</t>
        </is>
      </c>
      <c r="M206" s="62" t="n"/>
      <c r="N206" s="70" t="inlineStr">
        <is>
          <t>unknown</t>
        </is>
      </c>
      <c r="O206" s="71" t="inlineStr">
        <is>
          <t>NeST login needed</t>
        </is>
      </c>
      <c r="P206" s="71" t="inlineStr">
        <is>
          <t>NeST login needed</t>
        </is>
      </c>
      <c r="Q206" s="72" t="n">
        <v>46324.58333333334</v>
      </c>
      <c r="R206" s="70" t="inlineStr">
        <is>
          <t>NeST login needed</t>
        </is>
      </c>
      <c r="S206" s="70" t="inlineStr">
        <is>
          <t>N</t>
        </is>
      </c>
      <c r="T206" s="64">
        <f>IF(A206="","",IFERROR(INDEX('Bid-NoBid'!$T:$T,MATCH(A206,'Bid-NoBid'!$A:$A,0)),""))</f>
        <v/>
      </c>
      <c r="U206" s="59">
        <f>IF(A206="","",IFERROR(IF(OR(INDEX('Bid-NoBid'!$U:$U,MATCH(A206,'Bid-NoBid'!$A:$A,0))="",LEFT(INDEX('Bid-NoBid'!$U:$U,MATCH(A206,'Bid-NoBid'!$A:$A,0)),10)="Incomplete"),"Screen: "&amp;AC206,INDEX('Bid-NoBid'!$U:$U,MATCH(A206,'Bid-NoBid'!$A:$A,0))),"Screen: "&amp;AC206))</f>
        <v/>
      </c>
      <c r="V206" s="60" t="n"/>
      <c r="W206" s="70" t="inlineStr">
        <is>
          <t>Watching</t>
        </is>
      </c>
      <c r="X206" s="70" t="inlineStr">
        <is>
          <t>Frank</t>
        </is>
      </c>
      <c r="Y206" s="60" t="n"/>
      <c r="Z206" s="60" t="n"/>
      <c r="AA206" s="73" t="n">
        <v>46317</v>
      </c>
      <c r="AB206" s="74" t="inlineStr">
        <is>
          <t>Small Works / Tender</t>
        </is>
      </c>
      <c r="AC206" s="74" t="inlineStr">
        <is>
          <t>Pursue</t>
        </is>
      </c>
      <c r="AD206" s="74" t="inlineStr">
        <is>
          <t>Auto (Small Works / Tender): Building works within reach of Dar</t>
        </is>
      </c>
      <c r="AE206" s="67">
        <f>IF(ISNUMBER(Q206),ROUNDDOWN(Q206-NOW(),1),"")</f>
        <v/>
      </c>
      <c r="AF206" s="59">
        <f>IF(OR(A206="",AE206=""),"",IF(NOT(OR(W206="Watching",W206="Preparing")),"",IF(AE206&lt;0,"PASSED",IF(AND(AE206&lt;=7,W206&lt;&gt;"Preparing"),"RED",IF(AE206&lt;=14,"AMBER","GREEN")))))</f>
        <v/>
      </c>
      <c r="AG206" s="59">
        <f>IF(OR(A206="",NOT(OR(W206="Watching",W206="Preparing"))),"",IF(AND(ISNUMBER(M206),M206&gt;=3000000000),"YES – ≥ TZS 3bn",IF(AND(ISNUMBER(AE206),AE206&gt;=0,AE206&lt;10,V206=""),"YES – &lt;10 days","")))</f>
        <v/>
      </c>
      <c r="AH206" s="68" t="n"/>
      <c r="AI206" s="74" t="inlineStr">
        <is>
          <t>Get the tender document, confirm value, CRB class, site visit and bid security; brief the MD</t>
        </is>
      </c>
      <c r="AJ206" s="74" t="inlineStr">
        <is>
          <t>Auto-scan</t>
        </is>
      </c>
      <c r="AK206" s="74" t="inlineStr">
        <is>
          <t>5145f8f8-84da-49c5-b8a9-022be262e943</t>
        </is>
      </c>
      <c r="AL206" s="59">
        <f>IF(AND(OR(W206="Watching",W206="Preparing"),ISNUMBER(Q206)),IF(AND(Q206&gt;='Friday Summary'!$C$4,Q206&lt;='Friday Summary'!$C$4+14),Q206+ROW()/1000000,""),"")</f>
        <v/>
      </c>
    </row>
    <row r="207" ht="15" customHeight="1" s="51">
      <c r="A207" s="59">
        <f>IF(B207="","","OP-"&amp;TEXT(ROW()-4,"000"))</f>
        <v/>
      </c>
      <c r="B207" s="70" t="inlineStr">
        <is>
          <t>TR36/014/2026/2027/W/57</t>
        </is>
      </c>
      <c r="C207" s="71" t="n">
        <v>46317</v>
      </c>
      <c r="D207" s="70" t="inlineStr">
        <is>
          <t>NeST</t>
        </is>
      </c>
      <c r="E207" s="70" t="inlineStr">
        <is>
          <t>https://nest.go.tz/tenders/published-tenders</t>
        </is>
      </c>
      <c r="F207" s="70" t="inlineStr">
        <is>
          <t>TANROADS - Morogoro Regional Office</t>
        </is>
      </c>
      <c r="G207" s="70" t="inlineStr">
        <is>
          <t>government</t>
        </is>
      </c>
      <c r="H207" s="70" t="inlineStr">
        <is>
          <t>IMPROVEMENT OF ECONOMICAL CORRIDOR ALONG MOROGORO - DODOMA TRUNK ROAD T.003</t>
        </is>
      </c>
      <c r="I207" s="70" t="inlineStr">
        <is>
          <t>From NeST notice (1 lot) – read the tender document</t>
        </is>
      </c>
      <c r="J207" s="70" t="inlineStr">
        <is>
          <t>Morogoro</t>
        </is>
      </c>
      <c r="K207" s="70" t="inlineStr">
        <is>
          <t>civil</t>
        </is>
      </c>
      <c r="L207" s="70" t="inlineStr">
        <is>
          <t>NeST login needed</t>
        </is>
      </c>
      <c r="M207" s="62" t="n"/>
      <c r="N207" s="70" t="inlineStr">
        <is>
          <t>unknown</t>
        </is>
      </c>
      <c r="O207" s="71" t="inlineStr">
        <is>
          <t>NeST login needed</t>
        </is>
      </c>
      <c r="P207" s="71" t="inlineStr">
        <is>
          <t>NeST login needed</t>
        </is>
      </c>
      <c r="Q207" s="72" t="n">
        <v>46324.625</v>
      </c>
      <c r="R207" s="70" t="inlineStr">
        <is>
          <t>NeST login needed</t>
        </is>
      </c>
      <c r="S207" s="70" t="inlineStr">
        <is>
          <t>N</t>
        </is>
      </c>
      <c r="T207" s="64">
        <f>IF(A207="","",IFERROR(INDEX('Bid-NoBid'!$T:$T,MATCH(A207,'Bid-NoBid'!$A:$A,0)),""))</f>
        <v/>
      </c>
      <c r="U207" s="59">
        <f>IF(A207="","",IFERROR(IF(OR(INDEX('Bid-NoBid'!$U:$U,MATCH(A207,'Bid-NoBid'!$A:$A,0))="",LEFT(INDEX('Bid-NoBid'!$U:$U,MATCH(A207,'Bid-NoBid'!$A:$A,0)),10)="Incomplete"),"Screen: "&amp;AC207,INDEX('Bid-NoBid'!$U:$U,MATCH(A207,'Bid-NoBid'!$A:$A,0))),"Screen: "&amp;AC207))</f>
        <v/>
      </c>
      <c r="V207" s="60" t="n"/>
      <c r="W207" s="70" t="inlineStr">
        <is>
          <t>Watching</t>
        </is>
      </c>
      <c r="X207" s="70" t="inlineStr">
        <is>
          <t>Frank</t>
        </is>
      </c>
      <c r="Y207" s="60" t="n"/>
      <c r="Z207" s="60" t="n"/>
      <c r="AA207" s="73" t="n">
        <v>46317</v>
      </c>
      <c r="AB207" s="74" t="inlineStr">
        <is>
          <t>Small Works / Tender</t>
        </is>
      </c>
      <c r="AC207" s="74" t="inlineStr">
        <is>
          <t>Check</t>
        </is>
      </c>
      <c r="AD207" s="74" t="inlineStr">
        <is>
          <t>Auto (Small Works / Tender): Civil works – confirm site, CRB class and margin</t>
        </is>
      </c>
      <c r="AE207" s="67">
        <f>IF(ISNUMBER(Q207),ROUNDDOWN(Q207-NOW(),1),"")</f>
        <v/>
      </c>
      <c r="AF207" s="59">
        <f>IF(OR(A207="",AE207=""),"",IF(NOT(OR(W207="Watching",W207="Preparing")),"",IF(AE207&lt;0,"PASSED",IF(AND(AE207&lt;=7,W207&lt;&gt;"Preparing"),"RED",IF(AE207&lt;=14,"AMBER","GREEN")))))</f>
        <v/>
      </c>
      <c r="AG207" s="59">
        <f>IF(OR(A207="",NOT(OR(W207="Watching",W207="Preparing"))),"",IF(AND(ISNUMBER(M207),M207&gt;=3000000000),"YES – ≥ TZS 3bn",IF(AND(ISNUMBER(AE207),AE207&gt;=0,AE207&lt;10,V207=""),"YES – &lt;10 days","")))</f>
        <v/>
      </c>
      <c r="AH207" s="68" t="n"/>
      <c r="AI207" s="74" t="inlineStr">
        <is>
          <t>Read the notice and decide with the QS Director whether to pursue</t>
        </is>
      </c>
      <c r="AJ207" s="74" t="inlineStr">
        <is>
          <t>Auto-scan</t>
        </is>
      </c>
      <c r="AK207" s="74" t="inlineStr">
        <is>
          <t>d417c12c-a9c1-4710-b491-1f6a3fd2bd22</t>
        </is>
      </c>
      <c r="AL207" s="59">
        <f>IF(AND(OR(W207="Watching",W207="Preparing"),ISNUMBER(Q207)),IF(AND(Q207&gt;='Friday Summary'!$C$4,Q207&lt;='Friday Summary'!$C$4+14),Q207+ROW()/1000000,""),"")</f>
        <v/>
      </c>
    </row>
    <row r="208" ht="15" customHeight="1" s="51">
      <c r="A208" s="59">
        <f>IF(B208="","","OP-"&amp;TEXT(ROW()-4,"000"))</f>
        <v/>
      </c>
      <c r="B208" s="70" t="inlineStr">
        <is>
          <t>TR36/014/2026/2027/W/60</t>
        </is>
      </c>
      <c r="C208" s="71" t="n">
        <v>46317</v>
      </c>
      <c r="D208" s="70" t="inlineStr">
        <is>
          <t>NeST</t>
        </is>
      </c>
      <c r="E208" s="70" t="inlineStr">
        <is>
          <t>https://nest.go.tz/tenders/published-tenders</t>
        </is>
      </c>
      <c r="F208" s="70" t="inlineStr">
        <is>
          <t>TANROADS - Morogoro Regional Office</t>
        </is>
      </c>
      <c r="G208" s="70" t="inlineStr">
        <is>
          <t>government</t>
        </is>
      </c>
      <c r="H208" s="70" t="inlineStr">
        <is>
          <t>SPOT IMPROVEMENT WORKS ALONG DUMILA - KILOSA - MIKUMI(142.6KM).</t>
        </is>
      </c>
      <c r="I208" s="70" t="inlineStr">
        <is>
          <t>From NeST notice (1 lot) – read the tender document</t>
        </is>
      </c>
      <c r="J208" s="70" t="inlineStr">
        <is>
          <t>Morogoro (Kilosa)</t>
        </is>
      </c>
      <c r="K208" s="70" t="inlineStr">
        <is>
          <t>civil</t>
        </is>
      </c>
      <c r="L208" s="70" t="inlineStr">
        <is>
          <t>NeST login needed</t>
        </is>
      </c>
      <c r="M208" s="62" t="n"/>
      <c r="N208" s="70" t="inlineStr">
        <is>
          <t>unknown</t>
        </is>
      </c>
      <c r="O208" s="71" t="inlineStr">
        <is>
          <t>NeST login needed</t>
        </is>
      </c>
      <c r="P208" s="71" t="inlineStr">
        <is>
          <t>NeST login needed</t>
        </is>
      </c>
      <c r="Q208" s="72" t="n">
        <v>46324.625</v>
      </c>
      <c r="R208" s="70" t="inlineStr">
        <is>
          <t>NeST login needed</t>
        </is>
      </c>
      <c r="S208" s="70" t="inlineStr">
        <is>
          <t>N</t>
        </is>
      </c>
      <c r="T208" s="64">
        <f>IF(A208="","",IFERROR(INDEX('Bid-NoBid'!$T:$T,MATCH(A208,'Bid-NoBid'!$A:$A,0)),""))</f>
        <v/>
      </c>
      <c r="U208" s="59">
        <f>IF(A208="","",IFERROR(IF(OR(INDEX('Bid-NoBid'!$U:$U,MATCH(A208,'Bid-NoBid'!$A:$A,0))="",LEFT(INDEX('Bid-NoBid'!$U:$U,MATCH(A208,'Bid-NoBid'!$A:$A,0)),10)="Incomplete"),"Screen: "&amp;AC208,INDEX('Bid-NoBid'!$U:$U,MATCH(A208,'Bid-NoBid'!$A:$A,0))),"Screen: "&amp;AC208))</f>
        <v/>
      </c>
      <c r="V208" s="60" t="n"/>
      <c r="W208" s="70" t="inlineStr">
        <is>
          <t>Watching</t>
        </is>
      </c>
      <c r="X208" s="70" t="inlineStr">
        <is>
          <t>Frank</t>
        </is>
      </c>
      <c r="Y208" s="60" t="n"/>
      <c r="Z208" s="60" t="n"/>
      <c r="AA208" s="73" t="n">
        <v>46317</v>
      </c>
      <c r="AB208" s="74" t="inlineStr">
        <is>
          <t>Small Works / Tender</t>
        </is>
      </c>
      <c r="AC208" s="74" t="inlineStr">
        <is>
          <t>Check</t>
        </is>
      </c>
      <c r="AD208" s="74" t="inlineStr">
        <is>
          <t>Auto (Small Works / Tender): Civil works – confirm site, CRB class and margin</t>
        </is>
      </c>
      <c r="AE208" s="67">
        <f>IF(ISNUMBER(Q208),ROUNDDOWN(Q208-NOW(),1),"")</f>
        <v/>
      </c>
      <c r="AF208" s="59">
        <f>IF(OR(A208="",AE208=""),"",IF(NOT(OR(W208="Watching",W208="Preparing")),"",IF(AE208&lt;0,"PASSED",IF(AND(AE208&lt;=7,W208&lt;&gt;"Preparing"),"RED",IF(AE208&lt;=14,"AMBER","GREEN")))))</f>
        <v/>
      </c>
      <c r="AG208" s="59">
        <f>IF(OR(A208="",NOT(OR(W208="Watching",W208="Preparing"))),"",IF(AND(ISNUMBER(M208),M208&gt;=3000000000),"YES – ≥ TZS 3bn",IF(AND(ISNUMBER(AE208),AE208&gt;=0,AE208&lt;10,V208=""),"YES – &lt;10 days","")))</f>
        <v/>
      </c>
      <c r="AH208" s="68" t="n"/>
      <c r="AI208" s="74" t="inlineStr">
        <is>
          <t>Read the notice and decide with the QS Director whether to pursue</t>
        </is>
      </c>
      <c r="AJ208" s="74" t="inlineStr">
        <is>
          <t>Auto-scan</t>
        </is>
      </c>
      <c r="AK208" s="74" t="inlineStr">
        <is>
          <t>d90d1ec8-e22e-4be2-b6ca-b0e12dc22a00</t>
        </is>
      </c>
      <c r="AL208" s="59">
        <f>IF(AND(OR(W208="Watching",W208="Preparing"),ISNUMBER(Q208)),IF(AND(Q208&gt;='Friday Summary'!$C$4,Q208&lt;='Friday Summary'!$C$4+14),Q208+ROW()/1000000,""),"")</f>
        <v/>
      </c>
    </row>
    <row r="209" ht="15" customHeight="1" s="51">
      <c r="A209" s="59">
        <f>IF(B209="","","OP-"&amp;TEXT(ROW()-4,"000"))</f>
        <v/>
      </c>
      <c r="B209" s="70" t="inlineStr">
        <is>
          <t>(not shown)</t>
        </is>
      </c>
      <c r="C209" s="71" t="n">
        <v>46317</v>
      </c>
      <c r="D209" s="70" t="inlineStr">
        <is>
          <t>press</t>
        </is>
      </c>
      <c r="E209" s="70" t="inlineStr">
        <is>
          <t>https://www.tanzaniatenders.com/tender/construction-election-polling-stations-chamwino-9045b71.php</t>
        </is>
      </c>
      <c r="F209" s="70" t="inlineStr">
        <is>
          <t>See advert</t>
        </is>
      </c>
      <c r="G209" s="70" t="inlineStr">
        <is>
          <t>government</t>
        </is>
      </c>
      <c r="H209" s="70" t="inlineStr">
        <is>
          <t>Construction of Election (Polling) Stations in Chamwino</t>
        </is>
      </c>
      <c r="I209" s="70" t="inlineStr">
        <is>
          <t>From press notice (1 lot) – read the tender document</t>
        </is>
      </c>
      <c r="J209" s="70" t="inlineStr">
        <is>
          <t>Dodoma (Chamwino)</t>
        </is>
      </c>
      <c r="K209" s="70" t="inlineStr">
        <is>
          <t>building</t>
        </is>
      </c>
      <c r="L209" s="70" t="inlineStr">
        <is>
          <t>See tender document</t>
        </is>
      </c>
      <c r="M209" s="62" t="n"/>
      <c r="N209" s="70" t="inlineStr">
        <is>
          <t>unknown</t>
        </is>
      </c>
      <c r="O209" s="71" t="inlineStr">
        <is>
          <t>See tender document</t>
        </is>
      </c>
      <c r="P209" s="71" t="inlineStr">
        <is>
          <t>See tender document</t>
        </is>
      </c>
      <c r="Q209" s="72" t="n">
        <v>46322.41666666666</v>
      </c>
      <c r="R209" s="70" t="inlineStr">
        <is>
          <t>See tender document</t>
        </is>
      </c>
      <c r="S209" s="70" t="inlineStr">
        <is>
          <t>N</t>
        </is>
      </c>
      <c r="T209" s="64">
        <f>IF(A209="","",IFERROR(INDEX('Bid-NoBid'!$T:$T,MATCH(A209,'Bid-NoBid'!$A:$A,0)),""))</f>
        <v/>
      </c>
      <c r="U209" s="59">
        <f>IF(A209="","",IFERROR(IF(OR(INDEX('Bid-NoBid'!$U:$U,MATCH(A209,'Bid-NoBid'!$A:$A,0))="",LEFT(INDEX('Bid-NoBid'!$U:$U,MATCH(A209,'Bid-NoBid'!$A:$A,0)),10)="Incomplete"),"Screen: "&amp;AC209,INDEX('Bid-NoBid'!$U:$U,MATCH(A209,'Bid-NoBid'!$A:$A,0))),"Screen: "&amp;AC209))</f>
        <v/>
      </c>
      <c r="V209" s="60" t="n"/>
      <c r="W209" s="70" t="inlineStr">
        <is>
          <t>Watching</t>
        </is>
      </c>
      <c r="X209" s="70" t="inlineStr">
        <is>
          <t>Frank</t>
        </is>
      </c>
      <c r="Y209" s="60" t="n"/>
      <c r="Z209" s="60" t="n"/>
      <c r="AA209" s="73" t="n"/>
      <c r="AB209" s="74" t="inlineStr">
        <is>
          <t>TanzaniaTenders.com (newspapers / portals / private)</t>
        </is>
      </c>
      <c r="AC209" s="74" t="inlineStr">
        <is>
          <t>Pursue</t>
        </is>
      </c>
      <c r="AD209" s="74" t="inlineStr">
        <is>
          <t>Auto (TanzaniaTenders.com): Building works within reach of Dar · deadline read from the web page – confirm</t>
        </is>
      </c>
      <c r="AE209" s="67">
        <f>IF(ISNUMBER(Q209),ROUNDDOWN(Q209-NOW(),1),"")</f>
        <v/>
      </c>
      <c r="AF209" s="59">
        <f>IF(OR(A209="",AE209=""),"",IF(NOT(OR(W209="Watching",W209="Preparing")),"",IF(AE209&lt;0,"PASSED",IF(AND(AE209&lt;=7,W209&lt;&gt;"Preparing"),"RED",IF(AE209&lt;=14,"AMBER","GREEN")))))</f>
        <v/>
      </c>
      <c r="AG209" s="59">
        <f>IF(OR(A209="",NOT(OR(W209="Watching",W209="Preparing"))),"",IF(AND(ISNUMBER(M209),M209&gt;=3000000000),"YES – ≥ TZS 3bn",IF(AND(ISNUMBER(AE209),AE209&gt;=0,AE209&lt;10,V209=""),"YES – &lt;10 days","")))</f>
        <v/>
      </c>
      <c r="AH209" s="68" t="n"/>
      <c r="AI209" s="74" t="inlineStr">
        <is>
          <t>Get the tender document, confirm value, CRB class, site visit and bid security; brief the MD</t>
        </is>
      </c>
      <c r="AJ209" s="74" t="inlineStr">
        <is>
          <t>Auto-scan</t>
        </is>
      </c>
      <c r="AK209" s="74" t="inlineStr">
        <is>
          <t>TZT:151280497</t>
        </is>
      </c>
      <c r="AL209" s="59">
        <f>IF(AND(OR(W209="Watching",W209="Preparing"),ISNUMBER(Q209)),IF(AND(Q209&gt;='Friday Summary'!$C$4,Q209&lt;='Friday Summary'!$C$4+14),Q209+ROW()/1000000,""),"")</f>
        <v/>
      </c>
    </row>
    <row r="210" ht="15" customHeight="1" s="51">
      <c r="A210" s="59">
        <f>IF(B210="","","OP-"&amp;TEXT(ROW()-4,"000"))</f>
        <v/>
      </c>
      <c r="B210" s="70" t="inlineStr">
        <is>
          <t>(not shown)</t>
        </is>
      </c>
      <c r="C210" s="71" t="n">
        <v>46317</v>
      </c>
      <c r="D210" s="70" t="inlineStr">
        <is>
          <t>press</t>
        </is>
      </c>
      <c r="E210" s="70" t="inlineStr">
        <is>
          <t>https://www.tanzaniatenders.com/tender/provisions-labor-constructions-23-district-prosecutions-office-nps-9045b03.php</t>
        </is>
      </c>
      <c r="F210" s="70" t="inlineStr">
        <is>
          <t>See advert</t>
        </is>
      </c>
      <c r="G210" s="70" t="inlineStr">
        <is>
          <t>government</t>
        </is>
      </c>
      <c r="H210" s="70" t="inlineStr">
        <is>
          <t>Provisions of Labor for Constructions of 23 District Prosecutions Office for Nps</t>
        </is>
      </c>
      <c r="I210" s="70" t="inlineStr">
        <is>
          <t>From press notice (1 lot) – read the tender document</t>
        </is>
      </c>
      <c r="J210" s="70" t="inlineStr">
        <is>
          <t>Not stated – read the notice</t>
        </is>
      </c>
      <c r="K210" s="70" t="inlineStr">
        <is>
          <t>building</t>
        </is>
      </c>
      <c r="L210" s="70" t="inlineStr">
        <is>
          <t>See tender document</t>
        </is>
      </c>
      <c r="M210" s="62" t="n"/>
      <c r="N210" s="70" t="inlineStr">
        <is>
          <t>unknown</t>
        </is>
      </c>
      <c r="O210" s="71" t="inlineStr">
        <is>
          <t>See tender document</t>
        </is>
      </c>
      <c r="P210" s="71" t="inlineStr">
        <is>
          <t>See tender document</t>
        </is>
      </c>
      <c r="Q210" s="72" t="n">
        <v>46324.41666666666</v>
      </c>
      <c r="R210" s="70" t="inlineStr">
        <is>
          <t>See tender document</t>
        </is>
      </c>
      <c r="S210" s="70" t="inlineStr">
        <is>
          <t>N</t>
        </is>
      </c>
      <c r="T210" s="64">
        <f>IF(A210="","",IFERROR(INDEX('Bid-NoBid'!$T:$T,MATCH(A210,'Bid-NoBid'!$A:$A,0)),""))</f>
        <v/>
      </c>
      <c r="U210" s="59">
        <f>IF(A210="","",IFERROR(IF(OR(INDEX('Bid-NoBid'!$U:$U,MATCH(A210,'Bid-NoBid'!$A:$A,0))="",LEFT(INDEX('Bid-NoBid'!$U:$U,MATCH(A210,'Bid-NoBid'!$A:$A,0)),10)="Incomplete"),"Screen: "&amp;AC210,INDEX('Bid-NoBid'!$U:$U,MATCH(A210,'Bid-NoBid'!$A:$A,0))),"Screen: "&amp;AC210))</f>
        <v/>
      </c>
      <c r="V210" s="60" t="n"/>
      <c r="W210" s="70" t="inlineStr">
        <is>
          <t>Watching</t>
        </is>
      </c>
      <c r="X210" s="70" t="inlineStr">
        <is>
          <t>Frank</t>
        </is>
      </c>
      <c r="Y210" s="60" t="n"/>
      <c r="Z210" s="60" t="n"/>
      <c r="AA210" s="73" t="n"/>
      <c r="AB210" s="74" t="inlineStr">
        <is>
          <t>TanzaniaTenders.com (newspapers / portals / private)</t>
        </is>
      </c>
      <c r="AC210" s="74" t="inlineStr">
        <is>
          <t>Check</t>
        </is>
      </c>
      <c r="AD210" s="74" t="inlineStr">
        <is>
          <t>Auto (TanzaniaTenders.com): Site not stated in the listing – read the notice · deadline read from the web page – confirm</t>
        </is>
      </c>
      <c r="AE210" s="67">
        <f>IF(ISNUMBER(Q210),ROUNDDOWN(Q210-NOW(),1),"")</f>
        <v/>
      </c>
      <c r="AF210" s="59">
        <f>IF(OR(A210="",AE210=""),"",IF(NOT(OR(W210="Watching",W210="Preparing")),"",IF(AE210&lt;0,"PASSED",IF(AND(AE210&lt;=7,W210&lt;&gt;"Preparing"),"RED",IF(AE210&lt;=14,"AMBER","GREEN")))))</f>
        <v/>
      </c>
      <c r="AG210" s="59">
        <f>IF(OR(A210="",NOT(OR(W210="Watching",W210="Preparing"))),"",IF(AND(ISNUMBER(M210),M210&gt;=3000000000),"YES – ≥ TZS 3bn",IF(AND(ISNUMBER(AE210),AE210&gt;=0,AE210&lt;10,V210=""),"YES – &lt;10 days","")))</f>
        <v/>
      </c>
      <c r="AH210" s="68" t="n"/>
      <c r="AI210" s="74" t="inlineStr">
        <is>
          <t>Read the notice and decide with the QS Director whether to pursue</t>
        </is>
      </c>
      <c r="AJ210" s="74" t="inlineStr">
        <is>
          <t>Auto-scan</t>
        </is>
      </c>
      <c r="AK210" s="74" t="inlineStr">
        <is>
          <t>TZT:151280387</t>
        </is>
      </c>
      <c r="AL210" s="59">
        <f>IF(AND(OR(W210="Watching",W210="Preparing"),ISNUMBER(Q210)),IF(AND(Q210&gt;='Friday Summary'!$C$4,Q210&lt;='Friday Summary'!$C$4+14),Q210+ROW()/1000000,""),"")</f>
        <v/>
      </c>
    </row>
    <row r="211" ht="15" customHeight="1" s="51">
      <c r="A211" s="59">
        <f>IF(B211="","","OP-"&amp;TEXT(ROW()-4,"000"))</f>
        <v/>
      </c>
      <c r="B211" s="70" t="inlineStr">
        <is>
          <t>87V3/2026/2027/W/04</t>
        </is>
      </c>
      <c r="C211" s="71" t="n">
        <v>46318</v>
      </c>
      <c r="D211" s="70" t="inlineStr">
        <is>
          <t>NeST</t>
        </is>
      </c>
      <c r="E211" s="70" t="inlineStr">
        <is>
          <t>https://nest.go.tz/tenders/published-tenders</t>
        </is>
      </c>
      <c r="F211" s="70" t="inlineStr">
        <is>
          <t>Karagwe District Council</t>
        </is>
      </c>
      <c r="G211" s="70" t="inlineStr">
        <is>
          <t>government</t>
        </is>
      </c>
      <c r="H211" s="70" t="inlineStr">
        <is>
          <t>Construction of modern Kayanga Market</t>
        </is>
      </c>
      <c r="I211" s="70" t="inlineStr">
        <is>
          <t>From NeST notice (1 lot) – read the tender document</t>
        </is>
      </c>
      <c r="J211" s="70" t="inlineStr">
        <is>
          <t>Kagera (from client's office – confirm site)</t>
        </is>
      </c>
      <c r="K211" s="70" t="inlineStr">
        <is>
          <t>building</t>
        </is>
      </c>
      <c r="L211" s="70" t="inlineStr">
        <is>
          <t>NeST login needed</t>
        </is>
      </c>
      <c r="M211" s="62" t="n"/>
      <c r="N211" s="70" t="inlineStr">
        <is>
          <t>unknown</t>
        </is>
      </c>
      <c r="O211" s="71" t="inlineStr">
        <is>
          <t>NeST login needed</t>
        </is>
      </c>
      <c r="P211" s="71" t="inlineStr">
        <is>
          <t>NeST login needed</t>
        </is>
      </c>
      <c r="Q211" s="72" t="n">
        <v>46324.58333333334</v>
      </c>
      <c r="R211" s="70" t="inlineStr">
        <is>
          <t>NeST login needed</t>
        </is>
      </c>
      <c r="S211" s="70" t="inlineStr">
        <is>
          <t>N</t>
        </is>
      </c>
      <c r="T211" s="64">
        <f>IF(A211="","",IFERROR(INDEX('Bid-NoBid'!$T:$T,MATCH(A211,'Bid-NoBid'!$A:$A,0)),""))</f>
        <v/>
      </c>
      <c r="U211" s="59">
        <f>IF(A211="","",IFERROR(IF(OR(INDEX('Bid-NoBid'!$U:$U,MATCH(A211,'Bid-NoBid'!$A:$A,0))="",LEFT(INDEX('Bid-NoBid'!$U:$U,MATCH(A211,'Bid-NoBid'!$A:$A,0)),10)="Incomplete"),"Screen: "&amp;AC211,INDEX('Bid-NoBid'!$U:$U,MATCH(A211,'Bid-NoBid'!$A:$A,0))),"Screen: "&amp;AC211))</f>
        <v/>
      </c>
      <c r="V211" s="60" t="n"/>
      <c r="W211" s="70" t="inlineStr">
        <is>
          <t>Watching</t>
        </is>
      </c>
      <c r="X211" s="70" t="inlineStr">
        <is>
          <t>Frank</t>
        </is>
      </c>
      <c r="Y211" s="60" t="n"/>
      <c r="Z211" s="60" t="n"/>
      <c r="AA211" s="73" t="n">
        <v>46318</v>
      </c>
      <c r="AB211" s="74" t="inlineStr">
        <is>
          <t>Design and Build / Tender</t>
        </is>
      </c>
      <c r="AC211" s="74" t="inlineStr">
        <is>
          <t>Check</t>
        </is>
      </c>
      <c r="AD211" s="74" t="inlineStr">
        <is>
          <t>Auto (Design and Build / Tender): Construction tender kept for review (would have been dropped: Remote and closing soon)</t>
        </is>
      </c>
      <c r="AE211" s="67">
        <f>IF(ISNUMBER(Q211),ROUNDDOWN(Q211-NOW(),1),"")</f>
        <v/>
      </c>
      <c r="AF211" s="59">
        <f>IF(OR(A211="",AE211=""),"",IF(NOT(OR(W211="Watching",W211="Preparing")),"",IF(AE211&lt;0,"PASSED",IF(AND(AE211&lt;=7,W211&lt;&gt;"Preparing"),"RED",IF(AE211&lt;=14,"AMBER","GREEN")))))</f>
        <v/>
      </c>
      <c r="AG211" s="59">
        <f>IF(OR(A211="",NOT(OR(W211="Watching",W211="Preparing"))),"",IF(AND(ISNUMBER(M211),M211&gt;=3000000000),"YES – ≥ TZS 3bn",IF(AND(ISNUMBER(AE211),AE211&gt;=0,AE211&lt;10,V211=""),"YES – &lt;10 days","")))</f>
        <v/>
      </c>
      <c r="AH211" s="68" t="n"/>
      <c r="AI211" s="74" t="inlineStr">
        <is>
          <t>Read the notice and decide with the QS Director whether to pursue</t>
        </is>
      </c>
      <c r="AJ211" s="74" t="inlineStr">
        <is>
          <t>Auto-scan</t>
        </is>
      </c>
      <c r="AK211" s="74" t="inlineStr">
        <is>
          <t>6317e47d-6248-4194-b831-7c2cf1902350</t>
        </is>
      </c>
      <c r="AL211" s="59">
        <f>IF(AND(OR(W211="Watching",W211="Preparing"),ISNUMBER(Q211)),IF(AND(Q211&gt;='Friday Summary'!$C$4,Q211&lt;='Friday Summary'!$C$4+14),Q211+ROW()/1000000,""),"")</f>
        <v/>
      </c>
    </row>
    <row r="212" ht="15" customHeight="1" s="51">
      <c r="A212" s="59">
        <f>IF(B212="","","OP-"&amp;TEXT(ROW()-4,"000"))</f>
        <v/>
      </c>
      <c r="B212" s="70" t="inlineStr">
        <is>
          <t>71B4/2026/2027/W/16</t>
        </is>
      </c>
      <c r="C212" s="71" t="n">
        <v>46318</v>
      </c>
      <c r="D212" s="70" t="inlineStr">
        <is>
          <t>NeST</t>
        </is>
      </c>
      <c r="E212" s="70" t="inlineStr">
        <is>
          <t>https://nest.go.tz/tenders/published-tenders</t>
        </is>
      </c>
      <c r="F212" s="70" t="inlineStr">
        <is>
          <t>Kibaha District Council</t>
        </is>
      </c>
      <c r="G212" s="70" t="inlineStr">
        <is>
          <t>government</t>
        </is>
      </c>
      <c r="H212" s="70" t="inlineStr">
        <is>
          <t>CONSTRUCTION OF HOTEL AT MTONGANI AREA</t>
        </is>
      </c>
      <c r="I212" s="70" t="inlineStr">
        <is>
          <t>From NeST notice (1 lot) – read the tender document</t>
        </is>
      </c>
      <c r="J212" s="70" t="inlineStr">
        <is>
          <t>Pwani (Kibaha) (from client's office – confirm site)</t>
        </is>
      </c>
      <c r="K212" s="70" t="inlineStr">
        <is>
          <t>building</t>
        </is>
      </c>
      <c r="L212" s="70" t="inlineStr">
        <is>
          <t>NeST login needed</t>
        </is>
      </c>
      <c r="M212" s="62" t="n"/>
      <c r="N212" s="70" t="inlineStr">
        <is>
          <t>unknown</t>
        </is>
      </c>
      <c r="O212" s="71" t="inlineStr">
        <is>
          <t>NeST login needed</t>
        </is>
      </c>
      <c r="P212" s="71" t="inlineStr">
        <is>
          <t>NeST login needed</t>
        </is>
      </c>
      <c r="Q212" s="72" t="n">
        <v>46324.58333333334</v>
      </c>
      <c r="R212" s="70" t="inlineStr">
        <is>
          <t>NeST login needed</t>
        </is>
      </c>
      <c r="S212" s="70" t="inlineStr">
        <is>
          <t>N</t>
        </is>
      </c>
      <c r="T212" s="64">
        <f>IF(A212="","",IFERROR(INDEX('Bid-NoBid'!$T:$T,MATCH(A212,'Bid-NoBid'!$A:$A,0)),""))</f>
        <v/>
      </c>
      <c r="U212" s="59">
        <f>IF(A212="","",IFERROR(IF(OR(INDEX('Bid-NoBid'!$U:$U,MATCH(A212,'Bid-NoBid'!$A:$A,0))="",LEFT(INDEX('Bid-NoBid'!$U:$U,MATCH(A212,'Bid-NoBid'!$A:$A,0)),10)="Incomplete"),"Screen: "&amp;AC212,INDEX('Bid-NoBid'!$U:$U,MATCH(A212,'Bid-NoBid'!$A:$A,0))),"Screen: "&amp;AC212))</f>
        <v/>
      </c>
      <c r="V212" s="60" t="n"/>
      <c r="W212" s="70" t="inlineStr">
        <is>
          <t>Watching</t>
        </is>
      </c>
      <c r="X212" s="70" t="inlineStr">
        <is>
          <t>Frank</t>
        </is>
      </c>
      <c r="Y212" s="60" t="n"/>
      <c r="Z212" s="60" t="n"/>
      <c r="AA212" s="73" t="n">
        <v>46317</v>
      </c>
      <c r="AB212" s="74" t="inlineStr">
        <is>
          <t>Small Works / Tender</t>
        </is>
      </c>
      <c r="AC212" s="74" t="inlineStr">
        <is>
          <t>Pursue</t>
        </is>
      </c>
      <c r="AD212" s="74" t="inlineStr">
        <is>
          <t>Auto (Small Works / Tender): Building works within reach of Dar</t>
        </is>
      </c>
      <c r="AE212" s="67">
        <f>IF(ISNUMBER(Q212),ROUNDDOWN(Q212-NOW(),1),"")</f>
        <v/>
      </c>
      <c r="AF212" s="59">
        <f>IF(OR(A212="",AE212=""),"",IF(NOT(OR(W212="Watching",W212="Preparing")),"",IF(AE212&lt;0,"PASSED",IF(AND(AE212&lt;=7,W212&lt;&gt;"Preparing"),"RED",IF(AE212&lt;=14,"AMBER","GREEN")))))</f>
        <v/>
      </c>
      <c r="AG212" s="59">
        <f>IF(OR(A212="",NOT(OR(W212="Watching",W212="Preparing"))),"",IF(AND(ISNUMBER(M212),M212&gt;=3000000000),"YES – ≥ TZS 3bn",IF(AND(ISNUMBER(AE212),AE212&gt;=0,AE212&lt;10,V212=""),"YES – &lt;10 days","")))</f>
        <v/>
      </c>
      <c r="AH212" s="68" t="n"/>
      <c r="AI212" s="74" t="inlineStr">
        <is>
          <t>Get the tender document, confirm value, CRB class, site visit and bid security; brief the MD</t>
        </is>
      </c>
      <c r="AJ212" s="74" t="inlineStr">
        <is>
          <t>Auto-scan</t>
        </is>
      </c>
      <c r="AK212" s="74" t="inlineStr">
        <is>
          <t>a61bd327-f705-4397-a7fe-fd1d2989faf1</t>
        </is>
      </c>
      <c r="AL212" s="59">
        <f>IF(AND(OR(W212="Watching",W212="Preparing"),ISNUMBER(Q212)),IF(AND(Q212&gt;='Friday Summary'!$C$4,Q212&lt;='Friday Summary'!$C$4+14),Q212+ROW()/1000000,""),"")</f>
        <v/>
      </c>
    </row>
    <row r="213" ht="15" customHeight="1" s="51">
      <c r="A213" s="59">
        <f>IF(B213="","","OP-"&amp;TEXT(ROW()-4,"000"))</f>
        <v/>
      </c>
      <c r="B213" s="70" t="inlineStr">
        <is>
          <t>53/004/2026/2027/W/01</t>
        </is>
      </c>
      <c r="C213" s="71" t="n">
        <v>46318</v>
      </c>
      <c r="D213" s="70" t="inlineStr">
        <is>
          <t>NeST</t>
        </is>
      </c>
      <c r="E213" s="70" t="inlineStr">
        <is>
          <t>https://nest.go.tz/tenders/published-tenders</t>
        </is>
      </c>
      <c r="F213" s="70" t="inlineStr">
        <is>
          <t>Mcdgwsg - Rungemba Community Development Training Institute</t>
        </is>
      </c>
      <c r="G213" s="70" t="inlineStr">
        <is>
          <t>government</t>
        </is>
      </c>
      <c r="H213" s="70" t="inlineStr">
        <is>
          <t>Provision of continue of construction of computer lab</t>
        </is>
      </c>
      <c r="I213" s="70" t="inlineStr">
        <is>
          <t>From NeST notice (1 lot) – read the tender document</t>
        </is>
      </c>
      <c r="J213" s="70" t="inlineStr">
        <is>
          <t>Iringa (Mufindi) (from client's office – confirm site)</t>
        </is>
      </c>
      <c r="K213" s="70" t="inlineStr">
        <is>
          <t>building</t>
        </is>
      </c>
      <c r="L213" s="70" t="inlineStr">
        <is>
          <t>NeST login needed</t>
        </is>
      </c>
      <c r="M213" s="62" t="n"/>
      <c r="N213" s="70" t="inlineStr">
        <is>
          <t>unknown</t>
        </is>
      </c>
      <c r="O213" s="71" t="inlineStr">
        <is>
          <t>NeST login needed</t>
        </is>
      </c>
      <c r="P213" s="71" t="inlineStr">
        <is>
          <t>NeST login needed</t>
        </is>
      </c>
      <c r="Q213" s="72" t="n">
        <v>46324.58333333334</v>
      </c>
      <c r="R213" s="70" t="inlineStr">
        <is>
          <t>NeST login needed</t>
        </is>
      </c>
      <c r="S213" s="70" t="inlineStr">
        <is>
          <t>N</t>
        </is>
      </c>
      <c r="T213" s="64">
        <f>IF(A213="","",IFERROR(INDEX('Bid-NoBid'!$T:$T,MATCH(A213,'Bid-NoBid'!$A:$A,0)),""))</f>
        <v/>
      </c>
      <c r="U213" s="59">
        <f>IF(A213="","",IFERROR(IF(OR(INDEX('Bid-NoBid'!$U:$U,MATCH(A213,'Bid-NoBid'!$A:$A,0))="",LEFT(INDEX('Bid-NoBid'!$U:$U,MATCH(A213,'Bid-NoBid'!$A:$A,0)),10)="Incomplete"),"Screen: "&amp;AC213,INDEX('Bid-NoBid'!$U:$U,MATCH(A213,'Bid-NoBid'!$A:$A,0))),"Screen: "&amp;AC213))</f>
        <v/>
      </c>
      <c r="V213" s="60" t="n"/>
      <c r="W213" s="70" t="inlineStr">
        <is>
          <t>Watching</t>
        </is>
      </c>
      <c r="X213" s="70" t="inlineStr">
        <is>
          <t>Frank</t>
        </is>
      </c>
      <c r="Y213" s="60" t="n"/>
      <c r="Z213" s="60" t="n"/>
      <c r="AA213" s="73" t="n">
        <v>46317</v>
      </c>
      <c r="AB213" s="74" t="inlineStr">
        <is>
          <t>Small Works / Tender</t>
        </is>
      </c>
      <c r="AC213" s="74" t="inlineStr">
        <is>
          <t>Check</t>
        </is>
      </c>
      <c r="AD213" s="74" t="inlineStr">
        <is>
          <t>Auto (Small Works / Tender): Construction tender kept for review (would have been dropped: Remote and closing soon)</t>
        </is>
      </c>
      <c r="AE213" s="67">
        <f>IF(ISNUMBER(Q213),ROUNDDOWN(Q213-NOW(),1),"")</f>
        <v/>
      </c>
      <c r="AF213" s="59">
        <f>IF(OR(A213="",AE213=""),"",IF(NOT(OR(W213="Watching",W213="Preparing")),"",IF(AE213&lt;0,"PASSED",IF(AND(AE213&lt;=7,W213&lt;&gt;"Preparing"),"RED",IF(AE213&lt;=14,"AMBER","GREEN")))))</f>
        <v/>
      </c>
      <c r="AG213" s="59">
        <f>IF(OR(A213="",NOT(OR(W213="Watching",W213="Preparing"))),"",IF(AND(ISNUMBER(M213),M213&gt;=3000000000),"YES – ≥ TZS 3bn",IF(AND(ISNUMBER(AE213),AE213&gt;=0,AE213&lt;10,V213=""),"YES – &lt;10 days","")))</f>
        <v/>
      </c>
      <c r="AH213" s="68" t="n"/>
      <c r="AI213" s="74" t="inlineStr">
        <is>
          <t>Read the notice and decide with the QS Director whether to pursue</t>
        </is>
      </c>
      <c r="AJ213" s="74" t="inlineStr">
        <is>
          <t>Auto-scan</t>
        </is>
      </c>
      <c r="AK213" s="74" t="inlineStr">
        <is>
          <t>64e85431-9e2a-42f7-b09d-5ae5cd5fc38d</t>
        </is>
      </c>
      <c r="AL213" s="59">
        <f>IF(AND(OR(W213="Watching",W213="Preparing"),ISNUMBER(Q213)),IF(AND(Q213&gt;='Friday Summary'!$C$4,Q213&lt;='Friday Summary'!$C$4+14),Q213+ROW()/1000000,""),"")</f>
        <v/>
      </c>
    </row>
    <row r="214" ht="15" customHeight="1" s="51">
      <c r="A214" s="59">
        <f>IF(B214="","","OP-"&amp;TEXT(ROW()-4,"000"))</f>
        <v/>
      </c>
      <c r="B214" s="70" t="inlineStr">
        <is>
          <t>83/2026/2027/W/06</t>
        </is>
      </c>
      <c r="C214" s="71" t="n">
        <v>46318</v>
      </c>
      <c r="D214" s="70" t="inlineStr">
        <is>
          <t>NeST</t>
        </is>
      </c>
      <c r="E214" s="70" t="inlineStr">
        <is>
          <t>https://nest.go.tz/tenders/published-tenders</t>
        </is>
      </c>
      <c r="F214" s="70" t="inlineStr">
        <is>
          <t>Shinyanga Regional Secretariat</t>
        </is>
      </c>
      <c r="G214" s="70" t="inlineStr">
        <is>
          <t>government</t>
        </is>
      </c>
      <c r="H214" s="70" t="inlineStr">
        <is>
          <t>Completion of Construction for Kishapu District Commissioner Office, Rehabilitation of Residence House for Kishapu District Commissioner and Rehabilitation of Residence House for Kishapu District Administrative Secretary</t>
        </is>
      </c>
      <c r="I214" s="70" t="inlineStr">
        <is>
          <t>From NeST notice (1 lot) – read the tender document</t>
        </is>
      </c>
      <c r="J214" s="70" t="inlineStr">
        <is>
          <t>Shinyanga (from client's office – confirm site)</t>
        </is>
      </c>
      <c r="K214" s="70" t="inlineStr">
        <is>
          <t>renovation</t>
        </is>
      </c>
      <c r="L214" s="70" t="inlineStr">
        <is>
          <t>NeST login needed</t>
        </is>
      </c>
      <c r="M214" s="62" t="n"/>
      <c r="N214" s="70" t="inlineStr">
        <is>
          <t>unknown</t>
        </is>
      </c>
      <c r="O214" s="71" t="inlineStr">
        <is>
          <t>NeST login needed</t>
        </is>
      </c>
      <c r="P214" s="71" t="inlineStr">
        <is>
          <t>NeST login needed</t>
        </is>
      </c>
      <c r="Q214" s="72" t="n">
        <v>46325.58333333334</v>
      </c>
      <c r="R214" s="70" t="inlineStr">
        <is>
          <t>NeST login needed</t>
        </is>
      </c>
      <c r="S214" s="70" t="inlineStr">
        <is>
          <t>N</t>
        </is>
      </c>
      <c r="T214" s="64">
        <f>IF(A214="","",IFERROR(INDEX('Bid-NoBid'!$T:$T,MATCH(A214,'Bid-NoBid'!$A:$A,0)),""))</f>
        <v/>
      </c>
      <c r="U214" s="59">
        <f>IF(A214="","",IFERROR(IF(OR(INDEX('Bid-NoBid'!$U:$U,MATCH(A214,'Bid-NoBid'!$A:$A,0))="",LEFT(INDEX('Bid-NoBid'!$U:$U,MATCH(A214,'Bid-NoBid'!$A:$A,0)),10)="Incomplete"),"Screen: "&amp;AC214,INDEX('Bid-NoBid'!$U:$U,MATCH(A214,'Bid-NoBid'!$A:$A,0))),"Screen: "&amp;AC214))</f>
        <v/>
      </c>
      <c r="V214" s="60" t="n"/>
      <c r="W214" s="70" t="inlineStr">
        <is>
          <t>Watching</t>
        </is>
      </c>
      <c r="X214" s="70" t="inlineStr">
        <is>
          <t>Frank</t>
        </is>
      </c>
      <c r="Y214" s="60" t="n"/>
      <c r="Z214" s="60" t="n"/>
      <c r="AA214" s="73" t="n">
        <v>46318</v>
      </c>
      <c r="AB214" s="74" t="inlineStr">
        <is>
          <t>Small Works / Tender</t>
        </is>
      </c>
      <c r="AC214" s="74" t="inlineStr">
        <is>
          <t>Check</t>
        </is>
      </c>
      <c r="AD214" s="74" t="inlineStr">
        <is>
          <t>Auto (Small Works / Tender): Building works but remote from Dar</t>
        </is>
      </c>
      <c r="AE214" s="67">
        <f>IF(ISNUMBER(Q214),ROUNDDOWN(Q214-NOW(),1),"")</f>
        <v/>
      </c>
      <c r="AF214" s="59">
        <f>IF(OR(A214="",AE214=""),"",IF(NOT(OR(W214="Watching",W214="Preparing")),"",IF(AE214&lt;0,"PASSED",IF(AND(AE214&lt;=7,W214&lt;&gt;"Preparing"),"RED",IF(AE214&lt;=14,"AMBER","GREEN")))))</f>
        <v/>
      </c>
      <c r="AG214" s="59">
        <f>IF(OR(A214="",NOT(OR(W214="Watching",W214="Preparing"))),"",IF(AND(ISNUMBER(M214),M214&gt;=3000000000),"YES – ≥ TZS 3bn",IF(AND(ISNUMBER(AE214),AE214&gt;=0,AE214&lt;10,V214=""),"YES – &lt;10 days","")))</f>
        <v/>
      </c>
      <c r="AH214" s="68" t="n"/>
      <c r="AI214" s="74" t="inlineStr">
        <is>
          <t>Read the notice and decide with the QS Director whether to pursue</t>
        </is>
      </c>
      <c r="AJ214" s="74" t="inlineStr">
        <is>
          <t>Auto-scan</t>
        </is>
      </c>
      <c r="AK214" s="74" t="inlineStr">
        <is>
          <t>46cfcb1f-31be-451a-8e8c-cde843573b84</t>
        </is>
      </c>
      <c r="AL214" s="59">
        <f>IF(AND(OR(W214="Watching",W214="Preparing"),ISNUMBER(Q214)),IF(AND(Q214&gt;='Friday Summary'!$C$4,Q214&lt;='Friday Summary'!$C$4+14),Q214+ROW()/1000000,""),"")</f>
        <v/>
      </c>
    </row>
    <row r="215" ht="15" customHeight="1" s="51">
      <c r="A215" s="59">
        <f>IF(B215="","","OP-"&amp;TEXT(ROW()-4,"000"))</f>
        <v/>
      </c>
      <c r="B215" s="70" t="inlineStr">
        <is>
          <t>TR170/2025/2026/W/01</t>
        </is>
      </c>
      <c r="C215" s="71" t="n">
        <v>46318</v>
      </c>
      <c r="D215" s="70" t="inlineStr">
        <is>
          <t>NeST</t>
        </is>
      </c>
      <c r="E215" s="70" t="inlineStr">
        <is>
          <t>https://nest.go.tz/tenders/published-tenders</t>
        </is>
      </c>
      <c r="F215" s="70" t="inlineStr">
        <is>
          <t>Land Transport Regulatory Authority</t>
        </is>
      </c>
      <c r="G215" s="70" t="inlineStr">
        <is>
          <t>government</t>
        </is>
      </c>
      <c r="H215" s="70" t="inlineStr">
        <is>
          <t>Construction of Fence at Mikocheni</t>
        </is>
      </c>
      <c r="I215" s="70" t="inlineStr">
        <is>
          <t>From NeST notice (1 lot) – read the tender document</t>
        </is>
      </c>
      <c r="J215" s="70" t="inlineStr">
        <is>
          <t>Dodoma (from client's office – confirm site)</t>
        </is>
      </c>
      <c r="K215" s="70" t="inlineStr">
        <is>
          <t>building</t>
        </is>
      </c>
      <c r="L215" s="70" t="inlineStr">
        <is>
          <t>NeST login needed</t>
        </is>
      </c>
      <c r="M215" s="62" t="n"/>
      <c r="N215" s="70" t="inlineStr">
        <is>
          <t>unknown</t>
        </is>
      </c>
      <c r="O215" s="71" t="inlineStr">
        <is>
          <t>NeST login needed</t>
        </is>
      </c>
      <c r="P215" s="71" t="inlineStr">
        <is>
          <t>NeST login needed</t>
        </is>
      </c>
      <c r="Q215" s="72" t="n">
        <v>46325.58333333334</v>
      </c>
      <c r="R215" s="70" t="inlineStr">
        <is>
          <t>NeST login needed</t>
        </is>
      </c>
      <c r="S215" s="70" t="inlineStr">
        <is>
          <t>N</t>
        </is>
      </c>
      <c r="T215" s="64">
        <f>IF(A215="","",IFERROR(INDEX('Bid-NoBid'!$T:$T,MATCH(A215,'Bid-NoBid'!$A:$A,0)),""))</f>
        <v/>
      </c>
      <c r="U215" s="59">
        <f>IF(A215="","",IFERROR(IF(OR(INDEX('Bid-NoBid'!$U:$U,MATCH(A215,'Bid-NoBid'!$A:$A,0))="",LEFT(INDEX('Bid-NoBid'!$U:$U,MATCH(A215,'Bid-NoBid'!$A:$A,0)),10)="Incomplete"),"Screen: "&amp;AC215,INDEX('Bid-NoBid'!$U:$U,MATCH(A215,'Bid-NoBid'!$A:$A,0))),"Screen: "&amp;AC215))</f>
        <v/>
      </c>
      <c r="V215" s="60" t="n"/>
      <c r="W215" s="70" t="inlineStr">
        <is>
          <t>Watching</t>
        </is>
      </c>
      <c r="X215" s="70" t="inlineStr">
        <is>
          <t>Frank</t>
        </is>
      </c>
      <c r="Y215" s="60" t="n"/>
      <c r="Z215" s="60" t="n"/>
      <c r="AA215" s="73" t="n">
        <v>46318</v>
      </c>
      <c r="AB215" s="74" t="inlineStr">
        <is>
          <t>Standard Invitation for Quotations -Works / Planned Tender</t>
        </is>
      </c>
      <c r="AC215" s="74" t="inlineStr">
        <is>
          <t>Check</t>
        </is>
      </c>
      <c r="AD215" s="74" t="inlineStr">
        <is>
          <t>Auto (Standard Invitation for Quotations -Works / Planned Tender): Quotation route – value may be below TZS 200m</t>
        </is>
      </c>
      <c r="AE215" s="67">
        <f>IF(ISNUMBER(Q215),ROUNDDOWN(Q215-NOW(),1),"")</f>
        <v/>
      </c>
      <c r="AF215" s="59">
        <f>IF(OR(A215="",AE215=""),"",IF(NOT(OR(W215="Watching",W215="Preparing")),"",IF(AE215&lt;0,"PASSED",IF(AND(AE215&lt;=7,W215&lt;&gt;"Preparing"),"RED",IF(AE215&lt;=14,"AMBER","GREEN")))))</f>
        <v/>
      </c>
      <c r="AG215" s="59">
        <f>IF(OR(A215="",NOT(OR(W215="Watching",W215="Preparing"))),"",IF(AND(ISNUMBER(M215),M215&gt;=3000000000),"YES – ≥ TZS 3bn",IF(AND(ISNUMBER(AE215),AE215&gt;=0,AE215&lt;10,V215=""),"YES – &lt;10 days","")))</f>
        <v/>
      </c>
      <c r="AH215" s="68" t="n"/>
      <c r="AI215" s="74" t="inlineStr">
        <is>
          <t>Read the notice and decide with the QS Director whether to pursue</t>
        </is>
      </c>
      <c r="AJ215" s="74" t="inlineStr">
        <is>
          <t>Auto-scan</t>
        </is>
      </c>
      <c r="AK215" s="74" t="inlineStr">
        <is>
          <t>d66f00ca-0fac-4115-bb3d-a985d4c85a25</t>
        </is>
      </c>
      <c r="AL215" s="59">
        <f>IF(AND(OR(W215="Watching",W215="Preparing"),ISNUMBER(Q215)),IF(AND(Q215&gt;='Friday Summary'!$C$4,Q215&lt;='Friday Summary'!$C$4+14),Q215+ROW()/1000000,""),"")</f>
        <v/>
      </c>
    </row>
    <row r="216" ht="15" customHeight="1" s="51">
      <c r="A216" s="59">
        <f>IF(B216="","","OP-"&amp;TEXT(ROW()-4,"000"))</f>
        <v/>
      </c>
      <c r="B216" s="70" t="inlineStr">
        <is>
          <t>TR72/2026/2027/W/02</t>
        </is>
      </c>
      <c r="C216" s="71" t="n">
        <v>46318</v>
      </c>
      <c r="D216" s="70" t="inlineStr">
        <is>
          <t>NeST</t>
        </is>
      </c>
      <c r="E216" s="70" t="inlineStr">
        <is>
          <t>https://nest.go.tz/tenders/published-tenders</t>
        </is>
      </c>
      <c r="F216" s="70" t="inlineStr">
        <is>
          <t>National Museum of Tanzania</t>
        </is>
      </c>
      <c r="G216" s="70" t="inlineStr">
        <is>
          <t>government</t>
        </is>
      </c>
      <c r="H216" s="70" t="inlineStr">
        <is>
          <t>Renovation of Tourism Infrastructures at MHOC</t>
        </is>
      </c>
      <c r="I216" s="70" t="inlineStr">
        <is>
          <t>From NeST notice (1 lot) – read the tender document</t>
        </is>
      </c>
      <c r="J216" s="70" t="inlineStr">
        <is>
          <t>Dar es Salaam (Ilala) (from client's office – confirm site)</t>
        </is>
      </c>
      <c r="K216" s="70" t="inlineStr">
        <is>
          <t>renovation</t>
        </is>
      </c>
      <c r="L216" s="70" t="inlineStr">
        <is>
          <t>NeST login needed</t>
        </is>
      </c>
      <c r="M216" s="62" t="n"/>
      <c r="N216" s="70" t="inlineStr">
        <is>
          <t>unknown</t>
        </is>
      </c>
      <c r="O216" s="71" t="inlineStr">
        <is>
          <t>NeST login needed</t>
        </is>
      </c>
      <c r="P216" s="71" t="inlineStr">
        <is>
          <t>NeST login needed</t>
        </is>
      </c>
      <c r="Q216" s="72" t="n">
        <v>46325.58333333334</v>
      </c>
      <c r="R216" s="70" t="inlineStr">
        <is>
          <t>NeST login needed</t>
        </is>
      </c>
      <c r="S216" s="70" t="inlineStr">
        <is>
          <t>N</t>
        </is>
      </c>
      <c r="T216" s="64">
        <f>IF(A216="","",IFERROR(INDEX('Bid-NoBid'!$T:$T,MATCH(A216,'Bid-NoBid'!$A:$A,0)),""))</f>
        <v/>
      </c>
      <c r="U216" s="59">
        <f>IF(A216="","",IFERROR(IF(OR(INDEX('Bid-NoBid'!$U:$U,MATCH(A216,'Bid-NoBid'!$A:$A,0))="",LEFT(INDEX('Bid-NoBid'!$U:$U,MATCH(A216,'Bid-NoBid'!$A:$A,0)),10)="Incomplete"),"Screen: "&amp;AC216,INDEX('Bid-NoBid'!$U:$U,MATCH(A216,'Bid-NoBid'!$A:$A,0))),"Screen: "&amp;AC216))</f>
        <v/>
      </c>
      <c r="V216" s="60" t="n"/>
      <c r="W216" s="70" t="inlineStr">
        <is>
          <t>Watching</t>
        </is>
      </c>
      <c r="X216" s="70" t="inlineStr">
        <is>
          <t>Frank</t>
        </is>
      </c>
      <c r="Y216" s="60" t="n"/>
      <c r="Z216" s="60" t="n"/>
      <c r="AA216" s="73" t="n">
        <v>46317</v>
      </c>
      <c r="AB216" s="74" t="inlineStr">
        <is>
          <t>Small Works / Tender</t>
        </is>
      </c>
      <c r="AC216" s="74" t="inlineStr">
        <is>
          <t>Pursue</t>
        </is>
      </c>
      <c r="AD216" s="74" t="inlineStr">
        <is>
          <t>Auto (Small Works / Tender): Building works within reach of Dar</t>
        </is>
      </c>
      <c r="AE216" s="67">
        <f>IF(ISNUMBER(Q216),ROUNDDOWN(Q216-NOW(),1),"")</f>
        <v/>
      </c>
      <c r="AF216" s="59">
        <f>IF(OR(A216="",AE216=""),"",IF(NOT(OR(W216="Watching",W216="Preparing")),"",IF(AE216&lt;0,"PASSED",IF(AND(AE216&lt;=7,W216&lt;&gt;"Preparing"),"RED",IF(AE216&lt;=14,"AMBER","GREEN")))))</f>
        <v/>
      </c>
      <c r="AG216" s="59">
        <f>IF(OR(A216="",NOT(OR(W216="Watching",W216="Preparing"))),"",IF(AND(ISNUMBER(M216),M216&gt;=3000000000),"YES – ≥ TZS 3bn",IF(AND(ISNUMBER(AE216),AE216&gt;=0,AE216&lt;10,V216=""),"YES – &lt;10 days","")))</f>
        <v/>
      </c>
      <c r="AH216" s="68" t="n"/>
      <c r="AI216" s="74" t="inlineStr">
        <is>
          <t>Get the tender document, confirm value, CRB class, site visit and bid security; brief the MD</t>
        </is>
      </c>
      <c r="AJ216" s="74" t="inlineStr">
        <is>
          <t>Auto-scan</t>
        </is>
      </c>
      <c r="AK216" s="74" t="inlineStr">
        <is>
          <t>589b934e-27c4-4111-8fff-28376949dca1</t>
        </is>
      </c>
      <c r="AL216" s="59">
        <f>IF(AND(OR(W216="Watching",W216="Preparing"),ISNUMBER(Q216)),IF(AND(Q216&gt;='Friday Summary'!$C$4,Q216&lt;='Friday Summary'!$C$4+14),Q216+ROW()/1000000,""),"")</f>
        <v/>
      </c>
    </row>
    <row r="217" ht="15" customHeight="1" s="51">
      <c r="A217" s="59">
        <f>IF(B217="","","OP-"&amp;TEXT(ROW()-4,"000"))</f>
        <v/>
      </c>
      <c r="B217" s="70" t="inlineStr">
        <is>
          <t>TR103/2026/2027/W/06</t>
        </is>
      </c>
      <c r="C217" s="71" t="n">
        <v>46318</v>
      </c>
      <c r="D217" s="70" t="inlineStr">
        <is>
          <t>NeST</t>
        </is>
      </c>
      <c r="E217" s="70" t="inlineStr">
        <is>
          <t>https://nest.go.tz/tenders/published-tenders</t>
        </is>
      </c>
      <c r="F217" s="70" t="inlineStr">
        <is>
          <t>Agricultural Seeds Agency</t>
        </is>
      </c>
      <c r="G217" s="70" t="inlineStr">
        <is>
          <t>government</t>
        </is>
      </c>
      <c r="H217" s="70" t="inlineStr">
        <is>
          <t>CONSTRUCTION OF STAFF HOUSE AT ASA SEED FARM</t>
        </is>
      </c>
      <c r="I217" s="70" t="inlineStr">
        <is>
          <t>From NeST notice (1 lot) – read the tender document</t>
        </is>
      </c>
      <c r="J217" s="70" t="inlineStr">
        <is>
          <t>Morogoro (from client's office – confirm site)</t>
        </is>
      </c>
      <c r="K217" s="70" t="inlineStr">
        <is>
          <t>building</t>
        </is>
      </c>
      <c r="L217" s="70" t="inlineStr">
        <is>
          <t>NeST login needed</t>
        </is>
      </c>
      <c r="M217" s="62" t="n"/>
      <c r="N217" s="70" t="inlineStr">
        <is>
          <t>unknown</t>
        </is>
      </c>
      <c r="O217" s="71" t="inlineStr">
        <is>
          <t>NeST login needed</t>
        </is>
      </c>
      <c r="P217" s="71" t="inlineStr">
        <is>
          <t>NeST login needed</t>
        </is>
      </c>
      <c r="Q217" s="72" t="n">
        <v>46336.41666666666</v>
      </c>
      <c r="R217" s="70" t="inlineStr">
        <is>
          <t>NeST login needed</t>
        </is>
      </c>
      <c r="S217" s="70" t="inlineStr">
        <is>
          <t>N</t>
        </is>
      </c>
      <c r="T217" s="64">
        <f>IF(A217="","",IFERROR(INDEX('Bid-NoBid'!$T:$T,MATCH(A217,'Bid-NoBid'!$A:$A,0)),""))</f>
        <v/>
      </c>
      <c r="U217" s="59">
        <f>IF(A217="","",IFERROR(IF(OR(INDEX('Bid-NoBid'!$U:$U,MATCH(A217,'Bid-NoBid'!$A:$A,0))="",LEFT(INDEX('Bid-NoBid'!$U:$U,MATCH(A217,'Bid-NoBid'!$A:$A,0)),10)="Incomplete"),"Screen: "&amp;AC217,INDEX('Bid-NoBid'!$U:$U,MATCH(A217,'Bid-NoBid'!$A:$A,0))),"Screen: "&amp;AC217))</f>
        <v/>
      </c>
      <c r="V217" s="60" t="n"/>
      <c r="W217" s="70" t="inlineStr">
        <is>
          <t>Watching</t>
        </is>
      </c>
      <c r="X217" s="70" t="inlineStr">
        <is>
          <t>Frank</t>
        </is>
      </c>
      <c r="Y217" s="60" t="n"/>
      <c r="Z217" s="60" t="n"/>
      <c r="AA217" s="73" t="n">
        <v>46318</v>
      </c>
      <c r="AB217" s="74" t="inlineStr">
        <is>
          <t>Small Works / Tender</t>
        </is>
      </c>
      <c r="AC217" s="74" t="inlineStr">
        <is>
          <t>Pursue</t>
        </is>
      </c>
      <c r="AD217" s="74" t="inlineStr">
        <is>
          <t>Auto (Small Works / Tender): Building works within reach of Dar</t>
        </is>
      </c>
      <c r="AE217" s="67">
        <f>IF(ISNUMBER(Q217),ROUNDDOWN(Q217-NOW(),1),"")</f>
        <v/>
      </c>
      <c r="AF217" s="59">
        <f>IF(OR(A217="",AE217=""),"",IF(NOT(OR(W217="Watching",W217="Preparing")),"",IF(AE217&lt;0,"PASSED",IF(AND(AE217&lt;=7,W217&lt;&gt;"Preparing"),"RED",IF(AE217&lt;=14,"AMBER","GREEN")))))</f>
        <v/>
      </c>
      <c r="AG217" s="59">
        <f>IF(OR(A217="",NOT(OR(W217="Watching",W217="Preparing"))),"",IF(AND(ISNUMBER(M217),M217&gt;=3000000000),"YES – ≥ TZS 3bn",IF(AND(ISNUMBER(AE217),AE217&gt;=0,AE217&lt;10,V217=""),"YES – &lt;10 days","")))</f>
        <v/>
      </c>
      <c r="AH217" s="68" t="n"/>
      <c r="AI217" s="74" t="inlineStr">
        <is>
          <t>Get the tender document, confirm value, CRB class, site visit and bid security; brief the MD</t>
        </is>
      </c>
      <c r="AJ217" s="74" t="inlineStr">
        <is>
          <t>Auto-scan</t>
        </is>
      </c>
      <c r="AK217" s="74" t="inlineStr">
        <is>
          <t>03e6467c-17f6-464d-aec5-651ed5ca770e</t>
        </is>
      </c>
      <c r="AL217" s="59">
        <f>IF(AND(OR(W217="Watching",W217="Preparing"),ISNUMBER(Q217)),IF(AND(Q217&gt;='Friday Summary'!$C$4,Q217&lt;='Friday Summary'!$C$4+14),Q217+ROW()/1000000,""),"")</f>
        <v/>
      </c>
    </row>
    <row r="218" ht="15" customHeight="1" s="51">
      <c r="A218" s="59">
        <f>IF(B218="","","OP-"&amp;TEXT(ROW()-4,"000"))</f>
        <v/>
      </c>
      <c r="B218" s="70" t="inlineStr">
        <is>
          <t>(not shown)</t>
        </is>
      </c>
      <c r="C218" s="71" t="n">
        <v>46318</v>
      </c>
      <c r="D218" s="70" t="inlineStr">
        <is>
          <t>press</t>
        </is>
      </c>
      <c r="E218" s="70" t="inlineStr">
        <is>
          <t>https://www.tanzaniatenders.com/tender/running-dit-canteen-service-mwanza-campus-9053570.php</t>
        </is>
      </c>
      <c r="F218" s="70" t="inlineStr">
        <is>
          <t>See advert</t>
        </is>
      </c>
      <c r="G218" s="70" t="inlineStr">
        <is>
          <t>government</t>
        </is>
      </c>
      <c r="H218" s="70" t="inlineStr">
        <is>
          <t>Running of Dit Canteen Service at Mwanza Campus</t>
        </is>
      </c>
      <c r="I218" s="70" t="inlineStr">
        <is>
          <t>From press notice (1 lot) – read the tender document</t>
        </is>
      </c>
      <c r="J218" s="70" t="inlineStr">
        <is>
          <t>Mwanza</t>
        </is>
      </c>
      <c r="K218" s="70" t="inlineStr">
        <is>
          <t>building</t>
        </is>
      </c>
      <c r="L218" s="70" t="inlineStr">
        <is>
          <t>See tender document</t>
        </is>
      </c>
      <c r="M218" s="62" t="n"/>
      <c r="N218" s="70" t="inlineStr">
        <is>
          <t>unknown</t>
        </is>
      </c>
      <c r="O218" s="71" t="inlineStr">
        <is>
          <t>See tender document</t>
        </is>
      </c>
      <c r="P218" s="71" t="inlineStr">
        <is>
          <t>See tender document</t>
        </is>
      </c>
      <c r="Q218" s="72" t="n">
        <v>46325.41666666666</v>
      </c>
      <c r="R218" s="70" t="inlineStr">
        <is>
          <t>See tender document</t>
        </is>
      </c>
      <c r="S218" s="70" t="inlineStr">
        <is>
          <t>N</t>
        </is>
      </c>
      <c r="T218" s="64">
        <f>IF(A218="","",IFERROR(INDEX('Bid-NoBid'!$T:$T,MATCH(A218,'Bid-NoBid'!$A:$A,0)),""))</f>
        <v/>
      </c>
      <c r="U218" s="59">
        <f>IF(A218="","",IFERROR(IF(OR(INDEX('Bid-NoBid'!$U:$U,MATCH(A218,'Bid-NoBid'!$A:$A,0))="",LEFT(INDEX('Bid-NoBid'!$U:$U,MATCH(A218,'Bid-NoBid'!$A:$A,0)),10)="Incomplete"),"Screen: "&amp;AC218,INDEX('Bid-NoBid'!$U:$U,MATCH(A218,'Bid-NoBid'!$A:$A,0))),"Screen: "&amp;AC218))</f>
        <v/>
      </c>
      <c r="V218" s="60" t="n"/>
      <c r="W218" s="70" t="inlineStr">
        <is>
          <t>Watching</t>
        </is>
      </c>
      <c r="X218" s="70" t="inlineStr">
        <is>
          <t>Frank</t>
        </is>
      </c>
      <c r="Y218" s="60" t="n"/>
      <c r="Z218" s="60" t="n"/>
      <c r="AA218" s="73" t="n"/>
      <c r="AB218" s="74" t="inlineStr">
        <is>
          <t>TanzaniaTenders.com (newspapers / portals / private)</t>
        </is>
      </c>
      <c r="AC218" s="74" t="inlineStr">
        <is>
          <t>Check</t>
        </is>
      </c>
      <c r="AD218" s="74" t="inlineStr">
        <is>
          <t>Auto (TanzaniaTenders.com): Building works but remote from Dar · deadline read from the web page – confirm</t>
        </is>
      </c>
      <c r="AE218" s="67">
        <f>IF(ISNUMBER(Q218),ROUNDDOWN(Q218-NOW(),1),"")</f>
        <v/>
      </c>
      <c r="AF218" s="59">
        <f>IF(OR(A218="",AE218=""),"",IF(NOT(OR(W218="Watching",W218="Preparing")),"",IF(AE218&lt;0,"PASSED",IF(AND(AE218&lt;=7,W218&lt;&gt;"Preparing"),"RED",IF(AE218&lt;=14,"AMBER","GREEN")))))</f>
        <v/>
      </c>
      <c r="AG218" s="59">
        <f>IF(OR(A218="",NOT(OR(W218="Watching",W218="Preparing"))),"",IF(AND(ISNUMBER(M218),M218&gt;=3000000000),"YES – ≥ TZS 3bn",IF(AND(ISNUMBER(AE218),AE218&gt;=0,AE218&lt;10,V218=""),"YES – &lt;10 days","")))</f>
        <v/>
      </c>
      <c r="AH218" s="68" t="n"/>
      <c r="AI218" s="74" t="inlineStr">
        <is>
          <t>Read the notice and decide with the QS Director whether to pursue</t>
        </is>
      </c>
      <c r="AJ218" s="74" t="inlineStr">
        <is>
          <t>Auto-scan</t>
        </is>
      </c>
      <c r="AK218" s="74" t="inlineStr">
        <is>
          <t>TZT:151336304</t>
        </is>
      </c>
      <c r="AL218" s="59">
        <f>IF(AND(OR(W218="Watching",W218="Preparing"),ISNUMBER(Q218)),IF(AND(Q218&gt;='Friday Summary'!$C$4,Q218&lt;='Friday Summary'!$C$4+14),Q218+ROW()/1000000,""),"")</f>
        <v/>
      </c>
    </row>
    <row r="219" ht="15" customHeight="1" s="51">
      <c r="A219" s="59">
        <f>IF(B219="","","OP-"&amp;TEXT(ROW()-4,"000"))</f>
        <v/>
      </c>
      <c r="B219" s="70" t="inlineStr">
        <is>
          <t>(not shown)</t>
        </is>
      </c>
      <c r="C219" s="71" t="n">
        <v>46318</v>
      </c>
      <c r="D219" s="70" t="inlineStr">
        <is>
          <t>press</t>
        </is>
      </c>
      <c r="E219" s="70" t="inlineStr">
        <is>
          <t>https://www.tanzaniatenders.com/tender/establishment-lta-building-maintenance-services-905958b.php</t>
        </is>
      </c>
      <c r="F219" s="70" t="inlineStr">
        <is>
          <t>See advert</t>
        </is>
      </c>
      <c r="G219" s="70" t="inlineStr">
        <is>
          <t>government</t>
        </is>
      </c>
      <c r="H219" s="70" t="inlineStr">
        <is>
          <t>Establishment of Lta for Building Maintenance Services</t>
        </is>
      </c>
      <c r="I219" s="70" t="inlineStr">
        <is>
          <t>From press notice (1 lot) – read the tender document</t>
        </is>
      </c>
      <c r="J219" s="70" t="inlineStr">
        <is>
          <t>Not stated – read the notice</t>
        </is>
      </c>
      <c r="K219" s="70" t="inlineStr">
        <is>
          <t>building</t>
        </is>
      </c>
      <c r="L219" s="70" t="inlineStr">
        <is>
          <t>See tender document</t>
        </is>
      </c>
      <c r="M219" s="62" t="n"/>
      <c r="N219" s="70" t="inlineStr">
        <is>
          <t>unknown</t>
        </is>
      </c>
      <c r="O219" s="71" t="inlineStr">
        <is>
          <t>See tender document</t>
        </is>
      </c>
      <c r="P219" s="71" t="inlineStr">
        <is>
          <t>See tender document</t>
        </is>
      </c>
      <c r="Q219" s="72" t="n">
        <v>46344.41666666666</v>
      </c>
      <c r="R219" s="70" t="inlineStr">
        <is>
          <t>See tender document</t>
        </is>
      </c>
      <c r="S219" s="70" t="inlineStr">
        <is>
          <t>N</t>
        </is>
      </c>
      <c r="T219" s="64">
        <f>IF(A219="","",IFERROR(INDEX('Bid-NoBid'!$T:$T,MATCH(A219,'Bid-NoBid'!$A:$A,0)),""))</f>
        <v/>
      </c>
      <c r="U219" s="59">
        <f>IF(A219="","",IFERROR(IF(OR(INDEX('Bid-NoBid'!$U:$U,MATCH(A219,'Bid-NoBid'!$A:$A,0))="",LEFT(INDEX('Bid-NoBid'!$U:$U,MATCH(A219,'Bid-NoBid'!$A:$A,0)),10)="Incomplete"),"Screen: "&amp;AC219,INDEX('Bid-NoBid'!$U:$U,MATCH(A219,'Bid-NoBid'!$A:$A,0))),"Screen: "&amp;AC219))</f>
        <v/>
      </c>
      <c r="V219" s="60" t="n"/>
      <c r="W219" s="70" t="inlineStr">
        <is>
          <t>Watching</t>
        </is>
      </c>
      <c r="X219" s="70" t="inlineStr">
        <is>
          <t>Frank</t>
        </is>
      </c>
      <c r="Y219" s="60" t="n"/>
      <c r="Z219" s="60" t="n"/>
      <c r="AA219" s="73" t="n"/>
      <c r="AB219" s="74" t="inlineStr">
        <is>
          <t>TanzaniaTenders.com (newspapers / portals / private)</t>
        </is>
      </c>
      <c r="AC219" s="74" t="inlineStr">
        <is>
          <t>Check</t>
        </is>
      </c>
      <c r="AD219" s="74" t="inlineStr">
        <is>
          <t>Auto (TanzaniaTenders.com): Site not stated in the listing – read the notice · deadline read from the web page – confirm</t>
        </is>
      </c>
      <c r="AE219" s="67">
        <f>IF(ISNUMBER(Q219),ROUNDDOWN(Q219-NOW(),1),"")</f>
        <v/>
      </c>
      <c r="AF219" s="59">
        <f>IF(OR(A219="",AE219=""),"",IF(NOT(OR(W219="Watching",W219="Preparing")),"",IF(AE219&lt;0,"PASSED",IF(AND(AE219&lt;=7,W219&lt;&gt;"Preparing"),"RED",IF(AE219&lt;=14,"AMBER","GREEN")))))</f>
        <v/>
      </c>
      <c r="AG219" s="59">
        <f>IF(OR(A219="",NOT(OR(W219="Watching",W219="Preparing"))),"",IF(AND(ISNUMBER(M219),M219&gt;=3000000000),"YES – ≥ TZS 3bn",IF(AND(ISNUMBER(AE219),AE219&gt;=0,AE219&lt;10,V219=""),"YES – &lt;10 days","")))</f>
        <v/>
      </c>
      <c r="AH219" s="68" t="n"/>
      <c r="AI219" s="74" t="inlineStr">
        <is>
          <t>Read the notice and decide with the QS Director whether to pursue</t>
        </is>
      </c>
      <c r="AJ219" s="74" t="inlineStr">
        <is>
          <t>Auto-scan</t>
        </is>
      </c>
      <c r="AK219" s="74" t="inlineStr">
        <is>
          <t>TZT:151360907</t>
        </is>
      </c>
      <c r="AL219" s="59">
        <f>IF(AND(OR(W219="Watching",W219="Preparing"),ISNUMBER(Q219)),IF(AND(Q219&gt;='Friday Summary'!$C$4,Q219&lt;='Friday Summary'!$C$4+14),Q219+ROW()/1000000,""),"")</f>
        <v/>
      </c>
    </row>
    <row r="220" ht="15" customHeight="1" s="51">
      <c r="A220" s="59">
        <f>IF(B220="","","OP-"&amp;TEXT(ROW()-4,"000"))</f>
        <v/>
      </c>
      <c r="B220" s="70" t="inlineStr">
        <is>
          <t>70Q2/2026/2027/W/07</t>
        </is>
      </c>
      <c r="C220" s="71" t="n">
        <v>46319</v>
      </c>
      <c r="D220" s="70" t="inlineStr">
        <is>
          <t>NeST</t>
        </is>
      </c>
      <c r="E220" s="70" t="inlineStr">
        <is>
          <t>https://nest.go.tz/tenders/published-tenders</t>
        </is>
      </c>
      <c r="F220" s="70" t="inlineStr">
        <is>
          <t>Longido District Council</t>
        </is>
      </c>
      <c r="G220" s="70" t="inlineStr">
        <is>
          <t>government</t>
        </is>
      </c>
      <c r="H220" s="70" t="inlineStr">
        <is>
          <t>Construction of Box culvert along Tingatinga - Elerai Road</t>
        </is>
      </c>
      <c r="I220" s="70" t="inlineStr">
        <is>
          <t>From NeST notice (1 lot) – read the tender document</t>
        </is>
      </c>
      <c r="J220" s="70" t="inlineStr">
        <is>
          <t>Arusha (from client's office – confirm site)</t>
        </is>
      </c>
      <c r="K220" s="70" t="inlineStr">
        <is>
          <t>civil</t>
        </is>
      </c>
      <c r="L220" s="70" t="inlineStr">
        <is>
          <t>NeST login needed</t>
        </is>
      </c>
      <c r="M220" s="62" t="n"/>
      <c r="N220" s="70" t="inlineStr">
        <is>
          <t>unknown</t>
        </is>
      </c>
      <c r="O220" s="71" t="inlineStr">
        <is>
          <t>NeST login needed</t>
        </is>
      </c>
      <c r="P220" s="71" t="inlineStr">
        <is>
          <t>NeST login needed</t>
        </is>
      </c>
      <c r="Q220" s="72" t="n">
        <v>46325.41666666666</v>
      </c>
      <c r="R220" s="70" t="inlineStr">
        <is>
          <t>NeST login needed</t>
        </is>
      </c>
      <c r="S220" s="70" t="inlineStr">
        <is>
          <t>N</t>
        </is>
      </c>
      <c r="T220" s="64">
        <f>IF(A220="","",IFERROR(INDEX('Bid-NoBid'!$T:$T,MATCH(A220,'Bid-NoBid'!$A:$A,0)),""))</f>
        <v/>
      </c>
      <c r="U220" s="59">
        <f>IF(A220="","",IFERROR(IF(OR(INDEX('Bid-NoBid'!$U:$U,MATCH(A220,'Bid-NoBid'!$A:$A,0))="",LEFT(INDEX('Bid-NoBid'!$U:$U,MATCH(A220,'Bid-NoBid'!$A:$A,0)),10)="Incomplete"),"Screen: "&amp;AC220,INDEX('Bid-NoBid'!$U:$U,MATCH(A220,'Bid-NoBid'!$A:$A,0))),"Screen: "&amp;AC220))</f>
        <v/>
      </c>
      <c r="V220" s="60" t="n"/>
      <c r="W220" s="70" t="inlineStr">
        <is>
          <t>Watching</t>
        </is>
      </c>
      <c r="X220" s="70" t="inlineStr">
        <is>
          <t>Frank</t>
        </is>
      </c>
      <c r="Y220" s="60" t="n"/>
      <c r="Z220" s="60" t="n"/>
      <c r="AA220" s="73" t="n">
        <v>46318</v>
      </c>
      <c r="AB220" s="74" t="inlineStr">
        <is>
          <t>Small Works / Tender</t>
        </is>
      </c>
      <c r="AC220" s="74" t="inlineStr">
        <is>
          <t>Check</t>
        </is>
      </c>
      <c r="AD220" s="74" t="inlineStr">
        <is>
          <t>Auto (Small Works / Tender): Construction tender kept for review (would have been dropped: Remote civil works)</t>
        </is>
      </c>
      <c r="AE220" s="67">
        <f>IF(ISNUMBER(Q220),ROUNDDOWN(Q220-NOW(),1),"")</f>
        <v/>
      </c>
      <c r="AF220" s="59">
        <f>IF(OR(A220="",AE220=""),"",IF(NOT(OR(W220="Watching",W220="Preparing")),"",IF(AE220&lt;0,"PASSED",IF(AND(AE220&lt;=7,W220&lt;&gt;"Preparing"),"RED",IF(AE220&lt;=14,"AMBER","GREEN")))))</f>
        <v/>
      </c>
      <c r="AG220" s="59">
        <f>IF(OR(A220="",NOT(OR(W220="Watching",W220="Preparing"))),"",IF(AND(ISNUMBER(M220),M220&gt;=3000000000),"YES – ≥ TZS 3bn",IF(AND(ISNUMBER(AE220),AE220&gt;=0,AE220&lt;10,V220=""),"YES – &lt;10 days","")))</f>
        <v/>
      </c>
      <c r="AH220" s="68" t="n"/>
      <c r="AI220" s="74" t="inlineStr">
        <is>
          <t>Read the notice and decide with the QS Director whether to pursue</t>
        </is>
      </c>
      <c r="AJ220" s="74" t="inlineStr">
        <is>
          <t>Auto-scan</t>
        </is>
      </c>
      <c r="AK220" s="74" t="inlineStr">
        <is>
          <t>b0733687-ba40-4fee-b5c9-04c694af739e</t>
        </is>
      </c>
      <c r="AL220" s="59">
        <f>IF(AND(OR(W220="Watching",W220="Preparing"),ISNUMBER(Q220)),IF(AND(Q220&gt;='Friday Summary'!$C$4,Q220&lt;='Friday Summary'!$C$4+14),Q220+ROW()/1000000,""),"")</f>
        <v/>
      </c>
    </row>
    <row r="221" ht="15" customHeight="1" s="51">
      <c r="A221" s="59">
        <f>IF(B221="","","OP-"&amp;TEXT(ROW()-4,"000"))</f>
        <v/>
      </c>
      <c r="B221" s="70" t="inlineStr">
        <is>
          <t>S10/025/2026/2027/W/87</t>
        </is>
      </c>
      <c r="C221" s="71" t="n">
        <v>46319</v>
      </c>
      <c r="D221" s="70" t="inlineStr">
        <is>
          <t>NeST</t>
        </is>
      </c>
      <c r="E221" s="70" t="inlineStr">
        <is>
          <t>https://nest.go.tz/tenders/published-tenders</t>
        </is>
      </c>
      <c r="F221" s="70" t="inlineStr">
        <is>
          <t>TARURA - Tabora Regional Office</t>
        </is>
      </c>
      <c r="G221" s="70" t="inlineStr">
        <is>
          <t>government</t>
        </is>
      </c>
      <c r="H221" s="70" t="inlineStr">
        <is>
          <t>Periodic Maintenance (1.4km), Construction of Concrete side drains 1200m, Nine (9) lines of stone masonry Box Culverts works along Sengu, Periodic Maintenance (0.55km), Repair of stone masonry side drains bothsides 550m, Four (4) lines of stone masonry Box Culverts works along Ukwala - Nzega Day, Periodic Maintenance (0.25km), Construction of Concrete side drains 300m along Kitongo FPCT CHURCH - Fundi Emma, Periodic Maintenance (1.0km), Repair of stone masonry side drains bothsides 600m, Two (2) lines of stone masonry Box Culverts works along Imelida, Periodic Maintenance (3.0km), Construction of Concrete side drains 900m, Seven (7) lines of stone masonry Box Culverts works along Uswiru-Marco kuzwa, Periodic Maintenance (3.0km), Construction of Concrete side drains 900m, Seven (7) lines of stone masonry Box Culverts works along Dr. Solonyo - Jack Maharage - Daraja la Ipilili, Periodic Maintenance (6.5km), Construction of Five (5) lines of stone masonry Box Culverts works along Ijanija Centre -Shila - Shigamba, Periodic Maintenance (8.0km) along Nzega - Igilali - Idudumo, Periodic Maintenance (7.11km), Construction of Three (3) lines of stone masonry Box Culverts works along Nzega - Idala - Undomo roads and Victoria road in Nzega Town Council</t>
        </is>
      </c>
      <c r="I221" s="70" t="inlineStr">
        <is>
          <t>From NeST notice (1 lot) – read the tender document</t>
        </is>
      </c>
      <c r="J221" s="70" t="inlineStr">
        <is>
          <t>Tabora (Sikonge) (from client's office – confirm site)</t>
        </is>
      </c>
      <c r="K221" s="70" t="inlineStr">
        <is>
          <t>civil</t>
        </is>
      </c>
      <c r="L221" s="70" t="inlineStr">
        <is>
          <t>NeST login needed</t>
        </is>
      </c>
      <c r="M221" s="62" t="n"/>
      <c r="N221" s="70" t="inlineStr">
        <is>
          <t>unknown</t>
        </is>
      </c>
      <c r="O221" s="71" t="inlineStr">
        <is>
          <t>NeST login needed</t>
        </is>
      </c>
      <c r="P221" s="71" t="inlineStr">
        <is>
          <t>NeST login needed</t>
        </is>
      </c>
      <c r="Q221" s="72" t="n">
        <v>46325.45833333334</v>
      </c>
      <c r="R221" s="70" t="inlineStr">
        <is>
          <t>NeST login needed</t>
        </is>
      </c>
      <c r="S221" s="70" t="inlineStr">
        <is>
          <t>N</t>
        </is>
      </c>
      <c r="T221" s="64">
        <f>IF(A221="","",IFERROR(INDEX('Bid-NoBid'!$T:$T,MATCH(A221,'Bid-NoBid'!$A:$A,0)),""))</f>
        <v/>
      </c>
      <c r="U221" s="59">
        <f>IF(A221="","",IFERROR(IF(OR(INDEX('Bid-NoBid'!$U:$U,MATCH(A221,'Bid-NoBid'!$A:$A,0))="",LEFT(INDEX('Bid-NoBid'!$U:$U,MATCH(A221,'Bid-NoBid'!$A:$A,0)),10)="Incomplete"),"Screen: "&amp;AC221,INDEX('Bid-NoBid'!$U:$U,MATCH(A221,'Bid-NoBid'!$A:$A,0))),"Screen: "&amp;AC221))</f>
        <v/>
      </c>
      <c r="V221" s="60" t="n"/>
      <c r="W221" s="70" t="inlineStr">
        <is>
          <t>Watching</t>
        </is>
      </c>
      <c r="X221" s="70" t="inlineStr">
        <is>
          <t>Frank</t>
        </is>
      </c>
      <c r="Y221" s="60" t="n"/>
      <c r="Z221" s="60" t="n"/>
      <c r="AA221" s="73" t="n">
        <v>46318</v>
      </c>
      <c r="AB221" s="74" t="inlineStr">
        <is>
          <t>Small Works / Tender</t>
        </is>
      </c>
      <c r="AC221" s="74" t="inlineStr">
        <is>
          <t>Check</t>
        </is>
      </c>
      <c r="AD221" s="74" t="inlineStr">
        <is>
          <t>Auto (Small Works / Tender): Construction tender kept for review (would have been dropped: Remote civil works)</t>
        </is>
      </c>
      <c r="AE221" s="67">
        <f>IF(ISNUMBER(Q221),ROUNDDOWN(Q221-NOW(),1),"")</f>
        <v/>
      </c>
      <c r="AF221" s="59">
        <f>IF(OR(A221="",AE221=""),"",IF(NOT(OR(W221="Watching",W221="Preparing")),"",IF(AE221&lt;0,"PASSED",IF(AND(AE221&lt;=7,W221&lt;&gt;"Preparing"),"RED",IF(AE221&lt;=14,"AMBER","GREEN")))))</f>
        <v/>
      </c>
      <c r="AG221" s="59">
        <f>IF(OR(A221="",NOT(OR(W221="Watching",W221="Preparing"))),"",IF(AND(ISNUMBER(M221),M221&gt;=3000000000),"YES – ≥ TZS 3bn",IF(AND(ISNUMBER(AE221),AE221&gt;=0,AE221&lt;10,V221=""),"YES – &lt;10 days","")))</f>
        <v/>
      </c>
      <c r="AH221" s="68" t="n"/>
      <c r="AI221" s="74" t="inlineStr">
        <is>
          <t>Read the notice and decide with the QS Director whether to pursue</t>
        </is>
      </c>
      <c r="AJ221" s="74" t="inlineStr">
        <is>
          <t>Auto-scan</t>
        </is>
      </c>
      <c r="AK221" s="74" t="inlineStr">
        <is>
          <t>4665abf7-d189-4fe0-96a7-ef0c04369154</t>
        </is>
      </c>
      <c r="AL221" s="59">
        <f>IF(AND(OR(W221="Watching",W221="Preparing"),ISNUMBER(Q221)),IF(AND(Q221&gt;='Friday Summary'!$C$4,Q221&lt;='Friday Summary'!$C$4+14),Q221+ROW()/1000000,""),"")</f>
        <v/>
      </c>
    </row>
    <row r="222" ht="15" customHeight="1" s="51">
      <c r="A222" s="59">
        <f>IF(B222="","","OP-"&amp;TEXT(ROW()-4,"000"))</f>
        <v/>
      </c>
      <c r="B222" s="70" t="inlineStr">
        <is>
          <t>(not shown)</t>
        </is>
      </c>
      <c r="C222" s="71" t="n">
        <v>46319</v>
      </c>
      <c r="D222" s="70" t="inlineStr">
        <is>
          <t>press</t>
        </is>
      </c>
      <c r="E222" s="70" t="inlineStr">
        <is>
          <t>https://www.tanzaniatenders.com/tender/survey-and-design-irrigation-weir-and-1km-lined-main-canal-initiating-proposed-irrigation-scheme-mih-90643df.php</t>
        </is>
      </c>
      <c r="F222" s="70" t="inlineStr">
        <is>
          <t>See advert</t>
        </is>
      </c>
      <c r="G222" s="70" t="inlineStr">
        <is>
          <t>government</t>
        </is>
      </c>
      <c r="H222" s="70" t="inlineStr">
        <is>
          <t>Survey and Design of Irrigation Weir and 1Km Lined Main Canal for Initiating Proposed Irrigation Scheme at Mihama Village in Kishapu District</t>
        </is>
      </c>
      <c r="I222" s="70" t="inlineStr">
        <is>
          <t>From press notice (1 lot) – read the tender document</t>
        </is>
      </c>
      <c r="J222" s="70" t="inlineStr">
        <is>
          <t>Not stated – read the notice</t>
        </is>
      </c>
      <c r="K222" s="70" t="inlineStr">
        <is>
          <t>civil</t>
        </is>
      </c>
      <c r="L222" s="70" t="inlineStr">
        <is>
          <t>See tender document</t>
        </is>
      </c>
      <c r="M222" s="62" t="n"/>
      <c r="N222" s="70" t="inlineStr">
        <is>
          <t>unknown</t>
        </is>
      </c>
      <c r="O222" s="71" t="inlineStr">
        <is>
          <t>See tender document</t>
        </is>
      </c>
      <c r="P222" s="71" t="inlineStr">
        <is>
          <t>See tender document</t>
        </is>
      </c>
      <c r="Q222" s="72" t="n">
        <v>46328.41666666666</v>
      </c>
      <c r="R222" s="70" t="inlineStr">
        <is>
          <t>See tender document</t>
        </is>
      </c>
      <c r="S222" s="70" t="inlineStr">
        <is>
          <t>N</t>
        </is>
      </c>
      <c r="T222" s="64">
        <f>IF(A222="","",IFERROR(INDEX('Bid-NoBid'!$T:$T,MATCH(A222,'Bid-NoBid'!$A:$A,0)),""))</f>
        <v/>
      </c>
      <c r="U222" s="59">
        <f>IF(A222="","",IFERROR(IF(OR(INDEX('Bid-NoBid'!$U:$U,MATCH(A222,'Bid-NoBid'!$A:$A,0))="",LEFT(INDEX('Bid-NoBid'!$U:$U,MATCH(A222,'Bid-NoBid'!$A:$A,0)),10)="Incomplete"),"Screen: "&amp;AC222,INDEX('Bid-NoBid'!$U:$U,MATCH(A222,'Bid-NoBid'!$A:$A,0))),"Screen: "&amp;AC222))</f>
        <v/>
      </c>
      <c r="V222" s="60" t="n"/>
      <c r="W222" s="70" t="inlineStr">
        <is>
          <t>Watching</t>
        </is>
      </c>
      <c r="X222" s="70" t="inlineStr">
        <is>
          <t>Frank</t>
        </is>
      </c>
      <c r="Y222" s="60" t="n"/>
      <c r="Z222" s="60" t="n"/>
      <c r="AA222" s="73" t="n"/>
      <c r="AB222" s="74" t="inlineStr">
        <is>
          <t>TanzaniaTenders.com (newspapers / portals / private)</t>
        </is>
      </c>
      <c r="AC222" s="74" t="inlineStr">
        <is>
          <t>Check</t>
        </is>
      </c>
      <c r="AD222" s="74" t="inlineStr">
        <is>
          <t>Auto (TanzaniaTenders.com): Civil works – confirm site, CRB class and margin · deadline read from the web page – confirm</t>
        </is>
      </c>
      <c r="AE222" s="67">
        <f>IF(ISNUMBER(Q222),ROUNDDOWN(Q222-NOW(),1),"")</f>
        <v/>
      </c>
      <c r="AF222" s="59">
        <f>IF(OR(A222="",AE222=""),"",IF(NOT(OR(W222="Watching",W222="Preparing")),"",IF(AE222&lt;0,"PASSED",IF(AND(AE222&lt;=7,W222&lt;&gt;"Preparing"),"RED",IF(AE222&lt;=14,"AMBER","GREEN")))))</f>
        <v/>
      </c>
      <c r="AG222" s="59">
        <f>IF(OR(A222="",NOT(OR(W222="Watching",W222="Preparing"))),"",IF(AND(ISNUMBER(M222),M222&gt;=3000000000),"YES – ≥ TZS 3bn",IF(AND(ISNUMBER(AE222),AE222&gt;=0,AE222&lt;10,V222=""),"YES – &lt;10 days","")))</f>
        <v/>
      </c>
      <c r="AH222" s="68" t="n"/>
      <c r="AI222" s="74" t="inlineStr">
        <is>
          <t>Read the notice and decide with the QS Director whether to pursue</t>
        </is>
      </c>
      <c r="AJ222" s="74" t="inlineStr">
        <is>
          <t>Auto-scan</t>
        </is>
      </c>
      <c r="AK222" s="74" t="inlineStr">
        <is>
          <t>TZT:151405535</t>
        </is>
      </c>
      <c r="AL222" s="59">
        <f>IF(AND(OR(W222="Watching",W222="Preparing"),ISNUMBER(Q222)),IF(AND(Q222&gt;='Friday Summary'!$C$4,Q222&lt;='Friday Summary'!$C$4+14),Q222+ROW()/1000000,""),"")</f>
        <v/>
      </c>
    </row>
    <row r="223" ht="15" customHeight="1" s="51">
      <c r="A223" s="59">
        <f>IF(B223="","","OP-"&amp;TEXT(ROW()-4,"000"))</f>
        <v/>
      </c>
      <c r="B223" s="70" t="inlineStr">
        <is>
          <t>(not shown)</t>
        </is>
      </c>
      <c r="C223" s="71" t="n">
        <v>46319</v>
      </c>
      <c r="D223" s="70" t="inlineStr">
        <is>
          <t>press</t>
        </is>
      </c>
      <c r="E223" s="70" t="inlineStr">
        <is>
          <t>https://www.tanzaniatenders.com/tender/survey-and-design-small-charco-dam-livestock-masanga-ward-90643d3.php</t>
        </is>
      </c>
      <c r="F223" s="70" t="inlineStr">
        <is>
          <t>See advert</t>
        </is>
      </c>
      <c r="G223" s="70" t="inlineStr">
        <is>
          <t>government</t>
        </is>
      </c>
      <c r="H223" s="70" t="inlineStr">
        <is>
          <t>Survey and Design of Small Charco-Dam for Livestock at Masanga Ward</t>
        </is>
      </c>
      <c r="I223" s="70" t="inlineStr">
        <is>
          <t>From press notice (1 lot) – read the tender document</t>
        </is>
      </c>
      <c r="J223" s="70" t="inlineStr">
        <is>
          <t>Not stated – read the notice</t>
        </is>
      </c>
      <c r="K223" s="70" t="inlineStr">
        <is>
          <t>civil</t>
        </is>
      </c>
      <c r="L223" s="70" t="inlineStr">
        <is>
          <t>See tender document</t>
        </is>
      </c>
      <c r="M223" s="62" t="n"/>
      <c r="N223" s="70" t="inlineStr">
        <is>
          <t>unknown</t>
        </is>
      </c>
      <c r="O223" s="71" t="inlineStr">
        <is>
          <t>See tender document</t>
        </is>
      </c>
      <c r="P223" s="71" t="inlineStr">
        <is>
          <t>See tender document</t>
        </is>
      </c>
      <c r="Q223" s="72" t="n">
        <v>46328.41666666666</v>
      </c>
      <c r="R223" s="70" t="inlineStr">
        <is>
          <t>See tender document</t>
        </is>
      </c>
      <c r="S223" s="70" t="inlineStr">
        <is>
          <t>N</t>
        </is>
      </c>
      <c r="T223" s="64">
        <f>IF(A223="","",IFERROR(INDEX('Bid-NoBid'!$T:$T,MATCH(A223,'Bid-NoBid'!$A:$A,0)),""))</f>
        <v/>
      </c>
      <c r="U223" s="59">
        <f>IF(A223="","",IFERROR(IF(OR(INDEX('Bid-NoBid'!$U:$U,MATCH(A223,'Bid-NoBid'!$A:$A,0))="",LEFT(INDEX('Bid-NoBid'!$U:$U,MATCH(A223,'Bid-NoBid'!$A:$A,0)),10)="Incomplete"),"Screen: "&amp;AC223,INDEX('Bid-NoBid'!$U:$U,MATCH(A223,'Bid-NoBid'!$A:$A,0))),"Screen: "&amp;AC223))</f>
        <v/>
      </c>
      <c r="V223" s="60" t="n"/>
      <c r="W223" s="70" t="inlineStr">
        <is>
          <t>Watching</t>
        </is>
      </c>
      <c r="X223" s="70" t="inlineStr">
        <is>
          <t>Frank</t>
        </is>
      </c>
      <c r="Y223" s="60" t="n"/>
      <c r="Z223" s="60" t="n"/>
      <c r="AA223" s="73" t="n"/>
      <c r="AB223" s="74" t="inlineStr">
        <is>
          <t>TanzaniaTenders.com (newspapers / portals / private)</t>
        </is>
      </c>
      <c r="AC223" s="74" t="inlineStr">
        <is>
          <t>Check</t>
        </is>
      </c>
      <c r="AD223" s="74" t="inlineStr">
        <is>
          <t>Auto (TanzaniaTenders.com): Civil works – confirm site, CRB class and margin · deadline read from the web page – confirm</t>
        </is>
      </c>
      <c r="AE223" s="67">
        <f>IF(ISNUMBER(Q223),ROUNDDOWN(Q223-NOW(),1),"")</f>
        <v/>
      </c>
      <c r="AF223" s="59">
        <f>IF(OR(A223="",AE223=""),"",IF(NOT(OR(W223="Watching",W223="Preparing")),"",IF(AE223&lt;0,"PASSED",IF(AND(AE223&lt;=7,W223&lt;&gt;"Preparing"),"RED",IF(AE223&lt;=14,"AMBER","GREEN")))))</f>
        <v/>
      </c>
      <c r="AG223" s="59">
        <f>IF(OR(A223="",NOT(OR(W223="Watching",W223="Preparing"))),"",IF(AND(ISNUMBER(M223),M223&gt;=3000000000),"YES – ≥ TZS 3bn",IF(AND(ISNUMBER(AE223),AE223&gt;=0,AE223&lt;10,V223=""),"YES – &lt;10 days","")))</f>
        <v/>
      </c>
      <c r="AH223" s="68" t="n"/>
      <c r="AI223" s="74" t="inlineStr">
        <is>
          <t>Read the notice and decide with the QS Director whether to pursue</t>
        </is>
      </c>
      <c r="AJ223" s="74" t="inlineStr">
        <is>
          <t>Auto-scan</t>
        </is>
      </c>
      <c r="AK223" s="74" t="inlineStr">
        <is>
          <t>TZT:151405523</t>
        </is>
      </c>
      <c r="AL223" s="59">
        <f>IF(AND(OR(W223="Watching",W223="Preparing"),ISNUMBER(Q223)),IF(AND(Q223&gt;='Friday Summary'!$C$4,Q223&lt;='Friday Summary'!$C$4+14),Q223+ROW()/1000000,""),"")</f>
        <v/>
      </c>
    </row>
    <row r="224" ht="15" customHeight="1" s="51">
      <c r="A224" s="59">
        <f>IF(B224="","","OP-"&amp;TEXT(ROW()-4,"000"))</f>
        <v/>
      </c>
      <c r="B224" s="70" t="inlineStr">
        <is>
          <t>(not shown)</t>
        </is>
      </c>
      <c r="C224" s="71" t="n">
        <v>46319</v>
      </c>
      <c r="D224" s="70" t="inlineStr">
        <is>
          <t>press</t>
        </is>
      </c>
      <c r="E224" s="70" t="inlineStr">
        <is>
          <t>https://www.tanzaniatenders.com/tender/establishment-long-term-agreement-lta-building-maintenance-services-906616a.php</t>
        </is>
      </c>
      <c r="F224" s="70" t="inlineStr">
        <is>
          <t>See advert</t>
        </is>
      </c>
      <c r="G224" s="70" t="inlineStr">
        <is>
          <t>government</t>
        </is>
      </c>
      <c r="H224" s="70" t="inlineStr">
        <is>
          <t>Establishment of Long-Term Agreement (LTA) for Building Maintenance Services.</t>
        </is>
      </c>
      <c r="I224" s="70" t="inlineStr">
        <is>
          <t>From press notice (1 lot) – read the tender document</t>
        </is>
      </c>
      <c r="J224" s="70" t="inlineStr">
        <is>
          <t>Not stated – read the notice</t>
        </is>
      </c>
      <c r="K224" s="70" t="inlineStr">
        <is>
          <t>building</t>
        </is>
      </c>
      <c r="L224" s="70" t="inlineStr">
        <is>
          <t>See tender document</t>
        </is>
      </c>
      <c r="M224" s="62" t="n"/>
      <c r="N224" s="70" t="inlineStr">
        <is>
          <t>unknown</t>
        </is>
      </c>
      <c r="O224" s="71" t="inlineStr">
        <is>
          <t>See tender document</t>
        </is>
      </c>
      <c r="P224" s="71" t="inlineStr">
        <is>
          <t>See tender document</t>
        </is>
      </c>
      <c r="Q224" s="72" t="n">
        <v>46344.41666666666</v>
      </c>
      <c r="R224" s="70" t="inlineStr">
        <is>
          <t>See tender document</t>
        </is>
      </c>
      <c r="S224" s="70" t="inlineStr">
        <is>
          <t>N</t>
        </is>
      </c>
      <c r="T224" s="64">
        <f>IF(A224="","",IFERROR(INDEX('Bid-NoBid'!$T:$T,MATCH(A224,'Bid-NoBid'!$A:$A,0)),""))</f>
        <v/>
      </c>
      <c r="U224" s="59">
        <f>IF(A224="","",IFERROR(IF(OR(INDEX('Bid-NoBid'!$U:$U,MATCH(A224,'Bid-NoBid'!$A:$A,0))="",LEFT(INDEX('Bid-NoBid'!$U:$U,MATCH(A224,'Bid-NoBid'!$A:$A,0)),10)="Incomplete"),"Screen: "&amp;AC224,INDEX('Bid-NoBid'!$U:$U,MATCH(A224,'Bid-NoBid'!$A:$A,0))),"Screen: "&amp;AC224))</f>
        <v/>
      </c>
      <c r="V224" s="60" t="n"/>
      <c r="W224" s="70" t="inlineStr">
        <is>
          <t>Watching</t>
        </is>
      </c>
      <c r="X224" s="70" t="inlineStr">
        <is>
          <t>Frank</t>
        </is>
      </c>
      <c r="Y224" s="60" t="n"/>
      <c r="Z224" s="60" t="n"/>
      <c r="AA224" s="73" t="n"/>
      <c r="AB224" s="74" t="inlineStr">
        <is>
          <t>TanzaniaTenders.com (newspapers / portals / private)</t>
        </is>
      </c>
      <c r="AC224" s="74" t="inlineStr">
        <is>
          <t>Check</t>
        </is>
      </c>
      <c r="AD224" s="74" t="inlineStr">
        <is>
          <t>Auto (TanzaniaTenders.com): Site not stated in the listing – read the notice · deadline read from the web page – confirm</t>
        </is>
      </c>
      <c r="AE224" s="67">
        <f>IF(ISNUMBER(Q224),ROUNDDOWN(Q224-NOW(),1),"")</f>
        <v/>
      </c>
      <c r="AF224" s="59">
        <f>IF(OR(A224="",AE224=""),"",IF(NOT(OR(W224="Watching",W224="Preparing")),"",IF(AE224&lt;0,"PASSED",IF(AND(AE224&lt;=7,W224&lt;&gt;"Preparing"),"RED",IF(AE224&lt;=14,"AMBER","GREEN")))))</f>
        <v/>
      </c>
      <c r="AG224" s="59">
        <f>IF(OR(A224="",NOT(OR(W224="Watching",W224="Preparing"))),"",IF(AND(ISNUMBER(M224),M224&gt;=3000000000),"YES – ≥ TZS 3bn",IF(AND(ISNUMBER(AE224),AE224&gt;=0,AE224&lt;10,V224=""),"YES – &lt;10 days","")))</f>
        <v/>
      </c>
      <c r="AH224" s="68" t="n"/>
      <c r="AI224" s="74" t="inlineStr">
        <is>
          <t>Read the notice and decide with the QS Director whether to pursue</t>
        </is>
      </c>
      <c r="AJ224" s="74" t="inlineStr">
        <is>
          <t>Auto-scan</t>
        </is>
      </c>
      <c r="AK224" s="74" t="inlineStr">
        <is>
          <t>TZT:151413098</t>
        </is>
      </c>
      <c r="AL224" s="59">
        <f>IF(AND(OR(W224="Watching",W224="Preparing"),ISNUMBER(Q224)),IF(AND(Q224&gt;='Friday Summary'!$C$4,Q224&lt;='Friday Summary'!$C$4+14),Q224+ROW()/1000000,""),"")</f>
        <v/>
      </c>
    </row>
    <row r="225" ht="15" customHeight="1" s="51">
      <c r="A225" s="59">
        <f>IF(B225="","","OP-"&amp;TEXT(ROW()-4,"000"))</f>
        <v/>
      </c>
      <c r="B225" s="70" t="inlineStr">
        <is>
          <t>(not shown)</t>
        </is>
      </c>
      <c r="C225" s="71" t="n">
        <v>46319</v>
      </c>
      <c r="D225" s="70" t="inlineStr">
        <is>
          <t>aggregator</t>
        </is>
      </c>
      <c r="E225" s="70" t="inlineStr">
        <is>
          <t>https://www.biddetail.com/latest-tenders/119785507$cb4b4987-225e-4b60-8951-f45db16f8ff9</t>
        </is>
      </c>
      <c r="F225" s="70" t="inlineStr">
        <is>
          <t>See notice</t>
        </is>
      </c>
      <c r="G225" s="70" t="inlineStr">
        <is>
          <t>government</t>
        </is>
      </c>
      <c r="H225" s="70" t="inlineStr">
        <is>
          <t>Request For Quotation For Establishment Of Lta For Building Maint ......</t>
        </is>
      </c>
      <c r="I225" s="70" t="inlineStr">
        <is>
          <t>From aggregator notice (1 lot) – read the tender document</t>
        </is>
      </c>
      <c r="J225" s="70" t="inlineStr">
        <is>
          <t>Not stated – read the notice</t>
        </is>
      </c>
      <c r="K225" s="70" t="inlineStr">
        <is>
          <t>building</t>
        </is>
      </c>
      <c r="L225" s="70" t="inlineStr">
        <is>
          <t>See tender document</t>
        </is>
      </c>
      <c r="M225" s="62" t="n"/>
      <c r="N225" s="70" t="inlineStr">
        <is>
          <t>unknown</t>
        </is>
      </c>
      <c r="O225" s="71" t="inlineStr">
        <is>
          <t>See tender document</t>
        </is>
      </c>
      <c r="P225" s="71" t="inlineStr">
        <is>
          <t>See tender document</t>
        </is>
      </c>
      <c r="Q225" s="72" t="n"/>
      <c r="R225" s="70" t="inlineStr">
        <is>
          <t>See tender document</t>
        </is>
      </c>
      <c r="S225" s="70" t="inlineStr">
        <is>
          <t>N</t>
        </is>
      </c>
      <c r="T225" s="64">
        <f>IF(A225="","",IFERROR(INDEX('Bid-NoBid'!$T:$T,MATCH(A225,'Bid-NoBid'!$A:$A,0)),""))</f>
        <v/>
      </c>
      <c r="U225" s="59">
        <f>IF(A225="","",IFERROR(IF(OR(INDEX('Bid-NoBid'!$U:$U,MATCH(A225,'Bid-NoBid'!$A:$A,0))="",LEFT(INDEX('Bid-NoBid'!$U:$U,MATCH(A225,'Bid-NoBid'!$A:$A,0)),10)="Incomplete"),"Screen: "&amp;AC225,INDEX('Bid-NoBid'!$U:$U,MATCH(A225,'Bid-NoBid'!$A:$A,0))),"Screen: "&amp;AC225))</f>
        <v/>
      </c>
      <c r="V225" s="60" t="n"/>
      <c r="W225" s="70" t="inlineStr">
        <is>
          <t>Watching</t>
        </is>
      </c>
      <c r="X225" s="70" t="inlineStr">
        <is>
          <t>Frank</t>
        </is>
      </c>
      <c r="Y225" s="60" t="n"/>
      <c r="Z225" s="60" t="n"/>
      <c r="AA225" s="73" t="n"/>
      <c r="AB225" s="74" t="inlineStr">
        <is>
          <t>BidDetail – Tanzania tenders (web page)</t>
        </is>
      </c>
      <c r="AC225" s="74" t="inlineStr">
        <is>
          <t>Check</t>
        </is>
      </c>
      <c r="AD225" s="74" t="inlineStr">
        <is>
          <t>Auto (BidDetail – Tanzania tenders): Deadline not shown on the source page – open the link and read the notice</t>
        </is>
      </c>
      <c r="AE225" s="67">
        <f>IF(ISNUMBER(Q225),ROUNDDOWN(Q225-NOW(),1),"")</f>
        <v/>
      </c>
      <c r="AF225" s="59">
        <f>IF(OR(A225="",AE225=""),"",IF(NOT(OR(W225="Watching",W225="Preparing")),"",IF(AE225&lt;0,"PASSED",IF(AND(AE225&lt;=7,W225&lt;&gt;"Preparing"),"RED",IF(AE225&lt;=14,"AMBER","GREEN")))))</f>
        <v/>
      </c>
      <c r="AG225" s="59">
        <f>IF(OR(A225="",NOT(OR(W225="Watching",W225="Preparing"))),"",IF(AND(ISNUMBER(M225),M225&gt;=3000000000),"YES – ≥ TZS 3bn",IF(AND(ISNUMBER(AE225),AE225&gt;=0,AE225&lt;10,V225=""),"YES – &lt;10 days","")))</f>
        <v/>
      </c>
      <c r="AH225" s="68" t="n"/>
      <c r="AI225" s="74" t="inlineStr">
        <is>
          <t>Read the notice and decide with the QS Director whether to pursue</t>
        </is>
      </c>
      <c r="AJ225" s="74" t="inlineStr">
        <is>
          <t>Auto-scan</t>
        </is>
      </c>
      <c r="AK225" s="74" t="inlineStr">
        <is>
          <t>WEB:biddetail_tanzania_tenders:085562c37d97ae0f</t>
        </is>
      </c>
      <c r="AL225" s="59">
        <f>IF(AND(OR(W225="Watching",W225="Preparing"),ISNUMBER(Q225)),IF(AND(Q225&gt;='Friday Summary'!$C$4,Q225&lt;='Friday Summary'!$C$4+14),Q225+ROW()/1000000,""),"")</f>
        <v/>
      </c>
    </row>
    <row r="226" ht="15" customHeight="1" s="51">
      <c r="A226" s="59">
        <f>IF(B226="","","OP-"&amp;TEXT(ROW()-4,"000"))</f>
        <v/>
      </c>
      <c r="B226" s="70" t="inlineStr">
        <is>
          <t>(not shown)</t>
        </is>
      </c>
      <c r="C226" s="71" t="n">
        <v>46319</v>
      </c>
      <c r="D226" s="70" t="inlineStr">
        <is>
          <t>aggregator</t>
        </is>
      </c>
      <c r="E226" s="70" t="inlineStr">
        <is>
          <t>https://www.biddetail.com/latest-tenders/119785512$e70aff49-b921-494c-925b-6b0a82fab66c</t>
        </is>
      </c>
      <c r="F226" s="70" t="inlineStr">
        <is>
          <t>See notice</t>
        </is>
      </c>
      <c r="G226" s="70" t="inlineStr">
        <is>
          <t>government</t>
        </is>
      </c>
      <c r="H226" s="70" t="inlineStr">
        <is>
          <t>Ministry Of Water And Irrigation; Africa Request For Expression Of Interest For Sustainable Rural Water Su ......</t>
        </is>
      </c>
      <c r="I226" s="70" t="inlineStr">
        <is>
          <t>From aggregator notice (1 lot) – read the tender document</t>
        </is>
      </c>
      <c r="J226" s="70" t="inlineStr">
        <is>
          <t>Not stated – read the notice</t>
        </is>
      </c>
      <c r="K226" s="70" t="inlineStr">
        <is>
          <t>civil</t>
        </is>
      </c>
      <c r="L226" s="70" t="inlineStr">
        <is>
          <t>See tender document</t>
        </is>
      </c>
      <c r="M226" s="62" t="n"/>
      <c r="N226" s="70" t="inlineStr">
        <is>
          <t>unknown</t>
        </is>
      </c>
      <c r="O226" s="71" t="inlineStr">
        <is>
          <t>See tender document</t>
        </is>
      </c>
      <c r="P226" s="71" t="inlineStr">
        <is>
          <t>See tender document</t>
        </is>
      </c>
      <c r="Q226" s="72" t="n"/>
      <c r="R226" s="70" t="inlineStr">
        <is>
          <t>See tender document</t>
        </is>
      </c>
      <c r="S226" s="70" t="inlineStr">
        <is>
          <t>N</t>
        </is>
      </c>
      <c r="T226" s="64">
        <f>IF(A226="","",IFERROR(INDEX('Bid-NoBid'!$T:$T,MATCH(A226,'Bid-NoBid'!$A:$A,0)),""))</f>
        <v/>
      </c>
      <c r="U226" s="59">
        <f>IF(A226="","",IFERROR(IF(OR(INDEX('Bid-NoBid'!$U:$U,MATCH(A226,'Bid-NoBid'!$A:$A,0))="",LEFT(INDEX('Bid-NoBid'!$U:$U,MATCH(A226,'Bid-NoBid'!$A:$A,0)),10)="Incomplete"),"Screen: "&amp;AC226,INDEX('Bid-NoBid'!$U:$U,MATCH(A226,'Bid-NoBid'!$A:$A,0))),"Screen: "&amp;AC226))</f>
        <v/>
      </c>
      <c r="V226" s="60" t="n"/>
      <c r="W226" s="70" t="inlineStr">
        <is>
          <t>Watching</t>
        </is>
      </c>
      <c r="X226" s="70" t="inlineStr">
        <is>
          <t>Frank</t>
        </is>
      </c>
      <c r="Y226" s="60" t="n"/>
      <c r="Z226" s="60" t="n"/>
      <c r="AA226" s="73" t="n"/>
      <c r="AB226" s="74" t="inlineStr">
        <is>
          <t>BidDetail – Tanzania tenders (web page)</t>
        </is>
      </c>
      <c r="AC226" s="74" t="inlineStr">
        <is>
          <t>Check</t>
        </is>
      </c>
      <c r="AD226" s="74" t="inlineStr">
        <is>
          <t>Auto (BidDetail – Tanzania tenders): Deadline not shown on the source page – open the link and read the notice</t>
        </is>
      </c>
      <c r="AE226" s="67">
        <f>IF(ISNUMBER(Q226),ROUNDDOWN(Q226-NOW(),1),"")</f>
        <v/>
      </c>
      <c r="AF226" s="59">
        <f>IF(OR(A226="",AE226=""),"",IF(NOT(OR(W226="Watching",W226="Preparing")),"",IF(AE226&lt;0,"PASSED",IF(AND(AE226&lt;=7,W226&lt;&gt;"Preparing"),"RED",IF(AE226&lt;=14,"AMBER","GREEN")))))</f>
        <v/>
      </c>
      <c r="AG226" s="59">
        <f>IF(OR(A226="",NOT(OR(W226="Watching",W226="Preparing"))),"",IF(AND(ISNUMBER(M226),M226&gt;=3000000000),"YES – ≥ TZS 3bn",IF(AND(ISNUMBER(AE226),AE226&gt;=0,AE226&lt;10,V226=""),"YES – &lt;10 days","")))</f>
        <v/>
      </c>
      <c r="AH226" s="68" t="n"/>
      <c r="AI226" s="74" t="inlineStr">
        <is>
          <t>Read the notice and decide with the QS Director whether to pursue</t>
        </is>
      </c>
      <c r="AJ226" s="74" t="inlineStr">
        <is>
          <t>Auto-scan</t>
        </is>
      </c>
      <c r="AK226" s="74" t="inlineStr">
        <is>
          <t>WEB:biddetail_tanzania_tenders:214565dec145f7a6</t>
        </is>
      </c>
      <c r="AL226" s="59">
        <f>IF(AND(OR(W226="Watching",W226="Preparing"),ISNUMBER(Q226)),IF(AND(Q226&gt;='Friday Summary'!$C$4,Q226&lt;='Friday Summary'!$C$4+14),Q226+ROW()/1000000,""),"")</f>
        <v/>
      </c>
    </row>
    <row r="227" ht="15" customHeight="1" s="51">
      <c r="A227" s="59">
        <f>IF(B227="","","OP-"&amp;TEXT(ROW()-4,"000"))</f>
        <v/>
      </c>
      <c r="B227" s="70" t="inlineStr">
        <is>
          <t>S10/009/2026/2027/W/113</t>
        </is>
      </c>
      <c r="C227" s="71" t="n">
        <v>46321</v>
      </c>
      <c r="D227" s="70" t="inlineStr">
        <is>
          <t>NeST</t>
        </is>
      </c>
      <c r="E227" s="70" t="inlineStr">
        <is>
          <t>https://nest.go.tz/tenders/published-tenders</t>
        </is>
      </c>
      <c r="F227" s="70" t="inlineStr">
        <is>
          <t>TARURA - Kilimanjaro Regional Office</t>
        </is>
      </c>
      <c r="G227" s="70" t="inlineStr">
        <is>
          <t>government</t>
        </is>
      </c>
      <c r="H227" s="70" t="inlineStr">
        <is>
          <t>Upgrading of Shabani - Otaruni, Mto Umbwe Nyamaa B and Mwasi Kusini - Kishumundu Centre Roads to Gravel Standard, Roads Rehabilitation of Kibosho sokoni - Kibosho Hospital - Singa Juu and Nkonyaku P/S - Mkomilo and Opening of Kifura road in Moshi District</t>
        </is>
      </c>
      <c r="I227" s="70" t="inlineStr">
        <is>
          <t>From NeST notice (1 lot) – read the tender document</t>
        </is>
      </c>
      <c r="J227" s="70" t="inlineStr">
        <is>
          <t>Kilimanjaro (Moshi)</t>
        </is>
      </c>
      <c r="K227" s="70" t="inlineStr">
        <is>
          <t>renovation</t>
        </is>
      </c>
      <c r="L227" s="70" t="inlineStr">
        <is>
          <t>NeST login needed</t>
        </is>
      </c>
      <c r="M227" s="62" t="n"/>
      <c r="N227" s="70" t="inlineStr">
        <is>
          <t>unknown</t>
        </is>
      </c>
      <c r="O227" s="71" t="inlineStr">
        <is>
          <t>NeST login needed</t>
        </is>
      </c>
      <c r="P227" s="71" t="inlineStr">
        <is>
          <t>NeST login needed</t>
        </is>
      </c>
      <c r="Q227" s="72" t="n">
        <v>46328.45833333334</v>
      </c>
      <c r="R227" s="70" t="inlineStr">
        <is>
          <t>NeST login needed</t>
        </is>
      </c>
      <c r="S227" s="70" t="inlineStr">
        <is>
          <t>N</t>
        </is>
      </c>
      <c r="T227" s="64">
        <f>IF(A227="","",IFERROR(INDEX('Bid-NoBid'!$T:$T,MATCH(A227,'Bid-NoBid'!$A:$A,0)),""))</f>
        <v/>
      </c>
      <c r="U227" s="59">
        <f>IF(A227="","",IFERROR(IF(OR(INDEX('Bid-NoBid'!$U:$U,MATCH(A227,'Bid-NoBid'!$A:$A,0))="",LEFT(INDEX('Bid-NoBid'!$U:$U,MATCH(A227,'Bid-NoBid'!$A:$A,0)),10)="Incomplete"),"Screen: "&amp;AC227,INDEX('Bid-NoBid'!$U:$U,MATCH(A227,'Bid-NoBid'!$A:$A,0))),"Screen: "&amp;AC227))</f>
        <v/>
      </c>
      <c r="V227" s="60" t="n"/>
      <c r="W227" s="70" t="inlineStr">
        <is>
          <t>Watching</t>
        </is>
      </c>
      <c r="X227" s="70" t="inlineStr">
        <is>
          <t>Frank</t>
        </is>
      </c>
      <c r="Y227" s="60" t="n"/>
      <c r="Z227" s="60" t="n"/>
      <c r="AA227" s="73" t="n">
        <v>46321</v>
      </c>
      <c r="AB227" s="74" t="inlineStr">
        <is>
          <t>Small Works / Tender</t>
        </is>
      </c>
      <c r="AC227" s="74" t="inlineStr">
        <is>
          <t>Check</t>
        </is>
      </c>
      <c r="AD227" s="74" t="inlineStr">
        <is>
          <t>Auto (Small Works / Tender): Building works but remote from Dar</t>
        </is>
      </c>
      <c r="AE227" s="67">
        <f>IF(ISNUMBER(Q227),ROUNDDOWN(Q227-NOW(),1),"")</f>
        <v/>
      </c>
      <c r="AF227" s="59">
        <f>IF(OR(A227="",AE227=""),"",IF(NOT(OR(W227="Watching",W227="Preparing")),"",IF(AE227&lt;0,"PASSED",IF(AND(AE227&lt;=7,W227&lt;&gt;"Preparing"),"RED",IF(AE227&lt;=14,"AMBER","GREEN")))))</f>
        <v/>
      </c>
      <c r="AG227" s="59">
        <f>IF(OR(A227="",NOT(OR(W227="Watching",W227="Preparing"))),"",IF(AND(ISNUMBER(M227),M227&gt;=3000000000),"YES – ≥ TZS 3bn",IF(AND(ISNUMBER(AE227),AE227&gt;=0,AE227&lt;10,V227=""),"YES – &lt;10 days","")))</f>
        <v/>
      </c>
      <c r="AH227" s="68" t="n"/>
      <c r="AI227" s="74" t="inlineStr">
        <is>
          <t>Read the notice and decide with the QS Director whether to pursue</t>
        </is>
      </c>
      <c r="AJ227" s="74" t="inlineStr">
        <is>
          <t>Auto-scan</t>
        </is>
      </c>
      <c r="AK227" s="74" t="inlineStr">
        <is>
          <t>f3ddb3f1-00f5-4482-8c0f-4b732abc1cb9</t>
        </is>
      </c>
      <c r="AL227" s="59">
        <f>IF(AND(OR(W227="Watching",W227="Preparing"),ISNUMBER(Q227)),IF(AND(Q227&gt;='Friday Summary'!$C$4,Q227&lt;='Friday Summary'!$C$4+14),Q227+ROW()/1000000,""),"")</f>
        <v/>
      </c>
    </row>
    <row r="228" ht="15" customHeight="1" s="51">
      <c r="A228" s="59">
        <f>IF(B228="","","OP-"&amp;TEXT(ROW()-4,"000"))</f>
        <v/>
      </c>
      <c r="B228" s="70" t="inlineStr">
        <is>
          <t>S10/009/2026/2027/W/33</t>
        </is>
      </c>
      <c r="C228" s="71" t="n">
        <v>46321</v>
      </c>
      <c r="D228" s="70" t="inlineStr">
        <is>
          <t>NeST</t>
        </is>
      </c>
      <c r="E228" s="70" t="inlineStr">
        <is>
          <t>https://nest.go.tz/tenders/published-tenders</t>
        </is>
      </c>
      <c r="F228" s="70" t="inlineStr">
        <is>
          <t>TARURA - Kilimanjaro Regional Office</t>
        </is>
      </c>
      <c r="G228" s="70" t="inlineStr">
        <is>
          <t>government</t>
        </is>
      </c>
      <c r="H228" s="70" t="inlineStr">
        <is>
          <t>BRIDGE CONSTRUCTION AND REPAIR AT HAI DISTRICT</t>
        </is>
      </c>
      <c r="I228" s="70" t="inlineStr">
        <is>
          <t>From NeST notice (1 lot) – read the tender document</t>
        </is>
      </c>
      <c r="J228" s="70" t="inlineStr">
        <is>
          <t>Kilimanjaro (Moshi) (from client's office – confirm site)</t>
        </is>
      </c>
      <c r="K228" s="70" t="inlineStr">
        <is>
          <t>civil</t>
        </is>
      </c>
      <c r="L228" s="70" t="inlineStr">
        <is>
          <t>NeST login needed</t>
        </is>
      </c>
      <c r="M228" s="62" t="n"/>
      <c r="N228" s="70" t="inlineStr">
        <is>
          <t>unknown</t>
        </is>
      </c>
      <c r="O228" s="71" t="inlineStr">
        <is>
          <t>NeST login needed</t>
        </is>
      </c>
      <c r="P228" s="71" t="inlineStr">
        <is>
          <t>NeST login needed</t>
        </is>
      </c>
      <c r="Q228" s="72" t="n">
        <v>46328.58333333334</v>
      </c>
      <c r="R228" s="70" t="inlineStr">
        <is>
          <t>NeST login needed</t>
        </is>
      </c>
      <c r="S228" s="70" t="inlineStr">
        <is>
          <t>N</t>
        </is>
      </c>
      <c r="T228" s="64">
        <f>IF(A228="","",IFERROR(INDEX('Bid-NoBid'!$T:$T,MATCH(A228,'Bid-NoBid'!$A:$A,0)),""))</f>
        <v/>
      </c>
      <c r="U228" s="59">
        <f>IF(A228="","",IFERROR(IF(OR(INDEX('Bid-NoBid'!$U:$U,MATCH(A228,'Bid-NoBid'!$A:$A,0))="",LEFT(INDEX('Bid-NoBid'!$U:$U,MATCH(A228,'Bid-NoBid'!$A:$A,0)),10)="Incomplete"),"Screen: "&amp;AC228,INDEX('Bid-NoBid'!$U:$U,MATCH(A228,'Bid-NoBid'!$A:$A,0))),"Screen: "&amp;AC228))</f>
        <v/>
      </c>
      <c r="V228" s="60" t="n"/>
      <c r="W228" s="70" t="inlineStr">
        <is>
          <t>Watching</t>
        </is>
      </c>
      <c r="X228" s="70" t="inlineStr">
        <is>
          <t>Frank</t>
        </is>
      </c>
      <c r="Y228" s="60" t="n"/>
      <c r="Z228" s="60" t="n"/>
      <c r="AA228" s="73" t="n">
        <v>46321</v>
      </c>
      <c r="AB228" s="74" t="inlineStr">
        <is>
          <t>Small Works / Tender</t>
        </is>
      </c>
      <c r="AC228" s="74" t="inlineStr">
        <is>
          <t>Check</t>
        </is>
      </c>
      <c r="AD228" s="74" t="inlineStr">
        <is>
          <t>Auto (Small Works / Tender): Construction tender kept for review (would have been dropped: Remote civil works)</t>
        </is>
      </c>
      <c r="AE228" s="67">
        <f>IF(ISNUMBER(Q228),ROUNDDOWN(Q228-NOW(),1),"")</f>
        <v/>
      </c>
      <c r="AF228" s="59">
        <f>IF(OR(A228="",AE228=""),"",IF(NOT(OR(W228="Watching",W228="Preparing")),"",IF(AE228&lt;0,"PASSED",IF(AND(AE228&lt;=7,W228&lt;&gt;"Preparing"),"RED",IF(AE228&lt;=14,"AMBER","GREEN")))))</f>
        <v/>
      </c>
      <c r="AG228" s="59">
        <f>IF(OR(A228="",NOT(OR(W228="Watching",W228="Preparing"))),"",IF(AND(ISNUMBER(M228),M228&gt;=3000000000),"YES – ≥ TZS 3bn",IF(AND(ISNUMBER(AE228),AE228&gt;=0,AE228&lt;10,V228=""),"YES – &lt;10 days","")))</f>
        <v/>
      </c>
      <c r="AH228" s="68" t="n"/>
      <c r="AI228" s="74" t="inlineStr">
        <is>
          <t>Read the notice and decide with the QS Director whether to pursue</t>
        </is>
      </c>
      <c r="AJ228" s="74" t="inlineStr">
        <is>
          <t>Auto-scan</t>
        </is>
      </c>
      <c r="AK228" s="74" t="inlineStr">
        <is>
          <t>a61c3f15-48bf-4dba-90ac-aa3a55f0e977</t>
        </is>
      </c>
      <c r="AL228" s="59">
        <f>IF(AND(OR(W228="Watching",W228="Preparing"),ISNUMBER(Q228)),IF(AND(Q228&gt;='Friday Summary'!$C$4,Q228&lt;='Friday Summary'!$C$4+14),Q228+ROW()/1000000,""),"")</f>
        <v/>
      </c>
    </row>
    <row r="229" ht="15" customHeight="1" s="51">
      <c r="A229" s="59">
        <f>IF(B229="","","OP-"&amp;TEXT(ROW()-4,"000"))</f>
        <v/>
      </c>
      <c r="B229" s="70" t="inlineStr">
        <is>
          <t>82N7/2026/2027/W/27</t>
        </is>
      </c>
      <c r="C229" s="71" t="n">
        <v>46321</v>
      </c>
      <c r="D229" s="70" t="inlineStr">
        <is>
          <t>NeST</t>
        </is>
      </c>
      <c r="E229" s="70" t="inlineStr">
        <is>
          <t>https://nest.go.tz/tenders/published-tenders</t>
        </is>
      </c>
      <c r="F229" s="70" t="inlineStr">
        <is>
          <t>Mbinga Town Council</t>
        </is>
      </c>
      <c r="G229" s="70" t="inlineStr">
        <is>
          <t>government</t>
        </is>
      </c>
      <c r="H229" s="70" t="inlineStr">
        <is>
          <t>CONSTRUCTION OF WAREHOUSE AND SHOPS AT MAKITA AREA IN MBINGA TOWN COUNCIL</t>
        </is>
      </c>
      <c r="I229" s="70" t="inlineStr">
        <is>
          <t>From NeST notice (1 lot) – read the tender document</t>
        </is>
      </c>
      <c r="J229" s="70" t="inlineStr">
        <is>
          <t>Ruvuma (Mbinga)</t>
        </is>
      </c>
      <c r="K229" s="70" t="inlineStr">
        <is>
          <t>building</t>
        </is>
      </c>
      <c r="L229" s="70" t="inlineStr">
        <is>
          <t>NeST login needed</t>
        </is>
      </c>
      <c r="M229" s="62" t="n"/>
      <c r="N229" s="70" t="inlineStr">
        <is>
          <t>unknown</t>
        </is>
      </c>
      <c r="O229" s="71" t="inlineStr">
        <is>
          <t>NeST login needed</t>
        </is>
      </c>
      <c r="P229" s="71" t="inlineStr">
        <is>
          <t>NeST login needed</t>
        </is>
      </c>
      <c r="Q229" s="72" t="n">
        <v>46328.58333333334</v>
      </c>
      <c r="R229" s="70" t="inlineStr">
        <is>
          <t>NeST login needed</t>
        </is>
      </c>
      <c r="S229" s="70" t="inlineStr">
        <is>
          <t>N</t>
        </is>
      </c>
      <c r="T229" s="64">
        <f>IF(A229="","",IFERROR(INDEX('Bid-NoBid'!$T:$T,MATCH(A229,'Bid-NoBid'!$A:$A,0)),""))</f>
        <v/>
      </c>
      <c r="U229" s="59">
        <f>IF(A229="","",IFERROR(IF(OR(INDEX('Bid-NoBid'!$U:$U,MATCH(A229,'Bid-NoBid'!$A:$A,0))="",LEFT(INDEX('Bid-NoBid'!$U:$U,MATCH(A229,'Bid-NoBid'!$A:$A,0)),10)="Incomplete"),"Screen: "&amp;AC229,INDEX('Bid-NoBid'!$U:$U,MATCH(A229,'Bid-NoBid'!$A:$A,0))),"Screen: "&amp;AC229))</f>
        <v/>
      </c>
      <c r="V229" s="60" t="n"/>
      <c r="W229" s="70" t="inlineStr">
        <is>
          <t>Watching</t>
        </is>
      </c>
      <c r="X229" s="70" t="inlineStr">
        <is>
          <t>Frank</t>
        </is>
      </c>
      <c r="Y229" s="60" t="n"/>
      <c r="Z229" s="60" t="n"/>
      <c r="AA229" s="73" t="n">
        <v>46321</v>
      </c>
      <c r="AB229" s="74" t="inlineStr">
        <is>
          <t>Small Works / Tender</t>
        </is>
      </c>
      <c r="AC229" s="74" t="inlineStr">
        <is>
          <t>Check</t>
        </is>
      </c>
      <c r="AD229" s="74" t="inlineStr">
        <is>
          <t>Auto (Small Works / Tender): Building works but remote from Dar</t>
        </is>
      </c>
      <c r="AE229" s="67">
        <f>IF(ISNUMBER(Q229),ROUNDDOWN(Q229-NOW(),1),"")</f>
        <v/>
      </c>
      <c r="AF229" s="59">
        <f>IF(OR(A229="",AE229=""),"",IF(NOT(OR(W229="Watching",W229="Preparing")),"",IF(AE229&lt;0,"PASSED",IF(AND(AE229&lt;=7,W229&lt;&gt;"Preparing"),"RED",IF(AE229&lt;=14,"AMBER","GREEN")))))</f>
        <v/>
      </c>
      <c r="AG229" s="59">
        <f>IF(OR(A229="",NOT(OR(W229="Watching",W229="Preparing"))),"",IF(AND(ISNUMBER(M229),M229&gt;=3000000000),"YES – ≥ TZS 3bn",IF(AND(ISNUMBER(AE229),AE229&gt;=0,AE229&lt;10,V229=""),"YES – &lt;10 days","")))</f>
        <v/>
      </c>
      <c r="AH229" s="68" t="n"/>
      <c r="AI229" s="74" t="inlineStr">
        <is>
          <t>Read the notice and decide with the QS Director whether to pursue</t>
        </is>
      </c>
      <c r="AJ229" s="74" t="inlineStr">
        <is>
          <t>Auto-scan</t>
        </is>
      </c>
      <c r="AK229" s="74" t="inlineStr">
        <is>
          <t>9c8a2dc3-da2b-4fe0-923d-664177a88d66</t>
        </is>
      </c>
      <c r="AL229" s="59">
        <f>IF(AND(OR(W229="Watching",W229="Preparing"),ISNUMBER(Q229)),IF(AND(Q229&gt;='Friday Summary'!$C$4,Q229&lt;='Friday Summary'!$C$4+14),Q229+ROW()/1000000,""),"")</f>
        <v/>
      </c>
    </row>
    <row r="230" ht="15" customHeight="1" s="51">
      <c r="A230" s="59">
        <f>IF(B230="","","OP-"&amp;TEXT(ROW()-4,"000"))</f>
        <v/>
      </c>
      <c r="B230" s="60" t="n"/>
      <c r="C230" s="61" t="n"/>
      <c r="D230" s="60" t="n"/>
      <c r="E230" s="60" t="n"/>
      <c r="F230" s="60" t="n"/>
      <c r="G230" s="60" t="n"/>
      <c r="H230" s="60" t="n"/>
      <c r="I230" s="60" t="n"/>
      <c r="J230" s="60" t="n"/>
      <c r="K230" s="60" t="n"/>
      <c r="L230" s="60" t="n"/>
      <c r="M230" s="62" t="n"/>
      <c r="N230" s="60" t="n"/>
      <c r="O230" s="61" t="n"/>
      <c r="P230" s="61" t="n"/>
      <c r="Q230" s="63" t="n"/>
      <c r="R230" s="60" t="n"/>
      <c r="S230" s="60" t="n"/>
      <c r="T230" s="64">
        <f>IF(A230="","",IFERROR(INDEX('Bid-NoBid'!$T:$T,MATCH(A230,'Bid-NoBid'!$A:$A,0)),""))</f>
        <v/>
      </c>
      <c r="U230" s="59">
        <f>IF(A230="","",IFERROR(IF(OR(INDEX('Bid-NoBid'!$U:$U,MATCH(A230,'Bid-NoBid'!$A:$A,0))="",LEFT(INDEX('Bid-NoBid'!$U:$U,MATCH(A230,'Bid-NoBid'!$A:$A,0)),10)="Incomplete"),"Screen: "&amp;AC230,INDEX('Bid-NoBid'!$U:$U,MATCH(A230,'Bid-NoBid'!$A:$A,0))),"Screen: "&amp;AC230))</f>
        <v/>
      </c>
      <c r="V230" s="60" t="n"/>
      <c r="W230" s="60" t="n"/>
      <c r="X230" s="60" t="n"/>
      <c r="Y230" s="60" t="n"/>
      <c r="Z230" s="60" t="n"/>
      <c r="AA230" s="65" t="n"/>
      <c r="AB230" s="66" t="n"/>
      <c r="AC230" s="66" t="n"/>
      <c r="AD230" s="66" t="n"/>
      <c r="AE230" s="67">
        <f>IF(ISNUMBER(Q230),ROUNDDOWN(Q230-NOW(),1),"")</f>
        <v/>
      </c>
      <c r="AF230" s="59">
        <f>IF(OR(A230="",AE230=""),"",IF(NOT(OR(W230="Watching",W230="Preparing")),"",IF(AE230&lt;0,"PASSED",IF(AND(AE230&lt;=7,W230&lt;&gt;"Preparing"),"RED",IF(AE230&lt;=14,"AMBER","GREEN")))))</f>
        <v/>
      </c>
      <c r="AG230" s="59">
        <f>IF(OR(A230="",NOT(OR(W230="Watching",W230="Preparing"))),"",IF(AND(ISNUMBER(M230),M230&gt;=3000000000),"YES – ≥ TZS 3bn",IF(AND(ISNUMBER(AE230),AE230&gt;=0,AE230&lt;10,V230=""),"YES – &lt;10 days","")))</f>
        <v/>
      </c>
      <c r="AH230" s="68" t="n"/>
      <c r="AI230" s="66" t="n"/>
      <c r="AJ230" s="66" t="n"/>
      <c r="AK230" s="66" t="n"/>
      <c r="AL230" s="59">
        <f>IF(AND(OR(W230="Watching",W230="Preparing"),ISNUMBER(Q230)),IF(AND(Q230&gt;='Friday Summary'!$C$4,Q230&lt;='Friday Summary'!$C$4+14),Q230+ROW()/1000000,""),"")</f>
        <v/>
      </c>
    </row>
    <row r="231" ht="15" customHeight="1" s="51">
      <c r="A231" s="59">
        <f>IF(B231="","","OP-"&amp;TEXT(ROW()-4,"000"))</f>
        <v/>
      </c>
      <c r="B231" s="60" t="n"/>
      <c r="C231" s="61" t="n"/>
      <c r="D231" s="60" t="n"/>
      <c r="E231" s="60" t="n"/>
      <c r="F231" s="60" t="n"/>
      <c r="G231" s="60" t="n"/>
      <c r="H231" s="60" t="n"/>
      <c r="I231" s="60" t="n"/>
      <c r="J231" s="60" t="n"/>
      <c r="K231" s="60" t="n"/>
      <c r="L231" s="60" t="n"/>
      <c r="M231" s="62" t="n"/>
      <c r="N231" s="60" t="n"/>
      <c r="O231" s="61" t="n"/>
      <c r="P231" s="61" t="n"/>
      <c r="Q231" s="63" t="n"/>
      <c r="R231" s="60" t="n"/>
      <c r="S231" s="60" t="n"/>
      <c r="T231" s="64">
        <f>IF(A231="","",IFERROR(INDEX('Bid-NoBid'!$T:$T,MATCH(A231,'Bid-NoBid'!$A:$A,0)),""))</f>
        <v/>
      </c>
      <c r="U231" s="59">
        <f>IF(A231="","",IFERROR(IF(OR(INDEX('Bid-NoBid'!$U:$U,MATCH(A231,'Bid-NoBid'!$A:$A,0))="",LEFT(INDEX('Bid-NoBid'!$U:$U,MATCH(A231,'Bid-NoBid'!$A:$A,0)),10)="Incomplete"),"Screen: "&amp;AC231,INDEX('Bid-NoBid'!$U:$U,MATCH(A231,'Bid-NoBid'!$A:$A,0))),"Screen: "&amp;AC231))</f>
        <v/>
      </c>
      <c r="V231" s="60" t="n"/>
      <c r="W231" s="60" t="n"/>
      <c r="X231" s="60" t="n"/>
      <c r="Y231" s="60" t="n"/>
      <c r="Z231" s="60" t="n"/>
      <c r="AA231" s="65" t="n"/>
      <c r="AB231" s="66" t="n"/>
      <c r="AC231" s="66" t="n"/>
      <c r="AD231" s="66" t="n"/>
      <c r="AE231" s="67">
        <f>IF(ISNUMBER(Q231),ROUNDDOWN(Q231-NOW(),1),"")</f>
        <v/>
      </c>
      <c r="AF231" s="59">
        <f>IF(OR(A231="",AE231=""),"",IF(NOT(OR(W231="Watching",W231="Preparing")),"",IF(AE231&lt;0,"PASSED",IF(AND(AE231&lt;=7,W231&lt;&gt;"Preparing"),"RED",IF(AE231&lt;=14,"AMBER","GREEN")))))</f>
        <v/>
      </c>
      <c r="AG231" s="59">
        <f>IF(OR(A231="",NOT(OR(W231="Watching",W231="Preparing"))),"",IF(AND(ISNUMBER(M231),M231&gt;=3000000000),"YES – ≥ TZS 3bn",IF(AND(ISNUMBER(AE231),AE231&gt;=0,AE231&lt;10,V231=""),"YES – &lt;10 days","")))</f>
        <v/>
      </c>
      <c r="AH231" s="68" t="n"/>
      <c r="AI231" s="66" t="n"/>
      <c r="AJ231" s="66" t="n"/>
      <c r="AK231" s="66" t="n"/>
      <c r="AL231" s="59">
        <f>IF(AND(OR(W231="Watching",W231="Preparing"),ISNUMBER(Q231)),IF(AND(Q231&gt;='Friday Summary'!$C$4,Q231&lt;='Friday Summary'!$C$4+14),Q231+ROW()/1000000,""),"")</f>
        <v/>
      </c>
    </row>
    <row r="232" ht="15" customHeight="1" s="51">
      <c r="A232" s="59">
        <f>IF(B232="","","OP-"&amp;TEXT(ROW()-4,"000"))</f>
        <v/>
      </c>
      <c r="B232" s="60" t="n"/>
      <c r="C232" s="61" t="n"/>
      <c r="D232" s="60" t="n"/>
      <c r="E232" s="60" t="n"/>
      <c r="F232" s="60" t="n"/>
      <c r="G232" s="60" t="n"/>
      <c r="H232" s="60" t="n"/>
      <c r="I232" s="60" t="n"/>
      <c r="J232" s="60" t="n"/>
      <c r="K232" s="60" t="n"/>
      <c r="L232" s="60" t="n"/>
      <c r="M232" s="62" t="n"/>
      <c r="N232" s="60" t="n"/>
      <c r="O232" s="61" t="n"/>
      <c r="P232" s="61" t="n"/>
      <c r="Q232" s="63" t="n"/>
      <c r="R232" s="60" t="n"/>
      <c r="S232" s="60" t="n"/>
      <c r="T232" s="64">
        <f>IF(A232="","",IFERROR(INDEX('Bid-NoBid'!$T:$T,MATCH(A232,'Bid-NoBid'!$A:$A,0)),""))</f>
        <v/>
      </c>
      <c r="U232" s="59">
        <f>IF(A232="","",IFERROR(IF(OR(INDEX('Bid-NoBid'!$U:$U,MATCH(A232,'Bid-NoBid'!$A:$A,0))="",LEFT(INDEX('Bid-NoBid'!$U:$U,MATCH(A232,'Bid-NoBid'!$A:$A,0)),10)="Incomplete"),"Screen: "&amp;AC232,INDEX('Bid-NoBid'!$U:$U,MATCH(A232,'Bid-NoBid'!$A:$A,0))),"Screen: "&amp;AC232))</f>
        <v/>
      </c>
      <c r="V232" s="60" t="n"/>
      <c r="W232" s="60" t="n"/>
      <c r="X232" s="60" t="n"/>
      <c r="Y232" s="60" t="n"/>
      <c r="Z232" s="60" t="n"/>
      <c r="AA232" s="65" t="n"/>
      <c r="AB232" s="66" t="n"/>
      <c r="AC232" s="66" t="n"/>
      <c r="AD232" s="66" t="n"/>
      <c r="AE232" s="67">
        <f>IF(ISNUMBER(Q232),ROUNDDOWN(Q232-NOW(),1),"")</f>
        <v/>
      </c>
      <c r="AF232" s="59">
        <f>IF(OR(A232="",AE232=""),"",IF(NOT(OR(W232="Watching",W232="Preparing")),"",IF(AE232&lt;0,"PASSED",IF(AND(AE232&lt;=7,W232&lt;&gt;"Preparing"),"RED",IF(AE232&lt;=14,"AMBER","GREEN")))))</f>
        <v/>
      </c>
      <c r="AG232" s="59">
        <f>IF(OR(A232="",NOT(OR(W232="Watching",W232="Preparing"))),"",IF(AND(ISNUMBER(M232),M232&gt;=3000000000),"YES – ≥ TZS 3bn",IF(AND(ISNUMBER(AE232),AE232&gt;=0,AE232&lt;10,V232=""),"YES – &lt;10 days","")))</f>
        <v/>
      </c>
      <c r="AH232" s="68" t="n"/>
      <c r="AI232" s="66" t="n"/>
      <c r="AJ232" s="66" t="n"/>
      <c r="AK232" s="66" t="n"/>
      <c r="AL232" s="59">
        <f>IF(AND(OR(W232="Watching",W232="Preparing"),ISNUMBER(Q232)),IF(AND(Q232&gt;='Friday Summary'!$C$4,Q232&lt;='Friday Summary'!$C$4+14),Q232+ROW()/1000000,""),"")</f>
        <v/>
      </c>
    </row>
    <row r="233" ht="15" customHeight="1" s="51">
      <c r="A233" s="59">
        <f>IF(B233="","","OP-"&amp;TEXT(ROW()-4,"000"))</f>
        <v/>
      </c>
      <c r="B233" s="60" t="n"/>
      <c r="C233" s="61" t="n"/>
      <c r="D233" s="60" t="n"/>
      <c r="E233" s="60" t="n"/>
      <c r="F233" s="60" t="n"/>
      <c r="G233" s="60" t="n"/>
      <c r="H233" s="60" t="n"/>
      <c r="I233" s="60" t="n"/>
      <c r="J233" s="60" t="n"/>
      <c r="K233" s="60" t="n"/>
      <c r="L233" s="60" t="n"/>
      <c r="M233" s="62" t="n"/>
      <c r="N233" s="60" t="n"/>
      <c r="O233" s="61" t="n"/>
      <c r="P233" s="61" t="n"/>
      <c r="Q233" s="63" t="n"/>
      <c r="R233" s="60" t="n"/>
      <c r="S233" s="60" t="n"/>
      <c r="T233" s="64">
        <f>IF(A233="","",IFERROR(INDEX('Bid-NoBid'!$T:$T,MATCH(A233,'Bid-NoBid'!$A:$A,0)),""))</f>
        <v/>
      </c>
      <c r="U233" s="59">
        <f>IF(A233="","",IFERROR(IF(OR(INDEX('Bid-NoBid'!$U:$U,MATCH(A233,'Bid-NoBid'!$A:$A,0))="",LEFT(INDEX('Bid-NoBid'!$U:$U,MATCH(A233,'Bid-NoBid'!$A:$A,0)),10)="Incomplete"),"Screen: "&amp;AC233,INDEX('Bid-NoBid'!$U:$U,MATCH(A233,'Bid-NoBid'!$A:$A,0))),"Screen: "&amp;AC233))</f>
        <v/>
      </c>
      <c r="V233" s="60" t="n"/>
      <c r="W233" s="60" t="n"/>
      <c r="X233" s="60" t="n"/>
      <c r="Y233" s="60" t="n"/>
      <c r="Z233" s="60" t="n"/>
      <c r="AA233" s="65" t="n"/>
      <c r="AB233" s="66" t="n"/>
      <c r="AC233" s="66" t="n"/>
      <c r="AD233" s="66" t="n"/>
      <c r="AE233" s="67">
        <f>IF(ISNUMBER(Q233),ROUNDDOWN(Q233-NOW(),1),"")</f>
        <v/>
      </c>
      <c r="AF233" s="59">
        <f>IF(OR(A233="",AE233=""),"",IF(NOT(OR(W233="Watching",W233="Preparing")),"",IF(AE233&lt;0,"PASSED",IF(AND(AE233&lt;=7,W233&lt;&gt;"Preparing"),"RED",IF(AE233&lt;=14,"AMBER","GREEN")))))</f>
        <v/>
      </c>
      <c r="AG233" s="59">
        <f>IF(OR(A233="",NOT(OR(W233="Watching",W233="Preparing"))),"",IF(AND(ISNUMBER(M233),M233&gt;=3000000000),"YES – ≥ TZS 3bn",IF(AND(ISNUMBER(AE233),AE233&gt;=0,AE233&lt;10,V233=""),"YES – &lt;10 days","")))</f>
        <v/>
      </c>
      <c r="AH233" s="68" t="n"/>
      <c r="AI233" s="66" t="n"/>
      <c r="AJ233" s="66" t="n"/>
      <c r="AK233" s="66" t="n"/>
      <c r="AL233" s="59">
        <f>IF(AND(OR(W233="Watching",W233="Preparing"),ISNUMBER(Q233)),IF(AND(Q233&gt;='Friday Summary'!$C$4,Q233&lt;='Friday Summary'!$C$4+14),Q233+ROW()/1000000,""),"")</f>
        <v/>
      </c>
    </row>
    <row r="234" ht="15" customHeight="1" s="51">
      <c r="A234" s="59">
        <f>IF(B234="","","OP-"&amp;TEXT(ROW()-4,"000"))</f>
        <v/>
      </c>
      <c r="B234" s="60" t="n"/>
      <c r="C234" s="61" t="n"/>
      <c r="D234" s="60" t="n"/>
      <c r="E234" s="60" t="n"/>
      <c r="F234" s="60" t="n"/>
      <c r="G234" s="60" t="n"/>
      <c r="H234" s="60" t="n"/>
      <c r="I234" s="60" t="n"/>
      <c r="J234" s="60" t="n"/>
      <c r="K234" s="60" t="n"/>
      <c r="L234" s="60" t="n"/>
      <c r="M234" s="62" t="n"/>
      <c r="N234" s="60" t="n"/>
      <c r="O234" s="61" t="n"/>
      <c r="P234" s="61" t="n"/>
      <c r="Q234" s="63" t="n"/>
      <c r="R234" s="60" t="n"/>
      <c r="S234" s="60" t="n"/>
      <c r="T234" s="64">
        <f>IF(A234="","",IFERROR(INDEX('Bid-NoBid'!$T:$T,MATCH(A234,'Bid-NoBid'!$A:$A,0)),""))</f>
        <v/>
      </c>
      <c r="U234" s="59">
        <f>IF(A234="","",IFERROR(IF(OR(INDEX('Bid-NoBid'!$U:$U,MATCH(A234,'Bid-NoBid'!$A:$A,0))="",LEFT(INDEX('Bid-NoBid'!$U:$U,MATCH(A234,'Bid-NoBid'!$A:$A,0)),10)="Incomplete"),"Screen: "&amp;AC234,INDEX('Bid-NoBid'!$U:$U,MATCH(A234,'Bid-NoBid'!$A:$A,0))),"Screen: "&amp;AC234))</f>
        <v/>
      </c>
      <c r="V234" s="60" t="n"/>
      <c r="W234" s="60" t="n"/>
      <c r="X234" s="60" t="n"/>
      <c r="Y234" s="60" t="n"/>
      <c r="Z234" s="60" t="n"/>
      <c r="AA234" s="65" t="n"/>
      <c r="AB234" s="66" t="n"/>
      <c r="AC234" s="66" t="n"/>
      <c r="AD234" s="66" t="n"/>
      <c r="AE234" s="67">
        <f>IF(ISNUMBER(Q234),ROUNDDOWN(Q234-NOW(),1),"")</f>
        <v/>
      </c>
      <c r="AF234" s="59">
        <f>IF(OR(A234="",AE234=""),"",IF(NOT(OR(W234="Watching",W234="Preparing")),"",IF(AE234&lt;0,"PASSED",IF(AND(AE234&lt;=7,W234&lt;&gt;"Preparing"),"RED",IF(AE234&lt;=14,"AMBER","GREEN")))))</f>
        <v/>
      </c>
      <c r="AG234" s="59">
        <f>IF(OR(A234="",NOT(OR(W234="Watching",W234="Preparing"))),"",IF(AND(ISNUMBER(M234),M234&gt;=3000000000),"YES – ≥ TZS 3bn",IF(AND(ISNUMBER(AE234),AE234&gt;=0,AE234&lt;10,V234=""),"YES – &lt;10 days","")))</f>
        <v/>
      </c>
      <c r="AH234" s="68" t="n"/>
      <c r="AI234" s="66" t="n"/>
      <c r="AJ234" s="66" t="n"/>
      <c r="AK234" s="66" t="n"/>
      <c r="AL234" s="59">
        <f>IF(AND(OR(W234="Watching",W234="Preparing"),ISNUMBER(Q234)),IF(AND(Q234&gt;='Friday Summary'!$C$4,Q234&lt;='Friday Summary'!$C$4+14),Q234+ROW()/1000000,""),"")</f>
        <v/>
      </c>
    </row>
    <row r="235" ht="15" customHeight="1" s="51">
      <c r="A235" s="59">
        <f>IF(B235="","","OP-"&amp;TEXT(ROW()-4,"000"))</f>
        <v/>
      </c>
      <c r="B235" s="60" t="n"/>
      <c r="C235" s="61" t="n"/>
      <c r="D235" s="60" t="n"/>
      <c r="E235" s="60" t="n"/>
      <c r="F235" s="60" t="n"/>
      <c r="G235" s="60" t="n"/>
      <c r="H235" s="60" t="n"/>
      <c r="I235" s="60" t="n"/>
      <c r="J235" s="60" t="n"/>
      <c r="K235" s="60" t="n"/>
      <c r="L235" s="60" t="n"/>
      <c r="M235" s="62" t="n"/>
      <c r="N235" s="60" t="n"/>
      <c r="O235" s="61" t="n"/>
      <c r="P235" s="61" t="n"/>
      <c r="Q235" s="63" t="n"/>
      <c r="R235" s="60" t="n"/>
      <c r="S235" s="60" t="n"/>
      <c r="T235" s="64">
        <f>IF(A235="","",IFERROR(INDEX('Bid-NoBid'!$T:$T,MATCH(A235,'Bid-NoBid'!$A:$A,0)),""))</f>
        <v/>
      </c>
      <c r="U235" s="59">
        <f>IF(A235="","",IFERROR(IF(OR(INDEX('Bid-NoBid'!$U:$U,MATCH(A235,'Bid-NoBid'!$A:$A,0))="",LEFT(INDEX('Bid-NoBid'!$U:$U,MATCH(A235,'Bid-NoBid'!$A:$A,0)),10)="Incomplete"),"Screen: "&amp;AC235,INDEX('Bid-NoBid'!$U:$U,MATCH(A235,'Bid-NoBid'!$A:$A,0))),"Screen: "&amp;AC235))</f>
        <v/>
      </c>
      <c r="V235" s="60" t="n"/>
      <c r="W235" s="60" t="n"/>
      <c r="X235" s="60" t="n"/>
      <c r="Y235" s="60" t="n"/>
      <c r="Z235" s="60" t="n"/>
      <c r="AA235" s="65" t="n"/>
      <c r="AB235" s="66" t="n"/>
      <c r="AC235" s="66" t="n"/>
      <c r="AD235" s="66" t="n"/>
      <c r="AE235" s="67">
        <f>IF(ISNUMBER(Q235),ROUNDDOWN(Q235-NOW(),1),"")</f>
        <v/>
      </c>
      <c r="AF235" s="59">
        <f>IF(OR(A235="",AE235=""),"",IF(NOT(OR(W235="Watching",W235="Preparing")),"",IF(AE235&lt;0,"PASSED",IF(AND(AE235&lt;=7,W235&lt;&gt;"Preparing"),"RED",IF(AE235&lt;=14,"AMBER","GREEN")))))</f>
        <v/>
      </c>
      <c r="AG235" s="59">
        <f>IF(OR(A235="",NOT(OR(W235="Watching",W235="Preparing"))),"",IF(AND(ISNUMBER(M235),M235&gt;=3000000000),"YES – ≥ TZS 3bn",IF(AND(ISNUMBER(AE235),AE235&gt;=0,AE235&lt;10,V235=""),"YES – &lt;10 days","")))</f>
        <v/>
      </c>
      <c r="AH235" s="68" t="n"/>
      <c r="AI235" s="66" t="n"/>
      <c r="AJ235" s="66" t="n"/>
      <c r="AK235" s="66" t="n"/>
      <c r="AL235" s="59">
        <f>IF(AND(OR(W235="Watching",W235="Preparing"),ISNUMBER(Q235)),IF(AND(Q235&gt;='Friday Summary'!$C$4,Q235&lt;='Friday Summary'!$C$4+14),Q235+ROW()/1000000,""),"")</f>
        <v/>
      </c>
    </row>
    <row r="236" ht="15" customHeight="1" s="51">
      <c r="A236" s="59">
        <f>IF(B236="","","OP-"&amp;TEXT(ROW()-4,"000"))</f>
        <v/>
      </c>
      <c r="B236" s="60" t="n"/>
      <c r="C236" s="61" t="n"/>
      <c r="D236" s="60" t="n"/>
      <c r="E236" s="60" t="n"/>
      <c r="F236" s="60" t="n"/>
      <c r="G236" s="60" t="n"/>
      <c r="H236" s="60" t="n"/>
      <c r="I236" s="60" t="n"/>
      <c r="J236" s="60" t="n"/>
      <c r="K236" s="60" t="n"/>
      <c r="L236" s="60" t="n"/>
      <c r="M236" s="62" t="n"/>
      <c r="N236" s="60" t="n"/>
      <c r="O236" s="61" t="n"/>
      <c r="P236" s="61" t="n"/>
      <c r="Q236" s="63" t="n"/>
      <c r="R236" s="60" t="n"/>
      <c r="S236" s="60" t="n"/>
      <c r="T236" s="64">
        <f>IF(A236="","",IFERROR(INDEX('Bid-NoBid'!$T:$T,MATCH(A236,'Bid-NoBid'!$A:$A,0)),""))</f>
        <v/>
      </c>
      <c r="U236" s="59">
        <f>IF(A236="","",IFERROR(IF(OR(INDEX('Bid-NoBid'!$U:$U,MATCH(A236,'Bid-NoBid'!$A:$A,0))="",LEFT(INDEX('Bid-NoBid'!$U:$U,MATCH(A236,'Bid-NoBid'!$A:$A,0)),10)="Incomplete"),"Screen: "&amp;AC236,INDEX('Bid-NoBid'!$U:$U,MATCH(A236,'Bid-NoBid'!$A:$A,0))),"Screen: "&amp;AC236))</f>
        <v/>
      </c>
      <c r="V236" s="60" t="n"/>
      <c r="W236" s="60" t="n"/>
      <c r="X236" s="60" t="n"/>
      <c r="Y236" s="60" t="n"/>
      <c r="Z236" s="60" t="n"/>
      <c r="AA236" s="65" t="n"/>
      <c r="AB236" s="66" t="n"/>
      <c r="AC236" s="66" t="n"/>
      <c r="AD236" s="66" t="n"/>
      <c r="AE236" s="67">
        <f>IF(ISNUMBER(Q236),ROUNDDOWN(Q236-NOW(),1),"")</f>
        <v/>
      </c>
      <c r="AF236" s="59">
        <f>IF(OR(A236="",AE236=""),"",IF(NOT(OR(W236="Watching",W236="Preparing")),"",IF(AE236&lt;0,"PASSED",IF(AND(AE236&lt;=7,W236&lt;&gt;"Preparing"),"RED",IF(AE236&lt;=14,"AMBER","GREEN")))))</f>
        <v/>
      </c>
      <c r="AG236" s="59">
        <f>IF(OR(A236="",NOT(OR(W236="Watching",W236="Preparing"))),"",IF(AND(ISNUMBER(M236),M236&gt;=3000000000),"YES – ≥ TZS 3bn",IF(AND(ISNUMBER(AE236),AE236&gt;=0,AE236&lt;10,V236=""),"YES – &lt;10 days","")))</f>
        <v/>
      </c>
      <c r="AH236" s="68" t="n"/>
      <c r="AI236" s="66" t="n"/>
      <c r="AJ236" s="66" t="n"/>
      <c r="AK236" s="66" t="n"/>
      <c r="AL236" s="59">
        <f>IF(AND(OR(W236="Watching",W236="Preparing"),ISNUMBER(Q236)),IF(AND(Q236&gt;='Friday Summary'!$C$4,Q236&lt;='Friday Summary'!$C$4+14),Q236+ROW()/1000000,""),"")</f>
        <v/>
      </c>
    </row>
    <row r="237" ht="15" customHeight="1" s="51">
      <c r="A237" s="59">
        <f>IF(B237="","","OP-"&amp;TEXT(ROW()-4,"000"))</f>
        <v/>
      </c>
      <c r="B237" s="60" t="n"/>
      <c r="C237" s="61" t="n"/>
      <c r="D237" s="60" t="n"/>
      <c r="E237" s="60" t="n"/>
      <c r="F237" s="60" t="n"/>
      <c r="G237" s="60" t="n"/>
      <c r="H237" s="60" t="n"/>
      <c r="I237" s="60" t="n"/>
      <c r="J237" s="60" t="n"/>
      <c r="K237" s="60" t="n"/>
      <c r="L237" s="60" t="n"/>
      <c r="M237" s="62" t="n"/>
      <c r="N237" s="60" t="n"/>
      <c r="O237" s="61" t="n"/>
      <c r="P237" s="61" t="n"/>
      <c r="Q237" s="63" t="n"/>
      <c r="R237" s="60" t="n"/>
      <c r="S237" s="60" t="n"/>
      <c r="T237" s="64">
        <f>IF(A237="","",IFERROR(INDEX('Bid-NoBid'!$T:$T,MATCH(A237,'Bid-NoBid'!$A:$A,0)),""))</f>
        <v/>
      </c>
      <c r="U237" s="59">
        <f>IF(A237="","",IFERROR(IF(OR(INDEX('Bid-NoBid'!$U:$U,MATCH(A237,'Bid-NoBid'!$A:$A,0))="",LEFT(INDEX('Bid-NoBid'!$U:$U,MATCH(A237,'Bid-NoBid'!$A:$A,0)),10)="Incomplete"),"Screen: "&amp;AC237,INDEX('Bid-NoBid'!$U:$U,MATCH(A237,'Bid-NoBid'!$A:$A,0))),"Screen: "&amp;AC237))</f>
        <v/>
      </c>
      <c r="V237" s="60" t="n"/>
      <c r="W237" s="60" t="n"/>
      <c r="X237" s="60" t="n"/>
      <c r="Y237" s="60" t="n"/>
      <c r="Z237" s="60" t="n"/>
      <c r="AA237" s="65" t="n"/>
      <c r="AB237" s="66" t="n"/>
      <c r="AC237" s="66" t="n"/>
      <c r="AD237" s="66" t="n"/>
      <c r="AE237" s="67">
        <f>IF(ISNUMBER(Q237),ROUNDDOWN(Q237-NOW(),1),"")</f>
        <v/>
      </c>
      <c r="AF237" s="59">
        <f>IF(OR(A237="",AE237=""),"",IF(NOT(OR(W237="Watching",W237="Preparing")),"",IF(AE237&lt;0,"PASSED",IF(AND(AE237&lt;=7,W237&lt;&gt;"Preparing"),"RED",IF(AE237&lt;=14,"AMBER","GREEN")))))</f>
        <v/>
      </c>
      <c r="AG237" s="59">
        <f>IF(OR(A237="",NOT(OR(W237="Watching",W237="Preparing"))),"",IF(AND(ISNUMBER(M237),M237&gt;=3000000000),"YES – ≥ TZS 3bn",IF(AND(ISNUMBER(AE237),AE237&gt;=0,AE237&lt;10,V237=""),"YES – &lt;10 days","")))</f>
        <v/>
      </c>
      <c r="AH237" s="68" t="n"/>
      <c r="AI237" s="66" t="n"/>
      <c r="AJ237" s="66" t="n"/>
      <c r="AK237" s="66" t="n"/>
      <c r="AL237" s="59">
        <f>IF(AND(OR(W237="Watching",W237="Preparing"),ISNUMBER(Q237)),IF(AND(Q237&gt;='Friday Summary'!$C$4,Q237&lt;='Friday Summary'!$C$4+14),Q237+ROW()/1000000,""),"")</f>
        <v/>
      </c>
    </row>
    <row r="238" ht="15" customHeight="1" s="51">
      <c r="A238" s="59">
        <f>IF(B238="","","OP-"&amp;TEXT(ROW()-4,"000"))</f>
        <v/>
      </c>
      <c r="B238" s="60" t="n"/>
      <c r="C238" s="61" t="n"/>
      <c r="D238" s="60" t="n"/>
      <c r="E238" s="60" t="n"/>
      <c r="F238" s="60" t="n"/>
      <c r="G238" s="60" t="n"/>
      <c r="H238" s="60" t="n"/>
      <c r="I238" s="60" t="n"/>
      <c r="J238" s="60" t="n"/>
      <c r="K238" s="60" t="n"/>
      <c r="L238" s="60" t="n"/>
      <c r="M238" s="62" t="n"/>
      <c r="N238" s="60" t="n"/>
      <c r="O238" s="61" t="n"/>
      <c r="P238" s="61" t="n"/>
      <c r="Q238" s="63" t="n"/>
      <c r="R238" s="60" t="n"/>
      <c r="S238" s="60" t="n"/>
      <c r="T238" s="64">
        <f>IF(A238="","",IFERROR(INDEX('Bid-NoBid'!$T:$T,MATCH(A238,'Bid-NoBid'!$A:$A,0)),""))</f>
        <v/>
      </c>
      <c r="U238" s="59">
        <f>IF(A238="","",IFERROR(IF(OR(INDEX('Bid-NoBid'!$U:$U,MATCH(A238,'Bid-NoBid'!$A:$A,0))="",LEFT(INDEX('Bid-NoBid'!$U:$U,MATCH(A238,'Bid-NoBid'!$A:$A,0)),10)="Incomplete"),"Screen: "&amp;AC238,INDEX('Bid-NoBid'!$U:$U,MATCH(A238,'Bid-NoBid'!$A:$A,0))),"Screen: "&amp;AC238))</f>
        <v/>
      </c>
      <c r="V238" s="60" t="n"/>
      <c r="W238" s="60" t="n"/>
      <c r="X238" s="60" t="n"/>
      <c r="Y238" s="60" t="n"/>
      <c r="Z238" s="60" t="n"/>
      <c r="AA238" s="65" t="n"/>
      <c r="AB238" s="66" t="n"/>
      <c r="AC238" s="66" t="n"/>
      <c r="AD238" s="66" t="n"/>
      <c r="AE238" s="67">
        <f>IF(ISNUMBER(Q238),ROUNDDOWN(Q238-NOW(),1),"")</f>
        <v/>
      </c>
      <c r="AF238" s="59">
        <f>IF(OR(A238="",AE238=""),"",IF(NOT(OR(W238="Watching",W238="Preparing")),"",IF(AE238&lt;0,"PASSED",IF(AND(AE238&lt;=7,W238&lt;&gt;"Preparing"),"RED",IF(AE238&lt;=14,"AMBER","GREEN")))))</f>
        <v/>
      </c>
      <c r="AG238" s="59">
        <f>IF(OR(A238="",NOT(OR(W238="Watching",W238="Preparing"))),"",IF(AND(ISNUMBER(M238),M238&gt;=3000000000),"YES – ≥ TZS 3bn",IF(AND(ISNUMBER(AE238),AE238&gt;=0,AE238&lt;10,V238=""),"YES – &lt;10 days","")))</f>
        <v/>
      </c>
      <c r="AH238" s="68" t="n"/>
      <c r="AI238" s="66" t="n"/>
      <c r="AJ238" s="66" t="n"/>
      <c r="AK238" s="66" t="n"/>
      <c r="AL238" s="59">
        <f>IF(AND(OR(W238="Watching",W238="Preparing"),ISNUMBER(Q238)),IF(AND(Q238&gt;='Friday Summary'!$C$4,Q238&lt;='Friday Summary'!$C$4+14),Q238+ROW()/1000000,""),"")</f>
        <v/>
      </c>
    </row>
    <row r="239" ht="15" customHeight="1" s="51">
      <c r="A239" s="59">
        <f>IF(B239="","","OP-"&amp;TEXT(ROW()-4,"000"))</f>
        <v/>
      </c>
      <c r="B239" s="60" t="n"/>
      <c r="C239" s="61" t="n"/>
      <c r="D239" s="60" t="n"/>
      <c r="E239" s="60" t="n"/>
      <c r="F239" s="60" t="n"/>
      <c r="G239" s="60" t="n"/>
      <c r="H239" s="60" t="n"/>
      <c r="I239" s="60" t="n"/>
      <c r="J239" s="60" t="n"/>
      <c r="K239" s="60" t="n"/>
      <c r="L239" s="60" t="n"/>
      <c r="M239" s="62" t="n"/>
      <c r="N239" s="60" t="n"/>
      <c r="O239" s="61" t="n"/>
      <c r="P239" s="61" t="n"/>
      <c r="Q239" s="63" t="n"/>
      <c r="R239" s="60" t="n"/>
      <c r="S239" s="60" t="n"/>
      <c r="T239" s="64">
        <f>IF(A239="","",IFERROR(INDEX('Bid-NoBid'!$T:$T,MATCH(A239,'Bid-NoBid'!$A:$A,0)),""))</f>
        <v/>
      </c>
      <c r="U239" s="59">
        <f>IF(A239="","",IFERROR(IF(OR(INDEX('Bid-NoBid'!$U:$U,MATCH(A239,'Bid-NoBid'!$A:$A,0))="",LEFT(INDEX('Bid-NoBid'!$U:$U,MATCH(A239,'Bid-NoBid'!$A:$A,0)),10)="Incomplete"),"Screen: "&amp;AC239,INDEX('Bid-NoBid'!$U:$U,MATCH(A239,'Bid-NoBid'!$A:$A,0))),"Screen: "&amp;AC239))</f>
        <v/>
      </c>
      <c r="V239" s="60" t="n"/>
      <c r="W239" s="60" t="n"/>
      <c r="X239" s="60" t="n"/>
      <c r="Y239" s="60" t="n"/>
      <c r="Z239" s="60" t="n"/>
      <c r="AA239" s="65" t="n"/>
      <c r="AB239" s="66" t="n"/>
      <c r="AC239" s="66" t="n"/>
      <c r="AD239" s="66" t="n"/>
      <c r="AE239" s="67">
        <f>IF(ISNUMBER(Q239),ROUNDDOWN(Q239-NOW(),1),"")</f>
        <v/>
      </c>
      <c r="AF239" s="59">
        <f>IF(OR(A239="",AE239=""),"",IF(NOT(OR(W239="Watching",W239="Preparing")),"",IF(AE239&lt;0,"PASSED",IF(AND(AE239&lt;=7,W239&lt;&gt;"Preparing"),"RED",IF(AE239&lt;=14,"AMBER","GREEN")))))</f>
        <v/>
      </c>
      <c r="AG239" s="59">
        <f>IF(OR(A239="",NOT(OR(W239="Watching",W239="Preparing"))),"",IF(AND(ISNUMBER(M239),M239&gt;=3000000000),"YES – ≥ TZS 3bn",IF(AND(ISNUMBER(AE239),AE239&gt;=0,AE239&lt;10,V239=""),"YES – &lt;10 days","")))</f>
        <v/>
      </c>
      <c r="AH239" s="68" t="n"/>
      <c r="AI239" s="66" t="n"/>
      <c r="AJ239" s="66" t="n"/>
      <c r="AK239" s="66" t="n"/>
      <c r="AL239" s="59">
        <f>IF(AND(OR(W239="Watching",W239="Preparing"),ISNUMBER(Q239)),IF(AND(Q239&gt;='Friday Summary'!$C$4,Q239&lt;='Friday Summary'!$C$4+14),Q239+ROW()/1000000,""),"")</f>
        <v/>
      </c>
    </row>
    <row r="240" ht="15" customHeight="1" s="51">
      <c r="A240" s="59">
        <f>IF(B240="","","OP-"&amp;TEXT(ROW()-4,"000"))</f>
        <v/>
      </c>
      <c r="B240" s="60" t="n"/>
      <c r="C240" s="61" t="n"/>
      <c r="D240" s="60" t="n"/>
      <c r="E240" s="60" t="n"/>
      <c r="F240" s="60" t="n"/>
      <c r="G240" s="60" t="n"/>
      <c r="H240" s="60" t="n"/>
      <c r="I240" s="60" t="n"/>
      <c r="J240" s="60" t="n"/>
      <c r="K240" s="60" t="n"/>
      <c r="L240" s="60" t="n"/>
      <c r="M240" s="62" t="n"/>
      <c r="N240" s="60" t="n"/>
      <c r="O240" s="61" t="n"/>
      <c r="P240" s="61" t="n"/>
      <c r="Q240" s="63" t="n"/>
      <c r="R240" s="60" t="n"/>
      <c r="S240" s="60" t="n"/>
      <c r="T240" s="64">
        <f>IF(A240="","",IFERROR(INDEX('Bid-NoBid'!$T:$T,MATCH(A240,'Bid-NoBid'!$A:$A,0)),""))</f>
        <v/>
      </c>
      <c r="U240" s="59">
        <f>IF(A240="","",IFERROR(IF(OR(INDEX('Bid-NoBid'!$U:$U,MATCH(A240,'Bid-NoBid'!$A:$A,0))="",LEFT(INDEX('Bid-NoBid'!$U:$U,MATCH(A240,'Bid-NoBid'!$A:$A,0)),10)="Incomplete"),"Screen: "&amp;AC240,INDEX('Bid-NoBid'!$U:$U,MATCH(A240,'Bid-NoBid'!$A:$A,0))),"Screen: "&amp;AC240))</f>
        <v/>
      </c>
      <c r="V240" s="60" t="n"/>
      <c r="W240" s="60" t="n"/>
      <c r="X240" s="60" t="n"/>
      <c r="Y240" s="60" t="n"/>
      <c r="Z240" s="60" t="n"/>
      <c r="AA240" s="65" t="n"/>
      <c r="AB240" s="66" t="n"/>
      <c r="AC240" s="66" t="n"/>
      <c r="AD240" s="66" t="n"/>
      <c r="AE240" s="67">
        <f>IF(ISNUMBER(Q240),ROUNDDOWN(Q240-NOW(),1),"")</f>
        <v/>
      </c>
      <c r="AF240" s="59">
        <f>IF(OR(A240="",AE240=""),"",IF(NOT(OR(W240="Watching",W240="Preparing")),"",IF(AE240&lt;0,"PASSED",IF(AND(AE240&lt;=7,W240&lt;&gt;"Preparing"),"RED",IF(AE240&lt;=14,"AMBER","GREEN")))))</f>
        <v/>
      </c>
      <c r="AG240" s="59">
        <f>IF(OR(A240="",NOT(OR(W240="Watching",W240="Preparing"))),"",IF(AND(ISNUMBER(M240),M240&gt;=3000000000),"YES – ≥ TZS 3bn",IF(AND(ISNUMBER(AE240),AE240&gt;=0,AE240&lt;10,V240=""),"YES – &lt;10 days","")))</f>
        <v/>
      </c>
      <c r="AH240" s="68" t="n"/>
      <c r="AI240" s="66" t="n"/>
      <c r="AJ240" s="66" t="n"/>
      <c r="AK240" s="66" t="n"/>
      <c r="AL240" s="59">
        <f>IF(AND(OR(W240="Watching",W240="Preparing"),ISNUMBER(Q240)),IF(AND(Q240&gt;='Friday Summary'!$C$4,Q240&lt;='Friday Summary'!$C$4+14),Q240+ROW()/1000000,""),"")</f>
        <v/>
      </c>
    </row>
    <row r="241" ht="15" customHeight="1" s="51">
      <c r="A241" s="59">
        <f>IF(B241="","","OP-"&amp;TEXT(ROW()-4,"000"))</f>
        <v/>
      </c>
      <c r="B241" s="60" t="n"/>
      <c r="C241" s="61" t="n"/>
      <c r="D241" s="60" t="n"/>
      <c r="E241" s="60" t="n"/>
      <c r="F241" s="60" t="n"/>
      <c r="G241" s="60" t="n"/>
      <c r="H241" s="60" t="n"/>
      <c r="I241" s="60" t="n"/>
      <c r="J241" s="60" t="n"/>
      <c r="K241" s="60" t="n"/>
      <c r="L241" s="60" t="n"/>
      <c r="M241" s="62" t="n"/>
      <c r="N241" s="60" t="n"/>
      <c r="O241" s="61" t="n"/>
      <c r="P241" s="61" t="n"/>
      <c r="Q241" s="63" t="n"/>
      <c r="R241" s="60" t="n"/>
      <c r="S241" s="60" t="n"/>
      <c r="T241" s="64">
        <f>IF(A241="","",IFERROR(INDEX('Bid-NoBid'!$T:$T,MATCH(A241,'Bid-NoBid'!$A:$A,0)),""))</f>
        <v/>
      </c>
      <c r="U241" s="59">
        <f>IF(A241="","",IFERROR(IF(OR(INDEX('Bid-NoBid'!$U:$U,MATCH(A241,'Bid-NoBid'!$A:$A,0))="",LEFT(INDEX('Bid-NoBid'!$U:$U,MATCH(A241,'Bid-NoBid'!$A:$A,0)),10)="Incomplete"),"Screen: "&amp;AC241,INDEX('Bid-NoBid'!$U:$U,MATCH(A241,'Bid-NoBid'!$A:$A,0))),"Screen: "&amp;AC241))</f>
        <v/>
      </c>
      <c r="V241" s="60" t="n"/>
      <c r="W241" s="60" t="n"/>
      <c r="X241" s="60" t="n"/>
      <c r="Y241" s="60" t="n"/>
      <c r="Z241" s="60" t="n"/>
      <c r="AA241" s="65" t="n"/>
      <c r="AB241" s="66" t="n"/>
      <c r="AC241" s="66" t="n"/>
      <c r="AD241" s="66" t="n"/>
      <c r="AE241" s="67">
        <f>IF(ISNUMBER(Q241),ROUNDDOWN(Q241-NOW(),1),"")</f>
        <v/>
      </c>
      <c r="AF241" s="59">
        <f>IF(OR(A241="",AE241=""),"",IF(NOT(OR(W241="Watching",W241="Preparing")),"",IF(AE241&lt;0,"PASSED",IF(AND(AE241&lt;=7,W241&lt;&gt;"Preparing"),"RED",IF(AE241&lt;=14,"AMBER","GREEN")))))</f>
        <v/>
      </c>
      <c r="AG241" s="59">
        <f>IF(OR(A241="",NOT(OR(W241="Watching",W241="Preparing"))),"",IF(AND(ISNUMBER(M241),M241&gt;=3000000000),"YES – ≥ TZS 3bn",IF(AND(ISNUMBER(AE241),AE241&gt;=0,AE241&lt;10,V241=""),"YES – &lt;10 days","")))</f>
        <v/>
      </c>
      <c r="AH241" s="68" t="n"/>
      <c r="AI241" s="66" t="n"/>
      <c r="AJ241" s="66" t="n"/>
      <c r="AK241" s="66" t="n"/>
      <c r="AL241" s="59">
        <f>IF(AND(OR(W241="Watching",W241="Preparing"),ISNUMBER(Q241)),IF(AND(Q241&gt;='Friday Summary'!$C$4,Q241&lt;='Friday Summary'!$C$4+14),Q241+ROW()/1000000,""),"")</f>
        <v/>
      </c>
    </row>
    <row r="242" ht="15" customHeight="1" s="51">
      <c r="A242" s="59">
        <f>IF(B242="","","OP-"&amp;TEXT(ROW()-4,"000"))</f>
        <v/>
      </c>
      <c r="B242" s="60" t="n"/>
      <c r="C242" s="61" t="n"/>
      <c r="D242" s="60" t="n"/>
      <c r="E242" s="60" t="n"/>
      <c r="F242" s="60" t="n"/>
      <c r="G242" s="60" t="n"/>
      <c r="H242" s="60" t="n"/>
      <c r="I242" s="60" t="n"/>
      <c r="J242" s="60" t="n"/>
      <c r="K242" s="60" t="n"/>
      <c r="L242" s="60" t="n"/>
      <c r="M242" s="62" t="n"/>
      <c r="N242" s="60" t="n"/>
      <c r="O242" s="61" t="n"/>
      <c r="P242" s="61" t="n"/>
      <c r="Q242" s="63" t="n"/>
      <c r="R242" s="60" t="n"/>
      <c r="S242" s="60" t="n"/>
      <c r="T242" s="64">
        <f>IF(A242="","",IFERROR(INDEX('Bid-NoBid'!$T:$T,MATCH(A242,'Bid-NoBid'!$A:$A,0)),""))</f>
        <v/>
      </c>
      <c r="U242" s="59">
        <f>IF(A242="","",IFERROR(IF(OR(INDEX('Bid-NoBid'!$U:$U,MATCH(A242,'Bid-NoBid'!$A:$A,0))="",LEFT(INDEX('Bid-NoBid'!$U:$U,MATCH(A242,'Bid-NoBid'!$A:$A,0)),10)="Incomplete"),"Screen: "&amp;AC242,INDEX('Bid-NoBid'!$U:$U,MATCH(A242,'Bid-NoBid'!$A:$A,0))),"Screen: "&amp;AC242))</f>
        <v/>
      </c>
      <c r="V242" s="60" t="n"/>
      <c r="W242" s="60" t="n"/>
      <c r="X242" s="60" t="n"/>
      <c r="Y242" s="60" t="n"/>
      <c r="Z242" s="60" t="n"/>
      <c r="AA242" s="65" t="n"/>
      <c r="AB242" s="66" t="n"/>
      <c r="AC242" s="66" t="n"/>
      <c r="AD242" s="66" t="n"/>
      <c r="AE242" s="67">
        <f>IF(ISNUMBER(Q242),ROUNDDOWN(Q242-NOW(),1),"")</f>
        <v/>
      </c>
      <c r="AF242" s="59">
        <f>IF(OR(A242="",AE242=""),"",IF(NOT(OR(W242="Watching",W242="Preparing")),"",IF(AE242&lt;0,"PASSED",IF(AND(AE242&lt;=7,W242&lt;&gt;"Preparing"),"RED",IF(AE242&lt;=14,"AMBER","GREEN")))))</f>
        <v/>
      </c>
      <c r="AG242" s="59">
        <f>IF(OR(A242="",NOT(OR(W242="Watching",W242="Preparing"))),"",IF(AND(ISNUMBER(M242),M242&gt;=3000000000),"YES – ≥ TZS 3bn",IF(AND(ISNUMBER(AE242),AE242&gt;=0,AE242&lt;10,V242=""),"YES – &lt;10 days","")))</f>
        <v/>
      </c>
      <c r="AH242" s="68" t="n"/>
      <c r="AI242" s="66" t="n"/>
      <c r="AJ242" s="66" t="n"/>
      <c r="AK242" s="66" t="n"/>
      <c r="AL242" s="59">
        <f>IF(AND(OR(W242="Watching",W242="Preparing"),ISNUMBER(Q242)),IF(AND(Q242&gt;='Friday Summary'!$C$4,Q242&lt;='Friday Summary'!$C$4+14),Q242+ROW()/1000000,""),"")</f>
        <v/>
      </c>
    </row>
    <row r="243" ht="15" customHeight="1" s="51">
      <c r="A243" s="59">
        <f>IF(B243="","","OP-"&amp;TEXT(ROW()-4,"000"))</f>
        <v/>
      </c>
      <c r="B243" s="60" t="n"/>
      <c r="C243" s="61" t="n"/>
      <c r="D243" s="60" t="n"/>
      <c r="E243" s="60" t="n"/>
      <c r="F243" s="60" t="n"/>
      <c r="G243" s="60" t="n"/>
      <c r="H243" s="60" t="n"/>
      <c r="I243" s="60" t="n"/>
      <c r="J243" s="60" t="n"/>
      <c r="K243" s="60" t="n"/>
      <c r="L243" s="60" t="n"/>
      <c r="M243" s="62" t="n"/>
      <c r="N243" s="60" t="n"/>
      <c r="O243" s="61" t="n"/>
      <c r="P243" s="61" t="n"/>
      <c r="Q243" s="63" t="n"/>
      <c r="R243" s="60" t="n"/>
      <c r="S243" s="60" t="n"/>
      <c r="T243" s="64">
        <f>IF(A243="","",IFERROR(INDEX('Bid-NoBid'!$T:$T,MATCH(A243,'Bid-NoBid'!$A:$A,0)),""))</f>
        <v/>
      </c>
      <c r="U243" s="59">
        <f>IF(A243="","",IFERROR(IF(OR(INDEX('Bid-NoBid'!$U:$U,MATCH(A243,'Bid-NoBid'!$A:$A,0))="",LEFT(INDEX('Bid-NoBid'!$U:$U,MATCH(A243,'Bid-NoBid'!$A:$A,0)),10)="Incomplete"),"Screen: "&amp;AC243,INDEX('Bid-NoBid'!$U:$U,MATCH(A243,'Bid-NoBid'!$A:$A,0))),"Screen: "&amp;AC243))</f>
        <v/>
      </c>
      <c r="V243" s="60" t="n"/>
      <c r="W243" s="60" t="n"/>
      <c r="X243" s="60" t="n"/>
      <c r="Y243" s="60" t="n"/>
      <c r="Z243" s="60" t="n"/>
      <c r="AA243" s="65" t="n"/>
      <c r="AB243" s="66" t="n"/>
      <c r="AC243" s="66" t="n"/>
      <c r="AD243" s="66" t="n"/>
      <c r="AE243" s="67">
        <f>IF(ISNUMBER(Q243),ROUNDDOWN(Q243-NOW(),1),"")</f>
        <v/>
      </c>
      <c r="AF243" s="59">
        <f>IF(OR(A243="",AE243=""),"",IF(NOT(OR(W243="Watching",W243="Preparing")),"",IF(AE243&lt;0,"PASSED",IF(AND(AE243&lt;=7,W243&lt;&gt;"Preparing"),"RED",IF(AE243&lt;=14,"AMBER","GREEN")))))</f>
        <v/>
      </c>
      <c r="AG243" s="59">
        <f>IF(OR(A243="",NOT(OR(W243="Watching",W243="Preparing"))),"",IF(AND(ISNUMBER(M243),M243&gt;=3000000000),"YES – ≥ TZS 3bn",IF(AND(ISNUMBER(AE243),AE243&gt;=0,AE243&lt;10,V243=""),"YES – &lt;10 days","")))</f>
        <v/>
      </c>
      <c r="AH243" s="68" t="n"/>
      <c r="AI243" s="66" t="n"/>
      <c r="AJ243" s="66" t="n"/>
      <c r="AK243" s="66" t="n"/>
      <c r="AL243" s="59">
        <f>IF(AND(OR(W243="Watching",W243="Preparing"),ISNUMBER(Q243)),IF(AND(Q243&gt;='Friday Summary'!$C$4,Q243&lt;='Friday Summary'!$C$4+14),Q243+ROW()/1000000,""),"")</f>
        <v/>
      </c>
    </row>
    <row r="244" ht="15" customHeight="1" s="51">
      <c r="A244" s="59">
        <f>IF(B244="","","OP-"&amp;TEXT(ROW()-4,"000"))</f>
        <v/>
      </c>
      <c r="B244" s="60" t="n"/>
      <c r="C244" s="61" t="n"/>
      <c r="D244" s="60" t="n"/>
      <c r="E244" s="60" t="n"/>
      <c r="F244" s="60" t="n"/>
      <c r="G244" s="60" t="n"/>
      <c r="H244" s="60" t="n"/>
      <c r="I244" s="60" t="n"/>
      <c r="J244" s="60" t="n"/>
      <c r="K244" s="60" t="n"/>
      <c r="L244" s="60" t="n"/>
      <c r="M244" s="62" t="n"/>
      <c r="N244" s="60" t="n"/>
      <c r="O244" s="61" t="n"/>
      <c r="P244" s="61" t="n"/>
      <c r="Q244" s="63" t="n"/>
      <c r="R244" s="60" t="n"/>
      <c r="S244" s="60" t="n"/>
      <c r="T244" s="64">
        <f>IF(A244="","",IFERROR(INDEX('Bid-NoBid'!$T:$T,MATCH(A244,'Bid-NoBid'!$A:$A,0)),""))</f>
        <v/>
      </c>
      <c r="U244" s="59">
        <f>IF(A244="","",IFERROR(IF(OR(INDEX('Bid-NoBid'!$U:$U,MATCH(A244,'Bid-NoBid'!$A:$A,0))="",LEFT(INDEX('Bid-NoBid'!$U:$U,MATCH(A244,'Bid-NoBid'!$A:$A,0)),10)="Incomplete"),"Screen: "&amp;AC244,INDEX('Bid-NoBid'!$U:$U,MATCH(A244,'Bid-NoBid'!$A:$A,0))),"Screen: "&amp;AC244))</f>
        <v/>
      </c>
      <c r="V244" s="60" t="n"/>
      <c r="W244" s="60" t="n"/>
      <c r="X244" s="60" t="n"/>
      <c r="Y244" s="60" t="n"/>
      <c r="Z244" s="60" t="n"/>
      <c r="AA244" s="65" t="n"/>
      <c r="AB244" s="66" t="n"/>
      <c r="AC244" s="66" t="n"/>
      <c r="AD244" s="66" t="n"/>
      <c r="AE244" s="67">
        <f>IF(ISNUMBER(Q244),ROUNDDOWN(Q244-NOW(),1),"")</f>
        <v/>
      </c>
      <c r="AF244" s="59">
        <f>IF(OR(A244="",AE244=""),"",IF(NOT(OR(W244="Watching",W244="Preparing")),"",IF(AE244&lt;0,"PASSED",IF(AND(AE244&lt;=7,W244&lt;&gt;"Preparing"),"RED",IF(AE244&lt;=14,"AMBER","GREEN")))))</f>
        <v/>
      </c>
      <c r="AG244" s="59">
        <f>IF(OR(A244="",NOT(OR(W244="Watching",W244="Preparing"))),"",IF(AND(ISNUMBER(M244),M244&gt;=3000000000),"YES – ≥ TZS 3bn",IF(AND(ISNUMBER(AE244),AE244&gt;=0,AE244&lt;10,V244=""),"YES – &lt;10 days","")))</f>
        <v/>
      </c>
      <c r="AH244" s="68" t="n"/>
      <c r="AI244" s="66" t="n"/>
      <c r="AJ244" s="66" t="n"/>
      <c r="AK244" s="66" t="n"/>
      <c r="AL244" s="59">
        <f>IF(AND(OR(W244="Watching",W244="Preparing"),ISNUMBER(Q244)),IF(AND(Q244&gt;='Friday Summary'!$C$4,Q244&lt;='Friday Summary'!$C$4+14),Q244+ROW()/1000000,""),"")</f>
        <v/>
      </c>
    </row>
    <row r="245" ht="15" customHeight="1" s="51">
      <c r="A245" s="59">
        <f>IF(B245="","","OP-"&amp;TEXT(ROW()-4,"000"))</f>
        <v/>
      </c>
      <c r="B245" s="60" t="n"/>
      <c r="C245" s="61" t="n"/>
      <c r="D245" s="60" t="n"/>
      <c r="E245" s="60" t="n"/>
      <c r="F245" s="60" t="n"/>
      <c r="G245" s="60" t="n"/>
      <c r="H245" s="60" t="n"/>
      <c r="I245" s="60" t="n"/>
      <c r="J245" s="60" t="n"/>
      <c r="K245" s="60" t="n"/>
      <c r="L245" s="60" t="n"/>
      <c r="M245" s="62" t="n"/>
      <c r="N245" s="60" t="n"/>
      <c r="O245" s="61" t="n"/>
      <c r="P245" s="61" t="n"/>
      <c r="Q245" s="63" t="n"/>
      <c r="R245" s="60" t="n"/>
      <c r="S245" s="60" t="n"/>
      <c r="T245" s="64">
        <f>IF(A245="","",IFERROR(INDEX('Bid-NoBid'!$T:$T,MATCH(A245,'Bid-NoBid'!$A:$A,0)),""))</f>
        <v/>
      </c>
      <c r="U245" s="59">
        <f>IF(A245="","",IFERROR(IF(OR(INDEX('Bid-NoBid'!$U:$U,MATCH(A245,'Bid-NoBid'!$A:$A,0))="",LEFT(INDEX('Bid-NoBid'!$U:$U,MATCH(A245,'Bid-NoBid'!$A:$A,0)),10)="Incomplete"),"Screen: "&amp;AC245,INDEX('Bid-NoBid'!$U:$U,MATCH(A245,'Bid-NoBid'!$A:$A,0))),"Screen: "&amp;AC245))</f>
        <v/>
      </c>
      <c r="V245" s="60" t="n"/>
      <c r="W245" s="60" t="n"/>
      <c r="X245" s="60" t="n"/>
      <c r="Y245" s="60" t="n"/>
      <c r="Z245" s="60" t="n"/>
      <c r="AA245" s="65" t="n"/>
      <c r="AB245" s="66" t="n"/>
      <c r="AC245" s="66" t="n"/>
      <c r="AD245" s="66" t="n"/>
      <c r="AE245" s="67">
        <f>IF(ISNUMBER(Q245),ROUNDDOWN(Q245-NOW(),1),"")</f>
        <v/>
      </c>
      <c r="AF245" s="59">
        <f>IF(OR(A245="",AE245=""),"",IF(NOT(OR(W245="Watching",W245="Preparing")),"",IF(AE245&lt;0,"PASSED",IF(AND(AE245&lt;=7,W245&lt;&gt;"Preparing"),"RED",IF(AE245&lt;=14,"AMBER","GREEN")))))</f>
        <v/>
      </c>
      <c r="AG245" s="59">
        <f>IF(OR(A245="",NOT(OR(W245="Watching",W245="Preparing"))),"",IF(AND(ISNUMBER(M245),M245&gt;=3000000000),"YES – ≥ TZS 3bn",IF(AND(ISNUMBER(AE245),AE245&gt;=0,AE245&lt;10,V245=""),"YES – &lt;10 days","")))</f>
        <v/>
      </c>
      <c r="AH245" s="68" t="n"/>
      <c r="AI245" s="66" t="n"/>
      <c r="AJ245" s="66" t="n"/>
      <c r="AK245" s="66" t="n"/>
      <c r="AL245" s="59">
        <f>IF(AND(OR(W245="Watching",W245="Preparing"),ISNUMBER(Q245)),IF(AND(Q245&gt;='Friday Summary'!$C$4,Q245&lt;='Friday Summary'!$C$4+14),Q245+ROW()/1000000,""),"")</f>
        <v/>
      </c>
    </row>
    <row r="246" ht="15" customHeight="1" s="51">
      <c r="A246" s="59">
        <f>IF(B246="","","OP-"&amp;TEXT(ROW()-4,"000"))</f>
        <v/>
      </c>
      <c r="B246" s="60" t="n"/>
      <c r="C246" s="61" t="n"/>
      <c r="D246" s="60" t="n"/>
      <c r="E246" s="60" t="n"/>
      <c r="F246" s="60" t="n"/>
      <c r="G246" s="60" t="n"/>
      <c r="H246" s="60" t="n"/>
      <c r="I246" s="60" t="n"/>
      <c r="J246" s="60" t="n"/>
      <c r="K246" s="60" t="n"/>
      <c r="L246" s="60" t="n"/>
      <c r="M246" s="62" t="n"/>
      <c r="N246" s="60" t="n"/>
      <c r="O246" s="61" t="n"/>
      <c r="P246" s="61" t="n"/>
      <c r="Q246" s="63" t="n"/>
      <c r="R246" s="60" t="n"/>
      <c r="S246" s="60" t="n"/>
      <c r="T246" s="64">
        <f>IF(A246="","",IFERROR(INDEX('Bid-NoBid'!$T:$T,MATCH(A246,'Bid-NoBid'!$A:$A,0)),""))</f>
        <v/>
      </c>
      <c r="U246" s="59">
        <f>IF(A246="","",IFERROR(IF(OR(INDEX('Bid-NoBid'!$U:$U,MATCH(A246,'Bid-NoBid'!$A:$A,0))="",LEFT(INDEX('Bid-NoBid'!$U:$U,MATCH(A246,'Bid-NoBid'!$A:$A,0)),10)="Incomplete"),"Screen: "&amp;AC246,INDEX('Bid-NoBid'!$U:$U,MATCH(A246,'Bid-NoBid'!$A:$A,0))),"Screen: "&amp;AC246))</f>
        <v/>
      </c>
      <c r="V246" s="60" t="n"/>
      <c r="W246" s="60" t="n"/>
      <c r="X246" s="60" t="n"/>
      <c r="Y246" s="60" t="n"/>
      <c r="Z246" s="60" t="n"/>
      <c r="AA246" s="65" t="n"/>
      <c r="AB246" s="66" t="n"/>
      <c r="AC246" s="66" t="n"/>
      <c r="AD246" s="66" t="n"/>
      <c r="AE246" s="67">
        <f>IF(ISNUMBER(Q246),ROUNDDOWN(Q246-NOW(),1),"")</f>
        <v/>
      </c>
      <c r="AF246" s="59">
        <f>IF(OR(A246="",AE246=""),"",IF(NOT(OR(W246="Watching",W246="Preparing")),"",IF(AE246&lt;0,"PASSED",IF(AND(AE246&lt;=7,W246&lt;&gt;"Preparing"),"RED",IF(AE246&lt;=14,"AMBER","GREEN")))))</f>
        <v/>
      </c>
      <c r="AG246" s="59">
        <f>IF(OR(A246="",NOT(OR(W246="Watching",W246="Preparing"))),"",IF(AND(ISNUMBER(M246),M246&gt;=3000000000),"YES – ≥ TZS 3bn",IF(AND(ISNUMBER(AE246),AE246&gt;=0,AE246&lt;10,V246=""),"YES – &lt;10 days","")))</f>
        <v/>
      </c>
      <c r="AH246" s="68" t="n"/>
      <c r="AI246" s="66" t="n"/>
      <c r="AJ246" s="66" t="n"/>
      <c r="AK246" s="66" t="n"/>
      <c r="AL246" s="59">
        <f>IF(AND(OR(W246="Watching",W246="Preparing"),ISNUMBER(Q246)),IF(AND(Q246&gt;='Friday Summary'!$C$4,Q246&lt;='Friday Summary'!$C$4+14),Q246+ROW()/1000000,""),"")</f>
        <v/>
      </c>
    </row>
    <row r="247" ht="15" customHeight="1" s="51">
      <c r="A247" s="59">
        <f>IF(B247="","","OP-"&amp;TEXT(ROW()-4,"000"))</f>
        <v/>
      </c>
      <c r="B247" s="60" t="n"/>
      <c r="C247" s="61" t="n"/>
      <c r="D247" s="60" t="n"/>
      <c r="E247" s="60" t="n"/>
      <c r="F247" s="60" t="n"/>
      <c r="G247" s="60" t="n"/>
      <c r="H247" s="60" t="n"/>
      <c r="I247" s="60" t="n"/>
      <c r="J247" s="60" t="n"/>
      <c r="K247" s="60" t="n"/>
      <c r="L247" s="60" t="n"/>
      <c r="M247" s="62" t="n"/>
      <c r="N247" s="60" t="n"/>
      <c r="O247" s="61" t="n"/>
      <c r="P247" s="61" t="n"/>
      <c r="Q247" s="63" t="n"/>
      <c r="R247" s="60" t="n"/>
      <c r="S247" s="60" t="n"/>
      <c r="T247" s="64">
        <f>IF(A247="","",IFERROR(INDEX('Bid-NoBid'!$T:$T,MATCH(A247,'Bid-NoBid'!$A:$A,0)),""))</f>
        <v/>
      </c>
      <c r="U247" s="59">
        <f>IF(A247="","",IFERROR(IF(OR(INDEX('Bid-NoBid'!$U:$U,MATCH(A247,'Bid-NoBid'!$A:$A,0))="",LEFT(INDEX('Bid-NoBid'!$U:$U,MATCH(A247,'Bid-NoBid'!$A:$A,0)),10)="Incomplete"),"Screen: "&amp;AC247,INDEX('Bid-NoBid'!$U:$U,MATCH(A247,'Bid-NoBid'!$A:$A,0))),"Screen: "&amp;AC247))</f>
        <v/>
      </c>
      <c r="V247" s="60" t="n"/>
      <c r="W247" s="60" t="n"/>
      <c r="X247" s="60" t="n"/>
      <c r="Y247" s="60" t="n"/>
      <c r="Z247" s="60" t="n"/>
      <c r="AA247" s="65" t="n"/>
      <c r="AB247" s="66" t="n"/>
      <c r="AC247" s="66" t="n"/>
      <c r="AD247" s="66" t="n"/>
      <c r="AE247" s="67">
        <f>IF(ISNUMBER(Q247),ROUNDDOWN(Q247-NOW(),1),"")</f>
        <v/>
      </c>
      <c r="AF247" s="59">
        <f>IF(OR(A247="",AE247=""),"",IF(NOT(OR(W247="Watching",W247="Preparing")),"",IF(AE247&lt;0,"PASSED",IF(AND(AE247&lt;=7,W247&lt;&gt;"Preparing"),"RED",IF(AE247&lt;=14,"AMBER","GREEN")))))</f>
        <v/>
      </c>
      <c r="AG247" s="59">
        <f>IF(OR(A247="",NOT(OR(W247="Watching",W247="Preparing"))),"",IF(AND(ISNUMBER(M247),M247&gt;=3000000000),"YES – ≥ TZS 3bn",IF(AND(ISNUMBER(AE247),AE247&gt;=0,AE247&lt;10,V247=""),"YES – &lt;10 days","")))</f>
        <v/>
      </c>
      <c r="AH247" s="68" t="n"/>
      <c r="AI247" s="66" t="n"/>
      <c r="AJ247" s="66" t="n"/>
      <c r="AK247" s="66" t="n"/>
      <c r="AL247" s="59">
        <f>IF(AND(OR(W247="Watching",W247="Preparing"),ISNUMBER(Q247)),IF(AND(Q247&gt;='Friday Summary'!$C$4,Q247&lt;='Friday Summary'!$C$4+14),Q247+ROW()/1000000,""),"")</f>
        <v/>
      </c>
    </row>
    <row r="248" ht="15" customHeight="1" s="51">
      <c r="A248" s="59">
        <f>IF(B248="","","OP-"&amp;TEXT(ROW()-4,"000"))</f>
        <v/>
      </c>
      <c r="B248" s="60" t="n"/>
      <c r="C248" s="61" t="n"/>
      <c r="D248" s="60" t="n"/>
      <c r="E248" s="60" t="n"/>
      <c r="F248" s="60" t="n"/>
      <c r="G248" s="60" t="n"/>
      <c r="H248" s="60" t="n"/>
      <c r="I248" s="60" t="n"/>
      <c r="J248" s="60" t="n"/>
      <c r="K248" s="60" t="n"/>
      <c r="L248" s="60" t="n"/>
      <c r="M248" s="62" t="n"/>
      <c r="N248" s="60" t="n"/>
      <c r="O248" s="61" t="n"/>
      <c r="P248" s="61" t="n"/>
      <c r="Q248" s="63" t="n"/>
      <c r="R248" s="60" t="n"/>
      <c r="S248" s="60" t="n"/>
      <c r="T248" s="64">
        <f>IF(A248="","",IFERROR(INDEX('Bid-NoBid'!$T:$T,MATCH(A248,'Bid-NoBid'!$A:$A,0)),""))</f>
        <v/>
      </c>
      <c r="U248" s="59">
        <f>IF(A248="","",IFERROR(IF(OR(INDEX('Bid-NoBid'!$U:$U,MATCH(A248,'Bid-NoBid'!$A:$A,0))="",LEFT(INDEX('Bid-NoBid'!$U:$U,MATCH(A248,'Bid-NoBid'!$A:$A,0)),10)="Incomplete"),"Screen: "&amp;AC248,INDEX('Bid-NoBid'!$U:$U,MATCH(A248,'Bid-NoBid'!$A:$A,0))),"Screen: "&amp;AC248))</f>
        <v/>
      </c>
      <c r="V248" s="60" t="n"/>
      <c r="W248" s="60" t="n"/>
      <c r="X248" s="60" t="n"/>
      <c r="Y248" s="60" t="n"/>
      <c r="Z248" s="60" t="n"/>
      <c r="AA248" s="65" t="n"/>
      <c r="AB248" s="66" t="n"/>
      <c r="AC248" s="66" t="n"/>
      <c r="AD248" s="66" t="n"/>
      <c r="AE248" s="67">
        <f>IF(ISNUMBER(Q248),ROUNDDOWN(Q248-NOW(),1),"")</f>
        <v/>
      </c>
      <c r="AF248" s="59">
        <f>IF(OR(A248="",AE248=""),"",IF(NOT(OR(W248="Watching",W248="Preparing")),"",IF(AE248&lt;0,"PASSED",IF(AND(AE248&lt;=7,W248&lt;&gt;"Preparing"),"RED",IF(AE248&lt;=14,"AMBER","GREEN")))))</f>
        <v/>
      </c>
      <c r="AG248" s="59">
        <f>IF(OR(A248="",NOT(OR(W248="Watching",W248="Preparing"))),"",IF(AND(ISNUMBER(M248),M248&gt;=3000000000),"YES – ≥ TZS 3bn",IF(AND(ISNUMBER(AE248),AE248&gt;=0,AE248&lt;10,V248=""),"YES – &lt;10 days","")))</f>
        <v/>
      </c>
      <c r="AH248" s="68" t="n"/>
      <c r="AI248" s="66" t="n"/>
      <c r="AJ248" s="66" t="n"/>
      <c r="AK248" s="66" t="n"/>
      <c r="AL248" s="59">
        <f>IF(AND(OR(W248="Watching",W248="Preparing"),ISNUMBER(Q248)),IF(AND(Q248&gt;='Friday Summary'!$C$4,Q248&lt;='Friday Summary'!$C$4+14),Q248+ROW()/1000000,""),"")</f>
        <v/>
      </c>
    </row>
    <row r="249" ht="15" customHeight="1" s="51">
      <c r="A249" s="59">
        <f>IF(B249="","","OP-"&amp;TEXT(ROW()-4,"000"))</f>
        <v/>
      </c>
      <c r="B249" s="60" t="n"/>
      <c r="C249" s="61" t="n"/>
      <c r="D249" s="60" t="n"/>
      <c r="E249" s="60" t="n"/>
      <c r="F249" s="60" t="n"/>
      <c r="G249" s="60" t="n"/>
      <c r="H249" s="60" t="n"/>
      <c r="I249" s="60" t="n"/>
      <c r="J249" s="60" t="n"/>
      <c r="K249" s="60" t="n"/>
      <c r="L249" s="60" t="n"/>
      <c r="M249" s="62" t="n"/>
      <c r="N249" s="60" t="n"/>
      <c r="O249" s="61" t="n"/>
      <c r="P249" s="61" t="n"/>
      <c r="Q249" s="63" t="n"/>
      <c r="R249" s="60" t="n"/>
      <c r="S249" s="60" t="n"/>
      <c r="T249" s="64">
        <f>IF(A249="","",IFERROR(INDEX('Bid-NoBid'!$T:$T,MATCH(A249,'Bid-NoBid'!$A:$A,0)),""))</f>
        <v/>
      </c>
      <c r="U249" s="59">
        <f>IF(A249="","",IFERROR(IF(OR(INDEX('Bid-NoBid'!$U:$U,MATCH(A249,'Bid-NoBid'!$A:$A,0))="",LEFT(INDEX('Bid-NoBid'!$U:$U,MATCH(A249,'Bid-NoBid'!$A:$A,0)),10)="Incomplete"),"Screen: "&amp;AC249,INDEX('Bid-NoBid'!$U:$U,MATCH(A249,'Bid-NoBid'!$A:$A,0))),"Screen: "&amp;AC249))</f>
        <v/>
      </c>
      <c r="V249" s="60" t="n"/>
      <c r="W249" s="60" t="n"/>
      <c r="X249" s="60" t="n"/>
      <c r="Y249" s="60" t="n"/>
      <c r="Z249" s="60" t="n"/>
      <c r="AA249" s="65" t="n"/>
      <c r="AB249" s="66" t="n"/>
      <c r="AC249" s="66" t="n"/>
      <c r="AD249" s="66" t="n"/>
      <c r="AE249" s="67">
        <f>IF(ISNUMBER(Q249),ROUNDDOWN(Q249-NOW(),1),"")</f>
        <v/>
      </c>
      <c r="AF249" s="59">
        <f>IF(OR(A249="",AE249=""),"",IF(NOT(OR(W249="Watching",W249="Preparing")),"",IF(AE249&lt;0,"PASSED",IF(AND(AE249&lt;=7,W249&lt;&gt;"Preparing"),"RED",IF(AE249&lt;=14,"AMBER","GREEN")))))</f>
        <v/>
      </c>
      <c r="AG249" s="59">
        <f>IF(OR(A249="",NOT(OR(W249="Watching",W249="Preparing"))),"",IF(AND(ISNUMBER(M249),M249&gt;=3000000000),"YES – ≥ TZS 3bn",IF(AND(ISNUMBER(AE249),AE249&gt;=0,AE249&lt;10,V249=""),"YES – &lt;10 days","")))</f>
        <v/>
      </c>
      <c r="AH249" s="68" t="n"/>
      <c r="AI249" s="66" t="n"/>
      <c r="AJ249" s="66" t="n"/>
      <c r="AK249" s="66" t="n"/>
      <c r="AL249" s="59">
        <f>IF(AND(OR(W249="Watching",W249="Preparing"),ISNUMBER(Q249)),IF(AND(Q249&gt;='Friday Summary'!$C$4,Q249&lt;='Friday Summary'!$C$4+14),Q249+ROW()/1000000,""),"")</f>
        <v/>
      </c>
    </row>
    <row r="250" ht="15" customHeight="1" s="51">
      <c r="A250" s="59">
        <f>IF(B250="","","OP-"&amp;TEXT(ROW()-4,"000"))</f>
        <v/>
      </c>
      <c r="B250" s="60" t="n"/>
      <c r="C250" s="61" t="n"/>
      <c r="D250" s="60" t="n"/>
      <c r="E250" s="60" t="n"/>
      <c r="F250" s="60" t="n"/>
      <c r="G250" s="60" t="n"/>
      <c r="H250" s="60" t="n"/>
      <c r="I250" s="60" t="n"/>
      <c r="J250" s="60" t="n"/>
      <c r="K250" s="60" t="n"/>
      <c r="L250" s="60" t="n"/>
      <c r="M250" s="62" t="n"/>
      <c r="N250" s="60" t="n"/>
      <c r="O250" s="61" t="n"/>
      <c r="P250" s="61" t="n"/>
      <c r="Q250" s="63" t="n"/>
      <c r="R250" s="60" t="n"/>
      <c r="S250" s="60" t="n"/>
      <c r="T250" s="64">
        <f>IF(A250="","",IFERROR(INDEX('Bid-NoBid'!$T:$T,MATCH(A250,'Bid-NoBid'!$A:$A,0)),""))</f>
        <v/>
      </c>
      <c r="U250" s="59">
        <f>IF(A250="","",IFERROR(IF(OR(INDEX('Bid-NoBid'!$U:$U,MATCH(A250,'Bid-NoBid'!$A:$A,0))="",LEFT(INDEX('Bid-NoBid'!$U:$U,MATCH(A250,'Bid-NoBid'!$A:$A,0)),10)="Incomplete"),"Screen: "&amp;AC250,INDEX('Bid-NoBid'!$U:$U,MATCH(A250,'Bid-NoBid'!$A:$A,0))),"Screen: "&amp;AC250))</f>
        <v/>
      </c>
      <c r="V250" s="60" t="n"/>
      <c r="W250" s="60" t="n"/>
      <c r="X250" s="60" t="n"/>
      <c r="Y250" s="60" t="n"/>
      <c r="Z250" s="60" t="n"/>
      <c r="AA250" s="65" t="n"/>
      <c r="AB250" s="66" t="n"/>
      <c r="AC250" s="66" t="n"/>
      <c r="AD250" s="66" t="n"/>
      <c r="AE250" s="67">
        <f>IF(ISNUMBER(Q250),ROUNDDOWN(Q250-NOW(),1),"")</f>
        <v/>
      </c>
      <c r="AF250" s="59">
        <f>IF(OR(A250="",AE250=""),"",IF(NOT(OR(W250="Watching",W250="Preparing")),"",IF(AE250&lt;0,"PASSED",IF(AND(AE250&lt;=7,W250&lt;&gt;"Preparing"),"RED",IF(AE250&lt;=14,"AMBER","GREEN")))))</f>
        <v/>
      </c>
      <c r="AG250" s="59">
        <f>IF(OR(A250="",NOT(OR(W250="Watching",W250="Preparing"))),"",IF(AND(ISNUMBER(M250),M250&gt;=3000000000),"YES – ≥ TZS 3bn",IF(AND(ISNUMBER(AE250),AE250&gt;=0,AE250&lt;10,V250=""),"YES – &lt;10 days","")))</f>
        <v/>
      </c>
      <c r="AH250" s="68" t="n"/>
      <c r="AI250" s="66" t="n"/>
      <c r="AJ250" s="66" t="n"/>
      <c r="AK250" s="66" t="n"/>
      <c r="AL250" s="59">
        <f>IF(AND(OR(W250="Watching",W250="Preparing"),ISNUMBER(Q250)),IF(AND(Q250&gt;='Friday Summary'!$C$4,Q250&lt;='Friday Summary'!$C$4+14),Q250+ROW()/1000000,""),"")</f>
        <v/>
      </c>
    </row>
    <row r="251" ht="15" customHeight="1" s="51">
      <c r="A251" s="59">
        <f>IF(B251="","","OP-"&amp;TEXT(ROW()-4,"000"))</f>
        <v/>
      </c>
      <c r="B251" s="60" t="n"/>
      <c r="C251" s="61" t="n"/>
      <c r="D251" s="60" t="n"/>
      <c r="E251" s="60" t="n"/>
      <c r="F251" s="60" t="n"/>
      <c r="G251" s="60" t="n"/>
      <c r="H251" s="60" t="n"/>
      <c r="I251" s="60" t="n"/>
      <c r="J251" s="60" t="n"/>
      <c r="K251" s="60" t="n"/>
      <c r="L251" s="60" t="n"/>
      <c r="M251" s="62" t="n"/>
      <c r="N251" s="60" t="n"/>
      <c r="O251" s="61" t="n"/>
      <c r="P251" s="61" t="n"/>
      <c r="Q251" s="63" t="n"/>
      <c r="R251" s="60" t="n"/>
      <c r="S251" s="60" t="n"/>
      <c r="T251" s="64">
        <f>IF(A251="","",IFERROR(INDEX('Bid-NoBid'!$T:$T,MATCH(A251,'Bid-NoBid'!$A:$A,0)),""))</f>
        <v/>
      </c>
      <c r="U251" s="59">
        <f>IF(A251="","",IFERROR(IF(OR(INDEX('Bid-NoBid'!$U:$U,MATCH(A251,'Bid-NoBid'!$A:$A,0))="",LEFT(INDEX('Bid-NoBid'!$U:$U,MATCH(A251,'Bid-NoBid'!$A:$A,0)),10)="Incomplete"),"Screen: "&amp;AC251,INDEX('Bid-NoBid'!$U:$U,MATCH(A251,'Bid-NoBid'!$A:$A,0))),"Screen: "&amp;AC251))</f>
        <v/>
      </c>
      <c r="V251" s="60" t="n"/>
      <c r="W251" s="60" t="n"/>
      <c r="X251" s="60" t="n"/>
      <c r="Y251" s="60" t="n"/>
      <c r="Z251" s="60" t="n"/>
      <c r="AA251" s="65" t="n"/>
      <c r="AB251" s="66" t="n"/>
      <c r="AC251" s="66" t="n"/>
      <c r="AD251" s="66" t="n"/>
      <c r="AE251" s="67">
        <f>IF(ISNUMBER(Q251),ROUNDDOWN(Q251-NOW(),1),"")</f>
        <v/>
      </c>
      <c r="AF251" s="59">
        <f>IF(OR(A251="",AE251=""),"",IF(NOT(OR(W251="Watching",W251="Preparing")),"",IF(AE251&lt;0,"PASSED",IF(AND(AE251&lt;=7,W251&lt;&gt;"Preparing"),"RED",IF(AE251&lt;=14,"AMBER","GREEN")))))</f>
        <v/>
      </c>
      <c r="AG251" s="59">
        <f>IF(OR(A251="",NOT(OR(W251="Watching",W251="Preparing"))),"",IF(AND(ISNUMBER(M251),M251&gt;=3000000000),"YES – ≥ TZS 3bn",IF(AND(ISNUMBER(AE251),AE251&gt;=0,AE251&lt;10,V251=""),"YES – &lt;10 days","")))</f>
        <v/>
      </c>
      <c r="AH251" s="68" t="n"/>
      <c r="AI251" s="66" t="n"/>
      <c r="AJ251" s="66" t="n"/>
      <c r="AK251" s="66" t="n"/>
      <c r="AL251" s="59">
        <f>IF(AND(OR(W251="Watching",W251="Preparing"),ISNUMBER(Q251)),IF(AND(Q251&gt;='Friday Summary'!$C$4,Q251&lt;='Friday Summary'!$C$4+14),Q251+ROW()/1000000,""),"")</f>
        <v/>
      </c>
    </row>
    <row r="252" ht="15" customHeight="1" s="51">
      <c r="A252" s="59">
        <f>IF(B252="","","OP-"&amp;TEXT(ROW()-4,"000"))</f>
        <v/>
      </c>
      <c r="B252" s="60" t="n"/>
      <c r="C252" s="61" t="n"/>
      <c r="D252" s="60" t="n"/>
      <c r="E252" s="60" t="n"/>
      <c r="F252" s="60" t="n"/>
      <c r="G252" s="60" t="n"/>
      <c r="H252" s="60" t="n"/>
      <c r="I252" s="60" t="n"/>
      <c r="J252" s="60" t="n"/>
      <c r="K252" s="60" t="n"/>
      <c r="L252" s="60" t="n"/>
      <c r="M252" s="62" t="n"/>
      <c r="N252" s="60" t="n"/>
      <c r="O252" s="61" t="n"/>
      <c r="P252" s="61" t="n"/>
      <c r="Q252" s="63" t="n"/>
      <c r="R252" s="60" t="n"/>
      <c r="S252" s="60" t="n"/>
      <c r="T252" s="64">
        <f>IF(A252="","",IFERROR(INDEX('Bid-NoBid'!$T:$T,MATCH(A252,'Bid-NoBid'!$A:$A,0)),""))</f>
        <v/>
      </c>
      <c r="U252" s="59">
        <f>IF(A252="","",IFERROR(IF(OR(INDEX('Bid-NoBid'!$U:$U,MATCH(A252,'Bid-NoBid'!$A:$A,0))="",LEFT(INDEX('Bid-NoBid'!$U:$U,MATCH(A252,'Bid-NoBid'!$A:$A,0)),10)="Incomplete"),"Screen: "&amp;AC252,INDEX('Bid-NoBid'!$U:$U,MATCH(A252,'Bid-NoBid'!$A:$A,0))),"Screen: "&amp;AC252))</f>
        <v/>
      </c>
      <c r="V252" s="60" t="n"/>
      <c r="W252" s="60" t="n"/>
      <c r="X252" s="60" t="n"/>
      <c r="Y252" s="60" t="n"/>
      <c r="Z252" s="60" t="n"/>
      <c r="AA252" s="65" t="n"/>
      <c r="AB252" s="66" t="n"/>
      <c r="AC252" s="66" t="n"/>
      <c r="AD252" s="66" t="n"/>
      <c r="AE252" s="67">
        <f>IF(ISNUMBER(Q252),ROUNDDOWN(Q252-NOW(),1),"")</f>
        <v/>
      </c>
      <c r="AF252" s="59">
        <f>IF(OR(A252="",AE252=""),"",IF(NOT(OR(W252="Watching",W252="Preparing")),"",IF(AE252&lt;0,"PASSED",IF(AND(AE252&lt;=7,W252&lt;&gt;"Preparing"),"RED",IF(AE252&lt;=14,"AMBER","GREEN")))))</f>
        <v/>
      </c>
      <c r="AG252" s="59">
        <f>IF(OR(A252="",NOT(OR(W252="Watching",W252="Preparing"))),"",IF(AND(ISNUMBER(M252),M252&gt;=3000000000),"YES – ≥ TZS 3bn",IF(AND(ISNUMBER(AE252),AE252&gt;=0,AE252&lt;10,V252=""),"YES – &lt;10 days","")))</f>
        <v/>
      </c>
      <c r="AH252" s="68" t="n"/>
      <c r="AI252" s="66" t="n"/>
      <c r="AJ252" s="66" t="n"/>
      <c r="AK252" s="66" t="n"/>
      <c r="AL252" s="59">
        <f>IF(AND(OR(W252="Watching",W252="Preparing"),ISNUMBER(Q252)),IF(AND(Q252&gt;='Friday Summary'!$C$4,Q252&lt;='Friday Summary'!$C$4+14),Q252+ROW()/1000000,""),"")</f>
        <v/>
      </c>
    </row>
    <row r="253" ht="15" customHeight="1" s="51">
      <c r="A253" s="59">
        <f>IF(B253="","","OP-"&amp;TEXT(ROW()-4,"000"))</f>
        <v/>
      </c>
      <c r="B253" s="60" t="n"/>
      <c r="C253" s="61" t="n"/>
      <c r="D253" s="60" t="n"/>
      <c r="E253" s="60" t="n"/>
      <c r="F253" s="60" t="n"/>
      <c r="G253" s="60" t="n"/>
      <c r="H253" s="60" t="n"/>
      <c r="I253" s="60" t="n"/>
      <c r="J253" s="60" t="n"/>
      <c r="K253" s="60" t="n"/>
      <c r="L253" s="60" t="n"/>
      <c r="M253" s="62" t="n"/>
      <c r="N253" s="60" t="n"/>
      <c r="O253" s="61" t="n"/>
      <c r="P253" s="61" t="n"/>
      <c r="Q253" s="63" t="n"/>
      <c r="R253" s="60" t="n"/>
      <c r="S253" s="60" t="n"/>
      <c r="T253" s="64">
        <f>IF(A253="","",IFERROR(INDEX('Bid-NoBid'!$T:$T,MATCH(A253,'Bid-NoBid'!$A:$A,0)),""))</f>
        <v/>
      </c>
      <c r="U253" s="59">
        <f>IF(A253="","",IFERROR(IF(OR(INDEX('Bid-NoBid'!$U:$U,MATCH(A253,'Bid-NoBid'!$A:$A,0))="",LEFT(INDEX('Bid-NoBid'!$U:$U,MATCH(A253,'Bid-NoBid'!$A:$A,0)),10)="Incomplete"),"Screen: "&amp;AC253,INDEX('Bid-NoBid'!$U:$U,MATCH(A253,'Bid-NoBid'!$A:$A,0))),"Screen: "&amp;AC253))</f>
        <v/>
      </c>
      <c r="V253" s="60" t="n"/>
      <c r="W253" s="60" t="n"/>
      <c r="X253" s="60" t="n"/>
      <c r="Y253" s="60" t="n"/>
      <c r="Z253" s="60" t="n"/>
      <c r="AA253" s="65" t="n"/>
      <c r="AB253" s="66" t="n"/>
      <c r="AC253" s="66" t="n"/>
      <c r="AD253" s="66" t="n"/>
      <c r="AE253" s="67">
        <f>IF(ISNUMBER(Q253),ROUNDDOWN(Q253-NOW(),1),"")</f>
        <v/>
      </c>
      <c r="AF253" s="59">
        <f>IF(OR(A253="",AE253=""),"",IF(NOT(OR(W253="Watching",W253="Preparing")),"",IF(AE253&lt;0,"PASSED",IF(AND(AE253&lt;=7,W253&lt;&gt;"Preparing"),"RED",IF(AE253&lt;=14,"AMBER","GREEN")))))</f>
        <v/>
      </c>
      <c r="AG253" s="59">
        <f>IF(OR(A253="",NOT(OR(W253="Watching",W253="Preparing"))),"",IF(AND(ISNUMBER(M253),M253&gt;=3000000000),"YES – ≥ TZS 3bn",IF(AND(ISNUMBER(AE253),AE253&gt;=0,AE253&lt;10,V253=""),"YES – &lt;10 days","")))</f>
        <v/>
      </c>
      <c r="AH253" s="68" t="n"/>
      <c r="AI253" s="66" t="n"/>
      <c r="AJ253" s="66" t="n"/>
      <c r="AK253" s="66" t="n"/>
      <c r="AL253" s="59">
        <f>IF(AND(OR(W253="Watching",W253="Preparing"),ISNUMBER(Q253)),IF(AND(Q253&gt;='Friday Summary'!$C$4,Q253&lt;='Friday Summary'!$C$4+14),Q253+ROW()/1000000,""),"")</f>
        <v/>
      </c>
    </row>
    <row r="254" ht="15" customHeight="1" s="51">
      <c r="A254" s="59">
        <f>IF(B254="","","OP-"&amp;TEXT(ROW()-4,"000"))</f>
        <v/>
      </c>
      <c r="B254" s="60" t="n"/>
      <c r="C254" s="61" t="n"/>
      <c r="D254" s="60" t="n"/>
      <c r="E254" s="60" t="n"/>
      <c r="F254" s="60" t="n"/>
      <c r="G254" s="60" t="n"/>
      <c r="H254" s="60" t="n"/>
      <c r="I254" s="60" t="n"/>
      <c r="J254" s="60" t="n"/>
      <c r="K254" s="60" t="n"/>
      <c r="L254" s="60" t="n"/>
      <c r="M254" s="62" t="n"/>
      <c r="N254" s="60" t="n"/>
      <c r="O254" s="61" t="n"/>
      <c r="P254" s="61" t="n"/>
      <c r="Q254" s="63" t="n"/>
      <c r="R254" s="60" t="n"/>
      <c r="S254" s="60" t="n"/>
      <c r="T254" s="64">
        <f>IF(A254="","",IFERROR(INDEX('Bid-NoBid'!$T:$T,MATCH(A254,'Bid-NoBid'!$A:$A,0)),""))</f>
        <v/>
      </c>
      <c r="U254" s="59">
        <f>IF(A254="","",IFERROR(IF(OR(INDEX('Bid-NoBid'!$U:$U,MATCH(A254,'Bid-NoBid'!$A:$A,0))="",LEFT(INDEX('Bid-NoBid'!$U:$U,MATCH(A254,'Bid-NoBid'!$A:$A,0)),10)="Incomplete"),"Screen: "&amp;AC254,INDEX('Bid-NoBid'!$U:$U,MATCH(A254,'Bid-NoBid'!$A:$A,0))),"Screen: "&amp;AC254))</f>
        <v/>
      </c>
      <c r="V254" s="60" t="n"/>
      <c r="W254" s="60" t="n"/>
      <c r="X254" s="60" t="n"/>
      <c r="Y254" s="60" t="n"/>
      <c r="Z254" s="60" t="n"/>
      <c r="AA254" s="65" t="n"/>
      <c r="AB254" s="66" t="n"/>
      <c r="AC254" s="66" t="n"/>
      <c r="AD254" s="66" t="n"/>
      <c r="AE254" s="67">
        <f>IF(ISNUMBER(Q254),ROUNDDOWN(Q254-NOW(),1),"")</f>
        <v/>
      </c>
      <c r="AF254" s="59">
        <f>IF(OR(A254="",AE254=""),"",IF(NOT(OR(W254="Watching",W254="Preparing")),"",IF(AE254&lt;0,"PASSED",IF(AND(AE254&lt;=7,W254&lt;&gt;"Preparing"),"RED",IF(AE254&lt;=14,"AMBER","GREEN")))))</f>
        <v/>
      </c>
      <c r="AG254" s="59">
        <f>IF(OR(A254="",NOT(OR(W254="Watching",W254="Preparing"))),"",IF(AND(ISNUMBER(M254),M254&gt;=3000000000),"YES – ≥ TZS 3bn",IF(AND(ISNUMBER(AE254),AE254&gt;=0,AE254&lt;10,V254=""),"YES – &lt;10 days","")))</f>
        <v/>
      </c>
      <c r="AH254" s="68" t="n"/>
      <c r="AI254" s="66" t="n"/>
      <c r="AJ254" s="66" t="n"/>
      <c r="AK254" s="66" t="n"/>
      <c r="AL254" s="59">
        <f>IF(AND(OR(W254="Watching",W254="Preparing"),ISNUMBER(Q254)),IF(AND(Q254&gt;='Friday Summary'!$C$4,Q254&lt;='Friday Summary'!$C$4+14),Q254+ROW()/1000000,""),"")</f>
        <v/>
      </c>
    </row>
    <row r="255" ht="15" customHeight="1" s="51">
      <c r="A255" s="59">
        <f>IF(B255="","","OP-"&amp;TEXT(ROW()-4,"000"))</f>
        <v/>
      </c>
      <c r="B255" s="60" t="n"/>
      <c r="C255" s="61" t="n"/>
      <c r="D255" s="60" t="n"/>
      <c r="E255" s="60" t="n"/>
      <c r="F255" s="60" t="n"/>
      <c r="G255" s="60" t="n"/>
      <c r="H255" s="60" t="n"/>
      <c r="I255" s="60" t="n"/>
      <c r="J255" s="60" t="n"/>
      <c r="K255" s="60" t="n"/>
      <c r="L255" s="60" t="n"/>
      <c r="M255" s="62" t="n"/>
      <c r="N255" s="60" t="n"/>
      <c r="O255" s="61" t="n"/>
      <c r="P255" s="61" t="n"/>
      <c r="Q255" s="63" t="n"/>
      <c r="R255" s="60" t="n"/>
      <c r="S255" s="60" t="n"/>
      <c r="T255" s="64">
        <f>IF(A255="","",IFERROR(INDEX('Bid-NoBid'!$T:$T,MATCH(A255,'Bid-NoBid'!$A:$A,0)),""))</f>
        <v/>
      </c>
      <c r="U255" s="59">
        <f>IF(A255="","",IFERROR(IF(OR(INDEX('Bid-NoBid'!$U:$U,MATCH(A255,'Bid-NoBid'!$A:$A,0))="",LEFT(INDEX('Bid-NoBid'!$U:$U,MATCH(A255,'Bid-NoBid'!$A:$A,0)),10)="Incomplete"),"Screen: "&amp;AC255,INDEX('Bid-NoBid'!$U:$U,MATCH(A255,'Bid-NoBid'!$A:$A,0))),"Screen: "&amp;AC255))</f>
        <v/>
      </c>
      <c r="V255" s="60" t="n"/>
      <c r="W255" s="60" t="n"/>
      <c r="X255" s="60" t="n"/>
      <c r="Y255" s="60" t="n"/>
      <c r="Z255" s="60" t="n"/>
      <c r="AA255" s="65" t="n"/>
      <c r="AB255" s="66" t="n"/>
      <c r="AC255" s="66" t="n"/>
      <c r="AD255" s="66" t="n"/>
      <c r="AE255" s="67">
        <f>IF(ISNUMBER(Q255),ROUNDDOWN(Q255-NOW(),1),"")</f>
        <v/>
      </c>
      <c r="AF255" s="59">
        <f>IF(OR(A255="",AE255=""),"",IF(NOT(OR(W255="Watching",W255="Preparing")),"",IF(AE255&lt;0,"PASSED",IF(AND(AE255&lt;=7,W255&lt;&gt;"Preparing"),"RED",IF(AE255&lt;=14,"AMBER","GREEN")))))</f>
        <v/>
      </c>
      <c r="AG255" s="59">
        <f>IF(OR(A255="",NOT(OR(W255="Watching",W255="Preparing"))),"",IF(AND(ISNUMBER(M255),M255&gt;=3000000000),"YES – ≥ TZS 3bn",IF(AND(ISNUMBER(AE255),AE255&gt;=0,AE255&lt;10,V255=""),"YES – &lt;10 days","")))</f>
        <v/>
      </c>
      <c r="AH255" s="68" t="n"/>
      <c r="AI255" s="66" t="n"/>
      <c r="AJ255" s="66" t="n"/>
      <c r="AK255" s="66" t="n"/>
      <c r="AL255" s="59">
        <f>IF(AND(OR(W255="Watching",W255="Preparing"),ISNUMBER(Q255)),IF(AND(Q255&gt;='Friday Summary'!$C$4,Q255&lt;='Friday Summary'!$C$4+14),Q255+ROW()/1000000,""),"")</f>
        <v/>
      </c>
    </row>
    <row r="256" ht="15" customHeight="1" s="51">
      <c r="A256" s="59">
        <f>IF(B256="","","OP-"&amp;TEXT(ROW()-4,"000"))</f>
        <v/>
      </c>
      <c r="B256" s="60" t="n"/>
      <c r="C256" s="61" t="n"/>
      <c r="D256" s="60" t="n"/>
      <c r="E256" s="60" t="n"/>
      <c r="F256" s="60" t="n"/>
      <c r="G256" s="60" t="n"/>
      <c r="H256" s="60" t="n"/>
      <c r="I256" s="60" t="n"/>
      <c r="J256" s="60" t="n"/>
      <c r="K256" s="60" t="n"/>
      <c r="L256" s="60" t="n"/>
      <c r="M256" s="62" t="n"/>
      <c r="N256" s="60" t="n"/>
      <c r="O256" s="61" t="n"/>
      <c r="P256" s="61" t="n"/>
      <c r="Q256" s="63" t="n"/>
      <c r="R256" s="60" t="n"/>
      <c r="S256" s="60" t="n"/>
      <c r="T256" s="64">
        <f>IF(A256="","",IFERROR(INDEX('Bid-NoBid'!$T:$T,MATCH(A256,'Bid-NoBid'!$A:$A,0)),""))</f>
        <v/>
      </c>
      <c r="U256" s="59">
        <f>IF(A256="","",IFERROR(IF(OR(INDEX('Bid-NoBid'!$U:$U,MATCH(A256,'Bid-NoBid'!$A:$A,0))="",LEFT(INDEX('Bid-NoBid'!$U:$U,MATCH(A256,'Bid-NoBid'!$A:$A,0)),10)="Incomplete"),"Screen: "&amp;AC256,INDEX('Bid-NoBid'!$U:$U,MATCH(A256,'Bid-NoBid'!$A:$A,0))),"Screen: "&amp;AC256))</f>
        <v/>
      </c>
      <c r="V256" s="60" t="n"/>
      <c r="W256" s="60" t="n"/>
      <c r="X256" s="60" t="n"/>
      <c r="Y256" s="60" t="n"/>
      <c r="Z256" s="60" t="n"/>
      <c r="AA256" s="65" t="n"/>
      <c r="AB256" s="66" t="n"/>
      <c r="AC256" s="66" t="n"/>
      <c r="AD256" s="66" t="n"/>
      <c r="AE256" s="67">
        <f>IF(ISNUMBER(Q256),ROUNDDOWN(Q256-NOW(),1),"")</f>
        <v/>
      </c>
      <c r="AF256" s="59">
        <f>IF(OR(A256="",AE256=""),"",IF(NOT(OR(W256="Watching",W256="Preparing")),"",IF(AE256&lt;0,"PASSED",IF(AND(AE256&lt;=7,W256&lt;&gt;"Preparing"),"RED",IF(AE256&lt;=14,"AMBER","GREEN")))))</f>
        <v/>
      </c>
      <c r="AG256" s="59">
        <f>IF(OR(A256="",NOT(OR(W256="Watching",W256="Preparing"))),"",IF(AND(ISNUMBER(M256),M256&gt;=3000000000),"YES – ≥ TZS 3bn",IF(AND(ISNUMBER(AE256),AE256&gt;=0,AE256&lt;10,V256=""),"YES – &lt;10 days","")))</f>
        <v/>
      </c>
      <c r="AH256" s="68" t="n"/>
      <c r="AI256" s="66" t="n"/>
      <c r="AJ256" s="66" t="n"/>
      <c r="AK256" s="66" t="n"/>
      <c r="AL256" s="59">
        <f>IF(AND(OR(W256="Watching",W256="Preparing"),ISNUMBER(Q256)),IF(AND(Q256&gt;='Friday Summary'!$C$4,Q256&lt;='Friday Summary'!$C$4+14),Q256+ROW()/1000000,""),"")</f>
        <v/>
      </c>
    </row>
    <row r="257" ht="15" customHeight="1" s="51">
      <c r="A257" s="59">
        <f>IF(B257="","","OP-"&amp;TEXT(ROW()-4,"000"))</f>
        <v/>
      </c>
      <c r="B257" s="60" t="n"/>
      <c r="C257" s="61" t="n"/>
      <c r="D257" s="60" t="n"/>
      <c r="E257" s="60" t="n"/>
      <c r="F257" s="60" t="n"/>
      <c r="G257" s="60" t="n"/>
      <c r="H257" s="60" t="n"/>
      <c r="I257" s="60" t="n"/>
      <c r="J257" s="60" t="n"/>
      <c r="K257" s="60" t="n"/>
      <c r="L257" s="60" t="n"/>
      <c r="M257" s="62" t="n"/>
      <c r="N257" s="60" t="n"/>
      <c r="O257" s="61" t="n"/>
      <c r="P257" s="61" t="n"/>
      <c r="Q257" s="63" t="n"/>
      <c r="R257" s="60" t="n"/>
      <c r="S257" s="60" t="n"/>
      <c r="T257" s="64">
        <f>IF(A257="","",IFERROR(INDEX('Bid-NoBid'!$T:$T,MATCH(A257,'Bid-NoBid'!$A:$A,0)),""))</f>
        <v/>
      </c>
      <c r="U257" s="59">
        <f>IF(A257="","",IFERROR(IF(OR(INDEX('Bid-NoBid'!$U:$U,MATCH(A257,'Bid-NoBid'!$A:$A,0))="",LEFT(INDEX('Bid-NoBid'!$U:$U,MATCH(A257,'Bid-NoBid'!$A:$A,0)),10)="Incomplete"),"Screen: "&amp;AC257,INDEX('Bid-NoBid'!$U:$U,MATCH(A257,'Bid-NoBid'!$A:$A,0))),"Screen: "&amp;AC257))</f>
        <v/>
      </c>
      <c r="V257" s="60" t="n"/>
      <c r="W257" s="60" t="n"/>
      <c r="X257" s="60" t="n"/>
      <c r="Y257" s="60" t="n"/>
      <c r="Z257" s="60" t="n"/>
      <c r="AA257" s="65" t="n"/>
      <c r="AB257" s="66" t="n"/>
      <c r="AC257" s="66" t="n"/>
      <c r="AD257" s="66" t="n"/>
      <c r="AE257" s="67">
        <f>IF(ISNUMBER(Q257),ROUNDDOWN(Q257-NOW(),1),"")</f>
        <v/>
      </c>
      <c r="AF257" s="59">
        <f>IF(OR(A257="",AE257=""),"",IF(NOT(OR(W257="Watching",W257="Preparing")),"",IF(AE257&lt;0,"PASSED",IF(AND(AE257&lt;=7,W257&lt;&gt;"Preparing"),"RED",IF(AE257&lt;=14,"AMBER","GREEN")))))</f>
        <v/>
      </c>
      <c r="AG257" s="59">
        <f>IF(OR(A257="",NOT(OR(W257="Watching",W257="Preparing"))),"",IF(AND(ISNUMBER(M257),M257&gt;=3000000000),"YES – ≥ TZS 3bn",IF(AND(ISNUMBER(AE257),AE257&gt;=0,AE257&lt;10,V257=""),"YES – &lt;10 days","")))</f>
        <v/>
      </c>
      <c r="AH257" s="68" t="n"/>
      <c r="AI257" s="66" t="n"/>
      <c r="AJ257" s="66" t="n"/>
      <c r="AK257" s="66" t="n"/>
      <c r="AL257" s="59">
        <f>IF(AND(OR(W257="Watching",W257="Preparing"),ISNUMBER(Q257)),IF(AND(Q257&gt;='Friday Summary'!$C$4,Q257&lt;='Friday Summary'!$C$4+14),Q257+ROW()/1000000,""),"")</f>
        <v/>
      </c>
    </row>
    <row r="258" ht="15" customHeight="1" s="51">
      <c r="A258" s="59">
        <f>IF(B258="","","OP-"&amp;TEXT(ROW()-4,"000"))</f>
        <v/>
      </c>
      <c r="B258" s="60" t="n"/>
      <c r="C258" s="61" t="n"/>
      <c r="D258" s="60" t="n"/>
      <c r="E258" s="60" t="n"/>
      <c r="F258" s="60" t="n"/>
      <c r="G258" s="60" t="n"/>
      <c r="H258" s="60" t="n"/>
      <c r="I258" s="60" t="n"/>
      <c r="J258" s="60" t="n"/>
      <c r="K258" s="60" t="n"/>
      <c r="L258" s="60" t="n"/>
      <c r="M258" s="62" t="n"/>
      <c r="N258" s="60" t="n"/>
      <c r="O258" s="61" t="n"/>
      <c r="P258" s="61" t="n"/>
      <c r="Q258" s="63" t="n"/>
      <c r="R258" s="60" t="n"/>
      <c r="S258" s="60" t="n"/>
      <c r="T258" s="64">
        <f>IF(A258="","",IFERROR(INDEX('Bid-NoBid'!$T:$T,MATCH(A258,'Bid-NoBid'!$A:$A,0)),""))</f>
        <v/>
      </c>
      <c r="U258" s="59">
        <f>IF(A258="","",IFERROR(IF(OR(INDEX('Bid-NoBid'!$U:$U,MATCH(A258,'Bid-NoBid'!$A:$A,0))="",LEFT(INDEX('Bid-NoBid'!$U:$U,MATCH(A258,'Bid-NoBid'!$A:$A,0)),10)="Incomplete"),"Screen: "&amp;AC258,INDEX('Bid-NoBid'!$U:$U,MATCH(A258,'Bid-NoBid'!$A:$A,0))),"Screen: "&amp;AC258))</f>
        <v/>
      </c>
      <c r="V258" s="60" t="n"/>
      <c r="W258" s="60" t="n"/>
      <c r="X258" s="60" t="n"/>
      <c r="Y258" s="60" t="n"/>
      <c r="Z258" s="60" t="n"/>
      <c r="AA258" s="65" t="n"/>
      <c r="AB258" s="66" t="n"/>
      <c r="AC258" s="66" t="n"/>
      <c r="AD258" s="66" t="n"/>
      <c r="AE258" s="67">
        <f>IF(ISNUMBER(Q258),ROUNDDOWN(Q258-NOW(),1),"")</f>
        <v/>
      </c>
      <c r="AF258" s="59">
        <f>IF(OR(A258="",AE258=""),"",IF(NOT(OR(W258="Watching",W258="Preparing")),"",IF(AE258&lt;0,"PASSED",IF(AND(AE258&lt;=7,W258&lt;&gt;"Preparing"),"RED",IF(AE258&lt;=14,"AMBER","GREEN")))))</f>
        <v/>
      </c>
      <c r="AG258" s="59">
        <f>IF(OR(A258="",NOT(OR(W258="Watching",W258="Preparing"))),"",IF(AND(ISNUMBER(M258),M258&gt;=3000000000),"YES – ≥ TZS 3bn",IF(AND(ISNUMBER(AE258),AE258&gt;=0,AE258&lt;10,V258=""),"YES – &lt;10 days","")))</f>
        <v/>
      </c>
      <c r="AH258" s="68" t="n"/>
      <c r="AI258" s="66" t="n"/>
      <c r="AJ258" s="66" t="n"/>
      <c r="AK258" s="66" t="n"/>
      <c r="AL258" s="59">
        <f>IF(AND(OR(W258="Watching",W258="Preparing"),ISNUMBER(Q258)),IF(AND(Q258&gt;='Friday Summary'!$C$4,Q258&lt;='Friday Summary'!$C$4+14),Q258+ROW()/1000000,""),"")</f>
        <v/>
      </c>
    </row>
    <row r="259" ht="15" customHeight="1" s="51">
      <c r="A259" s="59">
        <f>IF(B259="","","OP-"&amp;TEXT(ROW()-4,"000"))</f>
        <v/>
      </c>
      <c r="B259" s="60" t="n"/>
      <c r="C259" s="61" t="n"/>
      <c r="D259" s="60" t="n"/>
      <c r="E259" s="60" t="n"/>
      <c r="F259" s="60" t="n"/>
      <c r="G259" s="60" t="n"/>
      <c r="H259" s="60" t="n"/>
      <c r="I259" s="60" t="n"/>
      <c r="J259" s="60" t="n"/>
      <c r="K259" s="60" t="n"/>
      <c r="L259" s="60" t="n"/>
      <c r="M259" s="62" t="n"/>
      <c r="N259" s="60" t="n"/>
      <c r="O259" s="61" t="n"/>
      <c r="P259" s="61" t="n"/>
      <c r="Q259" s="63" t="n"/>
      <c r="R259" s="60" t="n"/>
      <c r="S259" s="60" t="n"/>
      <c r="T259" s="64">
        <f>IF(A259="","",IFERROR(INDEX('Bid-NoBid'!$T:$T,MATCH(A259,'Bid-NoBid'!$A:$A,0)),""))</f>
        <v/>
      </c>
      <c r="U259" s="59">
        <f>IF(A259="","",IFERROR(IF(OR(INDEX('Bid-NoBid'!$U:$U,MATCH(A259,'Bid-NoBid'!$A:$A,0))="",LEFT(INDEX('Bid-NoBid'!$U:$U,MATCH(A259,'Bid-NoBid'!$A:$A,0)),10)="Incomplete"),"Screen: "&amp;AC259,INDEX('Bid-NoBid'!$U:$U,MATCH(A259,'Bid-NoBid'!$A:$A,0))),"Screen: "&amp;AC259))</f>
        <v/>
      </c>
      <c r="V259" s="60" t="n"/>
      <c r="W259" s="60" t="n"/>
      <c r="X259" s="60" t="n"/>
      <c r="Y259" s="60" t="n"/>
      <c r="Z259" s="60" t="n"/>
      <c r="AA259" s="65" t="n"/>
      <c r="AB259" s="66" t="n"/>
      <c r="AC259" s="66" t="n"/>
      <c r="AD259" s="66" t="n"/>
      <c r="AE259" s="67">
        <f>IF(ISNUMBER(Q259),ROUNDDOWN(Q259-NOW(),1),"")</f>
        <v/>
      </c>
      <c r="AF259" s="59">
        <f>IF(OR(A259="",AE259=""),"",IF(NOT(OR(W259="Watching",W259="Preparing")),"",IF(AE259&lt;0,"PASSED",IF(AND(AE259&lt;=7,W259&lt;&gt;"Preparing"),"RED",IF(AE259&lt;=14,"AMBER","GREEN")))))</f>
        <v/>
      </c>
      <c r="AG259" s="59">
        <f>IF(OR(A259="",NOT(OR(W259="Watching",W259="Preparing"))),"",IF(AND(ISNUMBER(M259),M259&gt;=3000000000),"YES – ≥ TZS 3bn",IF(AND(ISNUMBER(AE259),AE259&gt;=0,AE259&lt;10,V259=""),"YES – &lt;10 days","")))</f>
        <v/>
      </c>
      <c r="AH259" s="68" t="n"/>
      <c r="AI259" s="66" t="n"/>
      <c r="AJ259" s="66" t="n"/>
      <c r="AK259" s="66" t="n"/>
      <c r="AL259" s="59">
        <f>IF(AND(OR(W259="Watching",W259="Preparing"),ISNUMBER(Q259)),IF(AND(Q259&gt;='Friday Summary'!$C$4,Q259&lt;='Friday Summary'!$C$4+14),Q259+ROW()/1000000,""),"")</f>
        <v/>
      </c>
    </row>
    <row r="260" ht="15" customHeight="1" s="51">
      <c r="A260" s="59">
        <f>IF(B260="","","OP-"&amp;TEXT(ROW()-4,"000"))</f>
        <v/>
      </c>
      <c r="B260" s="60" t="n"/>
      <c r="C260" s="61" t="n"/>
      <c r="D260" s="60" t="n"/>
      <c r="E260" s="60" t="n"/>
      <c r="F260" s="60" t="n"/>
      <c r="G260" s="60" t="n"/>
      <c r="H260" s="60" t="n"/>
      <c r="I260" s="60" t="n"/>
      <c r="J260" s="60" t="n"/>
      <c r="K260" s="60" t="n"/>
      <c r="L260" s="60" t="n"/>
      <c r="M260" s="62" t="n"/>
      <c r="N260" s="60" t="n"/>
      <c r="O260" s="61" t="n"/>
      <c r="P260" s="61" t="n"/>
      <c r="Q260" s="63" t="n"/>
      <c r="R260" s="60" t="n"/>
      <c r="S260" s="60" t="n"/>
      <c r="T260" s="64">
        <f>IF(A260="","",IFERROR(INDEX('Bid-NoBid'!$T:$T,MATCH(A260,'Bid-NoBid'!$A:$A,0)),""))</f>
        <v/>
      </c>
      <c r="U260" s="59">
        <f>IF(A260="","",IFERROR(IF(OR(INDEX('Bid-NoBid'!$U:$U,MATCH(A260,'Bid-NoBid'!$A:$A,0))="",LEFT(INDEX('Bid-NoBid'!$U:$U,MATCH(A260,'Bid-NoBid'!$A:$A,0)),10)="Incomplete"),"Screen: "&amp;AC260,INDEX('Bid-NoBid'!$U:$U,MATCH(A260,'Bid-NoBid'!$A:$A,0))),"Screen: "&amp;AC260))</f>
        <v/>
      </c>
      <c r="V260" s="60" t="n"/>
      <c r="W260" s="60" t="n"/>
      <c r="X260" s="60" t="n"/>
      <c r="Y260" s="60" t="n"/>
      <c r="Z260" s="60" t="n"/>
      <c r="AA260" s="65" t="n"/>
      <c r="AB260" s="66" t="n"/>
      <c r="AC260" s="66" t="n"/>
      <c r="AD260" s="66" t="n"/>
      <c r="AE260" s="67">
        <f>IF(ISNUMBER(Q260),ROUNDDOWN(Q260-NOW(),1),"")</f>
        <v/>
      </c>
      <c r="AF260" s="59">
        <f>IF(OR(A260="",AE260=""),"",IF(NOT(OR(W260="Watching",W260="Preparing")),"",IF(AE260&lt;0,"PASSED",IF(AND(AE260&lt;=7,W260&lt;&gt;"Preparing"),"RED",IF(AE260&lt;=14,"AMBER","GREEN")))))</f>
        <v/>
      </c>
      <c r="AG260" s="59">
        <f>IF(OR(A260="",NOT(OR(W260="Watching",W260="Preparing"))),"",IF(AND(ISNUMBER(M260),M260&gt;=3000000000),"YES – ≥ TZS 3bn",IF(AND(ISNUMBER(AE260),AE260&gt;=0,AE260&lt;10,V260=""),"YES – &lt;10 days","")))</f>
        <v/>
      </c>
      <c r="AH260" s="68" t="n"/>
      <c r="AI260" s="66" t="n"/>
      <c r="AJ260" s="66" t="n"/>
      <c r="AK260" s="66" t="n"/>
      <c r="AL260" s="59">
        <f>IF(AND(OR(W260="Watching",W260="Preparing"),ISNUMBER(Q260)),IF(AND(Q260&gt;='Friday Summary'!$C$4,Q260&lt;='Friday Summary'!$C$4+14),Q260+ROW()/1000000,""),"")</f>
        <v/>
      </c>
    </row>
    <row r="261" ht="15" customHeight="1" s="51">
      <c r="A261" s="59">
        <f>IF(B261="","","OP-"&amp;TEXT(ROW()-4,"000"))</f>
        <v/>
      </c>
      <c r="B261" s="60" t="n"/>
      <c r="C261" s="61" t="n"/>
      <c r="D261" s="60" t="n"/>
      <c r="E261" s="60" t="n"/>
      <c r="F261" s="60" t="n"/>
      <c r="G261" s="60" t="n"/>
      <c r="H261" s="60" t="n"/>
      <c r="I261" s="60" t="n"/>
      <c r="J261" s="60" t="n"/>
      <c r="K261" s="60" t="n"/>
      <c r="L261" s="60" t="n"/>
      <c r="M261" s="62" t="n"/>
      <c r="N261" s="60" t="n"/>
      <c r="O261" s="61" t="n"/>
      <c r="P261" s="61" t="n"/>
      <c r="Q261" s="63" t="n"/>
      <c r="R261" s="60" t="n"/>
      <c r="S261" s="60" t="n"/>
      <c r="T261" s="64">
        <f>IF(A261="","",IFERROR(INDEX('Bid-NoBid'!$T:$T,MATCH(A261,'Bid-NoBid'!$A:$A,0)),""))</f>
        <v/>
      </c>
      <c r="U261" s="59">
        <f>IF(A261="","",IFERROR(IF(OR(INDEX('Bid-NoBid'!$U:$U,MATCH(A261,'Bid-NoBid'!$A:$A,0))="",LEFT(INDEX('Bid-NoBid'!$U:$U,MATCH(A261,'Bid-NoBid'!$A:$A,0)),10)="Incomplete"),"Screen: "&amp;AC261,INDEX('Bid-NoBid'!$U:$U,MATCH(A261,'Bid-NoBid'!$A:$A,0))),"Screen: "&amp;AC261))</f>
        <v/>
      </c>
      <c r="V261" s="60" t="n"/>
      <c r="W261" s="60" t="n"/>
      <c r="X261" s="60" t="n"/>
      <c r="Y261" s="60" t="n"/>
      <c r="Z261" s="60" t="n"/>
      <c r="AA261" s="65" t="n"/>
      <c r="AB261" s="66" t="n"/>
      <c r="AC261" s="66" t="n"/>
      <c r="AD261" s="66" t="n"/>
      <c r="AE261" s="67">
        <f>IF(ISNUMBER(Q261),ROUNDDOWN(Q261-NOW(),1),"")</f>
        <v/>
      </c>
      <c r="AF261" s="59">
        <f>IF(OR(A261="",AE261=""),"",IF(NOT(OR(W261="Watching",W261="Preparing")),"",IF(AE261&lt;0,"PASSED",IF(AND(AE261&lt;=7,W261&lt;&gt;"Preparing"),"RED",IF(AE261&lt;=14,"AMBER","GREEN")))))</f>
        <v/>
      </c>
      <c r="AG261" s="59">
        <f>IF(OR(A261="",NOT(OR(W261="Watching",W261="Preparing"))),"",IF(AND(ISNUMBER(M261),M261&gt;=3000000000),"YES – ≥ TZS 3bn",IF(AND(ISNUMBER(AE261),AE261&gt;=0,AE261&lt;10,V261=""),"YES – &lt;10 days","")))</f>
        <v/>
      </c>
      <c r="AH261" s="68" t="n"/>
      <c r="AI261" s="66" t="n"/>
      <c r="AJ261" s="66" t="n"/>
      <c r="AK261" s="66" t="n"/>
      <c r="AL261" s="59">
        <f>IF(AND(OR(W261="Watching",W261="Preparing"),ISNUMBER(Q261)),IF(AND(Q261&gt;='Friday Summary'!$C$4,Q261&lt;='Friday Summary'!$C$4+14),Q261+ROW()/1000000,""),"")</f>
        <v/>
      </c>
    </row>
    <row r="262" ht="15" customHeight="1" s="51">
      <c r="A262" s="59">
        <f>IF(B262="","","OP-"&amp;TEXT(ROW()-4,"000"))</f>
        <v/>
      </c>
      <c r="B262" s="60" t="n"/>
      <c r="C262" s="61" t="n"/>
      <c r="D262" s="60" t="n"/>
      <c r="E262" s="60" t="n"/>
      <c r="F262" s="60" t="n"/>
      <c r="G262" s="60" t="n"/>
      <c r="H262" s="60" t="n"/>
      <c r="I262" s="60" t="n"/>
      <c r="J262" s="60" t="n"/>
      <c r="K262" s="60" t="n"/>
      <c r="L262" s="60" t="n"/>
      <c r="M262" s="62" t="n"/>
      <c r="N262" s="60" t="n"/>
      <c r="O262" s="61" t="n"/>
      <c r="P262" s="61" t="n"/>
      <c r="Q262" s="63" t="n"/>
      <c r="R262" s="60" t="n"/>
      <c r="S262" s="60" t="n"/>
      <c r="T262" s="64">
        <f>IF(A262="","",IFERROR(INDEX('Bid-NoBid'!$T:$T,MATCH(A262,'Bid-NoBid'!$A:$A,0)),""))</f>
        <v/>
      </c>
      <c r="U262" s="59">
        <f>IF(A262="","",IFERROR(IF(OR(INDEX('Bid-NoBid'!$U:$U,MATCH(A262,'Bid-NoBid'!$A:$A,0))="",LEFT(INDEX('Bid-NoBid'!$U:$U,MATCH(A262,'Bid-NoBid'!$A:$A,0)),10)="Incomplete"),"Screen: "&amp;AC262,INDEX('Bid-NoBid'!$U:$U,MATCH(A262,'Bid-NoBid'!$A:$A,0))),"Screen: "&amp;AC262))</f>
        <v/>
      </c>
      <c r="V262" s="60" t="n"/>
      <c r="W262" s="60" t="n"/>
      <c r="X262" s="60" t="n"/>
      <c r="Y262" s="60" t="n"/>
      <c r="Z262" s="60" t="n"/>
      <c r="AA262" s="65" t="n"/>
      <c r="AB262" s="66" t="n"/>
      <c r="AC262" s="66" t="n"/>
      <c r="AD262" s="66" t="n"/>
      <c r="AE262" s="67">
        <f>IF(ISNUMBER(Q262),ROUNDDOWN(Q262-NOW(),1),"")</f>
        <v/>
      </c>
      <c r="AF262" s="59">
        <f>IF(OR(A262="",AE262=""),"",IF(NOT(OR(W262="Watching",W262="Preparing")),"",IF(AE262&lt;0,"PASSED",IF(AND(AE262&lt;=7,W262&lt;&gt;"Preparing"),"RED",IF(AE262&lt;=14,"AMBER","GREEN")))))</f>
        <v/>
      </c>
      <c r="AG262" s="59">
        <f>IF(OR(A262="",NOT(OR(W262="Watching",W262="Preparing"))),"",IF(AND(ISNUMBER(M262),M262&gt;=3000000000),"YES – ≥ TZS 3bn",IF(AND(ISNUMBER(AE262),AE262&gt;=0,AE262&lt;10,V262=""),"YES – &lt;10 days","")))</f>
        <v/>
      </c>
      <c r="AH262" s="68" t="n"/>
      <c r="AI262" s="66" t="n"/>
      <c r="AJ262" s="66" t="n"/>
      <c r="AK262" s="66" t="n"/>
      <c r="AL262" s="59">
        <f>IF(AND(OR(W262="Watching",W262="Preparing"),ISNUMBER(Q262)),IF(AND(Q262&gt;='Friday Summary'!$C$4,Q262&lt;='Friday Summary'!$C$4+14),Q262+ROW()/1000000,""),"")</f>
        <v/>
      </c>
    </row>
    <row r="263" ht="15" customHeight="1" s="51">
      <c r="A263" s="59">
        <f>IF(B263="","","OP-"&amp;TEXT(ROW()-4,"000"))</f>
        <v/>
      </c>
      <c r="B263" s="60" t="n"/>
      <c r="C263" s="61" t="n"/>
      <c r="D263" s="60" t="n"/>
      <c r="E263" s="60" t="n"/>
      <c r="F263" s="60" t="n"/>
      <c r="G263" s="60" t="n"/>
      <c r="H263" s="60" t="n"/>
      <c r="I263" s="60" t="n"/>
      <c r="J263" s="60" t="n"/>
      <c r="K263" s="60" t="n"/>
      <c r="L263" s="60" t="n"/>
      <c r="M263" s="62" t="n"/>
      <c r="N263" s="60" t="n"/>
      <c r="O263" s="61" t="n"/>
      <c r="P263" s="61" t="n"/>
      <c r="Q263" s="63" t="n"/>
      <c r="R263" s="60" t="n"/>
      <c r="S263" s="60" t="n"/>
      <c r="T263" s="64">
        <f>IF(A263="","",IFERROR(INDEX('Bid-NoBid'!$T:$T,MATCH(A263,'Bid-NoBid'!$A:$A,0)),""))</f>
        <v/>
      </c>
      <c r="U263" s="59">
        <f>IF(A263="","",IFERROR(IF(OR(INDEX('Bid-NoBid'!$U:$U,MATCH(A263,'Bid-NoBid'!$A:$A,0))="",LEFT(INDEX('Bid-NoBid'!$U:$U,MATCH(A263,'Bid-NoBid'!$A:$A,0)),10)="Incomplete"),"Screen: "&amp;AC263,INDEX('Bid-NoBid'!$U:$U,MATCH(A263,'Bid-NoBid'!$A:$A,0))),"Screen: "&amp;AC263))</f>
        <v/>
      </c>
      <c r="V263" s="60" t="n"/>
      <c r="W263" s="60" t="n"/>
      <c r="X263" s="60" t="n"/>
      <c r="Y263" s="60" t="n"/>
      <c r="Z263" s="60" t="n"/>
      <c r="AA263" s="65" t="n"/>
      <c r="AB263" s="66" t="n"/>
      <c r="AC263" s="66" t="n"/>
      <c r="AD263" s="66" t="n"/>
      <c r="AE263" s="67">
        <f>IF(ISNUMBER(Q263),ROUNDDOWN(Q263-NOW(),1),"")</f>
        <v/>
      </c>
      <c r="AF263" s="59">
        <f>IF(OR(A263="",AE263=""),"",IF(NOT(OR(W263="Watching",W263="Preparing")),"",IF(AE263&lt;0,"PASSED",IF(AND(AE263&lt;=7,W263&lt;&gt;"Preparing"),"RED",IF(AE263&lt;=14,"AMBER","GREEN")))))</f>
        <v/>
      </c>
      <c r="AG263" s="59">
        <f>IF(OR(A263="",NOT(OR(W263="Watching",W263="Preparing"))),"",IF(AND(ISNUMBER(M263),M263&gt;=3000000000),"YES – ≥ TZS 3bn",IF(AND(ISNUMBER(AE263),AE263&gt;=0,AE263&lt;10,V263=""),"YES – &lt;10 days","")))</f>
        <v/>
      </c>
      <c r="AH263" s="68" t="n"/>
      <c r="AI263" s="66" t="n"/>
      <c r="AJ263" s="66" t="n"/>
      <c r="AK263" s="66" t="n"/>
      <c r="AL263" s="59">
        <f>IF(AND(OR(W263="Watching",W263="Preparing"),ISNUMBER(Q263)),IF(AND(Q263&gt;='Friday Summary'!$C$4,Q263&lt;='Friday Summary'!$C$4+14),Q263+ROW()/1000000,""),"")</f>
        <v/>
      </c>
    </row>
    <row r="264" ht="15" customHeight="1" s="51">
      <c r="A264" s="59">
        <f>IF(B264="","","OP-"&amp;TEXT(ROW()-4,"000"))</f>
        <v/>
      </c>
      <c r="B264" s="60" t="n"/>
      <c r="C264" s="61" t="n"/>
      <c r="D264" s="60" t="n"/>
      <c r="E264" s="60" t="n"/>
      <c r="F264" s="60" t="n"/>
      <c r="G264" s="60" t="n"/>
      <c r="H264" s="60" t="n"/>
      <c r="I264" s="60" t="n"/>
      <c r="J264" s="60" t="n"/>
      <c r="K264" s="60" t="n"/>
      <c r="L264" s="60" t="n"/>
      <c r="M264" s="62" t="n"/>
      <c r="N264" s="60" t="n"/>
      <c r="O264" s="61" t="n"/>
      <c r="P264" s="61" t="n"/>
      <c r="Q264" s="63" t="n"/>
      <c r="R264" s="60" t="n"/>
      <c r="S264" s="60" t="n"/>
      <c r="T264" s="64">
        <f>IF(A264="","",IFERROR(INDEX('Bid-NoBid'!$T:$T,MATCH(A264,'Bid-NoBid'!$A:$A,0)),""))</f>
        <v/>
      </c>
      <c r="U264" s="59">
        <f>IF(A264="","",IFERROR(IF(OR(INDEX('Bid-NoBid'!$U:$U,MATCH(A264,'Bid-NoBid'!$A:$A,0))="",LEFT(INDEX('Bid-NoBid'!$U:$U,MATCH(A264,'Bid-NoBid'!$A:$A,0)),10)="Incomplete"),"Screen: "&amp;AC264,INDEX('Bid-NoBid'!$U:$U,MATCH(A264,'Bid-NoBid'!$A:$A,0))),"Screen: "&amp;AC264))</f>
        <v/>
      </c>
      <c r="V264" s="60" t="n"/>
      <c r="W264" s="60" t="n"/>
      <c r="X264" s="60" t="n"/>
      <c r="Y264" s="60" t="n"/>
      <c r="Z264" s="60" t="n"/>
      <c r="AA264" s="65" t="n"/>
      <c r="AB264" s="66" t="n"/>
      <c r="AC264" s="66" t="n"/>
      <c r="AD264" s="66" t="n"/>
      <c r="AE264" s="67">
        <f>IF(ISNUMBER(Q264),ROUNDDOWN(Q264-NOW(),1),"")</f>
        <v/>
      </c>
      <c r="AF264" s="59">
        <f>IF(OR(A264="",AE264=""),"",IF(NOT(OR(W264="Watching",W264="Preparing")),"",IF(AE264&lt;0,"PASSED",IF(AND(AE264&lt;=7,W264&lt;&gt;"Preparing"),"RED",IF(AE264&lt;=14,"AMBER","GREEN")))))</f>
        <v/>
      </c>
      <c r="AG264" s="59">
        <f>IF(OR(A264="",NOT(OR(W264="Watching",W264="Preparing"))),"",IF(AND(ISNUMBER(M264),M264&gt;=3000000000),"YES – ≥ TZS 3bn",IF(AND(ISNUMBER(AE264),AE264&gt;=0,AE264&lt;10,V264=""),"YES – &lt;10 days","")))</f>
        <v/>
      </c>
      <c r="AH264" s="68" t="n"/>
      <c r="AI264" s="66" t="n"/>
      <c r="AJ264" s="66" t="n"/>
      <c r="AK264" s="66" t="n"/>
      <c r="AL264" s="59">
        <f>IF(AND(OR(W264="Watching",W264="Preparing"),ISNUMBER(Q264)),IF(AND(Q264&gt;='Friday Summary'!$C$4,Q264&lt;='Friday Summary'!$C$4+14),Q264+ROW()/1000000,""),"")</f>
        <v/>
      </c>
    </row>
    <row r="265" ht="15" customHeight="1" s="51">
      <c r="A265" s="59">
        <f>IF(B265="","","OP-"&amp;TEXT(ROW()-4,"000"))</f>
        <v/>
      </c>
      <c r="B265" s="60" t="n"/>
      <c r="C265" s="61" t="n"/>
      <c r="D265" s="60" t="n"/>
      <c r="E265" s="60" t="n"/>
      <c r="F265" s="60" t="n"/>
      <c r="G265" s="60" t="n"/>
      <c r="H265" s="60" t="n"/>
      <c r="I265" s="60" t="n"/>
      <c r="J265" s="60" t="n"/>
      <c r="K265" s="60" t="n"/>
      <c r="L265" s="60" t="n"/>
      <c r="M265" s="62" t="n"/>
      <c r="N265" s="60" t="n"/>
      <c r="O265" s="61" t="n"/>
      <c r="P265" s="61" t="n"/>
      <c r="Q265" s="63" t="n"/>
      <c r="R265" s="60" t="n"/>
      <c r="S265" s="60" t="n"/>
      <c r="T265" s="64">
        <f>IF(A265="","",IFERROR(INDEX('Bid-NoBid'!$T:$T,MATCH(A265,'Bid-NoBid'!$A:$A,0)),""))</f>
        <v/>
      </c>
      <c r="U265" s="59">
        <f>IF(A265="","",IFERROR(IF(OR(INDEX('Bid-NoBid'!$U:$U,MATCH(A265,'Bid-NoBid'!$A:$A,0))="",LEFT(INDEX('Bid-NoBid'!$U:$U,MATCH(A265,'Bid-NoBid'!$A:$A,0)),10)="Incomplete"),"Screen: "&amp;AC265,INDEX('Bid-NoBid'!$U:$U,MATCH(A265,'Bid-NoBid'!$A:$A,0))),"Screen: "&amp;AC265))</f>
        <v/>
      </c>
      <c r="V265" s="60" t="n"/>
      <c r="W265" s="60" t="n"/>
      <c r="X265" s="60" t="n"/>
      <c r="Y265" s="60" t="n"/>
      <c r="Z265" s="60" t="n"/>
      <c r="AA265" s="65" t="n"/>
      <c r="AB265" s="66" t="n"/>
      <c r="AC265" s="66" t="n"/>
      <c r="AD265" s="66" t="n"/>
      <c r="AE265" s="67">
        <f>IF(ISNUMBER(Q265),ROUNDDOWN(Q265-NOW(),1),"")</f>
        <v/>
      </c>
      <c r="AF265" s="59">
        <f>IF(OR(A265="",AE265=""),"",IF(NOT(OR(W265="Watching",W265="Preparing")),"",IF(AE265&lt;0,"PASSED",IF(AND(AE265&lt;=7,W265&lt;&gt;"Preparing"),"RED",IF(AE265&lt;=14,"AMBER","GREEN")))))</f>
        <v/>
      </c>
      <c r="AG265" s="59">
        <f>IF(OR(A265="",NOT(OR(W265="Watching",W265="Preparing"))),"",IF(AND(ISNUMBER(M265),M265&gt;=3000000000),"YES – ≥ TZS 3bn",IF(AND(ISNUMBER(AE265),AE265&gt;=0,AE265&lt;10,V265=""),"YES – &lt;10 days","")))</f>
        <v/>
      </c>
      <c r="AH265" s="68" t="n"/>
      <c r="AI265" s="66" t="n"/>
      <c r="AJ265" s="66" t="n"/>
      <c r="AK265" s="66" t="n"/>
      <c r="AL265" s="59">
        <f>IF(AND(OR(W265="Watching",W265="Preparing"),ISNUMBER(Q265)),IF(AND(Q265&gt;='Friday Summary'!$C$4,Q265&lt;='Friday Summary'!$C$4+14),Q265+ROW()/1000000,""),"")</f>
        <v/>
      </c>
    </row>
    <row r="266" ht="15" customHeight="1" s="51">
      <c r="A266" s="59">
        <f>IF(B266="","","OP-"&amp;TEXT(ROW()-4,"000"))</f>
        <v/>
      </c>
      <c r="B266" s="60" t="n"/>
      <c r="C266" s="61" t="n"/>
      <c r="D266" s="60" t="n"/>
      <c r="E266" s="60" t="n"/>
      <c r="F266" s="60" t="n"/>
      <c r="G266" s="60" t="n"/>
      <c r="H266" s="60" t="n"/>
      <c r="I266" s="60" t="n"/>
      <c r="J266" s="60" t="n"/>
      <c r="K266" s="60" t="n"/>
      <c r="L266" s="60" t="n"/>
      <c r="M266" s="62" t="n"/>
      <c r="N266" s="60" t="n"/>
      <c r="O266" s="61" t="n"/>
      <c r="P266" s="61" t="n"/>
      <c r="Q266" s="63" t="n"/>
      <c r="R266" s="60" t="n"/>
      <c r="S266" s="60" t="n"/>
      <c r="T266" s="64">
        <f>IF(A266="","",IFERROR(INDEX('Bid-NoBid'!$T:$T,MATCH(A266,'Bid-NoBid'!$A:$A,0)),""))</f>
        <v/>
      </c>
      <c r="U266" s="59">
        <f>IF(A266="","",IFERROR(IF(OR(INDEX('Bid-NoBid'!$U:$U,MATCH(A266,'Bid-NoBid'!$A:$A,0))="",LEFT(INDEX('Bid-NoBid'!$U:$U,MATCH(A266,'Bid-NoBid'!$A:$A,0)),10)="Incomplete"),"Screen: "&amp;AC266,INDEX('Bid-NoBid'!$U:$U,MATCH(A266,'Bid-NoBid'!$A:$A,0))),"Screen: "&amp;AC266))</f>
        <v/>
      </c>
      <c r="V266" s="60" t="n"/>
      <c r="W266" s="60" t="n"/>
      <c r="X266" s="60" t="n"/>
      <c r="Y266" s="60" t="n"/>
      <c r="Z266" s="60" t="n"/>
      <c r="AA266" s="65" t="n"/>
      <c r="AB266" s="66" t="n"/>
      <c r="AC266" s="66" t="n"/>
      <c r="AD266" s="66" t="n"/>
      <c r="AE266" s="67">
        <f>IF(ISNUMBER(Q266),ROUNDDOWN(Q266-NOW(),1),"")</f>
        <v/>
      </c>
      <c r="AF266" s="59">
        <f>IF(OR(A266="",AE266=""),"",IF(NOT(OR(W266="Watching",W266="Preparing")),"",IF(AE266&lt;0,"PASSED",IF(AND(AE266&lt;=7,W266&lt;&gt;"Preparing"),"RED",IF(AE266&lt;=14,"AMBER","GREEN")))))</f>
        <v/>
      </c>
      <c r="AG266" s="59">
        <f>IF(OR(A266="",NOT(OR(W266="Watching",W266="Preparing"))),"",IF(AND(ISNUMBER(M266),M266&gt;=3000000000),"YES – ≥ TZS 3bn",IF(AND(ISNUMBER(AE266),AE266&gt;=0,AE266&lt;10,V266=""),"YES – &lt;10 days","")))</f>
        <v/>
      </c>
      <c r="AH266" s="68" t="n"/>
      <c r="AI266" s="66" t="n"/>
      <c r="AJ266" s="66" t="n"/>
      <c r="AK266" s="66" t="n"/>
      <c r="AL266" s="59">
        <f>IF(AND(OR(W266="Watching",W266="Preparing"),ISNUMBER(Q266)),IF(AND(Q266&gt;='Friday Summary'!$C$4,Q266&lt;='Friday Summary'!$C$4+14),Q266+ROW()/1000000,""),"")</f>
        <v/>
      </c>
    </row>
    <row r="267" ht="15" customHeight="1" s="51">
      <c r="A267" s="59">
        <f>IF(B267="","","OP-"&amp;TEXT(ROW()-4,"000"))</f>
        <v/>
      </c>
      <c r="B267" s="60" t="n"/>
      <c r="C267" s="61" t="n"/>
      <c r="D267" s="60" t="n"/>
      <c r="E267" s="60" t="n"/>
      <c r="F267" s="60" t="n"/>
      <c r="G267" s="60" t="n"/>
      <c r="H267" s="60" t="n"/>
      <c r="I267" s="60" t="n"/>
      <c r="J267" s="60" t="n"/>
      <c r="K267" s="60" t="n"/>
      <c r="L267" s="60" t="n"/>
      <c r="M267" s="62" t="n"/>
      <c r="N267" s="60" t="n"/>
      <c r="O267" s="61" t="n"/>
      <c r="P267" s="61" t="n"/>
      <c r="Q267" s="63" t="n"/>
      <c r="R267" s="60" t="n"/>
      <c r="S267" s="60" t="n"/>
      <c r="T267" s="64">
        <f>IF(A267="","",IFERROR(INDEX('Bid-NoBid'!$T:$T,MATCH(A267,'Bid-NoBid'!$A:$A,0)),""))</f>
        <v/>
      </c>
      <c r="U267" s="59">
        <f>IF(A267="","",IFERROR(IF(OR(INDEX('Bid-NoBid'!$U:$U,MATCH(A267,'Bid-NoBid'!$A:$A,0))="",LEFT(INDEX('Bid-NoBid'!$U:$U,MATCH(A267,'Bid-NoBid'!$A:$A,0)),10)="Incomplete"),"Screen: "&amp;AC267,INDEX('Bid-NoBid'!$U:$U,MATCH(A267,'Bid-NoBid'!$A:$A,0))),"Screen: "&amp;AC267))</f>
        <v/>
      </c>
      <c r="V267" s="60" t="n"/>
      <c r="W267" s="60" t="n"/>
      <c r="X267" s="60" t="n"/>
      <c r="Y267" s="60" t="n"/>
      <c r="Z267" s="60" t="n"/>
      <c r="AA267" s="65" t="n"/>
      <c r="AB267" s="66" t="n"/>
      <c r="AC267" s="66" t="n"/>
      <c r="AD267" s="66" t="n"/>
      <c r="AE267" s="67">
        <f>IF(ISNUMBER(Q267),ROUNDDOWN(Q267-NOW(),1),"")</f>
        <v/>
      </c>
      <c r="AF267" s="59">
        <f>IF(OR(A267="",AE267=""),"",IF(NOT(OR(W267="Watching",W267="Preparing")),"",IF(AE267&lt;0,"PASSED",IF(AND(AE267&lt;=7,W267&lt;&gt;"Preparing"),"RED",IF(AE267&lt;=14,"AMBER","GREEN")))))</f>
        <v/>
      </c>
      <c r="AG267" s="59">
        <f>IF(OR(A267="",NOT(OR(W267="Watching",W267="Preparing"))),"",IF(AND(ISNUMBER(M267),M267&gt;=3000000000),"YES – ≥ TZS 3bn",IF(AND(ISNUMBER(AE267),AE267&gt;=0,AE267&lt;10,V267=""),"YES – &lt;10 days","")))</f>
        <v/>
      </c>
      <c r="AH267" s="68" t="n"/>
      <c r="AI267" s="66" t="n"/>
      <c r="AJ267" s="66" t="n"/>
      <c r="AK267" s="66" t="n"/>
      <c r="AL267" s="59">
        <f>IF(AND(OR(W267="Watching",W267="Preparing"),ISNUMBER(Q267)),IF(AND(Q267&gt;='Friday Summary'!$C$4,Q267&lt;='Friday Summary'!$C$4+14),Q267+ROW()/1000000,""),"")</f>
        <v/>
      </c>
    </row>
    <row r="268" ht="15" customHeight="1" s="51">
      <c r="A268" s="59">
        <f>IF(B268="","","OP-"&amp;TEXT(ROW()-4,"000"))</f>
        <v/>
      </c>
      <c r="B268" s="60" t="n"/>
      <c r="C268" s="61" t="n"/>
      <c r="D268" s="60" t="n"/>
      <c r="E268" s="60" t="n"/>
      <c r="F268" s="60" t="n"/>
      <c r="G268" s="60" t="n"/>
      <c r="H268" s="60" t="n"/>
      <c r="I268" s="60" t="n"/>
      <c r="J268" s="60" t="n"/>
      <c r="K268" s="60" t="n"/>
      <c r="L268" s="60" t="n"/>
      <c r="M268" s="62" t="n"/>
      <c r="N268" s="60" t="n"/>
      <c r="O268" s="61" t="n"/>
      <c r="P268" s="61" t="n"/>
      <c r="Q268" s="63" t="n"/>
      <c r="R268" s="60" t="n"/>
      <c r="S268" s="60" t="n"/>
      <c r="T268" s="64">
        <f>IF(A268="","",IFERROR(INDEX('Bid-NoBid'!$T:$T,MATCH(A268,'Bid-NoBid'!$A:$A,0)),""))</f>
        <v/>
      </c>
      <c r="U268" s="59">
        <f>IF(A268="","",IFERROR(IF(OR(INDEX('Bid-NoBid'!$U:$U,MATCH(A268,'Bid-NoBid'!$A:$A,0))="",LEFT(INDEX('Bid-NoBid'!$U:$U,MATCH(A268,'Bid-NoBid'!$A:$A,0)),10)="Incomplete"),"Screen: "&amp;AC268,INDEX('Bid-NoBid'!$U:$U,MATCH(A268,'Bid-NoBid'!$A:$A,0))),"Screen: "&amp;AC268))</f>
        <v/>
      </c>
      <c r="V268" s="60" t="n"/>
      <c r="W268" s="60" t="n"/>
      <c r="X268" s="60" t="n"/>
      <c r="Y268" s="60" t="n"/>
      <c r="Z268" s="60" t="n"/>
      <c r="AA268" s="65" t="n"/>
      <c r="AB268" s="66" t="n"/>
      <c r="AC268" s="66" t="n"/>
      <c r="AD268" s="66" t="n"/>
      <c r="AE268" s="67">
        <f>IF(ISNUMBER(Q268),ROUNDDOWN(Q268-NOW(),1),"")</f>
        <v/>
      </c>
      <c r="AF268" s="59">
        <f>IF(OR(A268="",AE268=""),"",IF(NOT(OR(W268="Watching",W268="Preparing")),"",IF(AE268&lt;0,"PASSED",IF(AND(AE268&lt;=7,W268&lt;&gt;"Preparing"),"RED",IF(AE268&lt;=14,"AMBER","GREEN")))))</f>
        <v/>
      </c>
      <c r="AG268" s="59">
        <f>IF(OR(A268="",NOT(OR(W268="Watching",W268="Preparing"))),"",IF(AND(ISNUMBER(M268),M268&gt;=3000000000),"YES – ≥ TZS 3bn",IF(AND(ISNUMBER(AE268),AE268&gt;=0,AE268&lt;10,V268=""),"YES – &lt;10 days","")))</f>
        <v/>
      </c>
      <c r="AH268" s="68" t="n"/>
      <c r="AI268" s="66" t="n"/>
      <c r="AJ268" s="66" t="n"/>
      <c r="AK268" s="66" t="n"/>
      <c r="AL268" s="59">
        <f>IF(AND(OR(W268="Watching",W268="Preparing"),ISNUMBER(Q268)),IF(AND(Q268&gt;='Friday Summary'!$C$4,Q268&lt;='Friday Summary'!$C$4+14),Q268+ROW()/1000000,""),"")</f>
        <v/>
      </c>
    </row>
    <row r="269" ht="15" customHeight="1" s="51">
      <c r="A269" s="59">
        <f>IF(B269="","","OP-"&amp;TEXT(ROW()-4,"000"))</f>
        <v/>
      </c>
      <c r="B269" s="60" t="n"/>
      <c r="C269" s="61" t="n"/>
      <c r="D269" s="60" t="n"/>
      <c r="E269" s="60" t="n"/>
      <c r="F269" s="60" t="n"/>
      <c r="G269" s="60" t="n"/>
      <c r="H269" s="60" t="n"/>
      <c r="I269" s="60" t="n"/>
      <c r="J269" s="60" t="n"/>
      <c r="K269" s="60" t="n"/>
      <c r="L269" s="60" t="n"/>
      <c r="M269" s="62" t="n"/>
      <c r="N269" s="60" t="n"/>
      <c r="O269" s="61" t="n"/>
      <c r="P269" s="61" t="n"/>
      <c r="Q269" s="63" t="n"/>
      <c r="R269" s="60" t="n"/>
      <c r="S269" s="60" t="n"/>
      <c r="T269" s="64">
        <f>IF(A269="","",IFERROR(INDEX('Bid-NoBid'!$T:$T,MATCH(A269,'Bid-NoBid'!$A:$A,0)),""))</f>
        <v/>
      </c>
      <c r="U269" s="59">
        <f>IF(A269="","",IFERROR(IF(OR(INDEX('Bid-NoBid'!$U:$U,MATCH(A269,'Bid-NoBid'!$A:$A,0))="",LEFT(INDEX('Bid-NoBid'!$U:$U,MATCH(A269,'Bid-NoBid'!$A:$A,0)),10)="Incomplete"),"Screen: "&amp;AC269,INDEX('Bid-NoBid'!$U:$U,MATCH(A269,'Bid-NoBid'!$A:$A,0))),"Screen: "&amp;AC269))</f>
        <v/>
      </c>
      <c r="V269" s="60" t="n"/>
      <c r="W269" s="60" t="n"/>
      <c r="X269" s="60" t="n"/>
      <c r="Y269" s="60" t="n"/>
      <c r="Z269" s="60" t="n"/>
      <c r="AA269" s="65" t="n"/>
      <c r="AB269" s="66" t="n"/>
      <c r="AC269" s="66" t="n"/>
      <c r="AD269" s="66" t="n"/>
      <c r="AE269" s="67">
        <f>IF(ISNUMBER(Q269),ROUNDDOWN(Q269-NOW(),1),"")</f>
        <v/>
      </c>
      <c r="AF269" s="59">
        <f>IF(OR(A269="",AE269=""),"",IF(NOT(OR(W269="Watching",W269="Preparing")),"",IF(AE269&lt;0,"PASSED",IF(AND(AE269&lt;=7,W269&lt;&gt;"Preparing"),"RED",IF(AE269&lt;=14,"AMBER","GREEN")))))</f>
        <v/>
      </c>
      <c r="AG269" s="59">
        <f>IF(OR(A269="",NOT(OR(W269="Watching",W269="Preparing"))),"",IF(AND(ISNUMBER(M269),M269&gt;=3000000000),"YES – ≥ TZS 3bn",IF(AND(ISNUMBER(AE269),AE269&gt;=0,AE269&lt;10,V269=""),"YES – &lt;10 days","")))</f>
        <v/>
      </c>
      <c r="AH269" s="68" t="n"/>
      <c r="AI269" s="66" t="n"/>
      <c r="AJ269" s="66" t="n"/>
      <c r="AK269" s="66" t="n"/>
      <c r="AL269" s="59">
        <f>IF(AND(OR(W269="Watching",W269="Preparing"),ISNUMBER(Q269)),IF(AND(Q269&gt;='Friday Summary'!$C$4,Q269&lt;='Friday Summary'!$C$4+14),Q269+ROW()/1000000,""),"")</f>
        <v/>
      </c>
    </row>
    <row r="270" ht="15" customHeight="1" s="51">
      <c r="A270" s="59">
        <f>IF(B270="","","OP-"&amp;TEXT(ROW()-4,"000"))</f>
        <v/>
      </c>
      <c r="B270" s="60" t="n"/>
      <c r="C270" s="61" t="n"/>
      <c r="D270" s="60" t="n"/>
      <c r="E270" s="60" t="n"/>
      <c r="F270" s="60" t="n"/>
      <c r="G270" s="60" t="n"/>
      <c r="H270" s="60" t="n"/>
      <c r="I270" s="60" t="n"/>
      <c r="J270" s="60" t="n"/>
      <c r="K270" s="60" t="n"/>
      <c r="L270" s="60" t="n"/>
      <c r="M270" s="62" t="n"/>
      <c r="N270" s="60" t="n"/>
      <c r="O270" s="61" t="n"/>
      <c r="P270" s="61" t="n"/>
      <c r="Q270" s="63" t="n"/>
      <c r="R270" s="60" t="n"/>
      <c r="S270" s="60" t="n"/>
      <c r="T270" s="64">
        <f>IF(A270="","",IFERROR(INDEX('Bid-NoBid'!$T:$T,MATCH(A270,'Bid-NoBid'!$A:$A,0)),""))</f>
        <v/>
      </c>
      <c r="U270" s="59">
        <f>IF(A270="","",IFERROR(IF(OR(INDEX('Bid-NoBid'!$U:$U,MATCH(A270,'Bid-NoBid'!$A:$A,0))="",LEFT(INDEX('Bid-NoBid'!$U:$U,MATCH(A270,'Bid-NoBid'!$A:$A,0)),10)="Incomplete"),"Screen: "&amp;AC270,INDEX('Bid-NoBid'!$U:$U,MATCH(A270,'Bid-NoBid'!$A:$A,0))),"Screen: "&amp;AC270))</f>
        <v/>
      </c>
      <c r="V270" s="60" t="n"/>
      <c r="W270" s="60" t="n"/>
      <c r="X270" s="60" t="n"/>
      <c r="Y270" s="60" t="n"/>
      <c r="Z270" s="60" t="n"/>
      <c r="AA270" s="65" t="n"/>
      <c r="AB270" s="66" t="n"/>
      <c r="AC270" s="66" t="n"/>
      <c r="AD270" s="66" t="n"/>
      <c r="AE270" s="67">
        <f>IF(ISNUMBER(Q270),ROUNDDOWN(Q270-NOW(),1),"")</f>
        <v/>
      </c>
      <c r="AF270" s="59">
        <f>IF(OR(A270="",AE270=""),"",IF(NOT(OR(W270="Watching",W270="Preparing")),"",IF(AE270&lt;0,"PASSED",IF(AND(AE270&lt;=7,W270&lt;&gt;"Preparing"),"RED",IF(AE270&lt;=14,"AMBER","GREEN")))))</f>
        <v/>
      </c>
      <c r="AG270" s="59">
        <f>IF(OR(A270="",NOT(OR(W270="Watching",W270="Preparing"))),"",IF(AND(ISNUMBER(M270),M270&gt;=3000000000),"YES – ≥ TZS 3bn",IF(AND(ISNUMBER(AE270),AE270&gt;=0,AE270&lt;10,V270=""),"YES – &lt;10 days","")))</f>
        <v/>
      </c>
      <c r="AH270" s="68" t="n"/>
      <c r="AI270" s="66" t="n"/>
      <c r="AJ270" s="66" t="n"/>
      <c r="AK270" s="66" t="n"/>
      <c r="AL270" s="59">
        <f>IF(AND(OR(W270="Watching",W270="Preparing"),ISNUMBER(Q270)),IF(AND(Q270&gt;='Friday Summary'!$C$4,Q270&lt;='Friday Summary'!$C$4+14),Q270+ROW()/1000000,""),"")</f>
        <v/>
      </c>
    </row>
    <row r="271" ht="15" customHeight="1" s="51">
      <c r="A271" s="59">
        <f>IF(B271="","","OP-"&amp;TEXT(ROW()-4,"000"))</f>
        <v/>
      </c>
      <c r="B271" s="60" t="n"/>
      <c r="C271" s="61" t="n"/>
      <c r="D271" s="60" t="n"/>
      <c r="E271" s="60" t="n"/>
      <c r="F271" s="60" t="n"/>
      <c r="G271" s="60" t="n"/>
      <c r="H271" s="60" t="n"/>
      <c r="I271" s="60" t="n"/>
      <c r="J271" s="60" t="n"/>
      <c r="K271" s="60" t="n"/>
      <c r="L271" s="60" t="n"/>
      <c r="M271" s="62" t="n"/>
      <c r="N271" s="60" t="n"/>
      <c r="O271" s="61" t="n"/>
      <c r="P271" s="61" t="n"/>
      <c r="Q271" s="63" t="n"/>
      <c r="R271" s="60" t="n"/>
      <c r="S271" s="60" t="n"/>
      <c r="T271" s="64">
        <f>IF(A271="","",IFERROR(INDEX('Bid-NoBid'!$T:$T,MATCH(A271,'Bid-NoBid'!$A:$A,0)),""))</f>
        <v/>
      </c>
      <c r="U271" s="59">
        <f>IF(A271="","",IFERROR(IF(OR(INDEX('Bid-NoBid'!$U:$U,MATCH(A271,'Bid-NoBid'!$A:$A,0))="",LEFT(INDEX('Bid-NoBid'!$U:$U,MATCH(A271,'Bid-NoBid'!$A:$A,0)),10)="Incomplete"),"Screen: "&amp;AC271,INDEX('Bid-NoBid'!$U:$U,MATCH(A271,'Bid-NoBid'!$A:$A,0))),"Screen: "&amp;AC271))</f>
        <v/>
      </c>
      <c r="V271" s="60" t="n"/>
      <c r="W271" s="60" t="n"/>
      <c r="X271" s="60" t="n"/>
      <c r="Y271" s="60" t="n"/>
      <c r="Z271" s="60" t="n"/>
      <c r="AA271" s="65" t="n"/>
      <c r="AB271" s="66" t="n"/>
      <c r="AC271" s="66" t="n"/>
      <c r="AD271" s="66" t="n"/>
      <c r="AE271" s="67">
        <f>IF(ISNUMBER(Q271),ROUNDDOWN(Q271-NOW(),1),"")</f>
        <v/>
      </c>
      <c r="AF271" s="59">
        <f>IF(OR(A271="",AE271=""),"",IF(NOT(OR(W271="Watching",W271="Preparing")),"",IF(AE271&lt;0,"PASSED",IF(AND(AE271&lt;=7,W271&lt;&gt;"Preparing"),"RED",IF(AE271&lt;=14,"AMBER","GREEN")))))</f>
        <v/>
      </c>
      <c r="AG271" s="59">
        <f>IF(OR(A271="",NOT(OR(W271="Watching",W271="Preparing"))),"",IF(AND(ISNUMBER(M271),M271&gt;=3000000000),"YES – ≥ TZS 3bn",IF(AND(ISNUMBER(AE271),AE271&gt;=0,AE271&lt;10,V271=""),"YES – &lt;10 days","")))</f>
        <v/>
      </c>
      <c r="AH271" s="68" t="n"/>
      <c r="AI271" s="66" t="n"/>
      <c r="AJ271" s="66" t="n"/>
      <c r="AK271" s="66" t="n"/>
      <c r="AL271" s="59">
        <f>IF(AND(OR(W271="Watching",W271="Preparing"),ISNUMBER(Q271)),IF(AND(Q271&gt;='Friday Summary'!$C$4,Q271&lt;='Friday Summary'!$C$4+14),Q271+ROW()/1000000,""),"")</f>
        <v/>
      </c>
    </row>
    <row r="272" ht="15" customHeight="1" s="51">
      <c r="A272" s="59">
        <f>IF(B272="","","OP-"&amp;TEXT(ROW()-4,"000"))</f>
        <v/>
      </c>
      <c r="B272" s="60" t="n"/>
      <c r="C272" s="61" t="n"/>
      <c r="D272" s="60" t="n"/>
      <c r="E272" s="60" t="n"/>
      <c r="F272" s="60" t="n"/>
      <c r="G272" s="60" t="n"/>
      <c r="H272" s="60" t="n"/>
      <c r="I272" s="60" t="n"/>
      <c r="J272" s="60" t="n"/>
      <c r="K272" s="60" t="n"/>
      <c r="L272" s="60" t="n"/>
      <c r="M272" s="62" t="n"/>
      <c r="N272" s="60" t="n"/>
      <c r="O272" s="61" t="n"/>
      <c r="P272" s="61" t="n"/>
      <c r="Q272" s="63" t="n"/>
      <c r="R272" s="60" t="n"/>
      <c r="S272" s="60" t="n"/>
      <c r="T272" s="64">
        <f>IF(A272="","",IFERROR(INDEX('Bid-NoBid'!$T:$T,MATCH(A272,'Bid-NoBid'!$A:$A,0)),""))</f>
        <v/>
      </c>
      <c r="U272" s="59">
        <f>IF(A272="","",IFERROR(IF(OR(INDEX('Bid-NoBid'!$U:$U,MATCH(A272,'Bid-NoBid'!$A:$A,0))="",LEFT(INDEX('Bid-NoBid'!$U:$U,MATCH(A272,'Bid-NoBid'!$A:$A,0)),10)="Incomplete"),"Screen: "&amp;AC272,INDEX('Bid-NoBid'!$U:$U,MATCH(A272,'Bid-NoBid'!$A:$A,0))),"Screen: "&amp;AC272))</f>
        <v/>
      </c>
      <c r="V272" s="60" t="n"/>
      <c r="W272" s="60" t="n"/>
      <c r="X272" s="60" t="n"/>
      <c r="Y272" s="60" t="n"/>
      <c r="Z272" s="60" t="n"/>
      <c r="AA272" s="65" t="n"/>
      <c r="AB272" s="66" t="n"/>
      <c r="AC272" s="66" t="n"/>
      <c r="AD272" s="66" t="n"/>
      <c r="AE272" s="67">
        <f>IF(ISNUMBER(Q272),ROUNDDOWN(Q272-NOW(),1),"")</f>
        <v/>
      </c>
      <c r="AF272" s="59">
        <f>IF(OR(A272="",AE272=""),"",IF(NOT(OR(W272="Watching",W272="Preparing")),"",IF(AE272&lt;0,"PASSED",IF(AND(AE272&lt;=7,W272&lt;&gt;"Preparing"),"RED",IF(AE272&lt;=14,"AMBER","GREEN")))))</f>
        <v/>
      </c>
      <c r="AG272" s="59">
        <f>IF(OR(A272="",NOT(OR(W272="Watching",W272="Preparing"))),"",IF(AND(ISNUMBER(M272),M272&gt;=3000000000),"YES – ≥ TZS 3bn",IF(AND(ISNUMBER(AE272),AE272&gt;=0,AE272&lt;10,V272=""),"YES – &lt;10 days","")))</f>
        <v/>
      </c>
      <c r="AH272" s="68" t="n"/>
      <c r="AI272" s="66" t="n"/>
      <c r="AJ272" s="66" t="n"/>
      <c r="AK272" s="66" t="n"/>
      <c r="AL272" s="59">
        <f>IF(AND(OR(W272="Watching",W272="Preparing"),ISNUMBER(Q272)),IF(AND(Q272&gt;='Friday Summary'!$C$4,Q272&lt;='Friday Summary'!$C$4+14),Q272+ROW()/1000000,""),"")</f>
        <v/>
      </c>
    </row>
    <row r="273" ht="15" customHeight="1" s="51">
      <c r="A273" s="59">
        <f>IF(B273="","","OP-"&amp;TEXT(ROW()-4,"000"))</f>
        <v/>
      </c>
      <c r="B273" s="60" t="n"/>
      <c r="C273" s="61" t="n"/>
      <c r="D273" s="60" t="n"/>
      <c r="E273" s="60" t="n"/>
      <c r="F273" s="60" t="n"/>
      <c r="G273" s="60" t="n"/>
      <c r="H273" s="60" t="n"/>
      <c r="I273" s="60" t="n"/>
      <c r="J273" s="60" t="n"/>
      <c r="K273" s="60" t="n"/>
      <c r="L273" s="60" t="n"/>
      <c r="M273" s="62" t="n"/>
      <c r="N273" s="60" t="n"/>
      <c r="O273" s="61" t="n"/>
      <c r="P273" s="61" t="n"/>
      <c r="Q273" s="63" t="n"/>
      <c r="R273" s="60" t="n"/>
      <c r="S273" s="60" t="n"/>
      <c r="T273" s="64">
        <f>IF(A273="","",IFERROR(INDEX('Bid-NoBid'!$T:$T,MATCH(A273,'Bid-NoBid'!$A:$A,0)),""))</f>
        <v/>
      </c>
      <c r="U273" s="59">
        <f>IF(A273="","",IFERROR(IF(OR(INDEX('Bid-NoBid'!$U:$U,MATCH(A273,'Bid-NoBid'!$A:$A,0))="",LEFT(INDEX('Bid-NoBid'!$U:$U,MATCH(A273,'Bid-NoBid'!$A:$A,0)),10)="Incomplete"),"Screen: "&amp;AC273,INDEX('Bid-NoBid'!$U:$U,MATCH(A273,'Bid-NoBid'!$A:$A,0))),"Screen: "&amp;AC273))</f>
        <v/>
      </c>
      <c r="V273" s="60" t="n"/>
      <c r="W273" s="60" t="n"/>
      <c r="X273" s="60" t="n"/>
      <c r="Y273" s="60" t="n"/>
      <c r="Z273" s="60" t="n"/>
      <c r="AA273" s="65" t="n"/>
      <c r="AB273" s="66" t="n"/>
      <c r="AC273" s="66" t="n"/>
      <c r="AD273" s="66" t="n"/>
      <c r="AE273" s="67">
        <f>IF(ISNUMBER(Q273),ROUNDDOWN(Q273-NOW(),1),"")</f>
        <v/>
      </c>
      <c r="AF273" s="59">
        <f>IF(OR(A273="",AE273=""),"",IF(NOT(OR(W273="Watching",W273="Preparing")),"",IF(AE273&lt;0,"PASSED",IF(AND(AE273&lt;=7,W273&lt;&gt;"Preparing"),"RED",IF(AE273&lt;=14,"AMBER","GREEN")))))</f>
        <v/>
      </c>
      <c r="AG273" s="59">
        <f>IF(OR(A273="",NOT(OR(W273="Watching",W273="Preparing"))),"",IF(AND(ISNUMBER(M273),M273&gt;=3000000000),"YES – ≥ TZS 3bn",IF(AND(ISNUMBER(AE273),AE273&gt;=0,AE273&lt;10,V273=""),"YES – &lt;10 days","")))</f>
        <v/>
      </c>
      <c r="AH273" s="68" t="n"/>
      <c r="AI273" s="66" t="n"/>
      <c r="AJ273" s="66" t="n"/>
      <c r="AK273" s="66" t="n"/>
      <c r="AL273" s="59">
        <f>IF(AND(OR(W273="Watching",W273="Preparing"),ISNUMBER(Q273)),IF(AND(Q273&gt;='Friday Summary'!$C$4,Q273&lt;='Friday Summary'!$C$4+14),Q273+ROW()/1000000,""),"")</f>
        <v/>
      </c>
    </row>
    <row r="274" ht="15" customHeight="1" s="51">
      <c r="A274" s="59">
        <f>IF(B274="","","OP-"&amp;TEXT(ROW()-4,"000"))</f>
        <v/>
      </c>
      <c r="B274" s="60" t="n"/>
      <c r="C274" s="61" t="n"/>
      <c r="D274" s="60" t="n"/>
      <c r="E274" s="60" t="n"/>
      <c r="F274" s="60" t="n"/>
      <c r="G274" s="60" t="n"/>
      <c r="H274" s="60" t="n"/>
      <c r="I274" s="60" t="n"/>
      <c r="J274" s="60" t="n"/>
      <c r="K274" s="60" t="n"/>
      <c r="L274" s="60" t="n"/>
      <c r="M274" s="62" t="n"/>
      <c r="N274" s="60" t="n"/>
      <c r="O274" s="61" t="n"/>
      <c r="P274" s="61" t="n"/>
      <c r="Q274" s="63" t="n"/>
      <c r="R274" s="60" t="n"/>
      <c r="S274" s="60" t="n"/>
      <c r="T274" s="64">
        <f>IF(A274="","",IFERROR(INDEX('Bid-NoBid'!$T:$T,MATCH(A274,'Bid-NoBid'!$A:$A,0)),""))</f>
        <v/>
      </c>
      <c r="U274" s="59">
        <f>IF(A274="","",IFERROR(IF(OR(INDEX('Bid-NoBid'!$U:$U,MATCH(A274,'Bid-NoBid'!$A:$A,0))="",LEFT(INDEX('Bid-NoBid'!$U:$U,MATCH(A274,'Bid-NoBid'!$A:$A,0)),10)="Incomplete"),"Screen: "&amp;AC274,INDEX('Bid-NoBid'!$U:$U,MATCH(A274,'Bid-NoBid'!$A:$A,0))),"Screen: "&amp;AC274))</f>
        <v/>
      </c>
      <c r="V274" s="60" t="n"/>
      <c r="W274" s="60" t="n"/>
      <c r="X274" s="60" t="n"/>
      <c r="Y274" s="60" t="n"/>
      <c r="Z274" s="60" t="n"/>
      <c r="AA274" s="65" t="n"/>
      <c r="AB274" s="66" t="n"/>
      <c r="AC274" s="66" t="n"/>
      <c r="AD274" s="66" t="n"/>
      <c r="AE274" s="67">
        <f>IF(ISNUMBER(Q274),ROUNDDOWN(Q274-NOW(),1),"")</f>
        <v/>
      </c>
      <c r="AF274" s="59">
        <f>IF(OR(A274="",AE274=""),"",IF(NOT(OR(W274="Watching",W274="Preparing")),"",IF(AE274&lt;0,"PASSED",IF(AND(AE274&lt;=7,W274&lt;&gt;"Preparing"),"RED",IF(AE274&lt;=14,"AMBER","GREEN")))))</f>
        <v/>
      </c>
      <c r="AG274" s="59">
        <f>IF(OR(A274="",NOT(OR(W274="Watching",W274="Preparing"))),"",IF(AND(ISNUMBER(M274),M274&gt;=3000000000),"YES – ≥ TZS 3bn",IF(AND(ISNUMBER(AE274),AE274&gt;=0,AE274&lt;10,V274=""),"YES – &lt;10 days","")))</f>
        <v/>
      </c>
      <c r="AH274" s="68" t="n"/>
      <c r="AI274" s="66" t="n"/>
      <c r="AJ274" s="66" t="n"/>
      <c r="AK274" s="66" t="n"/>
      <c r="AL274" s="59">
        <f>IF(AND(OR(W274="Watching",W274="Preparing"),ISNUMBER(Q274)),IF(AND(Q274&gt;='Friday Summary'!$C$4,Q274&lt;='Friday Summary'!$C$4+14),Q274+ROW()/1000000,""),"")</f>
        <v/>
      </c>
    </row>
    <row r="275" ht="15" customHeight="1" s="51">
      <c r="A275" s="59">
        <f>IF(B275="","","OP-"&amp;TEXT(ROW()-4,"000"))</f>
        <v/>
      </c>
      <c r="B275" s="60" t="n"/>
      <c r="C275" s="61" t="n"/>
      <c r="D275" s="60" t="n"/>
      <c r="E275" s="60" t="n"/>
      <c r="F275" s="60" t="n"/>
      <c r="G275" s="60" t="n"/>
      <c r="H275" s="60" t="n"/>
      <c r="I275" s="60" t="n"/>
      <c r="J275" s="60" t="n"/>
      <c r="K275" s="60" t="n"/>
      <c r="L275" s="60" t="n"/>
      <c r="M275" s="62" t="n"/>
      <c r="N275" s="60" t="n"/>
      <c r="O275" s="61" t="n"/>
      <c r="P275" s="61" t="n"/>
      <c r="Q275" s="63" t="n"/>
      <c r="R275" s="60" t="n"/>
      <c r="S275" s="60" t="n"/>
      <c r="T275" s="64">
        <f>IF(A275="","",IFERROR(INDEX('Bid-NoBid'!$T:$T,MATCH(A275,'Bid-NoBid'!$A:$A,0)),""))</f>
        <v/>
      </c>
      <c r="U275" s="59">
        <f>IF(A275="","",IFERROR(IF(OR(INDEX('Bid-NoBid'!$U:$U,MATCH(A275,'Bid-NoBid'!$A:$A,0))="",LEFT(INDEX('Bid-NoBid'!$U:$U,MATCH(A275,'Bid-NoBid'!$A:$A,0)),10)="Incomplete"),"Screen: "&amp;AC275,INDEX('Bid-NoBid'!$U:$U,MATCH(A275,'Bid-NoBid'!$A:$A,0))),"Screen: "&amp;AC275))</f>
        <v/>
      </c>
      <c r="V275" s="60" t="n"/>
      <c r="W275" s="60" t="n"/>
      <c r="X275" s="60" t="n"/>
      <c r="Y275" s="60" t="n"/>
      <c r="Z275" s="60" t="n"/>
      <c r="AA275" s="65" t="n"/>
      <c r="AB275" s="66" t="n"/>
      <c r="AC275" s="66" t="n"/>
      <c r="AD275" s="66" t="n"/>
      <c r="AE275" s="67">
        <f>IF(ISNUMBER(Q275),ROUNDDOWN(Q275-NOW(),1),"")</f>
        <v/>
      </c>
      <c r="AF275" s="59">
        <f>IF(OR(A275="",AE275=""),"",IF(NOT(OR(W275="Watching",W275="Preparing")),"",IF(AE275&lt;0,"PASSED",IF(AND(AE275&lt;=7,W275&lt;&gt;"Preparing"),"RED",IF(AE275&lt;=14,"AMBER","GREEN")))))</f>
        <v/>
      </c>
      <c r="AG275" s="59">
        <f>IF(OR(A275="",NOT(OR(W275="Watching",W275="Preparing"))),"",IF(AND(ISNUMBER(M275),M275&gt;=3000000000),"YES – ≥ TZS 3bn",IF(AND(ISNUMBER(AE275),AE275&gt;=0,AE275&lt;10,V275=""),"YES – &lt;10 days","")))</f>
        <v/>
      </c>
      <c r="AH275" s="68" t="n"/>
      <c r="AI275" s="66" t="n"/>
      <c r="AJ275" s="66" t="n"/>
      <c r="AK275" s="66" t="n"/>
      <c r="AL275" s="59">
        <f>IF(AND(OR(W275="Watching",W275="Preparing"),ISNUMBER(Q275)),IF(AND(Q275&gt;='Friday Summary'!$C$4,Q275&lt;='Friday Summary'!$C$4+14),Q275+ROW()/1000000,""),"")</f>
        <v/>
      </c>
    </row>
    <row r="276" ht="15" customHeight="1" s="51">
      <c r="A276" s="59">
        <f>IF(B276="","","OP-"&amp;TEXT(ROW()-4,"000"))</f>
        <v/>
      </c>
      <c r="B276" s="60" t="n"/>
      <c r="C276" s="61" t="n"/>
      <c r="D276" s="60" t="n"/>
      <c r="E276" s="60" t="n"/>
      <c r="F276" s="60" t="n"/>
      <c r="G276" s="60" t="n"/>
      <c r="H276" s="60" t="n"/>
      <c r="I276" s="60" t="n"/>
      <c r="J276" s="60" t="n"/>
      <c r="K276" s="60" t="n"/>
      <c r="L276" s="60" t="n"/>
      <c r="M276" s="62" t="n"/>
      <c r="N276" s="60" t="n"/>
      <c r="O276" s="61" t="n"/>
      <c r="P276" s="61" t="n"/>
      <c r="Q276" s="63" t="n"/>
      <c r="R276" s="60" t="n"/>
      <c r="S276" s="60" t="n"/>
      <c r="T276" s="64">
        <f>IF(A276="","",IFERROR(INDEX('Bid-NoBid'!$T:$T,MATCH(A276,'Bid-NoBid'!$A:$A,0)),""))</f>
        <v/>
      </c>
      <c r="U276" s="59">
        <f>IF(A276="","",IFERROR(IF(OR(INDEX('Bid-NoBid'!$U:$U,MATCH(A276,'Bid-NoBid'!$A:$A,0))="",LEFT(INDEX('Bid-NoBid'!$U:$U,MATCH(A276,'Bid-NoBid'!$A:$A,0)),10)="Incomplete"),"Screen: "&amp;AC276,INDEX('Bid-NoBid'!$U:$U,MATCH(A276,'Bid-NoBid'!$A:$A,0))),"Screen: "&amp;AC276))</f>
        <v/>
      </c>
      <c r="V276" s="60" t="n"/>
      <c r="W276" s="60" t="n"/>
      <c r="X276" s="60" t="n"/>
      <c r="Y276" s="60" t="n"/>
      <c r="Z276" s="60" t="n"/>
      <c r="AA276" s="65" t="n"/>
      <c r="AB276" s="66" t="n"/>
      <c r="AC276" s="66" t="n"/>
      <c r="AD276" s="66" t="n"/>
      <c r="AE276" s="67">
        <f>IF(ISNUMBER(Q276),ROUNDDOWN(Q276-NOW(),1),"")</f>
        <v/>
      </c>
      <c r="AF276" s="59">
        <f>IF(OR(A276="",AE276=""),"",IF(NOT(OR(W276="Watching",W276="Preparing")),"",IF(AE276&lt;0,"PASSED",IF(AND(AE276&lt;=7,W276&lt;&gt;"Preparing"),"RED",IF(AE276&lt;=14,"AMBER","GREEN")))))</f>
        <v/>
      </c>
      <c r="AG276" s="59">
        <f>IF(OR(A276="",NOT(OR(W276="Watching",W276="Preparing"))),"",IF(AND(ISNUMBER(M276),M276&gt;=3000000000),"YES – ≥ TZS 3bn",IF(AND(ISNUMBER(AE276),AE276&gt;=0,AE276&lt;10,V276=""),"YES – &lt;10 days","")))</f>
        <v/>
      </c>
      <c r="AH276" s="68" t="n"/>
      <c r="AI276" s="66" t="n"/>
      <c r="AJ276" s="66" t="n"/>
      <c r="AK276" s="66" t="n"/>
      <c r="AL276" s="59">
        <f>IF(AND(OR(W276="Watching",W276="Preparing"),ISNUMBER(Q276)),IF(AND(Q276&gt;='Friday Summary'!$C$4,Q276&lt;='Friday Summary'!$C$4+14),Q276+ROW()/1000000,""),"")</f>
        <v/>
      </c>
    </row>
    <row r="277" ht="15" customHeight="1" s="51">
      <c r="A277" s="59">
        <f>IF(B277="","","OP-"&amp;TEXT(ROW()-4,"000"))</f>
        <v/>
      </c>
      <c r="B277" s="60" t="n"/>
      <c r="C277" s="61" t="n"/>
      <c r="D277" s="60" t="n"/>
      <c r="E277" s="60" t="n"/>
      <c r="F277" s="60" t="n"/>
      <c r="G277" s="60" t="n"/>
      <c r="H277" s="60" t="n"/>
      <c r="I277" s="60" t="n"/>
      <c r="J277" s="60" t="n"/>
      <c r="K277" s="60" t="n"/>
      <c r="L277" s="60" t="n"/>
      <c r="M277" s="62" t="n"/>
      <c r="N277" s="60" t="n"/>
      <c r="O277" s="61" t="n"/>
      <c r="P277" s="61" t="n"/>
      <c r="Q277" s="63" t="n"/>
      <c r="R277" s="60" t="n"/>
      <c r="S277" s="60" t="n"/>
      <c r="T277" s="64">
        <f>IF(A277="","",IFERROR(INDEX('Bid-NoBid'!$T:$T,MATCH(A277,'Bid-NoBid'!$A:$A,0)),""))</f>
        <v/>
      </c>
      <c r="U277" s="59">
        <f>IF(A277="","",IFERROR(IF(OR(INDEX('Bid-NoBid'!$U:$U,MATCH(A277,'Bid-NoBid'!$A:$A,0))="",LEFT(INDEX('Bid-NoBid'!$U:$U,MATCH(A277,'Bid-NoBid'!$A:$A,0)),10)="Incomplete"),"Screen: "&amp;AC277,INDEX('Bid-NoBid'!$U:$U,MATCH(A277,'Bid-NoBid'!$A:$A,0))),"Screen: "&amp;AC277))</f>
        <v/>
      </c>
      <c r="V277" s="60" t="n"/>
      <c r="W277" s="60" t="n"/>
      <c r="X277" s="60" t="n"/>
      <c r="Y277" s="60" t="n"/>
      <c r="Z277" s="60" t="n"/>
      <c r="AA277" s="65" t="n"/>
      <c r="AB277" s="66" t="n"/>
      <c r="AC277" s="66" t="n"/>
      <c r="AD277" s="66" t="n"/>
      <c r="AE277" s="67">
        <f>IF(ISNUMBER(Q277),ROUNDDOWN(Q277-NOW(),1),"")</f>
        <v/>
      </c>
      <c r="AF277" s="59">
        <f>IF(OR(A277="",AE277=""),"",IF(NOT(OR(W277="Watching",W277="Preparing")),"",IF(AE277&lt;0,"PASSED",IF(AND(AE277&lt;=7,W277&lt;&gt;"Preparing"),"RED",IF(AE277&lt;=14,"AMBER","GREEN")))))</f>
        <v/>
      </c>
      <c r="AG277" s="59">
        <f>IF(OR(A277="",NOT(OR(W277="Watching",W277="Preparing"))),"",IF(AND(ISNUMBER(M277),M277&gt;=3000000000),"YES – ≥ TZS 3bn",IF(AND(ISNUMBER(AE277),AE277&gt;=0,AE277&lt;10,V277=""),"YES – &lt;10 days","")))</f>
        <v/>
      </c>
      <c r="AH277" s="68" t="n"/>
      <c r="AI277" s="66" t="n"/>
      <c r="AJ277" s="66" t="n"/>
      <c r="AK277" s="66" t="n"/>
      <c r="AL277" s="59">
        <f>IF(AND(OR(W277="Watching",W277="Preparing"),ISNUMBER(Q277)),IF(AND(Q277&gt;='Friday Summary'!$C$4,Q277&lt;='Friday Summary'!$C$4+14),Q277+ROW()/1000000,""),"")</f>
        <v/>
      </c>
    </row>
    <row r="278" ht="15" customHeight="1" s="51">
      <c r="A278" s="59">
        <f>IF(B278="","","OP-"&amp;TEXT(ROW()-4,"000"))</f>
        <v/>
      </c>
      <c r="B278" s="60" t="n"/>
      <c r="C278" s="61" t="n"/>
      <c r="D278" s="60" t="n"/>
      <c r="E278" s="60" t="n"/>
      <c r="F278" s="60" t="n"/>
      <c r="G278" s="60" t="n"/>
      <c r="H278" s="60" t="n"/>
      <c r="I278" s="60" t="n"/>
      <c r="J278" s="60" t="n"/>
      <c r="K278" s="60" t="n"/>
      <c r="L278" s="60" t="n"/>
      <c r="M278" s="62" t="n"/>
      <c r="N278" s="60" t="n"/>
      <c r="O278" s="61" t="n"/>
      <c r="P278" s="61" t="n"/>
      <c r="Q278" s="63" t="n"/>
      <c r="R278" s="60" t="n"/>
      <c r="S278" s="60" t="n"/>
      <c r="T278" s="64">
        <f>IF(A278="","",IFERROR(INDEX('Bid-NoBid'!$T:$T,MATCH(A278,'Bid-NoBid'!$A:$A,0)),""))</f>
        <v/>
      </c>
      <c r="U278" s="59">
        <f>IF(A278="","",IFERROR(IF(OR(INDEX('Bid-NoBid'!$U:$U,MATCH(A278,'Bid-NoBid'!$A:$A,0))="",LEFT(INDEX('Bid-NoBid'!$U:$U,MATCH(A278,'Bid-NoBid'!$A:$A,0)),10)="Incomplete"),"Screen: "&amp;AC278,INDEX('Bid-NoBid'!$U:$U,MATCH(A278,'Bid-NoBid'!$A:$A,0))),"Screen: "&amp;AC278))</f>
        <v/>
      </c>
      <c r="V278" s="60" t="n"/>
      <c r="W278" s="60" t="n"/>
      <c r="X278" s="60" t="n"/>
      <c r="Y278" s="60" t="n"/>
      <c r="Z278" s="60" t="n"/>
      <c r="AA278" s="65" t="n"/>
      <c r="AB278" s="66" t="n"/>
      <c r="AC278" s="66" t="n"/>
      <c r="AD278" s="66" t="n"/>
      <c r="AE278" s="67">
        <f>IF(ISNUMBER(Q278),ROUNDDOWN(Q278-NOW(),1),"")</f>
        <v/>
      </c>
      <c r="AF278" s="59">
        <f>IF(OR(A278="",AE278=""),"",IF(NOT(OR(W278="Watching",W278="Preparing")),"",IF(AE278&lt;0,"PASSED",IF(AND(AE278&lt;=7,W278&lt;&gt;"Preparing"),"RED",IF(AE278&lt;=14,"AMBER","GREEN")))))</f>
        <v/>
      </c>
      <c r="AG278" s="59">
        <f>IF(OR(A278="",NOT(OR(W278="Watching",W278="Preparing"))),"",IF(AND(ISNUMBER(M278),M278&gt;=3000000000),"YES – ≥ TZS 3bn",IF(AND(ISNUMBER(AE278),AE278&gt;=0,AE278&lt;10,V278=""),"YES – &lt;10 days","")))</f>
        <v/>
      </c>
      <c r="AH278" s="68" t="n"/>
      <c r="AI278" s="66" t="n"/>
      <c r="AJ278" s="66" t="n"/>
      <c r="AK278" s="66" t="n"/>
      <c r="AL278" s="59">
        <f>IF(AND(OR(W278="Watching",W278="Preparing"),ISNUMBER(Q278)),IF(AND(Q278&gt;='Friday Summary'!$C$4,Q278&lt;='Friday Summary'!$C$4+14),Q278+ROW()/1000000,""),"")</f>
        <v/>
      </c>
    </row>
    <row r="279" ht="15" customHeight="1" s="51">
      <c r="A279" s="59">
        <f>IF(B279="","","OP-"&amp;TEXT(ROW()-4,"000"))</f>
        <v/>
      </c>
      <c r="B279" s="60" t="n"/>
      <c r="C279" s="61" t="n"/>
      <c r="D279" s="60" t="n"/>
      <c r="E279" s="60" t="n"/>
      <c r="F279" s="60" t="n"/>
      <c r="G279" s="60" t="n"/>
      <c r="H279" s="60" t="n"/>
      <c r="I279" s="60" t="n"/>
      <c r="J279" s="60" t="n"/>
      <c r="K279" s="60" t="n"/>
      <c r="L279" s="60" t="n"/>
      <c r="M279" s="62" t="n"/>
      <c r="N279" s="60" t="n"/>
      <c r="O279" s="61" t="n"/>
      <c r="P279" s="61" t="n"/>
      <c r="Q279" s="63" t="n"/>
      <c r="R279" s="60" t="n"/>
      <c r="S279" s="60" t="n"/>
      <c r="T279" s="64">
        <f>IF(A279="","",IFERROR(INDEX('Bid-NoBid'!$T:$T,MATCH(A279,'Bid-NoBid'!$A:$A,0)),""))</f>
        <v/>
      </c>
      <c r="U279" s="59">
        <f>IF(A279="","",IFERROR(IF(OR(INDEX('Bid-NoBid'!$U:$U,MATCH(A279,'Bid-NoBid'!$A:$A,0))="",LEFT(INDEX('Bid-NoBid'!$U:$U,MATCH(A279,'Bid-NoBid'!$A:$A,0)),10)="Incomplete"),"Screen: "&amp;AC279,INDEX('Bid-NoBid'!$U:$U,MATCH(A279,'Bid-NoBid'!$A:$A,0))),"Screen: "&amp;AC279))</f>
        <v/>
      </c>
      <c r="V279" s="60" t="n"/>
      <c r="W279" s="60" t="n"/>
      <c r="X279" s="60" t="n"/>
      <c r="Y279" s="60" t="n"/>
      <c r="Z279" s="60" t="n"/>
      <c r="AA279" s="65" t="n"/>
      <c r="AB279" s="66" t="n"/>
      <c r="AC279" s="66" t="n"/>
      <c r="AD279" s="66" t="n"/>
      <c r="AE279" s="67">
        <f>IF(ISNUMBER(Q279),ROUNDDOWN(Q279-NOW(),1),"")</f>
        <v/>
      </c>
      <c r="AF279" s="59">
        <f>IF(OR(A279="",AE279=""),"",IF(NOT(OR(W279="Watching",W279="Preparing")),"",IF(AE279&lt;0,"PASSED",IF(AND(AE279&lt;=7,W279&lt;&gt;"Preparing"),"RED",IF(AE279&lt;=14,"AMBER","GREEN")))))</f>
        <v/>
      </c>
      <c r="AG279" s="59">
        <f>IF(OR(A279="",NOT(OR(W279="Watching",W279="Preparing"))),"",IF(AND(ISNUMBER(M279),M279&gt;=3000000000),"YES – ≥ TZS 3bn",IF(AND(ISNUMBER(AE279),AE279&gt;=0,AE279&lt;10,V279=""),"YES – &lt;10 days","")))</f>
        <v/>
      </c>
      <c r="AH279" s="68" t="n"/>
      <c r="AI279" s="66" t="n"/>
      <c r="AJ279" s="66" t="n"/>
      <c r="AK279" s="66" t="n"/>
      <c r="AL279" s="59">
        <f>IF(AND(OR(W279="Watching",W279="Preparing"),ISNUMBER(Q279)),IF(AND(Q279&gt;='Friday Summary'!$C$4,Q279&lt;='Friday Summary'!$C$4+14),Q279+ROW()/1000000,""),"")</f>
        <v/>
      </c>
    </row>
    <row r="280" ht="15" customHeight="1" s="51">
      <c r="A280" s="59">
        <f>IF(B280="","","OP-"&amp;TEXT(ROW()-4,"000"))</f>
        <v/>
      </c>
      <c r="B280" s="60" t="n"/>
      <c r="C280" s="61" t="n"/>
      <c r="D280" s="60" t="n"/>
      <c r="E280" s="60" t="n"/>
      <c r="F280" s="60" t="n"/>
      <c r="G280" s="60" t="n"/>
      <c r="H280" s="60" t="n"/>
      <c r="I280" s="60" t="n"/>
      <c r="J280" s="60" t="n"/>
      <c r="K280" s="60" t="n"/>
      <c r="L280" s="60" t="n"/>
      <c r="M280" s="62" t="n"/>
      <c r="N280" s="60" t="n"/>
      <c r="O280" s="61" t="n"/>
      <c r="P280" s="61" t="n"/>
      <c r="Q280" s="63" t="n"/>
      <c r="R280" s="60" t="n"/>
      <c r="S280" s="60" t="n"/>
      <c r="T280" s="64">
        <f>IF(A280="","",IFERROR(INDEX('Bid-NoBid'!$T:$T,MATCH(A280,'Bid-NoBid'!$A:$A,0)),""))</f>
        <v/>
      </c>
      <c r="U280" s="59">
        <f>IF(A280="","",IFERROR(IF(OR(INDEX('Bid-NoBid'!$U:$U,MATCH(A280,'Bid-NoBid'!$A:$A,0))="",LEFT(INDEX('Bid-NoBid'!$U:$U,MATCH(A280,'Bid-NoBid'!$A:$A,0)),10)="Incomplete"),"Screen: "&amp;AC280,INDEX('Bid-NoBid'!$U:$U,MATCH(A280,'Bid-NoBid'!$A:$A,0))),"Screen: "&amp;AC280))</f>
        <v/>
      </c>
      <c r="V280" s="60" t="n"/>
      <c r="W280" s="60" t="n"/>
      <c r="X280" s="60" t="n"/>
      <c r="Y280" s="60" t="n"/>
      <c r="Z280" s="60" t="n"/>
      <c r="AA280" s="65" t="n"/>
      <c r="AB280" s="66" t="n"/>
      <c r="AC280" s="66" t="n"/>
      <c r="AD280" s="66" t="n"/>
      <c r="AE280" s="67">
        <f>IF(ISNUMBER(Q280),ROUNDDOWN(Q280-NOW(),1),"")</f>
        <v/>
      </c>
      <c r="AF280" s="59">
        <f>IF(OR(A280="",AE280=""),"",IF(NOT(OR(W280="Watching",W280="Preparing")),"",IF(AE280&lt;0,"PASSED",IF(AND(AE280&lt;=7,W280&lt;&gt;"Preparing"),"RED",IF(AE280&lt;=14,"AMBER","GREEN")))))</f>
        <v/>
      </c>
      <c r="AG280" s="59">
        <f>IF(OR(A280="",NOT(OR(W280="Watching",W280="Preparing"))),"",IF(AND(ISNUMBER(M280),M280&gt;=3000000000),"YES – ≥ TZS 3bn",IF(AND(ISNUMBER(AE280),AE280&gt;=0,AE280&lt;10,V280=""),"YES – &lt;10 days","")))</f>
        <v/>
      </c>
      <c r="AH280" s="68" t="n"/>
      <c r="AI280" s="66" t="n"/>
      <c r="AJ280" s="66" t="n"/>
      <c r="AK280" s="66" t="n"/>
      <c r="AL280" s="59">
        <f>IF(AND(OR(W280="Watching",W280="Preparing"),ISNUMBER(Q280)),IF(AND(Q280&gt;='Friday Summary'!$C$4,Q280&lt;='Friday Summary'!$C$4+14),Q280+ROW()/1000000,""),"")</f>
        <v/>
      </c>
    </row>
    <row r="281" ht="15" customHeight="1" s="51">
      <c r="A281" s="59">
        <f>IF(B281="","","OP-"&amp;TEXT(ROW()-4,"000"))</f>
        <v/>
      </c>
      <c r="B281" s="60" t="n"/>
      <c r="C281" s="61" t="n"/>
      <c r="D281" s="60" t="n"/>
      <c r="E281" s="60" t="n"/>
      <c r="F281" s="60" t="n"/>
      <c r="G281" s="60" t="n"/>
      <c r="H281" s="60" t="n"/>
      <c r="I281" s="60" t="n"/>
      <c r="J281" s="60" t="n"/>
      <c r="K281" s="60" t="n"/>
      <c r="L281" s="60" t="n"/>
      <c r="M281" s="62" t="n"/>
      <c r="N281" s="60" t="n"/>
      <c r="O281" s="61" t="n"/>
      <c r="P281" s="61" t="n"/>
      <c r="Q281" s="63" t="n"/>
      <c r="R281" s="60" t="n"/>
      <c r="S281" s="60" t="n"/>
      <c r="T281" s="64">
        <f>IF(A281="","",IFERROR(INDEX('Bid-NoBid'!$T:$T,MATCH(A281,'Bid-NoBid'!$A:$A,0)),""))</f>
        <v/>
      </c>
      <c r="U281" s="59">
        <f>IF(A281="","",IFERROR(IF(OR(INDEX('Bid-NoBid'!$U:$U,MATCH(A281,'Bid-NoBid'!$A:$A,0))="",LEFT(INDEX('Bid-NoBid'!$U:$U,MATCH(A281,'Bid-NoBid'!$A:$A,0)),10)="Incomplete"),"Screen: "&amp;AC281,INDEX('Bid-NoBid'!$U:$U,MATCH(A281,'Bid-NoBid'!$A:$A,0))),"Screen: "&amp;AC281))</f>
        <v/>
      </c>
      <c r="V281" s="60" t="n"/>
      <c r="W281" s="60" t="n"/>
      <c r="X281" s="60" t="n"/>
      <c r="Y281" s="60" t="n"/>
      <c r="Z281" s="60" t="n"/>
      <c r="AA281" s="65" t="n"/>
      <c r="AB281" s="66" t="n"/>
      <c r="AC281" s="66" t="n"/>
      <c r="AD281" s="66" t="n"/>
      <c r="AE281" s="67">
        <f>IF(ISNUMBER(Q281),ROUNDDOWN(Q281-NOW(),1),"")</f>
        <v/>
      </c>
      <c r="AF281" s="59">
        <f>IF(OR(A281="",AE281=""),"",IF(NOT(OR(W281="Watching",W281="Preparing")),"",IF(AE281&lt;0,"PASSED",IF(AND(AE281&lt;=7,W281&lt;&gt;"Preparing"),"RED",IF(AE281&lt;=14,"AMBER","GREEN")))))</f>
        <v/>
      </c>
      <c r="AG281" s="59">
        <f>IF(OR(A281="",NOT(OR(W281="Watching",W281="Preparing"))),"",IF(AND(ISNUMBER(M281),M281&gt;=3000000000),"YES – ≥ TZS 3bn",IF(AND(ISNUMBER(AE281),AE281&gt;=0,AE281&lt;10,V281=""),"YES – &lt;10 days","")))</f>
        <v/>
      </c>
      <c r="AH281" s="68" t="n"/>
      <c r="AI281" s="66" t="n"/>
      <c r="AJ281" s="66" t="n"/>
      <c r="AK281" s="66" t="n"/>
      <c r="AL281" s="59">
        <f>IF(AND(OR(W281="Watching",W281="Preparing"),ISNUMBER(Q281)),IF(AND(Q281&gt;='Friday Summary'!$C$4,Q281&lt;='Friday Summary'!$C$4+14),Q281+ROW()/1000000,""),"")</f>
        <v/>
      </c>
    </row>
    <row r="282" ht="15" customHeight="1" s="51">
      <c r="A282" s="59">
        <f>IF(B282="","","OP-"&amp;TEXT(ROW()-4,"000"))</f>
        <v/>
      </c>
      <c r="B282" s="60" t="n"/>
      <c r="C282" s="61" t="n"/>
      <c r="D282" s="60" t="n"/>
      <c r="E282" s="60" t="n"/>
      <c r="F282" s="60" t="n"/>
      <c r="G282" s="60" t="n"/>
      <c r="H282" s="60" t="n"/>
      <c r="I282" s="60" t="n"/>
      <c r="J282" s="60" t="n"/>
      <c r="K282" s="60" t="n"/>
      <c r="L282" s="60" t="n"/>
      <c r="M282" s="62" t="n"/>
      <c r="N282" s="60" t="n"/>
      <c r="O282" s="61" t="n"/>
      <c r="P282" s="61" t="n"/>
      <c r="Q282" s="63" t="n"/>
      <c r="R282" s="60" t="n"/>
      <c r="S282" s="60" t="n"/>
      <c r="T282" s="64">
        <f>IF(A282="","",IFERROR(INDEX('Bid-NoBid'!$T:$T,MATCH(A282,'Bid-NoBid'!$A:$A,0)),""))</f>
        <v/>
      </c>
      <c r="U282" s="59">
        <f>IF(A282="","",IFERROR(IF(OR(INDEX('Bid-NoBid'!$U:$U,MATCH(A282,'Bid-NoBid'!$A:$A,0))="",LEFT(INDEX('Bid-NoBid'!$U:$U,MATCH(A282,'Bid-NoBid'!$A:$A,0)),10)="Incomplete"),"Screen: "&amp;AC282,INDEX('Bid-NoBid'!$U:$U,MATCH(A282,'Bid-NoBid'!$A:$A,0))),"Screen: "&amp;AC282))</f>
        <v/>
      </c>
      <c r="V282" s="60" t="n"/>
      <c r="W282" s="60" t="n"/>
      <c r="X282" s="60" t="n"/>
      <c r="Y282" s="60" t="n"/>
      <c r="Z282" s="60" t="n"/>
      <c r="AA282" s="65" t="n"/>
      <c r="AB282" s="66" t="n"/>
      <c r="AC282" s="66" t="n"/>
      <c r="AD282" s="66" t="n"/>
      <c r="AE282" s="67">
        <f>IF(ISNUMBER(Q282),ROUNDDOWN(Q282-NOW(),1),"")</f>
        <v/>
      </c>
      <c r="AF282" s="59">
        <f>IF(OR(A282="",AE282=""),"",IF(NOT(OR(W282="Watching",W282="Preparing")),"",IF(AE282&lt;0,"PASSED",IF(AND(AE282&lt;=7,W282&lt;&gt;"Preparing"),"RED",IF(AE282&lt;=14,"AMBER","GREEN")))))</f>
        <v/>
      </c>
      <c r="AG282" s="59">
        <f>IF(OR(A282="",NOT(OR(W282="Watching",W282="Preparing"))),"",IF(AND(ISNUMBER(M282),M282&gt;=3000000000),"YES – ≥ TZS 3bn",IF(AND(ISNUMBER(AE282),AE282&gt;=0,AE282&lt;10,V282=""),"YES – &lt;10 days","")))</f>
        <v/>
      </c>
      <c r="AH282" s="68" t="n"/>
      <c r="AI282" s="66" t="n"/>
      <c r="AJ282" s="66" t="n"/>
      <c r="AK282" s="66" t="n"/>
      <c r="AL282" s="59">
        <f>IF(AND(OR(W282="Watching",W282="Preparing"),ISNUMBER(Q282)),IF(AND(Q282&gt;='Friday Summary'!$C$4,Q282&lt;='Friday Summary'!$C$4+14),Q282+ROW()/1000000,""),"")</f>
        <v/>
      </c>
    </row>
    <row r="283" ht="15" customHeight="1" s="51">
      <c r="A283" s="59">
        <f>IF(B283="","","OP-"&amp;TEXT(ROW()-4,"000"))</f>
        <v/>
      </c>
      <c r="B283" s="60" t="n"/>
      <c r="C283" s="61" t="n"/>
      <c r="D283" s="60" t="n"/>
      <c r="E283" s="60" t="n"/>
      <c r="F283" s="60" t="n"/>
      <c r="G283" s="60" t="n"/>
      <c r="H283" s="60" t="n"/>
      <c r="I283" s="60" t="n"/>
      <c r="J283" s="60" t="n"/>
      <c r="K283" s="60" t="n"/>
      <c r="L283" s="60" t="n"/>
      <c r="M283" s="62" t="n"/>
      <c r="N283" s="60" t="n"/>
      <c r="O283" s="61" t="n"/>
      <c r="P283" s="61" t="n"/>
      <c r="Q283" s="63" t="n"/>
      <c r="R283" s="60" t="n"/>
      <c r="S283" s="60" t="n"/>
      <c r="T283" s="64">
        <f>IF(A283="","",IFERROR(INDEX('Bid-NoBid'!$T:$T,MATCH(A283,'Bid-NoBid'!$A:$A,0)),""))</f>
        <v/>
      </c>
      <c r="U283" s="59">
        <f>IF(A283="","",IFERROR(IF(OR(INDEX('Bid-NoBid'!$U:$U,MATCH(A283,'Bid-NoBid'!$A:$A,0))="",LEFT(INDEX('Bid-NoBid'!$U:$U,MATCH(A283,'Bid-NoBid'!$A:$A,0)),10)="Incomplete"),"Screen: "&amp;AC283,INDEX('Bid-NoBid'!$U:$U,MATCH(A283,'Bid-NoBid'!$A:$A,0))),"Screen: "&amp;AC283))</f>
        <v/>
      </c>
      <c r="V283" s="60" t="n"/>
      <c r="W283" s="60" t="n"/>
      <c r="X283" s="60" t="n"/>
      <c r="Y283" s="60" t="n"/>
      <c r="Z283" s="60" t="n"/>
      <c r="AA283" s="65" t="n"/>
      <c r="AB283" s="66" t="n"/>
      <c r="AC283" s="66" t="n"/>
      <c r="AD283" s="66" t="n"/>
      <c r="AE283" s="67">
        <f>IF(ISNUMBER(Q283),ROUNDDOWN(Q283-NOW(),1),"")</f>
        <v/>
      </c>
      <c r="AF283" s="59">
        <f>IF(OR(A283="",AE283=""),"",IF(NOT(OR(W283="Watching",W283="Preparing")),"",IF(AE283&lt;0,"PASSED",IF(AND(AE283&lt;=7,W283&lt;&gt;"Preparing"),"RED",IF(AE283&lt;=14,"AMBER","GREEN")))))</f>
        <v/>
      </c>
      <c r="AG283" s="59">
        <f>IF(OR(A283="",NOT(OR(W283="Watching",W283="Preparing"))),"",IF(AND(ISNUMBER(M283),M283&gt;=3000000000),"YES – ≥ TZS 3bn",IF(AND(ISNUMBER(AE283),AE283&gt;=0,AE283&lt;10,V283=""),"YES – &lt;10 days","")))</f>
        <v/>
      </c>
      <c r="AH283" s="68" t="n"/>
      <c r="AI283" s="66" t="n"/>
      <c r="AJ283" s="66" t="n"/>
      <c r="AK283" s="66" t="n"/>
      <c r="AL283" s="59">
        <f>IF(AND(OR(W283="Watching",W283="Preparing"),ISNUMBER(Q283)),IF(AND(Q283&gt;='Friday Summary'!$C$4,Q283&lt;='Friday Summary'!$C$4+14),Q283+ROW()/1000000,""),"")</f>
        <v/>
      </c>
    </row>
    <row r="284" ht="15" customHeight="1" s="51">
      <c r="A284" s="59">
        <f>IF(B284="","","OP-"&amp;TEXT(ROW()-4,"000"))</f>
        <v/>
      </c>
      <c r="B284" s="60" t="n"/>
      <c r="C284" s="61" t="n"/>
      <c r="D284" s="60" t="n"/>
      <c r="E284" s="60" t="n"/>
      <c r="F284" s="60" t="n"/>
      <c r="G284" s="60" t="n"/>
      <c r="H284" s="60" t="n"/>
      <c r="I284" s="60" t="n"/>
      <c r="J284" s="60" t="n"/>
      <c r="K284" s="60" t="n"/>
      <c r="L284" s="60" t="n"/>
      <c r="M284" s="62" t="n"/>
      <c r="N284" s="60" t="n"/>
      <c r="O284" s="61" t="n"/>
      <c r="P284" s="61" t="n"/>
      <c r="Q284" s="63" t="n"/>
      <c r="R284" s="60" t="n"/>
      <c r="S284" s="60" t="n"/>
      <c r="T284" s="64">
        <f>IF(A284="","",IFERROR(INDEX('Bid-NoBid'!$T:$T,MATCH(A284,'Bid-NoBid'!$A:$A,0)),""))</f>
        <v/>
      </c>
      <c r="U284" s="59">
        <f>IF(A284="","",IFERROR(IF(OR(INDEX('Bid-NoBid'!$U:$U,MATCH(A284,'Bid-NoBid'!$A:$A,0))="",LEFT(INDEX('Bid-NoBid'!$U:$U,MATCH(A284,'Bid-NoBid'!$A:$A,0)),10)="Incomplete"),"Screen: "&amp;AC284,INDEX('Bid-NoBid'!$U:$U,MATCH(A284,'Bid-NoBid'!$A:$A,0))),"Screen: "&amp;AC284))</f>
        <v/>
      </c>
      <c r="V284" s="60" t="n"/>
      <c r="W284" s="60" t="n"/>
      <c r="X284" s="60" t="n"/>
      <c r="Y284" s="60" t="n"/>
      <c r="Z284" s="60" t="n"/>
      <c r="AA284" s="65" t="n"/>
      <c r="AB284" s="66" t="n"/>
      <c r="AC284" s="66" t="n"/>
      <c r="AD284" s="66" t="n"/>
      <c r="AE284" s="67">
        <f>IF(ISNUMBER(Q284),ROUNDDOWN(Q284-NOW(),1),"")</f>
        <v/>
      </c>
      <c r="AF284" s="59">
        <f>IF(OR(A284="",AE284=""),"",IF(NOT(OR(W284="Watching",W284="Preparing")),"",IF(AE284&lt;0,"PASSED",IF(AND(AE284&lt;=7,W284&lt;&gt;"Preparing"),"RED",IF(AE284&lt;=14,"AMBER","GREEN")))))</f>
        <v/>
      </c>
      <c r="AG284" s="59">
        <f>IF(OR(A284="",NOT(OR(W284="Watching",W284="Preparing"))),"",IF(AND(ISNUMBER(M284),M284&gt;=3000000000),"YES – ≥ TZS 3bn",IF(AND(ISNUMBER(AE284),AE284&gt;=0,AE284&lt;10,V284=""),"YES – &lt;10 days","")))</f>
        <v/>
      </c>
      <c r="AH284" s="68" t="n"/>
      <c r="AI284" s="66" t="n"/>
      <c r="AJ284" s="66" t="n"/>
      <c r="AK284" s="66" t="n"/>
      <c r="AL284" s="59">
        <f>IF(AND(OR(W284="Watching",W284="Preparing"),ISNUMBER(Q284)),IF(AND(Q284&gt;='Friday Summary'!$C$4,Q284&lt;='Friday Summary'!$C$4+14),Q284+ROW()/1000000,""),"")</f>
        <v/>
      </c>
    </row>
    <row r="285" ht="15" customHeight="1" s="51">
      <c r="A285" s="59">
        <f>IF(B285="","","OP-"&amp;TEXT(ROW()-4,"000"))</f>
        <v/>
      </c>
      <c r="B285" s="60" t="n"/>
      <c r="C285" s="61" t="n"/>
      <c r="D285" s="60" t="n"/>
      <c r="E285" s="60" t="n"/>
      <c r="F285" s="60" t="n"/>
      <c r="G285" s="60" t="n"/>
      <c r="H285" s="60" t="n"/>
      <c r="I285" s="60" t="n"/>
      <c r="J285" s="60" t="n"/>
      <c r="K285" s="60" t="n"/>
      <c r="L285" s="60" t="n"/>
      <c r="M285" s="62" t="n"/>
      <c r="N285" s="60" t="n"/>
      <c r="O285" s="61" t="n"/>
      <c r="P285" s="61" t="n"/>
      <c r="Q285" s="63" t="n"/>
      <c r="R285" s="60" t="n"/>
      <c r="S285" s="60" t="n"/>
      <c r="T285" s="64">
        <f>IF(A285="","",IFERROR(INDEX('Bid-NoBid'!$T:$T,MATCH(A285,'Bid-NoBid'!$A:$A,0)),""))</f>
        <v/>
      </c>
      <c r="U285" s="59">
        <f>IF(A285="","",IFERROR(IF(OR(INDEX('Bid-NoBid'!$U:$U,MATCH(A285,'Bid-NoBid'!$A:$A,0))="",LEFT(INDEX('Bid-NoBid'!$U:$U,MATCH(A285,'Bid-NoBid'!$A:$A,0)),10)="Incomplete"),"Screen: "&amp;AC285,INDEX('Bid-NoBid'!$U:$U,MATCH(A285,'Bid-NoBid'!$A:$A,0))),"Screen: "&amp;AC285))</f>
        <v/>
      </c>
      <c r="V285" s="60" t="n"/>
      <c r="W285" s="60" t="n"/>
      <c r="X285" s="60" t="n"/>
      <c r="Y285" s="60" t="n"/>
      <c r="Z285" s="60" t="n"/>
      <c r="AA285" s="65" t="n"/>
      <c r="AB285" s="66" t="n"/>
      <c r="AC285" s="66" t="n"/>
      <c r="AD285" s="66" t="n"/>
      <c r="AE285" s="67">
        <f>IF(ISNUMBER(Q285),ROUNDDOWN(Q285-NOW(),1),"")</f>
        <v/>
      </c>
      <c r="AF285" s="59">
        <f>IF(OR(A285="",AE285=""),"",IF(NOT(OR(W285="Watching",W285="Preparing")),"",IF(AE285&lt;0,"PASSED",IF(AND(AE285&lt;=7,W285&lt;&gt;"Preparing"),"RED",IF(AE285&lt;=14,"AMBER","GREEN")))))</f>
        <v/>
      </c>
      <c r="AG285" s="59">
        <f>IF(OR(A285="",NOT(OR(W285="Watching",W285="Preparing"))),"",IF(AND(ISNUMBER(M285),M285&gt;=3000000000),"YES – ≥ TZS 3bn",IF(AND(ISNUMBER(AE285),AE285&gt;=0,AE285&lt;10,V285=""),"YES – &lt;10 days","")))</f>
        <v/>
      </c>
      <c r="AH285" s="68" t="n"/>
      <c r="AI285" s="66" t="n"/>
      <c r="AJ285" s="66" t="n"/>
      <c r="AK285" s="66" t="n"/>
      <c r="AL285" s="59">
        <f>IF(AND(OR(W285="Watching",W285="Preparing"),ISNUMBER(Q285)),IF(AND(Q285&gt;='Friday Summary'!$C$4,Q285&lt;='Friday Summary'!$C$4+14),Q285+ROW()/1000000,""),"")</f>
        <v/>
      </c>
    </row>
    <row r="286" ht="15" customHeight="1" s="51">
      <c r="A286" s="59">
        <f>IF(B286="","","OP-"&amp;TEXT(ROW()-4,"000"))</f>
        <v/>
      </c>
      <c r="B286" s="60" t="n"/>
      <c r="C286" s="61" t="n"/>
      <c r="D286" s="60" t="n"/>
      <c r="E286" s="60" t="n"/>
      <c r="F286" s="60" t="n"/>
      <c r="G286" s="60" t="n"/>
      <c r="H286" s="60" t="n"/>
      <c r="I286" s="60" t="n"/>
      <c r="J286" s="60" t="n"/>
      <c r="K286" s="60" t="n"/>
      <c r="L286" s="60" t="n"/>
      <c r="M286" s="62" t="n"/>
      <c r="N286" s="60" t="n"/>
      <c r="O286" s="61" t="n"/>
      <c r="P286" s="61" t="n"/>
      <c r="Q286" s="63" t="n"/>
      <c r="R286" s="60" t="n"/>
      <c r="S286" s="60" t="n"/>
      <c r="T286" s="64">
        <f>IF(A286="","",IFERROR(INDEX('Bid-NoBid'!$T:$T,MATCH(A286,'Bid-NoBid'!$A:$A,0)),""))</f>
        <v/>
      </c>
      <c r="U286" s="59">
        <f>IF(A286="","",IFERROR(IF(OR(INDEX('Bid-NoBid'!$U:$U,MATCH(A286,'Bid-NoBid'!$A:$A,0))="",LEFT(INDEX('Bid-NoBid'!$U:$U,MATCH(A286,'Bid-NoBid'!$A:$A,0)),10)="Incomplete"),"Screen: "&amp;AC286,INDEX('Bid-NoBid'!$U:$U,MATCH(A286,'Bid-NoBid'!$A:$A,0))),"Screen: "&amp;AC286))</f>
        <v/>
      </c>
      <c r="V286" s="60" t="n"/>
      <c r="W286" s="60" t="n"/>
      <c r="X286" s="60" t="n"/>
      <c r="Y286" s="60" t="n"/>
      <c r="Z286" s="60" t="n"/>
      <c r="AA286" s="65" t="n"/>
      <c r="AB286" s="66" t="n"/>
      <c r="AC286" s="66" t="n"/>
      <c r="AD286" s="66" t="n"/>
      <c r="AE286" s="67">
        <f>IF(ISNUMBER(Q286),ROUNDDOWN(Q286-NOW(),1),"")</f>
        <v/>
      </c>
      <c r="AF286" s="59">
        <f>IF(OR(A286="",AE286=""),"",IF(NOT(OR(W286="Watching",W286="Preparing")),"",IF(AE286&lt;0,"PASSED",IF(AND(AE286&lt;=7,W286&lt;&gt;"Preparing"),"RED",IF(AE286&lt;=14,"AMBER","GREEN")))))</f>
        <v/>
      </c>
      <c r="AG286" s="59">
        <f>IF(OR(A286="",NOT(OR(W286="Watching",W286="Preparing"))),"",IF(AND(ISNUMBER(M286),M286&gt;=3000000000),"YES – ≥ TZS 3bn",IF(AND(ISNUMBER(AE286),AE286&gt;=0,AE286&lt;10,V286=""),"YES – &lt;10 days","")))</f>
        <v/>
      </c>
      <c r="AH286" s="68" t="n"/>
      <c r="AI286" s="66" t="n"/>
      <c r="AJ286" s="66" t="n"/>
      <c r="AK286" s="66" t="n"/>
      <c r="AL286" s="59">
        <f>IF(AND(OR(W286="Watching",W286="Preparing"),ISNUMBER(Q286)),IF(AND(Q286&gt;='Friday Summary'!$C$4,Q286&lt;='Friday Summary'!$C$4+14),Q286+ROW()/1000000,""),"")</f>
        <v/>
      </c>
    </row>
    <row r="287" ht="15" customHeight="1" s="51">
      <c r="A287" s="59">
        <f>IF(B287="","","OP-"&amp;TEXT(ROW()-4,"000"))</f>
        <v/>
      </c>
      <c r="B287" s="60" t="n"/>
      <c r="C287" s="61" t="n"/>
      <c r="D287" s="60" t="n"/>
      <c r="E287" s="60" t="n"/>
      <c r="F287" s="60" t="n"/>
      <c r="G287" s="60" t="n"/>
      <c r="H287" s="60" t="n"/>
      <c r="I287" s="60" t="n"/>
      <c r="J287" s="60" t="n"/>
      <c r="K287" s="60" t="n"/>
      <c r="L287" s="60" t="n"/>
      <c r="M287" s="62" t="n"/>
      <c r="N287" s="60" t="n"/>
      <c r="O287" s="61" t="n"/>
      <c r="P287" s="61" t="n"/>
      <c r="Q287" s="63" t="n"/>
      <c r="R287" s="60" t="n"/>
      <c r="S287" s="60" t="n"/>
      <c r="T287" s="64">
        <f>IF(A287="","",IFERROR(INDEX('Bid-NoBid'!$T:$T,MATCH(A287,'Bid-NoBid'!$A:$A,0)),""))</f>
        <v/>
      </c>
      <c r="U287" s="59">
        <f>IF(A287="","",IFERROR(IF(OR(INDEX('Bid-NoBid'!$U:$U,MATCH(A287,'Bid-NoBid'!$A:$A,0))="",LEFT(INDEX('Bid-NoBid'!$U:$U,MATCH(A287,'Bid-NoBid'!$A:$A,0)),10)="Incomplete"),"Screen: "&amp;AC287,INDEX('Bid-NoBid'!$U:$U,MATCH(A287,'Bid-NoBid'!$A:$A,0))),"Screen: "&amp;AC287))</f>
        <v/>
      </c>
      <c r="V287" s="60" t="n"/>
      <c r="W287" s="60" t="n"/>
      <c r="X287" s="60" t="n"/>
      <c r="Y287" s="60" t="n"/>
      <c r="Z287" s="60" t="n"/>
      <c r="AA287" s="65" t="n"/>
      <c r="AB287" s="66" t="n"/>
      <c r="AC287" s="66" t="n"/>
      <c r="AD287" s="66" t="n"/>
      <c r="AE287" s="67">
        <f>IF(ISNUMBER(Q287),ROUNDDOWN(Q287-NOW(),1),"")</f>
        <v/>
      </c>
      <c r="AF287" s="59">
        <f>IF(OR(A287="",AE287=""),"",IF(NOT(OR(W287="Watching",W287="Preparing")),"",IF(AE287&lt;0,"PASSED",IF(AND(AE287&lt;=7,W287&lt;&gt;"Preparing"),"RED",IF(AE287&lt;=14,"AMBER","GREEN")))))</f>
        <v/>
      </c>
      <c r="AG287" s="59">
        <f>IF(OR(A287="",NOT(OR(W287="Watching",W287="Preparing"))),"",IF(AND(ISNUMBER(M287),M287&gt;=3000000000),"YES – ≥ TZS 3bn",IF(AND(ISNUMBER(AE287),AE287&gt;=0,AE287&lt;10,V287=""),"YES – &lt;10 days","")))</f>
        <v/>
      </c>
      <c r="AH287" s="68" t="n"/>
      <c r="AI287" s="66" t="n"/>
      <c r="AJ287" s="66" t="n"/>
      <c r="AK287" s="66" t="n"/>
      <c r="AL287" s="59">
        <f>IF(AND(OR(W287="Watching",W287="Preparing"),ISNUMBER(Q287)),IF(AND(Q287&gt;='Friday Summary'!$C$4,Q287&lt;='Friday Summary'!$C$4+14),Q287+ROW()/1000000,""),"")</f>
        <v/>
      </c>
    </row>
    <row r="288" ht="15" customHeight="1" s="51">
      <c r="A288" s="59">
        <f>IF(B288="","","OP-"&amp;TEXT(ROW()-4,"000"))</f>
        <v/>
      </c>
      <c r="B288" s="60" t="n"/>
      <c r="C288" s="61" t="n"/>
      <c r="D288" s="60" t="n"/>
      <c r="E288" s="60" t="n"/>
      <c r="F288" s="60" t="n"/>
      <c r="G288" s="60" t="n"/>
      <c r="H288" s="60" t="n"/>
      <c r="I288" s="60" t="n"/>
      <c r="J288" s="60" t="n"/>
      <c r="K288" s="60" t="n"/>
      <c r="L288" s="60" t="n"/>
      <c r="M288" s="62" t="n"/>
      <c r="N288" s="60" t="n"/>
      <c r="O288" s="61" t="n"/>
      <c r="P288" s="61" t="n"/>
      <c r="Q288" s="63" t="n"/>
      <c r="R288" s="60" t="n"/>
      <c r="S288" s="60" t="n"/>
      <c r="T288" s="64">
        <f>IF(A288="","",IFERROR(INDEX('Bid-NoBid'!$T:$T,MATCH(A288,'Bid-NoBid'!$A:$A,0)),""))</f>
        <v/>
      </c>
      <c r="U288" s="59">
        <f>IF(A288="","",IFERROR(IF(OR(INDEX('Bid-NoBid'!$U:$U,MATCH(A288,'Bid-NoBid'!$A:$A,0))="",LEFT(INDEX('Bid-NoBid'!$U:$U,MATCH(A288,'Bid-NoBid'!$A:$A,0)),10)="Incomplete"),"Screen: "&amp;AC288,INDEX('Bid-NoBid'!$U:$U,MATCH(A288,'Bid-NoBid'!$A:$A,0))),"Screen: "&amp;AC288))</f>
        <v/>
      </c>
      <c r="V288" s="60" t="n"/>
      <c r="W288" s="60" t="n"/>
      <c r="X288" s="60" t="n"/>
      <c r="Y288" s="60" t="n"/>
      <c r="Z288" s="60" t="n"/>
      <c r="AA288" s="65" t="n"/>
      <c r="AB288" s="66" t="n"/>
      <c r="AC288" s="66" t="n"/>
      <c r="AD288" s="66" t="n"/>
      <c r="AE288" s="67">
        <f>IF(ISNUMBER(Q288),ROUNDDOWN(Q288-NOW(),1),"")</f>
        <v/>
      </c>
      <c r="AF288" s="59">
        <f>IF(OR(A288="",AE288=""),"",IF(NOT(OR(W288="Watching",W288="Preparing")),"",IF(AE288&lt;0,"PASSED",IF(AND(AE288&lt;=7,W288&lt;&gt;"Preparing"),"RED",IF(AE288&lt;=14,"AMBER","GREEN")))))</f>
        <v/>
      </c>
      <c r="AG288" s="59">
        <f>IF(OR(A288="",NOT(OR(W288="Watching",W288="Preparing"))),"",IF(AND(ISNUMBER(M288),M288&gt;=3000000000),"YES – ≥ TZS 3bn",IF(AND(ISNUMBER(AE288),AE288&gt;=0,AE288&lt;10,V288=""),"YES – &lt;10 days","")))</f>
        <v/>
      </c>
      <c r="AH288" s="68" t="n"/>
      <c r="AI288" s="66" t="n"/>
      <c r="AJ288" s="66" t="n"/>
      <c r="AK288" s="66" t="n"/>
      <c r="AL288" s="59">
        <f>IF(AND(OR(W288="Watching",W288="Preparing"),ISNUMBER(Q288)),IF(AND(Q288&gt;='Friday Summary'!$C$4,Q288&lt;='Friday Summary'!$C$4+14),Q288+ROW()/1000000,""),"")</f>
        <v/>
      </c>
    </row>
    <row r="289" ht="15" customHeight="1" s="51">
      <c r="A289" s="59">
        <f>IF(B289="","","OP-"&amp;TEXT(ROW()-4,"000"))</f>
        <v/>
      </c>
      <c r="B289" s="60" t="n"/>
      <c r="C289" s="61" t="n"/>
      <c r="D289" s="60" t="n"/>
      <c r="E289" s="60" t="n"/>
      <c r="F289" s="60" t="n"/>
      <c r="G289" s="60" t="n"/>
      <c r="H289" s="60" t="n"/>
      <c r="I289" s="60" t="n"/>
      <c r="J289" s="60" t="n"/>
      <c r="K289" s="60" t="n"/>
      <c r="L289" s="60" t="n"/>
      <c r="M289" s="62" t="n"/>
      <c r="N289" s="60" t="n"/>
      <c r="O289" s="61" t="n"/>
      <c r="P289" s="61" t="n"/>
      <c r="Q289" s="63" t="n"/>
      <c r="R289" s="60" t="n"/>
      <c r="S289" s="60" t="n"/>
      <c r="T289" s="64">
        <f>IF(A289="","",IFERROR(INDEX('Bid-NoBid'!$T:$T,MATCH(A289,'Bid-NoBid'!$A:$A,0)),""))</f>
        <v/>
      </c>
      <c r="U289" s="59">
        <f>IF(A289="","",IFERROR(IF(OR(INDEX('Bid-NoBid'!$U:$U,MATCH(A289,'Bid-NoBid'!$A:$A,0))="",LEFT(INDEX('Bid-NoBid'!$U:$U,MATCH(A289,'Bid-NoBid'!$A:$A,0)),10)="Incomplete"),"Screen: "&amp;AC289,INDEX('Bid-NoBid'!$U:$U,MATCH(A289,'Bid-NoBid'!$A:$A,0))),"Screen: "&amp;AC289))</f>
        <v/>
      </c>
      <c r="V289" s="60" t="n"/>
      <c r="W289" s="60" t="n"/>
      <c r="X289" s="60" t="n"/>
      <c r="Y289" s="60" t="n"/>
      <c r="Z289" s="60" t="n"/>
      <c r="AA289" s="65" t="n"/>
      <c r="AB289" s="66" t="n"/>
      <c r="AC289" s="66" t="n"/>
      <c r="AD289" s="66" t="n"/>
      <c r="AE289" s="67">
        <f>IF(ISNUMBER(Q289),ROUNDDOWN(Q289-NOW(),1),"")</f>
        <v/>
      </c>
      <c r="AF289" s="59">
        <f>IF(OR(A289="",AE289=""),"",IF(NOT(OR(W289="Watching",W289="Preparing")),"",IF(AE289&lt;0,"PASSED",IF(AND(AE289&lt;=7,W289&lt;&gt;"Preparing"),"RED",IF(AE289&lt;=14,"AMBER","GREEN")))))</f>
        <v/>
      </c>
      <c r="AG289" s="59">
        <f>IF(OR(A289="",NOT(OR(W289="Watching",W289="Preparing"))),"",IF(AND(ISNUMBER(M289),M289&gt;=3000000000),"YES – ≥ TZS 3bn",IF(AND(ISNUMBER(AE289),AE289&gt;=0,AE289&lt;10,V289=""),"YES – &lt;10 days","")))</f>
        <v/>
      </c>
      <c r="AH289" s="68" t="n"/>
      <c r="AI289" s="66" t="n"/>
      <c r="AJ289" s="66" t="n"/>
      <c r="AK289" s="66" t="n"/>
      <c r="AL289" s="59">
        <f>IF(AND(OR(W289="Watching",W289="Preparing"),ISNUMBER(Q289)),IF(AND(Q289&gt;='Friday Summary'!$C$4,Q289&lt;='Friday Summary'!$C$4+14),Q289+ROW()/1000000,""),"")</f>
        <v/>
      </c>
    </row>
    <row r="290" ht="15" customHeight="1" s="51">
      <c r="A290" s="59">
        <f>IF(B290="","","OP-"&amp;TEXT(ROW()-4,"000"))</f>
        <v/>
      </c>
      <c r="B290" s="60" t="n"/>
      <c r="C290" s="61" t="n"/>
      <c r="D290" s="60" t="n"/>
      <c r="E290" s="60" t="n"/>
      <c r="F290" s="60" t="n"/>
      <c r="G290" s="60" t="n"/>
      <c r="H290" s="60" t="n"/>
      <c r="I290" s="60" t="n"/>
      <c r="J290" s="60" t="n"/>
      <c r="K290" s="60" t="n"/>
      <c r="L290" s="60" t="n"/>
      <c r="M290" s="62" t="n"/>
      <c r="N290" s="60" t="n"/>
      <c r="O290" s="61" t="n"/>
      <c r="P290" s="61" t="n"/>
      <c r="Q290" s="63" t="n"/>
      <c r="R290" s="60" t="n"/>
      <c r="S290" s="60" t="n"/>
      <c r="T290" s="64">
        <f>IF(A290="","",IFERROR(INDEX('Bid-NoBid'!$T:$T,MATCH(A290,'Bid-NoBid'!$A:$A,0)),""))</f>
        <v/>
      </c>
      <c r="U290" s="59">
        <f>IF(A290="","",IFERROR(IF(OR(INDEX('Bid-NoBid'!$U:$U,MATCH(A290,'Bid-NoBid'!$A:$A,0))="",LEFT(INDEX('Bid-NoBid'!$U:$U,MATCH(A290,'Bid-NoBid'!$A:$A,0)),10)="Incomplete"),"Screen: "&amp;AC290,INDEX('Bid-NoBid'!$U:$U,MATCH(A290,'Bid-NoBid'!$A:$A,0))),"Screen: "&amp;AC290))</f>
        <v/>
      </c>
      <c r="V290" s="60" t="n"/>
      <c r="W290" s="60" t="n"/>
      <c r="X290" s="60" t="n"/>
      <c r="Y290" s="60" t="n"/>
      <c r="Z290" s="60" t="n"/>
      <c r="AA290" s="65" t="n"/>
      <c r="AB290" s="66" t="n"/>
      <c r="AC290" s="66" t="n"/>
      <c r="AD290" s="66" t="n"/>
      <c r="AE290" s="67">
        <f>IF(ISNUMBER(Q290),ROUNDDOWN(Q290-NOW(),1),"")</f>
        <v/>
      </c>
      <c r="AF290" s="59">
        <f>IF(OR(A290="",AE290=""),"",IF(NOT(OR(W290="Watching",W290="Preparing")),"",IF(AE290&lt;0,"PASSED",IF(AND(AE290&lt;=7,W290&lt;&gt;"Preparing"),"RED",IF(AE290&lt;=14,"AMBER","GREEN")))))</f>
        <v/>
      </c>
      <c r="AG290" s="59">
        <f>IF(OR(A290="",NOT(OR(W290="Watching",W290="Preparing"))),"",IF(AND(ISNUMBER(M290),M290&gt;=3000000000),"YES – ≥ TZS 3bn",IF(AND(ISNUMBER(AE290),AE290&gt;=0,AE290&lt;10,V290=""),"YES – &lt;10 days","")))</f>
        <v/>
      </c>
      <c r="AH290" s="68" t="n"/>
      <c r="AI290" s="66" t="n"/>
      <c r="AJ290" s="66" t="n"/>
      <c r="AK290" s="66" t="n"/>
      <c r="AL290" s="59">
        <f>IF(AND(OR(W290="Watching",W290="Preparing"),ISNUMBER(Q290)),IF(AND(Q290&gt;='Friday Summary'!$C$4,Q290&lt;='Friday Summary'!$C$4+14),Q290+ROW()/1000000,""),"")</f>
        <v/>
      </c>
    </row>
    <row r="291" ht="15" customHeight="1" s="51">
      <c r="A291" s="59">
        <f>IF(B291="","","OP-"&amp;TEXT(ROW()-4,"000"))</f>
        <v/>
      </c>
      <c r="B291" s="60" t="n"/>
      <c r="C291" s="61" t="n"/>
      <c r="D291" s="60" t="n"/>
      <c r="E291" s="60" t="n"/>
      <c r="F291" s="60" t="n"/>
      <c r="G291" s="60" t="n"/>
      <c r="H291" s="60" t="n"/>
      <c r="I291" s="60" t="n"/>
      <c r="J291" s="60" t="n"/>
      <c r="K291" s="60" t="n"/>
      <c r="L291" s="60" t="n"/>
      <c r="M291" s="62" t="n"/>
      <c r="N291" s="60" t="n"/>
      <c r="O291" s="61" t="n"/>
      <c r="P291" s="61" t="n"/>
      <c r="Q291" s="63" t="n"/>
      <c r="R291" s="60" t="n"/>
      <c r="S291" s="60" t="n"/>
      <c r="T291" s="64">
        <f>IF(A291="","",IFERROR(INDEX('Bid-NoBid'!$T:$T,MATCH(A291,'Bid-NoBid'!$A:$A,0)),""))</f>
        <v/>
      </c>
      <c r="U291" s="59">
        <f>IF(A291="","",IFERROR(IF(OR(INDEX('Bid-NoBid'!$U:$U,MATCH(A291,'Bid-NoBid'!$A:$A,0))="",LEFT(INDEX('Bid-NoBid'!$U:$U,MATCH(A291,'Bid-NoBid'!$A:$A,0)),10)="Incomplete"),"Screen: "&amp;AC291,INDEX('Bid-NoBid'!$U:$U,MATCH(A291,'Bid-NoBid'!$A:$A,0))),"Screen: "&amp;AC291))</f>
        <v/>
      </c>
      <c r="V291" s="60" t="n"/>
      <c r="W291" s="60" t="n"/>
      <c r="X291" s="60" t="n"/>
      <c r="Y291" s="60" t="n"/>
      <c r="Z291" s="60" t="n"/>
      <c r="AA291" s="65" t="n"/>
      <c r="AB291" s="66" t="n"/>
      <c r="AC291" s="66" t="n"/>
      <c r="AD291" s="66" t="n"/>
      <c r="AE291" s="67">
        <f>IF(ISNUMBER(Q291),ROUNDDOWN(Q291-NOW(),1),"")</f>
        <v/>
      </c>
      <c r="AF291" s="59">
        <f>IF(OR(A291="",AE291=""),"",IF(NOT(OR(W291="Watching",W291="Preparing")),"",IF(AE291&lt;0,"PASSED",IF(AND(AE291&lt;=7,W291&lt;&gt;"Preparing"),"RED",IF(AE291&lt;=14,"AMBER","GREEN")))))</f>
        <v/>
      </c>
      <c r="AG291" s="59">
        <f>IF(OR(A291="",NOT(OR(W291="Watching",W291="Preparing"))),"",IF(AND(ISNUMBER(M291),M291&gt;=3000000000),"YES – ≥ TZS 3bn",IF(AND(ISNUMBER(AE291),AE291&gt;=0,AE291&lt;10,V291=""),"YES – &lt;10 days","")))</f>
        <v/>
      </c>
      <c r="AH291" s="68" t="n"/>
      <c r="AI291" s="66" t="n"/>
      <c r="AJ291" s="66" t="n"/>
      <c r="AK291" s="66" t="n"/>
      <c r="AL291" s="59">
        <f>IF(AND(OR(W291="Watching",W291="Preparing"),ISNUMBER(Q291)),IF(AND(Q291&gt;='Friday Summary'!$C$4,Q291&lt;='Friday Summary'!$C$4+14),Q291+ROW()/1000000,""),"")</f>
        <v/>
      </c>
    </row>
    <row r="292" ht="15" customHeight="1" s="51">
      <c r="A292" s="59">
        <f>IF(B292="","","OP-"&amp;TEXT(ROW()-4,"000"))</f>
        <v/>
      </c>
      <c r="B292" s="60" t="n"/>
      <c r="C292" s="61" t="n"/>
      <c r="D292" s="60" t="n"/>
      <c r="E292" s="60" t="n"/>
      <c r="F292" s="60" t="n"/>
      <c r="G292" s="60" t="n"/>
      <c r="H292" s="60" t="n"/>
      <c r="I292" s="60" t="n"/>
      <c r="J292" s="60" t="n"/>
      <c r="K292" s="60" t="n"/>
      <c r="L292" s="60" t="n"/>
      <c r="M292" s="62" t="n"/>
      <c r="N292" s="60" t="n"/>
      <c r="O292" s="61" t="n"/>
      <c r="P292" s="61" t="n"/>
      <c r="Q292" s="63" t="n"/>
      <c r="R292" s="60" t="n"/>
      <c r="S292" s="60" t="n"/>
      <c r="T292" s="64">
        <f>IF(A292="","",IFERROR(INDEX('Bid-NoBid'!$T:$T,MATCH(A292,'Bid-NoBid'!$A:$A,0)),""))</f>
        <v/>
      </c>
      <c r="U292" s="59">
        <f>IF(A292="","",IFERROR(IF(OR(INDEX('Bid-NoBid'!$U:$U,MATCH(A292,'Bid-NoBid'!$A:$A,0))="",LEFT(INDEX('Bid-NoBid'!$U:$U,MATCH(A292,'Bid-NoBid'!$A:$A,0)),10)="Incomplete"),"Screen: "&amp;AC292,INDEX('Bid-NoBid'!$U:$U,MATCH(A292,'Bid-NoBid'!$A:$A,0))),"Screen: "&amp;AC292))</f>
        <v/>
      </c>
      <c r="V292" s="60" t="n"/>
      <c r="W292" s="60" t="n"/>
      <c r="X292" s="60" t="n"/>
      <c r="Y292" s="60" t="n"/>
      <c r="Z292" s="60" t="n"/>
      <c r="AA292" s="65" t="n"/>
      <c r="AB292" s="66" t="n"/>
      <c r="AC292" s="66" t="n"/>
      <c r="AD292" s="66" t="n"/>
      <c r="AE292" s="67">
        <f>IF(ISNUMBER(Q292),ROUNDDOWN(Q292-NOW(),1),"")</f>
        <v/>
      </c>
      <c r="AF292" s="59">
        <f>IF(OR(A292="",AE292=""),"",IF(NOT(OR(W292="Watching",W292="Preparing")),"",IF(AE292&lt;0,"PASSED",IF(AND(AE292&lt;=7,W292&lt;&gt;"Preparing"),"RED",IF(AE292&lt;=14,"AMBER","GREEN")))))</f>
        <v/>
      </c>
      <c r="AG292" s="59">
        <f>IF(OR(A292="",NOT(OR(W292="Watching",W292="Preparing"))),"",IF(AND(ISNUMBER(M292),M292&gt;=3000000000),"YES – ≥ TZS 3bn",IF(AND(ISNUMBER(AE292),AE292&gt;=0,AE292&lt;10,V292=""),"YES – &lt;10 days","")))</f>
        <v/>
      </c>
      <c r="AH292" s="68" t="n"/>
      <c r="AI292" s="66" t="n"/>
      <c r="AJ292" s="66" t="n"/>
      <c r="AK292" s="66" t="n"/>
      <c r="AL292" s="59">
        <f>IF(AND(OR(W292="Watching",W292="Preparing"),ISNUMBER(Q292)),IF(AND(Q292&gt;='Friday Summary'!$C$4,Q292&lt;='Friday Summary'!$C$4+14),Q292+ROW()/1000000,""),"")</f>
        <v/>
      </c>
    </row>
    <row r="293" ht="15" customHeight="1" s="51">
      <c r="A293" s="59">
        <f>IF(B293="","","OP-"&amp;TEXT(ROW()-4,"000"))</f>
        <v/>
      </c>
      <c r="B293" s="60" t="n"/>
      <c r="C293" s="61" t="n"/>
      <c r="D293" s="60" t="n"/>
      <c r="E293" s="60" t="n"/>
      <c r="F293" s="60" t="n"/>
      <c r="G293" s="60" t="n"/>
      <c r="H293" s="60" t="n"/>
      <c r="I293" s="60" t="n"/>
      <c r="J293" s="60" t="n"/>
      <c r="K293" s="60" t="n"/>
      <c r="L293" s="60" t="n"/>
      <c r="M293" s="62" t="n"/>
      <c r="N293" s="60" t="n"/>
      <c r="O293" s="61" t="n"/>
      <c r="P293" s="61" t="n"/>
      <c r="Q293" s="63" t="n"/>
      <c r="R293" s="60" t="n"/>
      <c r="S293" s="60" t="n"/>
      <c r="T293" s="64">
        <f>IF(A293="","",IFERROR(INDEX('Bid-NoBid'!$T:$T,MATCH(A293,'Bid-NoBid'!$A:$A,0)),""))</f>
        <v/>
      </c>
      <c r="U293" s="59">
        <f>IF(A293="","",IFERROR(IF(OR(INDEX('Bid-NoBid'!$U:$U,MATCH(A293,'Bid-NoBid'!$A:$A,0))="",LEFT(INDEX('Bid-NoBid'!$U:$U,MATCH(A293,'Bid-NoBid'!$A:$A,0)),10)="Incomplete"),"Screen: "&amp;AC293,INDEX('Bid-NoBid'!$U:$U,MATCH(A293,'Bid-NoBid'!$A:$A,0))),"Screen: "&amp;AC293))</f>
        <v/>
      </c>
      <c r="V293" s="60" t="n"/>
      <c r="W293" s="60" t="n"/>
      <c r="X293" s="60" t="n"/>
      <c r="Y293" s="60" t="n"/>
      <c r="Z293" s="60" t="n"/>
      <c r="AA293" s="65" t="n"/>
      <c r="AB293" s="66" t="n"/>
      <c r="AC293" s="66" t="n"/>
      <c r="AD293" s="66" t="n"/>
      <c r="AE293" s="67">
        <f>IF(ISNUMBER(Q293),ROUNDDOWN(Q293-NOW(),1),"")</f>
        <v/>
      </c>
      <c r="AF293" s="59">
        <f>IF(OR(A293="",AE293=""),"",IF(NOT(OR(W293="Watching",W293="Preparing")),"",IF(AE293&lt;0,"PASSED",IF(AND(AE293&lt;=7,W293&lt;&gt;"Preparing"),"RED",IF(AE293&lt;=14,"AMBER","GREEN")))))</f>
        <v/>
      </c>
      <c r="AG293" s="59">
        <f>IF(OR(A293="",NOT(OR(W293="Watching",W293="Preparing"))),"",IF(AND(ISNUMBER(M293),M293&gt;=3000000000),"YES – ≥ TZS 3bn",IF(AND(ISNUMBER(AE293),AE293&gt;=0,AE293&lt;10,V293=""),"YES – &lt;10 days","")))</f>
        <v/>
      </c>
      <c r="AH293" s="68" t="n"/>
      <c r="AI293" s="66" t="n"/>
      <c r="AJ293" s="66" t="n"/>
      <c r="AK293" s="66" t="n"/>
      <c r="AL293" s="59">
        <f>IF(AND(OR(W293="Watching",W293="Preparing"),ISNUMBER(Q293)),IF(AND(Q293&gt;='Friday Summary'!$C$4,Q293&lt;='Friday Summary'!$C$4+14),Q293+ROW()/1000000,""),"")</f>
        <v/>
      </c>
    </row>
    <row r="294" ht="15" customHeight="1" s="51">
      <c r="A294" s="59">
        <f>IF(B294="","","OP-"&amp;TEXT(ROW()-4,"000"))</f>
        <v/>
      </c>
      <c r="B294" s="60" t="n"/>
      <c r="C294" s="61" t="n"/>
      <c r="D294" s="60" t="n"/>
      <c r="E294" s="60" t="n"/>
      <c r="F294" s="60" t="n"/>
      <c r="G294" s="60" t="n"/>
      <c r="H294" s="60" t="n"/>
      <c r="I294" s="60" t="n"/>
      <c r="J294" s="60" t="n"/>
      <c r="K294" s="60" t="n"/>
      <c r="L294" s="60" t="n"/>
      <c r="M294" s="62" t="n"/>
      <c r="N294" s="60" t="n"/>
      <c r="O294" s="61" t="n"/>
      <c r="P294" s="61" t="n"/>
      <c r="Q294" s="63" t="n"/>
      <c r="R294" s="60" t="n"/>
      <c r="S294" s="60" t="n"/>
      <c r="T294" s="64">
        <f>IF(A294="","",IFERROR(INDEX('Bid-NoBid'!$T:$T,MATCH(A294,'Bid-NoBid'!$A:$A,0)),""))</f>
        <v/>
      </c>
      <c r="U294" s="59">
        <f>IF(A294="","",IFERROR(IF(OR(INDEX('Bid-NoBid'!$U:$U,MATCH(A294,'Bid-NoBid'!$A:$A,0))="",LEFT(INDEX('Bid-NoBid'!$U:$U,MATCH(A294,'Bid-NoBid'!$A:$A,0)),10)="Incomplete"),"Screen: "&amp;AC294,INDEX('Bid-NoBid'!$U:$U,MATCH(A294,'Bid-NoBid'!$A:$A,0))),"Screen: "&amp;AC294))</f>
        <v/>
      </c>
      <c r="V294" s="60" t="n"/>
      <c r="W294" s="60" t="n"/>
      <c r="X294" s="60" t="n"/>
      <c r="Y294" s="60" t="n"/>
      <c r="Z294" s="60" t="n"/>
      <c r="AA294" s="65" t="n"/>
      <c r="AB294" s="66" t="n"/>
      <c r="AC294" s="66" t="n"/>
      <c r="AD294" s="66" t="n"/>
      <c r="AE294" s="67">
        <f>IF(ISNUMBER(Q294),ROUNDDOWN(Q294-NOW(),1),"")</f>
        <v/>
      </c>
      <c r="AF294" s="59">
        <f>IF(OR(A294="",AE294=""),"",IF(NOT(OR(W294="Watching",W294="Preparing")),"",IF(AE294&lt;0,"PASSED",IF(AND(AE294&lt;=7,W294&lt;&gt;"Preparing"),"RED",IF(AE294&lt;=14,"AMBER","GREEN")))))</f>
        <v/>
      </c>
      <c r="AG294" s="59">
        <f>IF(OR(A294="",NOT(OR(W294="Watching",W294="Preparing"))),"",IF(AND(ISNUMBER(M294),M294&gt;=3000000000),"YES – ≥ TZS 3bn",IF(AND(ISNUMBER(AE294),AE294&gt;=0,AE294&lt;10,V294=""),"YES – &lt;10 days","")))</f>
        <v/>
      </c>
      <c r="AH294" s="68" t="n"/>
      <c r="AI294" s="66" t="n"/>
      <c r="AJ294" s="66" t="n"/>
      <c r="AK294" s="66" t="n"/>
      <c r="AL294" s="59">
        <f>IF(AND(OR(W294="Watching",W294="Preparing"),ISNUMBER(Q294)),IF(AND(Q294&gt;='Friday Summary'!$C$4,Q294&lt;='Friday Summary'!$C$4+14),Q294+ROW()/1000000,""),"")</f>
        <v/>
      </c>
    </row>
    <row r="295" ht="15" customHeight="1" s="51">
      <c r="A295" s="59">
        <f>IF(B295="","","OP-"&amp;TEXT(ROW()-4,"000"))</f>
        <v/>
      </c>
      <c r="B295" s="60" t="n"/>
      <c r="C295" s="61" t="n"/>
      <c r="D295" s="60" t="n"/>
      <c r="E295" s="60" t="n"/>
      <c r="F295" s="60" t="n"/>
      <c r="G295" s="60" t="n"/>
      <c r="H295" s="60" t="n"/>
      <c r="I295" s="60" t="n"/>
      <c r="J295" s="60" t="n"/>
      <c r="K295" s="60" t="n"/>
      <c r="L295" s="60" t="n"/>
      <c r="M295" s="62" t="n"/>
      <c r="N295" s="60" t="n"/>
      <c r="O295" s="61" t="n"/>
      <c r="P295" s="61" t="n"/>
      <c r="Q295" s="63" t="n"/>
      <c r="R295" s="60" t="n"/>
      <c r="S295" s="60" t="n"/>
      <c r="T295" s="64">
        <f>IF(A295="","",IFERROR(INDEX('Bid-NoBid'!$T:$T,MATCH(A295,'Bid-NoBid'!$A:$A,0)),""))</f>
        <v/>
      </c>
      <c r="U295" s="59">
        <f>IF(A295="","",IFERROR(IF(OR(INDEX('Bid-NoBid'!$U:$U,MATCH(A295,'Bid-NoBid'!$A:$A,0))="",LEFT(INDEX('Bid-NoBid'!$U:$U,MATCH(A295,'Bid-NoBid'!$A:$A,0)),10)="Incomplete"),"Screen: "&amp;AC295,INDEX('Bid-NoBid'!$U:$U,MATCH(A295,'Bid-NoBid'!$A:$A,0))),"Screen: "&amp;AC295))</f>
        <v/>
      </c>
      <c r="V295" s="60" t="n"/>
      <c r="W295" s="60" t="n"/>
      <c r="X295" s="60" t="n"/>
      <c r="Y295" s="60" t="n"/>
      <c r="Z295" s="60" t="n"/>
      <c r="AA295" s="65" t="n"/>
      <c r="AB295" s="66" t="n"/>
      <c r="AC295" s="66" t="n"/>
      <c r="AD295" s="66" t="n"/>
      <c r="AE295" s="67">
        <f>IF(ISNUMBER(Q295),ROUNDDOWN(Q295-NOW(),1),"")</f>
        <v/>
      </c>
      <c r="AF295" s="59">
        <f>IF(OR(A295="",AE295=""),"",IF(NOT(OR(W295="Watching",W295="Preparing")),"",IF(AE295&lt;0,"PASSED",IF(AND(AE295&lt;=7,W295&lt;&gt;"Preparing"),"RED",IF(AE295&lt;=14,"AMBER","GREEN")))))</f>
        <v/>
      </c>
      <c r="AG295" s="59">
        <f>IF(OR(A295="",NOT(OR(W295="Watching",W295="Preparing"))),"",IF(AND(ISNUMBER(M295),M295&gt;=3000000000),"YES – ≥ TZS 3bn",IF(AND(ISNUMBER(AE295),AE295&gt;=0,AE295&lt;10,V295=""),"YES – &lt;10 days","")))</f>
        <v/>
      </c>
      <c r="AH295" s="68" t="n"/>
      <c r="AI295" s="66" t="n"/>
      <c r="AJ295" s="66" t="n"/>
      <c r="AK295" s="66" t="n"/>
      <c r="AL295" s="59">
        <f>IF(AND(OR(W295="Watching",W295="Preparing"),ISNUMBER(Q295)),IF(AND(Q295&gt;='Friday Summary'!$C$4,Q295&lt;='Friday Summary'!$C$4+14),Q295+ROW()/1000000,""),"")</f>
        <v/>
      </c>
    </row>
    <row r="296" ht="15" customHeight="1" s="51">
      <c r="A296" s="59">
        <f>IF(B296="","","OP-"&amp;TEXT(ROW()-4,"000"))</f>
        <v/>
      </c>
      <c r="B296" s="60" t="n"/>
      <c r="C296" s="61" t="n"/>
      <c r="D296" s="60" t="n"/>
      <c r="E296" s="60" t="n"/>
      <c r="F296" s="60" t="n"/>
      <c r="G296" s="60" t="n"/>
      <c r="H296" s="60" t="n"/>
      <c r="I296" s="60" t="n"/>
      <c r="J296" s="60" t="n"/>
      <c r="K296" s="60" t="n"/>
      <c r="L296" s="60" t="n"/>
      <c r="M296" s="62" t="n"/>
      <c r="N296" s="60" t="n"/>
      <c r="O296" s="61" t="n"/>
      <c r="P296" s="61" t="n"/>
      <c r="Q296" s="63" t="n"/>
      <c r="R296" s="60" t="n"/>
      <c r="S296" s="60" t="n"/>
      <c r="T296" s="64">
        <f>IF(A296="","",IFERROR(INDEX('Bid-NoBid'!$T:$T,MATCH(A296,'Bid-NoBid'!$A:$A,0)),""))</f>
        <v/>
      </c>
      <c r="U296" s="59">
        <f>IF(A296="","",IFERROR(IF(OR(INDEX('Bid-NoBid'!$U:$U,MATCH(A296,'Bid-NoBid'!$A:$A,0))="",LEFT(INDEX('Bid-NoBid'!$U:$U,MATCH(A296,'Bid-NoBid'!$A:$A,0)),10)="Incomplete"),"Screen: "&amp;AC296,INDEX('Bid-NoBid'!$U:$U,MATCH(A296,'Bid-NoBid'!$A:$A,0))),"Screen: "&amp;AC296))</f>
        <v/>
      </c>
      <c r="V296" s="60" t="n"/>
      <c r="W296" s="60" t="n"/>
      <c r="X296" s="60" t="n"/>
      <c r="Y296" s="60" t="n"/>
      <c r="Z296" s="60" t="n"/>
      <c r="AA296" s="65" t="n"/>
      <c r="AB296" s="66" t="n"/>
      <c r="AC296" s="66" t="n"/>
      <c r="AD296" s="66" t="n"/>
      <c r="AE296" s="67">
        <f>IF(ISNUMBER(Q296),ROUNDDOWN(Q296-NOW(),1),"")</f>
        <v/>
      </c>
      <c r="AF296" s="59">
        <f>IF(OR(A296="",AE296=""),"",IF(NOT(OR(W296="Watching",W296="Preparing")),"",IF(AE296&lt;0,"PASSED",IF(AND(AE296&lt;=7,W296&lt;&gt;"Preparing"),"RED",IF(AE296&lt;=14,"AMBER","GREEN")))))</f>
        <v/>
      </c>
      <c r="AG296" s="59">
        <f>IF(OR(A296="",NOT(OR(W296="Watching",W296="Preparing"))),"",IF(AND(ISNUMBER(M296),M296&gt;=3000000000),"YES – ≥ TZS 3bn",IF(AND(ISNUMBER(AE296),AE296&gt;=0,AE296&lt;10,V296=""),"YES – &lt;10 days","")))</f>
        <v/>
      </c>
      <c r="AH296" s="68" t="n"/>
      <c r="AI296" s="66" t="n"/>
      <c r="AJ296" s="66" t="n"/>
      <c r="AK296" s="66" t="n"/>
      <c r="AL296" s="59">
        <f>IF(AND(OR(W296="Watching",W296="Preparing"),ISNUMBER(Q296)),IF(AND(Q296&gt;='Friday Summary'!$C$4,Q296&lt;='Friday Summary'!$C$4+14),Q296+ROW()/1000000,""),"")</f>
        <v/>
      </c>
    </row>
    <row r="297" ht="15" customHeight="1" s="51">
      <c r="A297" s="59">
        <f>IF(B297="","","OP-"&amp;TEXT(ROW()-4,"000"))</f>
        <v/>
      </c>
      <c r="B297" s="60" t="n"/>
      <c r="C297" s="61" t="n"/>
      <c r="D297" s="60" t="n"/>
      <c r="E297" s="60" t="n"/>
      <c r="F297" s="60" t="n"/>
      <c r="G297" s="60" t="n"/>
      <c r="H297" s="60" t="n"/>
      <c r="I297" s="60" t="n"/>
      <c r="J297" s="60" t="n"/>
      <c r="K297" s="60" t="n"/>
      <c r="L297" s="60" t="n"/>
      <c r="M297" s="62" t="n"/>
      <c r="N297" s="60" t="n"/>
      <c r="O297" s="61" t="n"/>
      <c r="P297" s="61" t="n"/>
      <c r="Q297" s="63" t="n"/>
      <c r="R297" s="60" t="n"/>
      <c r="S297" s="60" t="n"/>
      <c r="T297" s="64">
        <f>IF(A297="","",IFERROR(INDEX('Bid-NoBid'!$T:$T,MATCH(A297,'Bid-NoBid'!$A:$A,0)),""))</f>
        <v/>
      </c>
      <c r="U297" s="59">
        <f>IF(A297="","",IFERROR(IF(OR(INDEX('Bid-NoBid'!$U:$U,MATCH(A297,'Bid-NoBid'!$A:$A,0))="",LEFT(INDEX('Bid-NoBid'!$U:$U,MATCH(A297,'Bid-NoBid'!$A:$A,0)),10)="Incomplete"),"Screen: "&amp;AC297,INDEX('Bid-NoBid'!$U:$U,MATCH(A297,'Bid-NoBid'!$A:$A,0))),"Screen: "&amp;AC297))</f>
        <v/>
      </c>
      <c r="V297" s="60" t="n"/>
      <c r="W297" s="60" t="n"/>
      <c r="X297" s="60" t="n"/>
      <c r="Y297" s="60" t="n"/>
      <c r="Z297" s="60" t="n"/>
      <c r="AA297" s="65" t="n"/>
      <c r="AB297" s="66" t="n"/>
      <c r="AC297" s="66" t="n"/>
      <c r="AD297" s="66" t="n"/>
      <c r="AE297" s="67">
        <f>IF(ISNUMBER(Q297),ROUNDDOWN(Q297-NOW(),1),"")</f>
        <v/>
      </c>
      <c r="AF297" s="59">
        <f>IF(OR(A297="",AE297=""),"",IF(NOT(OR(W297="Watching",W297="Preparing")),"",IF(AE297&lt;0,"PASSED",IF(AND(AE297&lt;=7,W297&lt;&gt;"Preparing"),"RED",IF(AE297&lt;=14,"AMBER","GREEN")))))</f>
        <v/>
      </c>
      <c r="AG297" s="59">
        <f>IF(OR(A297="",NOT(OR(W297="Watching",W297="Preparing"))),"",IF(AND(ISNUMBER(M297),M297&gt;=3000000000),"YES – ≥ TZS 3bn",IF(AND(ISNUMBER(AE297),AE297&gt;=0,AE297&lt;10,V297=""),"YES – &lt;10 days","")))</f>
        <v/>
      </c>
      <c r="AH297" s="68" t="n"/>
      <c r="AI297" s="66" t="n"/>
      <c r="AJ297" s="66" t="n"/>
      <c r="AK297" s="66" t="n"/>
      <c r="AL297" s="59">
        <f>IF(AND(OR(W297="Watching",W297="Preparing"),ISNUMBER(Q297)),IF(AND(Q297&gt;='Friday Summary'!$C$4,Q297&lt;='Friday Summary'!$C$4+14),Q297+ROW()/1000000,""),"")</f>
        <v/>
      </c>
    </row>
    <row r="298" ht="15" customHeight="1" s="51">
      <c r="A298" s="59">
        <f>IF(B298="","","OP-"&amp;TEXT(ROW()-4,"000"))</f>
        <v/>
      </c>
      <c r="B298" s="60" t="n"/>
      <c r="C298" s="61" t="n"/>
      <c r="D298" s="60" t="n"/>
      <c r="E298" s="60" t="n"/>
      <c r="F298" s="60" t="n"/>
      <c r="G298" s="60" t="n"/>
      <c r="H298" s="60" t="n"/>
      <c r="I298" s="60" t="n"/>
      <c r="J298" s="60" t="n"/>
      <c r="K298" s="60" t="n"/>
      <c r="L298" s="60" t="n"/>
      <c r="M298" s="62" t="n"/>
      <c r="N298" s="60" t="n"/>
      <c r="O298" s="61" t="n"/>
      <c r="P298" s="61" t="n"/>
      <c r="Q298" s="63" t="n"/>
      <c r="R298" s="60" t="n"/>
      <c r="S298" s="60" t="n"/>
      <c r="T298" s="64">
        <f>IF(A298="","",IFERROR(INDEX('Bid-NoBid'!$T:$T,MATCH(A298,'Bid-NoBid'!$A:$A,0)),""))</f>
        <v/>
      </c>
      <c r="U298" s="59">
        <f>IF(A298="","",IFERROR(IF(OR(INDEX('Bid-NoBid'!$U:$U,MATCH(A298,'Bid-NoBid'!$A:$A,0))="",LEFT(INDEX('Bid-NoBid'!$U:$U,MATCH(A298,'Bid-NoBid'!$A:$A,0)),10)="Incomplete"),"Screen: "&amp;AC298,INDEX('Bid-NoBid'!$U:$U,MATCH(A298,'Bid-NoBid'!$A:$A,0))),"Screen: "&amp;AC298))</f>
        <v/>
      </c>
      <c r="V298" s="60" t="n"/>
      <c r="W298" s="60" t="n"/>
      <c r="X298" s="60" t="n"/>
      <c r="Y298" s="60" t="n"/>
      <c r="Z298" s="60" t="n"/>
      <c r="AA298" s="65" t="n"/>
      <c r="AB298" s="66" t="n"/>
      <c r="AC298" s="66" t="n"/>
      <c r="AD298" s="66" t="n"/>
      <c r="AE298" s="67">
        <f>IF(ISNUMBER(Q298),ROUNDDOWN(Q298-NOW(),1),"")</f>
        <v/>
      </c>
      <c r="AF298" s="59">
        <f>IF(OR(A298="",AE298=""),"",IF(NOT(OR(W298="Watching",W298="Preparing")),"",IF(AE298&lt;0,"PASSED",IF(AND(AE298&lt;=7,W298&lt;&gt;"Preparing"),"RED",IF(AE298&lt;=14,"AMBER","GREEN")))))</f>
        <v/>
      </c>
      <c r="AG298" s="59">
        <f>IF(OR(A298="",NOT(OR(W298="Watching",W298="Preparing"))),"",IF(AND(ISNUMBER(M298),M298&gt;=3000000000),"YES – ≥ TZS 3bn",IF(AND(ISNUMBER(AE298),AE298&gt;=0,AE298&lt;10,V298=""),"YES – &lt;10 days","")))</f>
        <v/>
      </c>
      <c r="AH298" s="68" t="n"/>
      <c r="AI298" s="66" t="n"/>
      <c r="AJ298" s="66" t="n"/>
      <c r="AK298" s="66" t="n"/>
      <c r="AL298" s="59">
        <f>IF(AND(OR(W298="Watching",W298="Preparing"),ISNUMBER(Q298)),IF(AND(Q298&gt;='Friday Summary'!$C$4,Q298&lt;='Friday Summary'!$C$4+14),Q298+ROW()/1000000,""),"")</f>
        <v/>
      </c>
    </row>
    <row r="299" ht="15" customHeight="1" s="51">
      <c r="A299" s="59">
        <f>IF(B299="","","OP-"&amp;TEXT(ROW()-4,"000"))</f>
        <v/>
      </c>
      <c r="B299" s="60" t="n"/>
      <c r="C299" s="61" t="n"/>
      <c r="D299" s="60" t="n"/>
      <c r="E299" s="60" t="n"/>
      <c r="F299" s="60" t="n"/>
      <c r="G299" s="60" t="n"/>
      <c r="H299" s="60" t="n"/>
      <c r="I299" s="60" t="n"/>
      <c r="J299" s="60" t="n"/>
      <c r="K299" s="60" t="n"/>
      <c r="L299" s="60" t="n"/>
      <c r="M299" s="62" t="n"/>
      <c r="N299" s="60" t="n"/>
      <c r="O299" s="61" t="n"/>
      <c r="P299" s="61" t="n"/>
      <c r="Q299" s="63" t="n"/>
      <c r="R299" s="60" t="n"/>
      <c r="S299" s="60" t="n"/>
      <c r="T299" s="64">
        <f>IF(A299="","",IFERROR(INDEX('Bid-NoBid'!$T:$T,MATCH(A299,'Bid-NoBid'!$A:$A,0)),""))</f>
        <v/>
      </c>
      <c r="U299" s="59">
        <f>IF(A299="","",IFERROR(IF(OR(INDEX('Bid-NoBid'!$U:$U,MATCH(A299,'Bid-NoBid'!$A:$A,0))="",LEFT(INDEX('Bid-NoBid'!$U:$U,MATCH(A299,'Bid-NoBid'!$A:$A,0)),10)="Incomplete"),"Screen: "&amp;AC299,INDEX('Bid-NoBid'!$U:$U,MATCH(A299,'Bid-NoBid'!$A:$A,0))),"Screen: "&amp;AC299))</f>
        <v/>
      </c>
      <c r="V299" s="60" t="n"/>
      <c r="W299" s="60" t="n"/>
      <c r="X299" s="60" t="n"/>
      <c r="Y299" s="60" t="n"/>
      <c r="Z299" s="60" t="n"/>
      <c r="AA299" s="65" t="n"/>
      <c r="AB299" s="66" t="n"/>
      <c r="AC299" s="66" t="n"/>
      <c r="AD299" s="66" t="n"/>
      <c r="AE299" s="67">
        <f>IF(ISNUMBER(Q299),ROUNDDOWN(Q299-NOW(),1),"")</f>
        <v/>
      </c>
      <c r="AF299" s="59">
        <f>IF(OR(A299="",AE299=""),"",IF(NOT(OR(W299="Watching",W299="Preparing")),"",IF(AE299&lt;0,"PASSED",IF(AND(AE299&lt;=7,W299&lt;&gt;"Preparing"),"RED",IF(AE299&lt;=14,"AMBER","GREEN")))))</f>
        <v/>
      </c>
      <c r="AG299" s="59">
        <f>IF(OR(A299="",NOT(OR(W299="Watching",W299="Preparing"))),"",IF(AND(ISNUMBER(M299),M299&gt;=3000000000),"YES – ≥ TZS 3bn",IF(AND(ISNUMBER(AE299),AE299&gt;=0,AE299&lt;10,V299=""),"YES – &lt;10 days","")))</f>
        <v/>
      </c>
      <c r="AH299" s="68" t="n"/>
      <c r="AI299" s="66" t="n"/>
      <c r="AJ299" s="66" t="n"/>
      <c r="AK299" s="66" t="n"/>
      <c r="AL299" s="59">
        <f>IF(AND(OR(W299="Watching",W299="Preparing"),ISNUMBER(Q299)),IF(AND(Q299&gt;='Friday Summary'!$C$4,Q299&lt;='Friday Summary'!$C$4+14),Q299+ROW()/1000000,""),"")</f>
        <v/>
      </c>
    </row>
    <row r="300" ht="15" customHeight="1" s="51">
      <c r="A300" s="59">
        <f>IF(B300="","","OP-"&amp;TEXT(ROW()-4,"000"))</f>
        <v/>
      </c>
      <c r="B300" s="60" t="n"/>
      <c r="C300" s="61" t="n"/>
      <c r="D300" s="60" t="n"/>
      <c r="E300" s="60" t="n"/>
      <c r="F300" s="60" t="n"/>
      <c r="G300" s="60" t="n"/>
      <c r="H300" s="60" t="n"/>
      <c r="I300" s="60" t="n"/>
      <c r="J300" s="60" t="n"/>
      <c r="K300" s="60" t="n"/>
      <c r="L300" s="60" t="n"/>
      <c r="M300" s="62" t="n"/>
      <c r="N300" s="60" t="n"/>
      <c r="O300" s="61" t="n"/>
      <c r="P300" s="61" t="n"/>
      <c r="Q300" s="63" t="n"/>
      <c r="R300" s="60" t="n"/>
      <c r="S300" s="60" t="n"/>
      <c r="T300" s="64">
        <f>IF(A300="","",IFERROR(INDEX('Bid-NoBid'!$T:$T,MATCH(A300,'Bid-NoBid'!$A:$A,0)),""))</f>
        <v/>
      </c>
      <c r="U300" s="59">
        <f>IF(A300="","",IFERROR(IF(OR(INDEX('Bid-NoBid'!$U:$U,MATCH(A300,'Bid-NoBid'!$A:$A,0))="",LEFT(INDEX('Bid-NoBid'!$U:$U,MATCH(A300,'Bid-NoBid'!$A:$A,0)),10)="Incomplete"),"Screen: "&amp;AC300,INDEX('Bid-NoBid'!$U:$U,MATCH(A300,'Bid-NoBid'!$A:$A,0))),"Screen: "&amp;AC300))</f>
        <v/>
      </c>
      <c r="V300" s="60" t="n"/>
      <c r="W300" s="60" t="n"/>
      <c r="X300" s="60" t="n"/>
      <c r="Y300" s="60" t="n"/>
      <c r="Z300" s="60" t="n"/>
      <c r="AA300" s="65" t="n"/>
      <c r="AB300" s="66" t="n"/>
      <c r="AC300" s="66" t="n"/>
      <c r="AD300" s="66" t="n"/>
      <c r="AE300" s="67">
        <f>IF(ISNUMBER(Q300),ROUNDDOWN(Q300-NOW(),1),"")</f>
        <v/>
      </c>
      <c r="AF300" s="59">
        <f>IF(OR(A300="",AE300=""),"",IF(NOT(OR(W300="Watching",W300="Preparing")),"",IF(AE300&lt;0,"PASSED",IF(AND(AE300&lt;=7,W300&lt;&gt;"Preparing"),"RED",IF(AE300&lt;=14,"AMBER","GREEN")))))</f>
        <v/>
      </c>
      <c r="AG300" s="59">
        <f>IF(OR(A300="",NOT(OR(W300="Watching",W300="Preparing"))),"",IF(AND(ISNUMBER(M300),M300&gt;=3000000000),"YES – ≥ TZS 3bn",IF(AND(ISNUMBER(AE300),AE300&gt;=0,AE300&lt;10,V300=""),"YES – &lt;10 days","")))</f>
        <v/>
      </c>
      <c r="AH300" s="68" t="n"/>
      <c r="AI300" s="66" t="n"/>
      <c r="AJ300" s="66" t="n"/>
      <c r="AK300" s="66" t="n"/>
      <c r="AL300" s="59">
        <f>IF(AND(OR(W300="Watching",W300="Preparing"),ISNUMBER(Q300)),IF(AND(Q300&gt;='Friday Summary'!$C$4,Q300&lt;='Friday Summary'!$C$4+14),Q300+ROW()/1000000,""),"")</f>
        <v/>
      </c>
    </row>
    <row r="301" ht="15" customHeight="1" s="51">
      <c r="A301" s="59">
        <f>IF(B301="","","OP-"&amp;TEXT(ROW()-4,"000"))</f>
        <v/>
      </c>
      <c r="B301" s="60" t="n"/>
      <c r="C301" s="61" t="n"/>
      <c r="D301" s="60" t="n"/>
      <c r="E301" s="60" t="n"/>
      <c r="F301" s="60" t="n"/>
      <c r="G301" s="60" t="n"/>
      <c r="H301" s="60" t="n"/>
      <c r="I301" s="60" t="n"/>
      <c r="J301" s="60" t="n"/>
      <c r="K301" s="60" t="n"/>
      <c r="L301" s="60" t="n"/>
      <c r="M301" s="62" t="n"/>
      <c r="N301" s="60" t="n"/>
      <c r="O301" s="61" t="n"/>
      <c r="P301" s="61" t="n"/>
      <c r="Q301" s="63" t="n"/>
      <c r="R301" s="60" t="n"/>
      <c r="S301" s="60" t="n"/>
      <c r="T301" s="64">
        <f>IF(A301="","",IFERROR(INDEX('Bid-NoBid'!$T:$T,MATCH(A301,'Bid-NoBid'!$A:$A,0)),""))</f>
        <v/>
      </c>
      <c r="U301" s="59">
        <f>IF(A301="","",IFERROR(IF(OR(INDEX('Bid-NoBid'!$U:$U,MATCH(A301,'Bid-NoBid'!$A:$A,0))="",LEFT(INDEX('Bid-NoBid'!$U:$U,MATCH(A301,'Bid-NoBid'!$A:$A,0)),10)="Incomplete"),"Screen: "&amp;AC301,INDEX('Bid-NoBid'!$U:$U,MATCH(A301,'Bid-NoBid'!$A:$A,0))),"Screen: "&amp;AC301))</f>
        <v/>
      </c>
      <c r="V301" s="60" t="n"/>
      <c r="W301" s="60" t="n"/>
      <c r="X301" s="60" t="n"/>
      <c r="Y301" s="60" t="n"/>
      <c r="Z301" s="60" t="n"/>
      <c r="AA301" s="65" t="n"/>
      <c r="AB301" s="66" t="n"/>
      <c r="AC301" s="66" t="n"/>
      <c r="AD301" s="66" t="n"/>
      <c r="AE301" s="67">
        <f>IF(ISNUMBER(Q301),ROUNDDOWN(Q301-NOW(),1),"")</f>
        <v/>
      </c>
      <c r="AF301" s="59">
        <f>IF(OR(A301="",AE301=""),"",IF(NOT(OR(W301="Watching",W301="Preparing")),"",IF(AE301&lt;0,"PASSED",IF(AND(AE301&lt;=7,W301&lt;&gt;"Preparing"),"RED",IF(AE301&lt;=14,"AMBER","GREEN")))))</f>
        <v/>
      </c>
      <c r="AG301" s="59">
        <f>IF(OR(A301="",NOT(OR(W301="Watching",W301="Preparing"))),"",IF(AND(ISNUMBER(M301),M301&gt;=3000000000),"YES – ≥ TZS 3bn",IF(AND(ISNUMBER(AE301),AE301&gt;=0,AE301&lt;10,V301=""),"YES – &lt;10 days","")))</f>
        <v/>
      </c>
      <c r="AH301" s="68" t="n"/>
      <c r="AI301" s="66" t="n"/>
      <c r="AJ301" s="66" t="n"/>
      <c r="AK301" s="66" t="n"/>
      <c r="AL301" s="59">
        <f>IF(AND(OR(W301="Watching",W301="Preparing"),ISNUMBER(Q301)),IF(AND(Q301&gt;='Friday Summary'!$C$4,Q301&lt;='Friday Summary'!$C$4+14),Q301+ROW()/1000000,""),"")</f>
        <v/>
      </c>
    </row>
    <row r="302" ht="15" customHeight="1" s="51">
      <c r="A302" s="59">
        <f>IF(B302="","","OP-"&amp;TEXT(ROW()-4,"000"))</f>
        <v/>
      </c>
      <c r="B302" s="60" t="n"/>
      <c r="C302" s="61" t="n"/>
      <c r="D302" s="60" t="n"/>
      <c r="E302" s="60" t="n"/>
      <c r="F302" s="60" t="n"/>
      <c r="G302" s="60" t="n"/>
      <c r="H302" s="60" t="n"/>
      <c r="I302" s="60" t="n"/>
      <c r="J302" s="60" t="n"/>
      <c r="K302" s="60" t="n"/>
      <c r="L302" s="60" t="n"/>
      <c r="M302" s="62" t="n"/>
      <c r="N302" s="60" t="n"/>
      <c r="O302" s="61" t="n"/>
      <c r="P302" s="61" t="n"/>
      <c r="Q302" s="63" t="n"/>
      <c r="R302" s="60" t="n"/>
      <c r="S302" s="60" t="n"/>
      <c r="T302" s="64">
        <f>IF(A302="","",IFERROR(INDEX('Bid-NoBid'!$T:$T,MATCH(A302,'Bid-NoBid'!$A:$A,0)),""))</f>
        <v/>
      </c>
      <c r="U302" s="59">
        <f>IF(A302="","",IFERROR(IF(OR(INDEX('Bid-NoBid'!$U:$U,MATCH(A302,'Bid-NoBid'!$A:$A,0))="",LEFT(INDEX('Bid-NoBid'!$U:$U,MATCH(A302,'Bid-NoBid'!$A:$A,0)),10)="Incomplete"),"Screen: "&amp;AC302,INDEX('Bid-NoBid'!$U:$U,MATCH(A302,'Bid-NoBid'!$A:$A,0))),"Screen: "&amp;AC302))</f>
        <v/>
      </c>
      <c r="V302" s="60" t="n"/>
      <c r="W302" s="60" t="n"/>
      <c r="X302" s="60" t="n"/>
      <c r="Y302" s="60" t="n"/>
      <c r="Z302" s="60" t="n"/>
      <c r="AA302" s="65" t="n"/>
      <c r="AB302" s="66" t="n"/>
      <c r="AC302" s="66" t="n"/>
      <c r="AD302" s="66" t="n"/>
      <c r="AE302" s="67">
        <f>IF(ISNUMBER(Q302),ROUNDDOWN(Q302-NOW(),1),"")</f>
        <v/>
      </c>
      <c r="AF302" s="59">
        <f>IF(OR(A302="",AE302=""),"",IF(NOT(OR(W302="Watching",W302="Preparing")),"",IF(AE302&lt;0,"PASSED",IF(AND(AE302&lt;=7,W302&lt;&gt;"Preparing"),"RED",IF(AE302&lt;=14,"AMBER","GREEN")))))</f>
        <v/>
      </c>
      <c r="AG302" s="59">
        <f>IF(OR(A302="",NOT(OR(W302="Watching",W302="Preparing"))),"",IF(AND(ISNUMBER(M302),M302&gt;=3000000000),"YES – ≥ TZS 3bn",IF(AND(ISNUMBER(AE302),AE302&gt;=0,AE302&lt;10,V302=""),"YES – &lt;10 days","")))</f>
        <v/>
      </c>
      <c r="AH302" s="68" t="n"/>
      <c r="AI302" s="66" t="n"/>
      <c r="AJ302" s="66" t="n"/>
      <c r="AK302" s="66" t="n"/>
      <c r="AL302" s="59">
        <f>IF(AND(OR(W302="Watching",W302="Preparing"),ISNUMBER(Q302)),IF(AND(Q302&gt;='Friday Summary'!$C$4,Q302&lt;='Friday Summary'!$C$4+14),Q302+ROW()/1000000,""),"")</f>
        <v/>
      </c>
    </row>
    <row r="303" ht="15" customHeight="1" s="51">
      <c r="A303" s="59">
        <f>IF(B303="","","OP-"&amp;TEXT(ROW()-4,"000"))</f>
        <v/>
      </c>
      <c r="B303" s="60" t="n"/>
      <c r="C303" s="61" t="n"/>
      <c r="D303" s="60" t="n"/>
      <c r="E303" s="60" t="n"/>
      <c r="F303" s="60" t="n"/>
      <c r="G303" s="60" t="n"/>
      <c r="H303" s="60" t="n"/>
      <c r="I303" s="60" t="n"/>
      <c r="J303" s="60" t="n"/>
      <c r="K303" s="60" t="n"/>
      <c r="L303" s="60" t="n"/>
      <c r="M303" s="62" t="n"/>
      <c r="N303" s="60" t="n"/>
      <c r="O303" s="61" t="n"/>
      <c r="P303" s="61" t="n"/>
      <c r="Q303" s="63" t="n"/>
      <c r="R303" s="60" t="n"/>
      <c r="S303" s="60" t="n"/>
      <c r="T303" s="64">
        <f>IF(A303="","",IFERROR(INDEX('Bid-NoBid'!$T:$T,MATCH(A303,'Bid-NoBid'!$A:$A,0)),""))</f>
        <v/>
      </c>
      <c r="U303" s="59">
        <f>IF(A303="","",IFERROR(IF(OR(INDEX('Bid-NoBid'!$U:$U,MATCH(A303,'Bid-NoBid'!$A:$A,0))="",LEFT(INDEX('Bid-NoBid'!$U:$U,MATCH(A303,'Bid-NoBid'!$A:$A,0)),10)="Incomplete"),"Screen: "&amp;AC303,INDEX('Bid-NoBid'!$U:$U,MATCH(A303,'Bid-NoBid'!$A:$A,0))),"Screen: "&amp;AC303))</f>
        <v/>
      </c>
      <c r="V303" s="60" t="n"/>
      <c r="W303" s="60" t="n"/>
      <c r="X303" s="60" t="n"/>
      <c r="Y303" s="60" t="n"/>
      <c r="Z303" s="60" t="n"/>
      <c r="AA303" s="65" t="n"/>
      <c r="AB303" s="66" t="n"/>
      <c r="AC303" s="66" t="n"/>
      <c r="AD303" s="66" t="n"/>
      <c r="AE303" s="67">
        <f>IF(ISNUMBER(Q303),ROUNDDOWN(Q303-NOW(),1),"")</f>
        <v/>
      </c>
      <c r="AF303" s="59">
        <f>IF(OR(A303="",AE303=""),"",IF(NOT(OR(W303="Watching",W303="Preparing")),"",IF(AE303&lt;0,"PASSED",IF(AND(AE303&lt;=7,W303&lt;&gt;"Preparing"),"RED",IF(AE303&lt;=14,"AMBER","GREEN")))))</f>
        <v/>
      </c>
      <c r="AG303" s="59">
        <f>IF(OR(A303="",NOT(OR(W303="Watching",W303="Preparing"))),"",IF(AND(ISNUMBER(M303),M303&gt;=3000000000),"YES – ≥ TZS 3bn",IF(AND(ISNUMBER(AE303),AE303&gt;=0,AE303&lt;10,V303=""),"YES – &lt;10 days","")))</f>
        <v/>
      </c>
      <c r="AH303" s="68" t="n"/>
      <c r="AI303" s="66" t="n"/>
      <c r="AJ303" s="66" t="n"/>
      <c r="AK303" s="66" t="n"/>
      <c r="AL303" s="59">
        <f>IF(AND(OR(W303="Watching",W303="Preparing"),ISNUMBER(Q303)),IF(AND(Q303&gt;='Friday Summary'!$C$4,Q303&lt;='Friday Summary'!$C$4+14),Q303+ROW()/1000000,""),"")</f>
        <v/>
      </c>
    </row>
    <row r="304" ht="15" customHeight="1" s="51">
      <c r="A304" s="59">
        <f>IF(B304="","","OP-"&amp;TEXT(ROW()-4,"000"))</f>
        <v/>
      </c>
      <c r="B304" s="60" t="n"/>
      <c r="C304" s="61" t="n"/>
      <c r="D304" s="60" t="n"/>
      <c r="E304" s="60" t="n"/>
      <c r="F304" s="60" t="n"/>
      <c r="G304" s="60" t="n"/>
      <c r="H304" s="60" t="n"/>
      <c r="I304" s="60" t="n"/>
      <c r="J304" s="60" t="n"/>
      <c r="K304" s="60" t="n"/>
      <c r="L304" s="60" t="n"/>
      <c r="M304" s="62" t="n"/>
      <c r="N304" s="60" t="n"/>
      <c r="O304" s="61" t="n"/>
      <c r="P304" s="61" t="n"/>
      <c r="Q304" s="63" t="n"/>
      <c r="R304" s="60" t="n"/>
      <c r="S304" s="60" t="n"/>
      <c r="T304" s="64">
        <f>IF(A304="","",IFERROR(INDEX('Bid-NoBid'!$T:$T,MATCH(A304,'Bid-NoBid'!$A:$A,0)),""))</f>
        <v/>
      </c>
      <c r="U304" s="59">
        <f>IF(A304="","",IFERROR(IF(OR(INDEX('Bid-NoBid'!$U:$U,MATCH(A304,'Bid-NoBid'!$A:$A,0))="",LEFT(INDEX('Bid-NoBid'!$U:$U,MATCH(A304,'Bid-NoBid'!$A:$A,0)),10)="Incomplete"),"Screen: "&amp;AC304,INDEX('Bid-NoBid'!$U:$U,MATCH(A304,'Bid-NoBid'!$A:$A,0))),"Screen: "&amp;AC304))</f>
        <v/>
      </c>
      <c r="V304" s="60" t="n"/>
      <c r="W304" s="60" t="n"/>
      <c r="X304" s="60" t="n"/>
      <c r="Y304" s="60" t="n"/>
      <c r="Z304" s="60" t="n"/>
      <c r="AA304" s="65" t="n"/>
      <c r="AB304" s="66" t="n"/>
      <c r="AC304" s="66" t="n"/>
      <c r="AD304" s="66" t="n"/>
      <c r="AE304" s="67">
        <f>IF(ISNUMBER(Q304),ROUNDDOWN(Q304-NOW(),1),"")</f>
        <v/>
      </c>
      <c r="AF304" s="59">
        <f>IF(OR(A304="",AE304=""),"",IF(NOT(OR(W304="Watching",W304="Preparing")),"",IF(AE304&lt;0,"PASSED",IF(AND(AE304&lt;=7,W304&lt;&gt;"Preparing"),"RED",IF(AE304&lt;=14,"AMBER","GREEN")))))</f>
        <v/>
      </c>
      <c r="AG304" s="59">
        <f>IF(OR(A304="",NOT(OR(W304="Watching",W304="Preparing"))),"",IF(AND(ISNUMBER(M304),M304&gt;=3000000000),"YES – ≥ TZS 3bn",IF(AND(ISNUMBER(AE304),AE304&gt;=0,AE304&lt;10,V304=""),"YES – &lt;10 days","")))</f>
        <v/>
      </c>
      <c r="AH304" s="68" t="n"/>
      <c r="AI304" s="66" t="n"/>
      <c r="AJ304" s="66" t="n"/>
      <c r="AK304" s="66" t="n"/>
      <c r="AL304" s="59">
        <f>IF(AND(OR(W304="Watching",W304="Preparing"),ISNUMBER(Q304)),IF(AND(Q304&gt;='Friday Summary'!$C$4,Q304&lt;='Friday Summary'!$C$4+14),Q304+ROW()/1000000,""),"")</f>
        <v/>
      </c>
    </row>
    <row r="305" ht="15" customHeight="1" s="51">
      <c r="A305" s="59">
        <f>IF(B305="","","OP-"&amp;TEXT(ROW()-4,"000"))</f>
        <v/>
      </c>
      <c r="B305" s="60" t="n"/>
      <c r="C305" s="61" t="n"/>
      <c r="D305" s="60" t="n"/>
      <c r="E305" s="60" t="n"/>
      <c r="F305" s="60" t="n"/>
      <c r="G305" s="60" t="n"/>
      <c r="H305" s="60" t="n"/>
      <c r="I305" s="60" t="n"/>
      <c r="J305" s="60" t="n"/>
      <c r="K305" s="60" t="n"/>
      <c r="L305" s="60" t="n"/>
      <c r="M305" s="62" t="n"/>
      <c r="N305" s="60" t="n"/>
      <c r="O305" s="61" t="n"/>
      <c r="P305" s="61" t="n"/>
      <c r="Q305" s="63" t="n"/>
      <c r="R305" s="60" t="n"/>
      <c r="S305" s="60" t="n"/>
      <c r="T305" s="64">
        <f>IF(A305="","",IFERROR(INDEX('Bid-NoBid'!$T:$T,MATCH(A305,'Bid-NoBid'!$A:$A,0)),""))</f>
        <v/>
      </c>
      <c r="U305" s="59">
        <f>IF(A305="","",IFERROR(IF(OR(INDEX('Bid-NoBid'!$U:$U,MATCH(A305,'Bid-NoBid'!$A:$A,0))="",LEFT(INDEX('Bid-NoBid'!$U:$U,MATCH(A305,'Bid-NoBid'!$A:$A,0)),10)="Incomplete"),"Screen: "&amp;AC305,INDEX('Bid-NoBid'!$U:$U,MATCH(A305,'Bid-NoBid'!$A:$A,0))),"Screen: "&amp;AC305))</f>
        <v/>
      </c>
      <c r="V305" s="60" t="n"/>
      <c r="W305" s="60" t="n"/>
      <c r="X305" s="60" t="n"/>
      <c r="Y305" s="60" t="n"/>
      <c r="Z305" s="60" t="n"/>
      <c r="AA305" s="65" t="n"/>
      <c r="AB305" s="66" t="n"/>
      <c r="AC305" s="66" t="n"/>
      <c r="AD305" s="66" t="n"/>
      <c r="AE305" s="67">
        <f>IF(ISNUMBER(Q305),ROUNDDOWN(Q305-NOW(),1),"")</f>
        <v/>
      </c>
      <c r="AF305" s="59">
        <f>IF(OR(A305="",AE305=""),"",IF(NOT(OR(W305="Watching",W305="Preparing")),"",IF(AE305&lt;0,"PASSED",IF(AND(AE305&lt;=7,W305&lt;&gt;"Preparing"),"RED",IF(AE305&lt;=14,"AMBER","GREEN")))))</f>
        <v/>
      </c>
      <c r="AG305" s="59">
        <f>IF(OR(A305="",NOT(OR(W305="Watching",W305="Preparing"))),"",IF(AND(ISNUMBER(M305),M305&gt;=3000000000),"YES – ≥ TZS 3bn",IF(AND(ISNUMBER(AE305),AE305&gt;=0,AE305&lt;10,V305=""),"YES – &lt;10 days","")))</f>
        <v/>
      </c>
      <c r="AH305" s="68" t="n"/>
      <c r="AI305" s="66" t="n"/>
      <c r="AJ305" s="66" t="n"/>
      <c r="AK305" s="66" t="n"/>
      <c r="AL305" s="59">
        <f>IF(AND(OR(W305="Watching",W305="Preparing"),ISNUMBER(Q305)),IF(AND(Q305&gt;='Friday Summary'!$C$4,Q305&lt;='Friday Summary'!$C$4+14),Q305+ROW()/1000000,""),"")</f>
        <v/>
      </c>
    </row>
    <row r="306" ht="15" customHeight="1" s="51">
      <c r="A306" s="59">
        <f>IF(B306="","","OP-"&amp;TEXT(ROW()-4,"000"))</f>
        <v/>
      </c>
      <c r="B306" s="60" t="n"/>
      <c r="C306" s="61" t="n"/>
      <c r="D306" s="60" t="n"/>
      <c r="E306" s="60" t="n"/>
      <c r="F306" s="60" t="n"/>
      <c r="G306" s="60" t="n"/>
      <c r="H306" s="60" t="n"/>
      <c r="I306" s="60" t="n"/>
      <c r="J306" s="60" t="n"/>
      <c r="K306" s="60" t="n"/>
      <c r="L306" s="60" t="n"/>
      <c r="M306" s="62" t="n"/>
      <c r="N306" s="60" t="n"/>
      <c r="O306" s="61" t="n"/>
      <c r="P306" s="61" t="n"/>
      <c r="Q306" s="63" t="n"/>
      <c r="R306" s="60" t="n"/>
      <c r="S306" s="60" t="n"/>
      <c r="T306" s="64">
        <f>IF(A306="","",IFERROR(INDEX('Bid-NoBid'!$T:$T,MATCH(A306,'Bid-NoBid'!$A:$A,0)),""))</f>
        <v/>
      </c>
      <c r="U306" s="59">
        <f>IF(A306="","",IFERROR(IF(OR(INDEX('Bid-NoBid'!$U:$U,MATCH(A306,'Bid-NoBid'!$A:$A,0))="",LEFT(INDEX('Bid-NoBid'!$U:$U,MATCH(A306,'Bid-NoBid'!$A:$A,0)),10)="Incomplete"),"Screen: "&amp;AC306,INDEX('Bid-NoBid'!$U:$U,MATCH(A306,'Bid-NoBid'!$A:$A,0))),"Screen: "&amp;AC306))</f>
        <v/>
      </c>
      <c r="V306" s="60" t="n"/>
      <c r="W306" s="60" t="n"/>
      <c r="X306" s="60" t="n"/>
      <c r="Y306" s="60" t="n"/>
      <c r="Z306" s="60" t="n"/>
      <c r="AA306" s="65" t="n"/>
      <c r="AB306" s="66" t="n"/>
      <c r="AC306" s="66" t="n"/>
      <c r="AD306" s="66" t="n"/>
      <c r="AE306" s="67">
        <f>IF(ISNUMBER(Q306),ROUNDDOWN(Q306-NOW(),1),"")</f>
        <v/>
      </c>
      <c r="AF306" s="59">
        <f>IF(OR(A306="",AE306=""),"",IF(NOT(OR(W306="Watching",W306="Preparing")),"",IF(AE306&lt;0,"PASSED",IF(AND(AE306&lt;=7,W306&lt;&gt;"Preparing"),"RED",IF(AE306&lt;=14,"AMBER","GREEN")))))</f>
        <v/>
      </c>
      <c r="AG306" s="59">
        <f>IF(OR(A306="",NOT(OR(W306="Watching",W306="Preparing"))),"",IF(AND(ISNUMBER(M306),M306&gt;=3000000000),"YES – ≥ TZS 3bn",IF(AND(ISNUMBER(AE306),AE306&gt;=0,AE306&lt;10,V306=""),"YES – &lt;10 days","")))</f>
        <v/>
      </c>
      <c r="AH306" s="68" t="n"/>
      <c r="AI306" s="66" t="n"/>
      <c r="AJ306" s="66" t="n"/>
      <c r="AK306" s="66" t="n"/>
      <c r="AL306" s="59">
        <f>IF(AND(OR(W306="Watching",W306="Preparing"),ISNUMBER(Q306)),IF(AND(Q306&gt;='Friday Summary'!$C$4,Q306&lt;='Friday Summary'!$C$4+14),Q306+ROW()/1000000,""),"")</f>
        <v/>
      </c>
    </row>
    <row r="307" ht="15" customHeight="1" s="51">
      <c r="A307" s="59">
        <f>IF(B307="","","OP-"&amp;TEXT(ROW()-4,"000"))</f>
        <v/>
      </c>
      <c r="B307" s="60" t="n"/>
      <c r="C307" s="61" t="n"/>
      <c r="D307" s="60" t="n"/>
      <c r="E307" s="60" t="n"/>
      <c r="F307" s="60" t="n"/>
      <c r="G307" s="60" t="n"/>
      <c r="H307" s="60" t="n"/>
      <c r="I307" s="60" t="n"/>
      <c r="J307" s="60" t="n"/>
      <c r="K307" s="60" t="n"/>
      <c r="L307" s="60" t="n"/>
      <c r="M307" s="62" t="n"/>
      <c r="N307" s="60" t="n"/>
      <c r="O307" s="61" t="n"/>
      <c r="P307" s="61" t="n"/>
      <c r="Q307" s="63" t="n"/>
      <c r="R307" s="60" t="n"/>
      <c r="S307" s="60" t="n"/>
      <c r="T307" s="64">
        <f>IF(A307="","",IFERROR(INDEX('Bid-NoBid'!$T:$T,MATCH(A307,'Bid-NoBid'!$A:$A,0)),""))</f>
        <v/>
      </c>
      <c r="U307" s="59">
        <f>IF(A307="","",IFERROR(IF(OR(INDEX('Bid-NoBid'!$U:$U,MATCH(A307,'Bid-NoBid'!$A:$A,0))="",LEFT(INDEX('Bid-NoBid'!$U:$U,MATCH(A307,'Bid-NoBid'!$A:$A,0)),10)="Incomplete"),"Screen: "&amp;AC307,INDEX('Bid-NoBid'!$U:$U,MATCH(A307,'Bid-NoBid'!$A:$A,0))),"Screen: "&amp;AC307))</f>
        <v/>
      </c>
      <c r="V307" s="60" t="n"/>
      <c r="W307" s="60" t="n"/>
      <c r="X307" s="60" t="n"/>
      <c r="Y307" s="60" t="n"/>
      <c r="Z307" s="60" t="n"/>
      <c r="AA307" s="65" t="n"/>
      <c r="AB307" s="66" t="n"/>
      <c r="AC307" s="66" t="n"/>
      <c r="AD307" s="66" t="n"/>
      <c r="AE307" s="67">
        <f>IF(ISNUMBER(Q307),ROUNDDOWN(Q307-NOW(),1),"")</f>
        <v/>
      </c>
      <c r="AF307" s="59">
        <f>IF(OR(A307="",AE307=""),"",IF(NOT(OR(W307="Watching",W307="Preparing")),"",IF(AE307&lt;0,"PASSED",IF(AND(AE307&lt;=7,W307&lt;&gt;"Preparing"),"RED",IF(AE307&lt;=14,"AMBER","GREEN")))))</f>
        <v/>
      </c>
      <c r="AG307" s="59">
        <f>IF(OR(A307="",NOT(OR(W307="Watching",W307="Preparing"))),"",IF(AND(ISNUMBER(M307),M307&gt;=3000000000),"YES – ≥ TZS 3bn",IF(AND(ISNUMBER(AE307),AE307&gt;=0,AE307&lt;10,V307=""),"YES – &lt;10 days","")))</f>
        <v/>
      </c>
      <c r="AH307" s="68" t="n"/>
      <c r="AI307" s="66" t="n"/>
      <c r="AJ307" s="66" t="n"/>
      <c r="AK307" s="66" t="n"/>
      <c r="AL307" s="59">
        <f>IF(AND(OR(W307="Watching",W307="Preparing"),ISNUMBER(Q307)),IF(AND(Q307&gt;='Friday Summary'!$C$4,Q307&lt;='Friday Summary'!$C$4+14),Q307+ROW()/1000000,""),"")</f>
        <v/>
      </c>
    </row>
    <row r="308" ht="15" customHeight="1" s="51">
      <c r="A308" s="59">
        <f>IF(B308="","","OP-"&amp;TEXT(ROW()-4,"000"))</f>
        <v/>
      </c>
      <c r="B308" s="60" t="n"/>
      <c r="C308" s="61" t="n"/>
      <c r="D308" s="60" t="n"/>
      <c r="E308" s="60" t="n"/>
      <c r="F308" s="60" t="n"/>
      <c r="G308" s="60" t="n"/>
      <c r="H308" s="60" t="n"/>
      <c r="I308" s="60" t="n"/>
      <c r="J308" s="60" t="n"/>
      <c r="K308" s="60" t="n"/>
      <c r="L308" s="60" t="n"/>
      <c r="M308" s="62" t="n"/>
      <c r="N308" s="60" t="n"/>
      <c r="O308" s="61" t="n"/>
      <c r="P308" s="61" t="n"/>
      <c r="Q308" s="63" t="n"/>
      <c r="R308" s="60" t="n"/>
      <c r="S308" s="60" t="n"/>
      <c r="T308" s="64">
        <f>IF(A308="","",IFERROR(INDEX('Bid-NoBid'!$T:$T,MATCH(A308,'Bid-NoBid'!$A:$A,0)),""))</f>
        <v/>
      </c>
      <c r="U308" s="59">
        <f>IF(A308="","",IFERROR(IF(OR(INDEX('Bid-NoBid'!$U:$U,MATCH(A308,'Bid-NoBid'!$A:$A,0))="",LEFT(INDEX('Bid-NoBid'!$U:$U,MATCH(A308,'Bid-NoBid'!$A:$A,0)),10)="Incomplete"),"Screen: "&amp;AC308,INDEX('Bid-NoBid'!$U:$U,MATCH(A308,'Bid-NoBid'!$A:$A,0))),"Screen: "&amp;AC308))</f>
        <v/>
      </c>
      <c r="V308" s="60" t="n"/>
      <c r="W308" s="60" t="n"/>
      <c r="X308" s="60" t="n"/>
      <c r="Y308" s="60" t="n"/>
      <c r="Z308" s="60" t="n"/>
      <c r="AA308" s="65" t="n"/>
      <c r="AB308" s="66" t="n"/>
      <c r="AC308" s="66" t="n"/>
      <c r="AD308" s="66" t="n"/>
      <c r="AE308" s="67">
        <f>IF(ISNUMBER(Q308),ROUNDDOWN(Q308-NOW(),1),"")</f>
        <v/>
      </c>
      <c r="AF308" s="59">
        <f>IF(OR(A308="",AE308=""),"",IF(NOT(OR(W308="Watching",W308="Preparing")),"",IF(AE308&lt;0,"PASSED",IF(AND(AE308&lt;=7,W308&lt;&gt;"Preparing"),"RED",IF(AE308&lt;=14,"AMBER","GREEN")))))</f>
        <v/>
      </c>
      <c r="AG308" s="59">
        <f>IF(OR(A308="",NOT(OR(W308="Watching",W308="Preparing"))),"",IF(AND(ISNUMBER(M308),M308&gt;=3000000000),"YES – ≥ TZS 3bn",IF(AND(ISNUMBER(AE308),AE308&gt;=0,AE308&lt;10,V308=""),"YES – &lt;10 days","")))</f>
        <v/>
      </c>
      <c r="AH308" s="68" t="n"/>
      <c r="AI308" s="66" t="n"/>
      <c r="AJ308" s="66" t="n"/>
      <c r="AK308" s="66" t="n"/>
      <c r="AL308" s="59">
        <f>IF(AND(OR(W308="Watching",W308="Preparing"),ISNUMBER(Q308)),IF(AND(Q308&gt;='Friday Summary'!$C$4,Q308&lt;='Friday Summary'!$C$4+14),Q308+ROW()/1000000,""),"")</f>
        <v/>
      </c>
    </row>
    <row r="309" ht="15" customHeight="1" s="51">
      <c r="A309" s="59">
        <f>IF(B309="","","OP-"&amp;TEXT(ROW()-4,"000"))</f>
        <v/>
      </c>
      <c r="B309" s="60" t="n"/>
      <c r="C309" s="61" t="n"/>
      <c r="D309" s="60" t="n"/>
      <c r="E309" s="60" t="n"/>
      <c r="F309" s="60" t="n"/>
      <c r="G309" s="60" t="n"/>
      <c r="H309" s="60" t="n"/>
      <c r="I309" s="60" t="n"/>
      <c r="J309" s="60" t="n"/>
      <c r="K309" s="60" t="n"/>
      <c r="L309" s="60" t="n"/>
      <c r="M309" s="62" t="n"/>
      <c r="N309" s="60" t="n"/>
      <c r="O309" s="61" t="n"/>
      <c r="P309" s="61" t="n"/>
      <c r="Q309" s="63" t="n"/>
      <c r="R309" s="60" t="n"/>
      <c r="S309" s="60" t="n"/>
      <c r="T309" s="64">
        <f>IF(A309="","",IFERROR(INDEX('Bid-NoBid'!$T:$T,MATCH(A309,'Bid-NoBid'!$A:$A,0)),""))</f>
        <v/>
      </c>
      <c r="U309" s="59">
        <f>IF(A309="","",IFERROR(IF(OR(INDEX('Bid-NoBid'!$U:$U,MATCH(A309,'Bid-NoBid'!$A:$A,0))="",LEFT(INDEX('Bid-NoBid'!$U:$U,MATCH(A309,'Bid-NoBid'!$A:$A,0)),10)="Incomplete"),"Screen: "&amp;AC309,INDEX('Bid-NoBid'!$U:$U,MATCH(A309,'Bid-NoBid'!$A:$A,0))),"Screen: "&amp;AC309))</f>
        <v/>
      </c>
      <c r="V309" s="60" t="n"/>
      <c r="W309" s="60" t="n"/>
      <c r="X309" s="60" t="n"/>
      <c r="Y309" s="60" t="n"/>
      <c r="Z309" s="60" t="n"/>
      <c r="AA309" s="65" t="n"/>
      <c r="AB309" s="66" t="n"/>
      <c r="AC309" s="66" t="n"/>
      <c r="AD309" s="66" t="n"/>
      <c r="AE309" s="67">
        <f>IF(ISNUMBER(Q309),ROUNDDOWN(Q309-NOW(),1),"")</f>
        <v/>
      </c>
      <c r="AF309" s="59">
        <f>IF(OR(A309="",AE309=""),"",IF(NOT(OR(W309="Watching",W309="Preparing")),"",IF(AE309&lt;0,"PASSED",IF(AND(AE309&lt;=7,W309&lt;&gt;"Preparing"),"RED",IF(AE309&lt;=14,"AMBER","GREEN")))))</f>
        <v/>
      </c>
      <c r="AG309" s="59">
        <f>IF(OR(A309="",NOT(OR(W309="Watching",W309="Preparing"))),"",IF(AND(ISNUMBER(M309),M309&gt;=3000000000),"YES – ≥ TZS 3bn",IF(AND(ISNUMBER(AE309),AE309&gt;=0,AE309&lt;10,V309=""),"YES – &lt;10 days","")))</f>
        <v/>
      </c>
      <c r="AH309" s="68" t="n"/>
      <c r="AI309" s="66" t="n"/>
      <c r="AJ309" s="66" t="n"/>
      <c r="AK309" s="66" t="n"/>
      <c r="AL309" s="59">
        <f>IF(AND(OR(W309="Watching",W309="Preparing"),ISNUMBER(Q309)),IF(AND(Q309&gt;='Friday Summary'!$C$4,Q309&lt;='Friday Summary'!$C$4+14),Q309+ROW()/1000000,""),"")</f>
        <v/>
      </c>
    </row>
    <row r="310" ht="15" customHeight="1" s="51">
      <c r="A310" s="59">
        <f>IF(B310="","","OP-"&amp;TEXT(ROW()-4,"000"))</f>
        <v/>
      </c>
      <c r="B310" s="60" t="n"/>
      <c r="C310" s="61" t="n"/>
      <c r="D310" s="60" t="n"/>
      <c r="E310" s="60" t="n"/>
      <c r="F310" s="60" t="n"/>
      <c r="G310" s="60" t="n"/>
      <c r="H310" s="60" t="n"/>
      <c r="I310" s="60" t="n"/>
      <c r="J310" s="60" t="n"/>
      <c r="K310" s="60" t="n"/>
      <c r="L310" s="60" t="n"/>
      <c r="M310" s="62" t="n"/>
      <c r="N310" s="60" t="n"/>
      <c r="O310" s="61" t="n"/>
      <c r="P310" s="61" t="n"/>
      <c r="Q310" s="63" t="n"/>
      <c r="R310" s="60" t="n"/>
      <c r="S310" s="60" t="n"/>
      <c r="T310" s="64">
        <f>IF(A310="","",IFERROR(INDEX('Bid-NoBid'!$T:$T,MATCH(A310,'Bid-NoBid'!$A:$A,0)),""))</f>
        <v/>
      </c>
      <c r="U310" s="59">
        <f>IF(A310="","",IFERROR(IF(OR(INDEX('Bid-NoBid'!$U:$U,MATCH(A310,'Bid-NoBid'!$A:$A,0))="",LEFT(INDEX('Bid-NoBid'!$U:$U,MATCH(A310,'Bid-NoBid'!$A:$A,0)),10)="Incomplete"),"Screen: "&amp;AC310,INDEX('Bid-NoBid'!$U:$U,MATCH(A310,'Bid-NoBid'!$A:$A,0))),"Screen: "&amp;AC310))</f>
        <v/>
      </c>
      <c r="V310" s="60" t="n"/>
      <c r="W310" s="60" t="n"/>
      <c r="X310" s="60" t="n"/>
      <c r="Y310" s="60" t="n"/>
      <c r="Z310" s="60" t="n"/>
      <c r="AA310" s="65" t="n"/>
      <c r="AB310" s="66" t="n"/>
      <c r="AC310" s="66" t="n"/>
      <c r="AD310" s="66" t="n"/>
      <c r="AE310" s="67">
        <f>IF(ISNUMBER(Q310),ROUNDDOWN(Q310-NOW(),1),"")</f>
        <v/>
      </c>
      <c r="AF310" s="59">
        <f>IF(OR(A310="",AE310=""),"",IF(NOT(OR(W310="Watching",W310="Preparing")),"",IF(AE310&lt;0,"PASSED",IF(AND(AE310&lt;=7,W310&lt;&gt;"Preparing"),"RED",IF(AE310&lt;=14,"AMBER","GREEN")))))</f>
        <v/>
      </c>
      <c r="AG310" s="59">
        <f>IF(OR(A310="",NOT(OR(W310="Watching",W310="Preparing"))),"",IF(AND(ISNUMBER(M310),M310&gt;=3000000000),"YES – ≥ TZS 3bn",IF(AND(ISNUMBER(AE310),AE310&gt;=0,AE310&lt;10,V310=""),"YES – &lt;10 days","")))</f>
        <v/>
      </c>
      <c r="AH310" s="68" t="n"/>
      <c r="AI310" s="66" t="n"/>
      <c r="AJ310" s="66" t="n"/>
      <c r="AK310" s="66" t="n"/>
      <c r="AL310" s="59">
        <f>IF(AND(OR(W310="Watching",W310="Preparing"),ISNUMBER(Q310)),IF(AND(Q310&gt;='Friday Summary'!$C$4,Q310&lt;='Friday Summary'!$C$4+14),Q310+ROW()/1000000,""),"")</f>
        <v/>
      </c>
    </row>
    <row r="311" ht="15" customHeight="1" s="51">
      <c r="A311" s="59">
        <f>IF(B311="","","OP-"&amp;TEXT(ROW()-4,"000"))</f>
        <v/>
      </c>
      <c r="B311" s="60" t="n"/>
      <c r="C311" s="61" t="n"/>
      <c r="D311" s="60" t="n"/>
      <c r="E311" s="60" t="n"/>
      <c r="F311" s="60" t="n"/>
      <c r="G311" s="60" t="n"/>
      <c r="H311" s="60" t="n"/>
      <c r="I311" s="60" t="n"/>
      <c r="J311" s="60" t="n"/>
      <c r="K311" s="60" t="n"/>
      <c r="L311" s="60" t="n"/>
      <c r="M311" s="62" t="n"/>
      <c r="N311" s="60" t="n"/>
      <c r="O311" s="61" t="n"/>
      <c r="P311" s="61" t="n"/>
      <c r="Q311" s="63" t="n"/>
      <c r="R311" s="60" t="n"/>
      <c r="S311" s="60" t="n"/>
      <c r="T311" s="64">
        <f>IF(A311="","",IFERROR(INDEX('Bid-NoBid'!$T:$T,MATCH(A311,'Bid-NoBid'!$A:$A,0)),""))</f>
        <v/>
      </c>
      <c r="U311" s="59">
        <f>IF(A311="","",IFERROR(IF(OR(INDEX('Bid-NoBid'!$U:$U,MATCH(A311,'Bid-NoBid'!$A:$A,0))="",LEFT(INDEX('Bid-NoBid'!$U:$U,MATCH(A311,'Bid-NoBid'!$A:$A,0)),10)="Incomplete"),"Screen: "&amp;AC311,INDEX('Bid-NoBid'!$U:$U,MATCH(A311,'Bid-NoBid'!$A:$A,0))),"Screen: "&amp;AC311))</f>
        <v/>
      </c>
      <c r="V311" s="60" t="n"/>
      <c r="W311" s="60" t="n"/>
      <c r="X311" s="60" t="n"/>
      <c r="Y311" s="60" t="n"/>
      <c r="Z311" s="60" t="n"/>
      <c r="AA311" s="65" t="n"/>
      <c r="AB311" s="66" t="n"/>
      <c r="AC311" s="66" t="n"/>
      <c r="AD311" s="66" t="n"/>
      <c r="AE311" s="67">
        <f>IF(ISNUMBER(Q311),ROUNDDOWN(Q311-NOW(),1),"")</f>
        <v/>
      </c>
      <c r="AF311" s="59">
        <f>IF(OR(A311="",AE311=""),"",IF(NOT(OR(W311="Watching",W311="Preparing")),"",IF(AE311&lt;0,"PASSED",IF(AND(AE311&lt;=7,W311&lt;&gt;"Preparing"),"RED",IF(AE311&lt;=14,"AMBER","GREEN")))))</f>
        <v/>
      </c>
      <c r="AG311" s="59">
        <f>IF(OR(A311="",NOT(OR(W311="Watching",W311="Preparing"))),"",IF(AND(ISNUMBER(M311),M311&gt;=3000000000),"YES – ≥ TZS 3bn",IF(AND(ISNUMBER(AE311),AE311&gt;=0,AE311&lt;10,V311=""),"YES – &lt;10 days","")))</f>
        <v/>
      </c>
      <c r="AH311" s="68" t="n"/>
      <c r="AI311" s="66" t="n"/>
      <c r="AJ311" s="66" t="n"/>
      <c r="AK311" s="66" t="n"/>
      <c r="AL311" s="59">
        <f>IF(AND(OR(W311="Watching",W311="Preparing"),ISNUMBER(Q311)),IF(AND(Q311&gt;='Friday Summary'!$C$4,Q311&lt;='Friday Summary'!$C$4+14),Q311+ROW()/1000000,""),"")</f>
        <v/>
      </c>
    </row>
    <row r="312" ht="15" customHeight="1" s="51">
      <c r="A312" s="59">
        <f>IF(B312="","","OP-"&amp;TEXT(ROW()-4,"000"))</f>
        <v/>
      </c>
      <c r="B312" s="60" t="n"/>
      <c r="C312" s="61" t="n"/>
      <c r="D312" s="60" t="n"/>
      <c r="E312" s="60" t="n"/>
      <c r="F312" s="60" t="n"/>
      <c r="G312" s="60" t="n"/>
      <c r="H312" s="60" t="n"/>
      <c r="I312" s="60" t="n"/>
      <c r="J312" s="60" t="n"/>
      <c r="K312" s="60" t="n"/>
      <c r="L312" s="60" t="n"/>
      <c r="M312" s="62" t="n"/>
      <c r="N312" s="60" t="n"/>
      <c r="O312" s="61" t="n"/>
      <c r="P312" s="61" t="n"/>
      <c r="Q312" s="63" t="n"/>
      <c r="R312" s="60" t="n"/>
      <c r="S312" s="60" t="n"/>
      <c r="T312" s="64">
        <f>IF(A312="","",IFERROR(INDEX('Bid-NoBid'!$T:$T,MATCH(A312,'Bid-NoBid'!$A:$A,0)),""))</f>
        <v/>
      </c>
      <c r="U312" s="59">
        <f>IF(A312="","",IFERROR(IF(OR(INDEX('Bid-NoBid'!$U:$U,MATCH(A312,'Bid-NoBid'!$A:$A,0))="",LEFT(INDEX('Bid-NoBid'!$U:$U,MATCH(A312,'Bid-NoBid'!$A:$A,0)),10)="Incomplete"),"Screen: "&amp;AC312,INDEX('Bid-NoBid'!$U:$U,MATCH(A312,'Bid-NoBid'!$A:$A,0))),"Screen: "&amp;AC312))</f>
        <v/>
      </c>
      <c r="V312" s="60" t="n"/>
      <c r="W312" s="60" t="n"/>
      <c r="X312" s="60" t="n"/>
      <c r="Y312" s="60" t="n"/>
      <c r="Z312" s="60" t="n"/>
      <c r="AA312" s="65" t="n"/>
      <c r="AB312" s="66" t="n"/>
      <c r="AC312" s="66" t="n"/>
      <c r="AD312" s="66" t="n"/>
      <c r="AE312" s="67">
        <f>IF(ISNUMBER(Q312),ROUNDDOWN(Q312-NOW(),1),"")</f>
        <v/>
      </c>
      <c r="AF312" s="59">
        <f>IF(OR(A312="",AE312=""),"",IF(NOT(OR(W312="Watching",W312="Preparing")),"",IF(AE312&lt;0,"PASSED",IF(AND(AE312&lt;=7,W312&lt;&gt;"Preparing"),"RED",IF(AE312&lt;=14,"AMBER","GREEN")))))</f>
        <v/>
      </c>
      <c r="AG312" s="59">
        <f>IF(OR(A312="",NOT(OR(W312="Watching",W312="Preparing"))),"",IF(AND(ISNUMBER(M312),M312&gt;=3000000000),"YES – ≥ TZS 3bn",IF(AND(ISNUMBER(AE312),AE312&gt;=0,AE312&lt;10,V312=""),"YES – &lt;10 days","")))</f>
        <v/>
      </c>
      <c r="AH312" s="68" t="n"/>
      <c r="AI312" s="66" t="n"/>
      <c r="AJ312" s="66" t="n"/>
      <c r="AK312" s="66" t="n"/>
      <c r="AL312" s="59">
        <f>IF(AND(OR(W312="Watching",W312="Preparing"),ISNUMBER(Q312)),IF(AND(Q312&gt;='Friday Summary'!$C$4,Q312&lt;='Friday Summary'!$C$4+14),Q312+ROW()/1000000,""),"")</f>
        <v/>
      </c>
    </row>
    <row r="313" ht="15" customHeight="1" s="51">
      <c r="A313" s="59">
        <f>IF(B313="","","OP-"&amp;TEXT(ROW()-4,"000"))</f>
        <v/>
      </c>
      <c r="B313" s="60" t="n"/>
      <c r="C313" s="61" t="n"/>
      <c r="D313" s="60" t="n"/>
      <c r="E313" s="60" t="n"/>
      <c r="F313" s="60" t="n"/>
      <c r="G313" s="60" t="n"/>
      <c r="H313" s="60" t="n"/>
      <c r="I313" s="60" t="n"/>
      <c r="J313" s="60" t="n"/>
      <c r="K313" s="60" t="n"/>
      <c r="L313" s="60" t="n"/>
      <c r="M313" s="62" t="n"/>
      <c r="N313" s="60" t="n"/>
      <c r="O313" s="61" t="n"/>
      <c r="P313" s="61" t="n"/>
      <c r="Q313" s="63" t="n"/>
      <c r="R313" s="60" t="n"/>
      <c r="S313" s="60" t="n"/>
      <c r="T313" s="64">
        <f>IF(A313="","",IFERROR(INDEX('Bid-NoBid'!$T:$T,MATCH(A313,'Bid-NoBid'!$A:$A,0)),""))</f>
        <v/>
      </c>
      <c r="U313" s="59">
        <f>IF(A313="","",IFERROR(IF(OR(INDEX('Bid-NoBid'!$U:$U,MATCH(A313,'Bid-NoBid'!$A:$A,0))="",LEFT(INDEX('Bid-NoBid'!$U:$U,MATCH(A313,'Bid-NoBid'!$A:$A,0)),10)="Incomplete"),"Screen: "&amp;AC313,INDEX('Bid-NoBid'!$U:$U,MATCH(A313,'Bid-NoBid'!$A:$A,0))),"Screen: "&amp;AC313))</f>
        <v/>
      </c>
      <c r="V313" s="60" t="n"/>
      <c r="W313" s="60" t="n"/>
      <c r="X313" s="60" t="n"/>
      <c r="Y313" s="60" t="n"/>
      <c r="Z313" s="60" t="n"/>
      <c r="AA313" s="65" t="n"/>
      <c r="AB313" s="66" t="n"/>
      <c r="AC313" s="66" t="n"/>
      <c r="AD313" s="66" t="n"/>
      <c r="AE313" s="67">
        <f>IF(ISNUMBER(Q313),ROUNDDOWN(Q313-NOW(),1),"")</f>
        <v/>
      </c>
      <c r="AF313" s="59">
        <f>IF(OR(A313="",AE313=""),"",IF(NOT(OR(W313="Watching",W313="Preparing")),"",IF(AE313&lt;0,"PASSED",IF(AND(AE313&lt;=7,W313&lt;&gt;"Preparing"),"RED",IF(AE313&lt;=14,"AMBER","GREEN")))))</f>
        <v/>
      </c>
      <c r="AG313" s="59">
        <f>IF(OR(A313="",NOT(OR(W313="Watching",W313="Preparing"))),"",IF(AND(ISNUMBER(M313),M313&gt;=3000000000),"YES – ≥ TZS 3bn",IF(AND(ISNUMBER(AE313),AE313&gt;=0,AE313&lt;10,V313=""),"YES – &lt;10 days","")))</f>
        <v/>
      </c>
      <c r="AH313" s="68" t="n"/>
      <c r="AI313" s="66" t="n"/>
      <c r="AJ313" s="66" t="n"/>
      <c r="AK313" s="66" t="n"/>
      <c r="AL313" s="59">
        <f>IF(AND(OR(W313="Watching",W313="Preparing"),ISNUMBER(Q313)),IF(AND(Q313&gt;='Friday Summary'!$C$4,Q313&lt;='Friday Summary'!$C$4+14),Q313+ROW()/1000000,""),"")</f>
        <v/>
      </c>
    </row>
    <row r="314" ht="15" customHeight="1" s="51">
      <c r="A314" s="59">
        <f>IF(B314="","","OP-"&amp;TEXT(ROW()-4,"000"))</f>
        <v/>
      </c>
      <c r="B314" s="60" t="n"/>
      <c r="C314" s="61" t="n"/>
      <c r="D314" s="60" t="n"/>
      <c r="E314" s="60" t="n"/>
      <c r="F314" s="60" t="n"/>
      <c r="G314" s="60" t="n"/>
      <c r="H314" s="60" t="n"/>
      <c r="I314" s="60" t="n"/>
      <c r="J314" s="60" t="n"/>
      <c r="K314" s="60" t="n"/>
      <c r="L314" s="60" t="n"/>
      <c r="M314" s="62" t="n"/>
      <c r="N314" s="60" t="n"/>
      <c r="O314" s="61" t="n"/>
      <c r="P314" s="61" t="n"/>
      <c r="Q314" s="63" t="n"/>
      <c r="R314" s="60" t="n"/>
      <c r="S314" s="60" t="n"/>
      <c r="T314" s="64">
        <f>IF(A314="","",IFERROR(INDEX('Bid-NoBid'!$T:$T,MATCH(A314,'Bid-NoBid'!$A:$A,0)),""))</f>
        <v/>
      </c>
      <c r="U314" s="59">
        <f>IF(A314="","",IFERROR(IF(OR(INDEX('Bid-NoBid'!$U:$U,MATCH(A314,'Bid-NoBid'!$A:$A,0))="",LEFT(INDEX('Bid-NoBid'!$U:$U,MATCH(A314,'Bid-NoBid'!$A:$A,0)),10)="Incomplete"),"Screen: "&amp;AC314,INDEX('Bid-NoBid'!$U:$U,MATCH(A314,'Bid-NoBid'!$A:$A,0))),"Screen: "&amp;AC314))</f>
        <v/>
      </c>
      <c r="V314" s="60" t="n"/>
      <c r="W314" s="60" t="n"/>
      <c r="X314" s="60" t="n"/>
      <c r="Y314" s="60" t="n"/>
      <c r="Z314" s="60" t="n"/>
      <c r="AA314" s="65" t="n"/>
      <c r="AB314" s="66" t="n"/>
      <c r="AC314" s="66" t="n"/>
      <c r="AD314" s="66" t="n"/>
      <c r="AE314" s="67">
        <f>IF(ISNUMBER(Q314),ROUNDDOWN(Q314-NOW(),1),"")</f>
        <v/>
      </c>
      <c r="AF314" s="59">
        <f>IF(OR(A314="",AE314=""),"",IF(NOT(OR(W314="Watching",W314="Preparing")),"",IF(AE314&lt;0,"PASSED",IF(AND(AE314&lt;=7,W314&lt;&gt;"Preparing"),"RED",IF(AE314&lt;=14,"AMBER","GREEN")))))</f>
        <v/>
      </c>
      <c r="AG314" s="59">
        <f>IF(OR(A314="",NOT(OR(W314="Watching",W314="Preparing"))),"",IF(AND(ISNUMBER(M314),M314&gt;=3000000000),"YES – ≥ TZS 3bn",IF(AND(ISNUMBER(AE314),AE314&gt;=0,AE314&lt;10,V314=""),"YES – &lt;10 days","")))</f>
        <v/>
      </c>
      <c r="AH314" s="68" t="n"/>
      <c r="AI314" s="66" t="n"/>
      <c r="AJ314" s="66" t="n"/>
      <c r="AK314" s="66" t="n"/>
      <c r="AL314" s="59">
        <f>IF(AND(OR(W314="Watching",W314="Preparing"),ISNUMBER(Q314)),IF(AND(Q314&gt;='Friday Summary'!$C$4,Q314&lt;='Friday Summary'!$C$4+14),Q314+ROW()/1000000,""),"")</f>
        <v/>
      </c>
    </row>
    <row r="315" ht="15" customHeight="1" s="51">
      <c r="A315" s="59">
        <f>IF(B315="","","OP-"&amp;TEXT(ROW()-4,"000"))</f>
        <v/>
      </c>
      <c r="B315" s="60" t="n"/>
      <c r="C315" s="61" t="n"/>
      <c r="D315" s="60" t="n"/>
      <c r="E315" s="60" t="n"/>
      <c r="F315" s="60" t="n"/>
      <c r="G315" s="60" t="n"/>
      <c r="H315" s="60" t="n"/>
      <c r="I315" s="60" t="n"/>
      <c r="J315" s="60" t="n"/>
      <c r="K315" s="60" t="n"/>
      <c r="L315" s="60" t="n"/>
      <c r="M315" s="62" t="n"/>
      <c r="N315" s="60" t="n"/>
      <c r="O315" s="61" t="n"/>
      <c r="P315" s="61" t="n"/>
      <c r="Q315" s="63" t="n"/>
      <c r="R315" s="60" t="n"/>
      <c r="S315" s="60" t="n"/>
      <c r="T315" s="64">
        <f>IF(A315="","",IFERROR(INDEX('Bid-NoBid'!$T:$T,MATCH(A315,'Bid-NoBid'!$A:$A,0)),""))</f>
        <v/>
      </c>
      <c r="U315" s="59">
        <f>IF(A315="","",IFERROR(IF(OR(INDEX('Bid-NoBid'!$U:$U,MATCH(A315,'Bid-NoBid'!$A:$A,0))="",LEFT(INDEX('Bid-NoBid'!$U:$U,MATCH(A315,'Bid-NoBid'!$A:$A,0)),10)="Incomplete"),"Screen: "&amp;AC315,INDEX('Bid-NoBid'!$U:$U,MATCH(A315,'Bid-NoBid'!$A:$A,0))),"Screen: "&amp;AC315))</f>
        <v/>
      </c>
      <c r="V315" s="60" t="n"/>
      <c r="W315" s="60" t="n"/>
      <c r="X315" s="60" t="n"/>
      <c r="Y315" s="60" t="n"/>
      <c r="Z315" s="60" t="n"/>
      <c r="AA315" s="65" t="n"/>
      <c r="AB315" s="66" t="n"/>
      <c r="AC315" s="66" t="n"/>
      <c r="AD315" s="66" t="n"/>
      <c r="AE315" s="67">
        <f>IF(ISNUMBER(Q315),ROUNDDOWN(Q315-NOW(),1),"")</f>
        <v/>
      </c>
      <c r="AF315" s="59">
        <f>IF(OR(A315="",AE315=""),"",IF(NOT(OR(W315="Watching",W315="Preparing")),"",IF(AE315&lt;0,"PASSED",IF(AND(AE315&lt;=7,W315&lt;&gt;"Preparing"),"RED",IF(AE315&lt;=14,"AMBER","GREEN")))))</f>
        <v/>
      </c>
      <c r="AG315" s="59">
        <f>IF(OR(A315="",NOT(OR(W315="Watching",W315="Preparing"))),"",IF(AND(ISNUMBER(M315),M315&gt;=3000000000),"YES – ≥ TZS 3bn",IF(AND(ISNUMBER(AE315),AE315&gt;=0,AE315&lt;10,V315=""),"YES – &lt;10 days","")))</f>
        <v/>
      </c>
      <c r="AH315" s="68" t="n"/>
      <c r="AI315" s="66" t="n"/>
      <c r="AJ315" s="66" t="n"/>
      <c r="AK315" s="66" t="n"/>
      <c r="AL315" s="59">
        <f>IF(AND(OR(W315="Watching",W315="Preparing"),ISNUMBER(Q315)),IF(AND(Q315&gt;='Friday Summary'!$C$4,Q315&lt;='Friday Summary'!$C$4+14),Q315+ROW()/1000000,""),"")</f>
        <v/>
      </c>
    </row>
    <row r="316" ht="15" customHeight="1" s="51">
      <c r="A316" s="59">
        <f>IF(B316="","","OP-"&amp;TEXT(ROW()-4,"000"))</f>
        <v/>
      </c>
      <c r="B316" s="60" t="n"/>
      <c r="C316" s="61" t="n"/>
      <c r="D316" s="60" t="n"/>
      <c r="E316" s="60" t="n"/>
      <c r="F316" s="60" t="n"/>
      <c r="G316" s="60" t="n"/>
      <c r="H316" s="60" t="n"/>
      <c r="I316" s="60" t="n"/>
      <c r="J316" s="60" t="n"/>
      <c r="K316" s="60" t="n"/>
      <c r="L316" s="60" t="n"/>
      <c r="M316" s="62" t="n"/>
      <c r="N316" s="60" t="n"/>
      <c r="O316" s="61" t="n"/>
      <c r="P316" s="61" t="n"/>
      <c r="Q316" s="63" t="n"/>
      <c r="R316" s="60" t="n"/>
      <c r="S316" s="60" t="n"/>
      <c r="T316" s="64">
        <f>IF(A316="","",IFERROR(INDEX('Bid-NoBid'!$T:$T,MATCH(A316,'Bid-NoBid'!$A:$A,0)),""))</f>
        <v/>
      </c>
      <c r="U316" s="59">
        <f>IF(A316="","",IFERROR(IF(OR(INDEX('Bid-NoBid'!$U:$U,MATCH(A316,'Bid-NoBid'!$A:$A,0))="",LEFT(INDEX('Bid-NoBid'!$U:$U,MATCH(A316,'Bid-NoBid'!$A:$A,0)),10)="Incomplete"),"Screen: "&amp;AC316,INDEX('Bid-NoBid'!$U:$U,MATCH(A316,'Bid-NoBid'!$A:$A,0))),"Screen: "&amp;AC316))</f>
        <v/>
      </c>
      <c r="V316" s="60" t="n"/>
      <c r="W316" s="60" t="n"/>
      <c r="X316" s="60" t="n"/>
      <c r="Y316" s="60" t="n"/>
      <c r="Z316" s="60" t="n"/>
      <c r="AA316" s="65" t="n"/>
      <c r="AB316" s="66" t="n"/>
      <c r="AC316" s="66" t="n"/>
      <c r="AD316" s="66" t="n"/>
      <c r="AE316" s="67">
        <f>IF(ISNUMBER(Q316),ROUNDDOWN(Q316-NOW(),1),"")</f>
        <v/>
      </c>
      <c r="AF316" s="59">
        <f>IF(OR(A316="",AE316=""),"",IF(NOT(OR(W316="Watching",W316="Preparing")),"",IF(AE316&lt;0,"PASSED",IF(AND(AE316&lt;=7,W316&lt;&gt;"Preparing"),"RED",IF(AE316&lt;=14,"AMBER","GREEN")))))</f>
        <v/>
      </c>
      <c r="AG316" s="59">
        <f>IF(OR(A316="",NOT(OR(W316="Watching",W316="Preparing"))),"",IF(AND(ISNUMBER(M316),M316&gt;=3000000000),"YES – ≥ TZS 3bn",IF(AND(ISNUMBER(AE316),AE316&gt;=0,AE316&lt;10,V316=""),"YES – &lt;10 days","")))</f>
        <v/>
      </c>
      <c r="AH316" s="68" t="n"/>
      <c r="AI316" s="66" t="n"/>
      <c r="AJ316" s="66" t="n"/>
      <c r="AK316" s="66" t="n"/>
      <c r="AL316" s="59">
        <f>IF(AND(OR(W316="Watching",W316="Preparing"),ISNUMBER(Q316)),IF(AND(Q316&gt;='Friday Summary'!$C$4,Q316&lt;='Friday Summary'!$C$4+14),Q316+ROW()/1000000,""),"")</f>
        <v/>
      </c>
    </row>
    <row r="317" ht="15" customHeight="1" s="51">
      <c r="A317" s="59">
        <f>IF(B317="","","OP-"&amp;TEXT(ROW()-4,"000"))</f>
        <v/>
      </c>
      <c r="B317" s="60" t="n"/>
      <c r="C317" s="61" t="n"/>
      <c r="D317" s="60" t="n"/>
      <c r="E317" s="60" t="n"/>
      <c r="F317" s="60" t="n"/>
      <c r="G317" s="60" t="n"/>
      <c r="H317" s="60" t="n"/>
      <c r="I317" s="60" t="n"/>
      <c r="J317" s="60" t="n"/>
      <c r="K317" s="60" t="n"/>
      <c r="L317" s="60" t="n"/>
      <c r="M317" s="62" t="n"/>
      <c r="N317" s="60" t="n"/>
      <c r="O317" s="61" t="n"/>
      <c r="P317" s="61" t="n"/>
      <c r="Q317" s="63" t="n"/>
      <c r="R317" s="60" t="n"/>
      <c r="S317" s="60" t="n"/>
      <c r="T317" s="64">
        <f>IF(A317="","",IFERROR(INDEX('Bid-NoBid'!$T:$T,MATCH(A317,'Bid-NoBid'!$A:$A,0)),""))</f>
        <v/>
      </c>
      <c r="U317" s="59">
        <f>IF(A317="","",IFERROR(IF(OR(INDEX('Bid-NoBid'!$U:$U,MATCH(A317,'Bid-NoBid'!$A:$A,0))="",LEFT(INDEX('Bid-NoBid'!$U:$U,MATCH(A317,'Bid-NoBid'!$A:$A,0)),10)="Incomplete"),"Screen: "&amp;AC317,INDEX('Bid-NoBid'!$U:$U,MATCH(A317,'Bid-NoBid'!$A:$A,0))),"Screen: "&amp;AC317))</f>
        <v/>
      </c>
      <c r="V317" s="60" t="n"/>
      <c r="W317" s="60" t="n"/>
      <c r="X317" s="60" t="n"/>
      <c r="Y317" s="60" t="n"/>
      <c r="Z317" s="60" t="n"/>
      <c r="AA317" s="65" t="n"/>
      <c r="AB317" s="66" t="n"/>
      <c r="AC317" s="66" t="n"/>
      <c r="AD317" s="66" t="n"/>
      <c r="AE317" s="67">
        <f>IF(ISNUMBER(Q317),ROUNDDOWN(Q317-NOW(),1),"")</f>
        <v/>
      </c>
      <c r="AF317" s="59">
        <f>IF(OR(A317="",AE317=""),"",IF(NOT(OR(W317="Watching",W317="Preparing")),"",IF(AE317&lt;0,"PASSED",IF(AND(AE317&lt;=7,W317&lt;&gt;"Preparing"),"RED",IF(AE317&lt;=14,"AMBER","GREEN")))))</f>
        <v/>
      </c>
      <c r="AG317" s="59">
        <f>IF(OR(A317="",NOT(OR(W317="Watching",W317="Preparing"))),"",IF(AND(ISNUMBER(M317),M317&gt;=3000000000),"YES – ≥ TZS 3bn",IF(AND(ISNUMBER(AE317),AE317&gt;=0,AE317&lt;10,V317=""),"YES – &lt;10 days","")))</f>
        <v/>
      </c>
      <c r="AH317" s="68" t="n"/>
      <c r="AI317" s="66" t="n"/>
      <c r="AJ317" s="66" t="n"/>
      <c r="AK317" s="66" t="n"/>
      <c r="AL317" s="59">
        <f>IF(AND(OR(W317="Watching",W317="Preparing"),ISNUMBER(Q317)),IF(AND(Q317&gt;='Friday Summary'!$C$4,Q317&lt;='Friday Summary'!$C$4+14),Q317+ROW()/1000000,""),"")</f>
        <v/>
      </c>
    </row>
    <row r="318" ht="15" customHeight="1" s="51">
      <c r="A318" s="59">
        <f>IF(B318="","","OP-"&amp;TEXT(ROW()-4,"000"))</f>
        <v/>
      </c>
      <c r="B318" s="60" t="n"/>
      <c r="C318" s="61" t="n"/>
      <c r="D318" s="60" t="n"/>
      <c r="E318" s="60" t="n"/>
      <c r="F318" s="60" t="n"/>
      <c r="G318" s="60" t="n"/>
      <c r="H318" s="60" t="n"/>
      <c r="I318" s="60" t="n"/>
      <c r="J318" s="60" t="n"/>
      <c r="K318" s="60" t="n"/>
      <c r="L318" s="60" t="n"/>
      <c r="M318" s="62" t="n"/>
      <c r="N318" s="60" t="n"/>
      <c r="O318" s="61" t="n"/>
      <c r="P318" s="61" t="n"/>
      <c r="Q318" s="63" t="n"/>
      <c r="R318" s="60" t="n"/>
      <c r="S318" s="60" t="n"/>
      <c r="T318" s="64">
        <f>IF(A318="","",IFERROR(INDEX('Bid-NoBid'!$T:$T,MATCH(A318,'Bid-NoBid'!$A:$A,0)),""))</f>
        <v/>
      </c>
      <c r="U318" s="59">
        <f>IF(A318="","",IFERROR(IF(OR(INDEX('Bid-NoBid'!$U:$U,MATCH(A318,'Bid-NoBid'!$A:$A,0))="",LEFT(INDEX('Bid-NoBid'!$U:$U,MATCH(A318,'Bid-NoBid'!$A:$A,0)),10)="Incomplete"),"Screen: "&amp;AC318,INDEX('Bid-NoBid'!$U:$U,MATCH(A318,'Bid-NoBid'!$A:$A,0))),"Screen: "&amp;AC318))</f>
        <v/>
      </c>
      <c r="V318" s="60" t="n"/>
      <c r="W318" s="60" t="n"/>
      <c r="X318" s="60" t="n"/>
      <c r="Y318" s="60" t="n"/>
      <c r="Z318" s="60" t="n"/>
      <c r="AA318" s="65" t="n"/>
      <c r="AB318" s="66" t="n"/>
      <c r="AC318" s="66" t="n"/>
      <c r="AD318" s="66" t="n"/>
      <c r="AE318" s="67">
        <f>IF(ISNUMBER(Q318),ROUNDDOWN(Q318-NOW(),1),"")</f>
        <v/>
      </c>
      <c r="AF318" s="59">
        <f>IF(OR(A318="",AE318=""),"",IF(NOT(OR(W318="Watching",W318="Preparing")),"",IF(AE318&lt;0,"PASSED",IF(AND(AE318&lt;=7,W318&lt;&gt;"Preparing"),"RED",IF(AE318&lt;=14,"AMBER","GREEN")))))</f>
        <v/>
      </c>
      <c r="AG318" s="59">
        <f>IF(OR(A318="",NOT(OR(W318="Watching",W318="Preparing"))),"",IF(AND(ISNUMBER(M318),M318&gt;=3000000000),"YES – ≥ TZS 3bn",IF(AND(ISNUMBER(AE318),AE318&gt;=0,AE318&lt;10,V318=""),"YES – &lt;10 days","")))</f>
        <v/>
      </c>
      <c r="AH318" s="68" t="n"/>
      <c r="AI318" s="66" t="n"/>
      <c r="AJ318" s="66" t="n"/>
      <c r="AK318" s="66" t="n"/>
      <c r="AL318" s="59">
        <f>IF(AND(OR(W318="Watching",W318="Preparing"),ISNUMBER(Q318)),IF(AND(Q318&gt;='Friday Summary'!$C$4,Q318&lt;='Friday Summary'!$C$4+14),Q318+ROW()/1000000,""),"")</f>
        <v/>
      </c>
    </row>
    <row r="319" ht="15" customHeight="1" s="51">
      <c r="A319" s="59">
        <f>IF(B319="","","OP-"&amp;TEXT(ROW()-4,"000"))</f>
        <v/>
      </c>
      <c r="B319" s="60" t="n"/>
      <c r="C319" s="61" t="n"/>
      <c r="D319" s="60" t="n"/>
      <c r="E319" s="60" t="n"/>
      <c r="F319" s="60" t="n"/>
      <c r="G319" s="60" t="n"/>
      <c r="H319" s="60" t="n"/>
      <c r="I319" s="60" t="n"/>
      <c r="J319" s="60" t="n"/>
      <c r="K319" s="60" t="n"/>
      <c r="L319" s="60" t="n"/>
      <c r="M319" s="62" t="n"/>
      <c r="N319" s="60" t="n"/>
      <c r="O319" s="61" t="n"/>
      <c r="P319" s="61" t="n"/>
      <c r="Q319" s="63" t="n"/>
      <c r="R319" s="60" t="n"/>
      <c r="S319" s="60" t="n"/>
      <c r="T319" s="64">
        <f>IF(A319="","",IFERROR(INDEX('Bid-NoBid'!$T:$T,MATCH(A319,'Bid-NoBid'!$A:$A,0)),""))</f>
        <v/>
      </c>
      <c r="U319" s="59">
        <f>IF(A319="","",IFERROR(IF(OR(INDEX('Bid-NoBid'!$U:$U,MATCH(A319,'Bid-NoBid'!$A:$A,0))="",LEFT(INDEX('Bid-NoBid'!$U:$U,MATCH(A319,'Bid-NoBid'!$A:$A,0)),10)="Incomplete"),"Screen: "&amp;AC319,INDEX('Bid-NoBid'!$U:$U,MATCH(A319,'Bid-NoBid'!$A:$A,0))),"Screen: "&amp;AC319))</f>
        <v/>
      </c>
      <c r="V319" s="60" t="n"/>
      <c r="W319" s="60" t="n"/>
      <c r="X319" s="60" t="n"/>
      <c r="Y319" s="60" t="n"/>
      <c r="Z319" s="60" t="n"/>
      <c r="AA319" s="65" t="n"/>
      <c r="AB319" s="66" t="n"/>
      <c r="AC319" s="66" t="n"/>
      <c r="AD319" s="66" t="n"/>
      <c r="AE319" s="67">
        <f>IF(ISNUMBER(Q319),ROUNDDOWN(Q319-NOW(),1),"")</f>
        <v/>
      </c>
      <c r="AF319" s="59">
        <f>IF(OR(A319="",AE319=""),"",IF(NOT(OR(W319="Watching",W319="Preparing")),"",IF(AE319&lt;0,"PASSED",IF(AND(AE319&lt;=7,W319&lt;&gt;"Preparing"),"RED",IF(AE319&lt;=14,"AMBER","GREEN")))))</f>
        <v/>
      </c>
      <c r="AG319" s="59">
        <f>IF(OR(A319="",NOT(OR(W319="Watching",W319="Preparing"))),"",IF(AND(ISNUMBER(M319),M319&gt;=3000000000),"YES – ≥ TZS 3bn",IF(AND(ISNUMBER(AE319),AE319&gt;=0,AE319&lt;10,V319=""),"YES – &lt;10 days","")))</f>
        <v/>
      </c>
      <c r="AH319" s="68" t="n"/>
      <c r="AI319" s="66" t="n"/>
      <c r="AJ319" s="66" t="n"/>
      <c r="AK319" s="66" t="n"/>
      <c r="AL319" s="59">
        <f>IF(AND(OR(W319="Watching",W319="Preparing"),ISNUMBER(Q319)),IF(AND(Q319&gt;='Friday Summary'!$C$4,Q319&lt;='Friday Summary'!$C$4+14),Q319+ROW()/1000000,""),"")</f>
        <v/>
      </c>
    </row>
    <row r="320" ht="15" customHeight="1" s="51">
      <c r="A320" s="59">
        <f>IF(B320="","","OP-"&amp;TEXT(ROW()-4,"000"))</f>
        <v/>
      </c>
      <c r="B320" s="60" t="n"/>
      <c r="C320" s="61" t="n"/>
      <c r="D320" s="60" t="n"/>
      <c r="E320" s="60" t="n"/>
      <c r="F320" s="60" t="n"/>
      <c r="G320" s="60" t="n"/>
      <c r="H320" s="60" t="n"/>
      <c r="I320" s="60" t="n"/>
      <c r="J320" s="60" t="n"/>
      <c r="K320" s="60" t="n"/>
      <c r="L320" s="60" t="n"/>
      <c r="M320" s="62" t="n"/>
      <c r="N320" s="60" t="n"/>
      <c r="O320" s="61" t="n"/>
      <c r="P320" s="61" t="n"/>
      <c r="Q320" s="63" t="n"/>
      <c r="R320" s="60" t="n"/>
      <c r="S320" s="60" t="n"/>
      <c r="T320" s="64">
        <f>IF(A320="","",IFERROR(INDEX('Bid-NoBid'!$T:$T,MATCH(A320,'Bid-NoBid'!$A:$A,0)),""))</f>
        <v/>
      </c>
      <c r="U320" s="59">
        <f>IF(A320="","",IFERROR(IF(OR(INDEX('Bid-NoBid'!$U:$U,MATCH(A320,'Bid-NoBid'!$A:$A,0))="",LEFT(INDEX('Bid-NoBid'!$U:$U,MATCH(A320,'Bid-NoBid'!$A:$A,0)),10)="Incomplete"),"Screen: "&amp;AC320,INDEX('Bid-NoBid'!$U:$U,MATCH(A320,'Bid-NoBid'!$A:$A,0))),"Screen: "&amp;AC320))</f>
        <v/>
      </c>
      <c r="V320" s="60" t="n"/>
      <c r="W320" s="60" t="n"/>
      <c r="X320" s="60" t="n"/>
      <c r="Y320" s="60" t="n"/>
      <c r="Z320" s="60" t="n"/>
      <c r="AA320" s="65" t="n"/>
      <c r="AB320" s="66" t="n"/>
      <c r="AC320" s="66" t="n"/>
      <c r="AD320" s="66" t="n"/>
      <c r="AE320" s="67">
        <f>IF(ISNUMBER(Q320),ROUNDDOWN(Q320-NOW(),1),"")</f>
        <v/>
      </c>
      <c r="AF320" s="59">
        <f>IF(OR(A320="",AE320=""),"",IF(NOT(OR(W320="Watching",W320="Preparing")),"",IF(AE320&lt;0,"PASSED",IF(AND(AE320&lt;=7,W320&lt;&gt;"Preparing"),"RED",IF(AE320&lt;=14,"AMBER","GREEN")))))</f>
        <v/>
      </c>
      <c r="AG320" s="59">
        <f>IF(OR(A320="",NOT(OR(W320="Watching",W320="Preparing"))),"",IF(AND(ISNUMBER(M320),M320&gt;=3000000000),"YES – ≥ TZS 3bn",IF(AND(ISNUMBER(AE320),AE320&gt;=0,AE320&lt;10,V320=""),"YES – &lt;10 days","")))</f>
        <v/>
      </c>
      <c r="AH320" s="68" t="n"/>
      <c r="AI320" s="66" t="n"/>
      <c r="AJ320" s="66" t="n"/>
      <c r="AK320" s="66" t="n"/>
      <c r="AL320" s="59">
        <f>IF(AND(OR(W320="Watching",W320="Preparing"),ISNUMBER(Q320)),IF(AND(Q320&gt;='Friday Summary'!$C$4,Q320&lt;='Friday Summary'!$C$4+14),Q320+ROW()/1000000,""),"")</f>
        <v/>
      </c>
    </row>
    <row r="321" ht="15" customHeight="1" s="51">
      <c r="A321" s="59">
        <f>IF(B321="","","OP-"&amp;TEXT(ROW()-4,"000"))</f>
        <v/>
      </c>
      <c r="B321" s="60" t="n"/>
      <c r="C321" s="61" t="n"/>
      <c r="D321" s="60" t="n"/>
      <c r="E321" s="60" t="n"/>
      <c r="F321" s="60" t="n"/>
      <c r="G321" s="60" t="n"/>
      <c r="H321" s="60" t="n"/>
      <c r="I321" s="60" t="n"/>
      <c r="J321" s="60" t="n"/>
      <c r="K321" s="60" t="n"/>
      <c r="L321" s="60" t="n"/>
      <c r="M321" s="62" t="n"/>
      <c r="N321" s="60" t="n"/>
      <c r="O321" s="61" t="n"/>
      <c r="P321" s="61" t="n"/>
      <c r="Q321" s="63" t="n"/>
      <c r="R321" s="60" t="n"/>
      <c r="S321" s="60" t="n"/>
      <c r="T321" s="64">
        <f>IF(A321="","",IFERROR(INDEX('Bid-NoBid'!$T:$T,MATCH(A321,'Bid-NoBid'!$A:$A,0)),""))</f>
        <v/>
      </c>
      <c r="U321" s="59">
        <f>IF(A321="","",IFERROR(IF(OR(INDEX('Bid-NoBid'!$U:$U,MATCH(A321,'Bid-NoBid'!$A:$A,0))="",LEFT(INDEX('Bid-NoBid'!$U:$U,MATCH(A321,'Bid-NoBid'!$A:$A,0)),10)="Incomplete"),"Screen: "&amp;AC321,INDEX('Bid-NoBid'!$U:$U,MATCH(A321,'Bid-NoBid'!$A:$A,0))),"Screen: "&amp;AC321))</f>
        <v/>
      </c>
      <c r="V321" s="60" t="n"/>
      <c r="W321" s="60" t="n"/>
      <c r="X321" s="60" t="n"/>
      <c r="Y321" s="60" t="n"/>
      <c r="Z321" s="60" t="n"/>
      <c r="AA321" s="65" t="n"/>
      <c r="AB321" s="66" t="n"/>
      <c r="AC321" s="66" t="n"/>
      <c r="AD321" s="66" t="n"/>
      <c r="AE321" s="67">
        <f>IF(ISNUMBER(Q321),ROUNDDOWN(Q321-NOW(),1),"")</f>
        <v/>
      </c>
      <c r="AF321" s="59">
        <f>IF(OR(A321="",AE321=""),"",IF(NOT(OR(W321="Watching",W321="Preparing")),"",IF(AE321&lt;0,"PASSED",IF(AND(AE321&lt;=7,W321&lt;&gt;"Preparing"),"RED",IF(AE321&lt;=14,"AMBER","GREEN")))))</f>
        <v/>
      </c>
      <c r="AG321" s="59">
        <f>IF(OR(A321="",NOT(OR(W321="Watching",W321="Preparing"))),"",IF(AND(ISNUMBER(M321),M321&gt;=3000000000),"YES – ≥ TZS 3bn",IF(AND(ISNUMBER(AE321),AE321&gt;=0,AE321&lt;10,V321=""),"YES – &lt;10 days","")))</f>
        <v/>
      </c>
      <c r="AH321" s="68" t="n"/>
      <c r="AI321" s="66" t="n"/>
      <c r="AJ321" s="66" t="n"/>
      <c r="AK321" s="66" t="n"/>
      <c r="AL321" s="59">
        <f>IF(AND(OR(W321="Watching",W321="Preparing"),ISNUMBER(Q321)),IF(AND(Q321&gt;='Friday Summary'!$C$4,Q321&lt;='Friday Summary'!$C$4+14),Q321+ROW()/1000000,""),"")</f>
        <v/>
      </c>
    </row>
    <row r="322" ht="15" customHeight="1" s="51">
      <c r="A322" s="59">
        <f>IF(B322="","","OP-"&amp;TEXT(ROW()-4,"000"))</f>
        <v/>
      </c>
      <c r="B322" s="60" t="n"/>
      <c r="C322" s="61" t="n"/>
      <c r="D322" s="60" t="n"/>
      <c r="E322" s="60" t="n"/>
      <c r="F322" s="60" t="n"/>
      <c r="G322" s="60" t="n"/>
      <c r="H322" s="60" t="n"/>
      <c r="I322" s="60" t="n"/>
      <c r="J322" s="60" t="n"/>
      <c r="K322" s="60" t="n"/>
      <c r="L322" s="60" t="n"/>
      <c r="M322" s="62" t="n"/>
      <c r="N322" s="60" t="n"/>
      <c r="O322" s="61" t="n"/>
      <c r="P322" s="61" t="n"/>
      <c r="Q322" s="63" t="n"/>
      <c r="R322" s="60" t="n"/>
      <c r="S322" s="60" t="n"/>
      <c r="T322" s="64">
        <f>IF(A322="","",IFERROR(INDEX('Bid-NoBid'!$T:$T,MATCH(A322,'Bid-NoBid'!$A:$A,0)),""))</f>
        <v/>
      </c>
      <c r="U322" s="59">
        <f>IF(A322="","",IFERROR(IF(OR(INDEX('Bid-NoBid'!$U:$U,MATCH(A322,'Bid-NoBid'!$A:$A,0))="",LEFT(INDEX('Bid-NoBid'!$U:$U,MATCH(A322,'Bid-NoBid'!$A:$A,0)),10)="Incomplete"),"Screen: "&amp;AC322,INDEX('Bid-NoBid'!$U:$U,MATCH(A322,'Bid-NoBid'!$A:$A,0))),"Screen: "&amp;AC322))</f>
        <v/>
      </c>
      <c r="V322" s="60" t="n"/>
      <c r="W322" s="60" t="n"/>
      <c r="X322" s="60" t="n"/>
      <c r="Y322" s="60" t="n"/>
      <c r="Z322" s="60" t="n"/>
      <c r="AA322" s="65" t="n"/>
      <c r="AB322" s="66" t="n"/>
      <c r="AC322" s="66" t="n"/>
      <c r="AD322" s="66" t="n"/>
      <c r="AE322" s="67">
        <f>IF(ISNUMBER(Q322),ROUNDDOWN(Q322-NOW(),1),"")</f>
        <v/>
      </c>
      <c r="AF322" s="59">
        <f>IF(OR(A322="",AE322=""),"",IF(NOT(OR(W322="Watching",W322="Preparing")),"",IF(AE322&lt;0,"PASSED",IF(AND(AE322&lt;=7,W322&lt;&gt;"Preparing"),"RED",IF(AE322&lt;=14,"AMBER","GREEN")))))</f>
        <v/>
      </c>
      <c r="AG322" s="59">
        <f>IF(OR(A322="",NOT(OR(W322="Watching",W322="Preparing"))),"",IF(AND(ISNUMBER(M322),M322&gt;=3000000000),"YES – ≥ TZS 3bn",IF(AND(ISNUMBER(AE322),AE322&gt;=0,AE322&lt;10,V322=""),"YES – &lt;10 days","")))</f>
        <v/>
      </c>
      <c r="AH322" s="68" t="n"/>
      <c r="AI322" s="66" t="n"/>
      <c r="AJ322" s="66" t="n"/>
      <c r="AK322" s="66" t="n"/>
      <c r="AL322" s="59">
        <f>IF(AND(OR(W322="Watching",W322="Preparing"),ISNUMBER(Q322)),IF(AND(Q322&gt;='Friday Summary'!$C$4,Q322&lt;='Friday Summary'!$C$4+14),Q322+ROW()/1000000,""),"")</f>
        <v/>
      </c>
    </row>
    <row r="323" ht="15" customHeight="1" s="51">
      <c r="A323" s="59">
        <f>IF(B323="","","OP-"&amp;TEXT(ROW()-4,"000"))</f>
        <v/>
      </c>
      <c r="B323" s="60" t="n"/>
      <c r="C323" s="61" t="n"/>
      <c r="D323" s="60" t="n"/>
      <c r="E323" s="60" t="n"/>
      <c r="F323" s="60" t="n"/>
      <c r="G323" s="60" t="n"/>
      <c r="H323" s="60" t="n"/>
      <c r="I323" s="60" t="n"/>
      <c r="J323" s="60" t="n"/>
      <c r="K323" s="60" t="n"/>
      <c r="L323" s="60" t="n"/>
      <c r="M323" s="62" t="n"/>
      <c r="N323" s="60" t="n"/>
      <c r="O323" s="61" t="n"/>
      <c r="P323" s="61" t="n"/>
      <c r="Q323" s="63" t="n"/>
      <c r="R323" s="60" t="n"/>
      <c r="S323" s="60" t="n"/>
      <c r="T323" s="64">
        <f>IF(A323="","",IFERROR(INDEX('Bid-NoBid'!$T:$T,MATCH(A323,'Bid-NoBid'!$A:$A,0)),""))</f>
        <v/>
      </c>
      <c r="U323" s="59">
        <f>IF(A323="","",IFERROR(IF(OR(INDEX('Bid-NoBid'!$U:$U,MATCH(A323,'Bid-NoBid'!$A:$A,0))="",LEFT(INDEX('Bid-NoBid'!$U:$U,MATCH(A323,'Bid-NoBid'!$A:$A,0)),10)="Incomplete"),"Screen: "&amp;AC323,INDEX('Bid-NoBid'!$U:$U,MATCH(A323,'Bid-NoBid'!$A:$A,0))),"Screen: "&amp;AC323))</f>
        <v/>
      </c>
      <c r="V323" s="60" t="n"/>
      <c r="W323" s="60" t="n"/>
      <c r="X323" s="60" t="n"/>
      <c r="Y323" s="60" t="n"/>
      <c r="Z323" s="60" t="n"/>
      <c r="AA323" s="65" t="n"/>
      <c r="AB323" s="66" t="n"/>
      <c r="AC323" s="66" t="n"/>
      <c r="AD323" s="66" t="n"/>
      <c r="AE323" s="67">
        <f>IF(ISNUMBER(Q323),ROUNDDOWN(Q323-NOW(),1),"")</f>
        <v/>
      </c>
      <c r="AF323" s="59">
        <f>IF(OR(A323="",AE323=""),"",IF(NOT(OR(W323="Watching",W323="Preparing")),"",IF(AE323&lt;0,"PASSED",IF(AND(AE323&lt;=7,W323&lt;&gt;"Preparing"),"RED",IF(AE323&lt;=14,"AMBER","GREEN")))))</f>
        <v/>
      </c>
      <c r="AG323" s="59">
        <f>IF(OR(A323="",NOT(OR(W323="Watching",W323="Preparing"))),"",IF(AND(ISNUMBER(M323),M323&gt;=3000000000),"YES – ≥ TZS 3bn",IF(AND(ISNUMBER(AE323),AE323&gt;=0,AE323&lt;10,V323=""),"YES – &lt;10 days","")))</f>
        <v/>
      </c>
      <c r="AH323" s="68" t="n"/>
      <c r="AI323" s="66" t="n"/>
      <c r="AJ323" s="66" t="n"/>
      <c r="AK323" s="66" t="n"/>
      <c r="AL323" s="59">
        <f>IF(AND(OR(W323="Watching",W323="Preparing"),ISNUMBER(Q323)),IF(AND(Q323&gt;='Friday Summary'!$C$4,Q323&lt;='Friday Summary'!$C$4+14),Q323+ROW()/1000000,""),"")</f>
        <v/>
      </c>
    </row>
    <row r="324" ht="15" customHeight="1" s="51">
      <c r="A324" s="59">
        <f>IF(B324="","","OP-"&amp;TEXT(ROW()-4,"000"))</f>
        <v/>
      </c>
      <c r="B324" s="60" t="n"/>
      <c r="C324" s="61" t="n"/>
      <c r="D324" s="60" t="n"/>
      <c r="E324" s="60" t="n"/>
      <c r="F324" s="60" t="n"/>
      <c r="G324" s="60" t="n"/>
      <c r="H324" s="60" t="n"/>
      <c r="I324" s="60" t="n"/>
      <c r="J324" s="60" t="n"/>
      <c r="K324" s="60" t="n"/>
      <c r="L324" s="60" t="n"/>
      <c r="M324" s="62" t="n"/>
      <c r="N324" s="60" t="n"/>
      <c r="O324" s="61" t="n"/>
      <c r="P324" s="61" t="n"/>
      <c r="Q324" s="63" t="n"/>
      <c r="R324" s="60" t="n"/>
      <c r="S324" s="60" t="n"/>
      <c r="T324" s="64">
        <f>IF(A324="","",IFERROR(INDEX('Bid-NoBid'!$T:$T,MATCH(A324,'Bid-NoBid'!$A:$A,0)),""))</f>
        <v/>
      </c>
      <c r="U324" s="59">
        <f>IF(A324="","",IFERROR(IF(OR(INDEX('Bid-NoBid'!$U:$U,MATCH(A324,'Bid-NoBid'!$A:$A,0))="",LEFT(INDEX('Bid-NoBid'!$U:$U,MATCH(A324,'Bid-NoBid'!$A:$A,0)),10)="Incomplete"),"Screen: "&amp;AC324,INDEX('Bid-NoBid'!$U:$U,MATCH(A324,'Bid-NoBid'!$A:$A,0))),"Screen: "&amp;AC324))</f>
        <v/>
      </c>
      <c r="V324" s="60" t="n"/>
      <c r="W324" s="60" t="n"/>
      <c r="X324" s="60" t="n"/>
      <c r="Y324" s="60" t="n"/>
      <c r="Z324" s="60" t="n"/>
      <c r="AA324" s="65" t="n"/>
      <c r="AB324" s="66" t="n"/>
      <c r="AC324" s="66" t="n"/>
      <c r="AD324" s="66" t="n"/>
      <c r="AE324" s="67">
        <f>IF(ISNUMBER(Q324),ROUNDDOWN(Q324-NOW(),1),"")</f>
        <v/>
      </c>
      <c r="AF324" s="59">
        <f>IF(OR(A324="",AE324=""),"",IF(NOT(OR(W324="Watching",W324="Preparing")),"",IF(AE324&lt;0,"PASSED",IF(AND(AE324&lt;=7,W324&lt;&gt;"Preparing"),"RED",IF(AE324&lt;=14,"AMBER","GREEN")))))</f>
        <v/>
      </c>
      <c r="AG324" s="59">
        <f>IF(OR(A324="",NOT(OR(W324="Watching",W324="Preparing"))),"",IF(AND(ISNUMBER(M324),M324&gt;=3000000000),"YES – ≥ TZS 3bn",IF(AND(ISNUMBER(AE324),AE324&gt;=0,AE324&lt;10,V324=""),"YES – &lt;10 days","")))</f>
        <v/>
      </c>
      <c r="AH324" s="68" t="n"/>
      <c r="AI324" s="66" t="n"/>
      <c r="AJ324" s="66" t="n"/>
      <c r="AK324" s="66" t="n"/>
      <c r="AL324" s="59">
        <f>IF(AND(OR(W324="Watching",W324="Preparing"),ISNUMBER(Q324)),IF(AND(Q324&gt;='Friday Summary'!$C$4,Q324&lt;='Friday Summary'!$C$4+14),Q324+ROW()/1000000,""),"")</f>
        <v/>
      </c>
    </row>
    <row r="325" ht="15" customHeight="1" s="51">
      <c r="A325" s="59">
        <f>IF(B325="","","OP-"&amp;TEXT(ROW()-4,"000"))</f>
        <v/>
      </c>
      <c r="B325" s="60" t="n"/>
      <c r="C325" s="61" t="n"/>
      <c r="D325" s="60" t="n"/>
      <c r="E325" s="60" t="n"/>
      <c r="F325" s="60" t="n"/>
      <c r="G325" s="60" t="n"/>
      <c r="H325" s="60" t="n"/>
      <c r="I325" s="60" t="n"/>
      <c r="J325" s="60" t="n"/>
      <c r="K325" s="60" t="n"/>
      <c r="L325" s="60" t="n"/>
      <c r="M325" s="62" t="n"/>
      <c r="N325" s="60" t="n"/>
      <c r="O325" s="61" t="n"/>
      <c r="P325" s="61" t="n"/>
      <c r="Q325" s="63" t="n"/>
      <c r="R325" s="60" t="n"/>
      <c r="S325" s="60" t="n"/>
      <c r="T325" s="64">
        <f>IF(A325="","",IFERROR(INDEX('Bid-NoBid'!$T:$T,MATCH(A325,'Bid-NoBid'!$A:$A,0)),""))</f>
        <v/>
      </c>
      <c r="U325" s="59">
        <f>IF(A325="","",IFERROR(IF(OR(INDEX('Bid-NoBid'!$U:$U,MATCH(A325,'Bid-NoBid'!$A:$A,0))="",LEFT(INDEX('Bid-NoBid'!$U:$U,MATCH(A325,'Bid-NoBid'!$A:$A,0)),10)="Incomplete"),"Screen: "&amp;AC325,INDEX('Bid-NoBid'!$U:$U,MATCH(A325,'Bid-NoBid'!$A:$A,0))),"Screen: "&amp;AC325))</f>
        <v/>
      </c>
      <c r="V325" s="60" t="n"/>
      <c r="W325" s="60" t="n"/>
      <c r="X325" s="60" t="n"/>
      <c r="Y325" s="60" t="n"/>
      <c r="Z325" s="60" t="n"/>
      <c r="AA325" s="65" t="n"/>
      <c r="AB325" s="66" t="n"/>
      <c r="AC325" s="66" t="n"/>
      <c r="AD325" s="66" t="n"/>
      <c r="AE325" s="67">
        <f>IF(ISNUMBER(Q325),ROUNDDOWN(Q325-NOW(),1),"")</f>
        <v/>
      </c>
      <c r="AF325" s="59">
        <f>IF(OR(A325="",AE325=""),"",IF(NOT(OR(W325="Watching",W325="Preparing")),"",IF(AE325&lt;0,"PASSED",IF(AND(AE325&lt;=7,W325&lt;&gt;"Preparing"),"RED",IF(AE325&lt;=14,"AMBER","GREEN")))))</f>
        <v/>
      </c>
      <c r="AG325" s="59">
        <f>IF(OR(A325="",NOT(OR(W325="Watching",W325="Preparing"))),"",IF(AND(ISNUMBER(M325),M325&gt;=3000000000),"YES – ≥ TZS 3bn",IF(AND(ISNUMBER(AE325),AE325&gt;=0,AE325&lt;10,V325=""),"YES – &lt;10 days","")))</f>
        <v/>
      </c>
      <c r="AH325" s="68" t="n"/>
      <c r="AI325" s="66" t="n"/>
      <c r="AJ325" s="66" t="n"/>
      <c r="AK325" s="66" t="n"/>
      <c r="AL325" s="59">
        <f>IF(AND(OR(W325="Watching",W325="Preparing"),ISNUMBER(Q325)),IF(AND(Q325&gt;='Friday Summary'!$C$4,Q325&lt;='Friday Summary'!$C$4+14),Q325+ROW()/1000000,""),"")</f>
        <v/>
      </c>
    </row>
    <row r="326" ht="15" customHeight="1" s="51">
      <c r="A326" s="59">
        <f>IF(B326="","","OP-"&amp;TEXT(ROW()-4,"000"))</f>
        <v/>
      </c>
      <c r="B326" s="60" t="n"/>
      <c r="C326" s="61" t="n"/>
      <c r="D326" s="60" t="n"/>
      <c r="E326" s="60" t="n"/>
      <c r="F326" s="60" t="n"/>
      <c r="G326" s="60" t="n"/>
      <c r="H326" s="60" t="n"/>
      <c r="I326" s="60" t="n"/>
      <c r="J326" s="60" t="n"/>
      <c r="K326" s="60" t="n"/>
      <c r="L326" s="60" t="n"/>
      <c r="M326" s="62" t="n"/>
      <c r="N326" s="60" t="n"/>
      <c r="O326" s="61" t="n"/>
      <c r="P326" s="61" t="n"/>
      <c r="Q326" s="63" t="n"/>
      <c r="R326" s="60" t="n"/>
      <c r="S326" s="60" t="n"/>
      <c r="T326" s="64">
        <f>IF(A326="","",IFERROR(INDEX('Bid-NoBid'!$T:$T,MATCH(A326,'Bid-NoBid'!$A:$A,0)),""))</f>
        <v/>
      </c>
      <c r="U326" s="59">
        <f>IF(A326="","",IFERROR(IF(OR(INDEX('Bid-NoBid'!$U:$U,MATCH(A326,'Bid-NoBid'!$A:$A,0))="",LEFT(INDEX('Bid-NoBid'!$U:$U,MATCH(A326,'Bid-NoBid'!$A:$A,0)),10)="Incomplete"),"Screen: "&amp;AC326,INDEX('Bid-NoBid'!$U:$U,MATCH(A326,'Bid-NoBid'!$A:$A,0))),"Screen: "&amp;AC326))</f>
        <v/>
      </c>
      <c r="V326" s="60" t="n"/>
      <c r="W326" s="60" t="n"/>
      <c r="X326" s="60" t="n"/>
      <c r="Y326" s="60" t="n"/>
      <c r="Z326" s="60" t="n"/>
      <c r="AA326" s="65" t="n"/>
      <c r="AB326" s="66" t="n"/>
      <c r="AC326" s="66" t="n"/>
      <c r="AD326" s="66" t="n"/>
      <c r="AE326" s="67">
        <f>IF(ISNUMBER(Q326),ROUNDDOWN(Q326-NOW(),1),"")</f>
        <v/>
      </c>
      <c r="AF326" s="59">
        <f>IF(OR(A326="",AE326=""),"",IF(NOT(OR(W326="Watching",W326="Preparing")),"",IF(AE326&lt;0,"PASSED",IF(AND(AE326&lt;=7,W326&lt;&gt;"Preparing"),"RED",IF(AE326&lt;=14,"AMBER","GREEN")))))</f>
        <v/>
      </c>
      <c r="AG326" s="59">
        <f>IF(OR(A326="",NOT(OR(W326="Watching",W326="Preparing"))),"",IF(AND(ISNUMBER(M326),M326&gt;=3000000000),"YES – ≥ TZS 3bn",IF(AND(ISNUMBER(AE326),AE326&gt;=0,AE326&lt;10,V326=""),"YES – &lt;10 days","")))</f>
        <v/>
      </c>
      <c r="AH326" s="68" t="n"/>
      <c r="AI326" s="66" t="n"/>
      <c r="AJ326" s="66" t="n"/>
      <c r="AK326" s="66" t="n"/>
      <c r="AL326" s="59">
        <f>IF(AND(OR(W326="Watching",W326="Preparing"),ISNUMBER(Q326)),IF(AND(Q326&gt;='Friday Summary'!$C$4,Q326&lt;='Friday Summary'!$C$4+14),Q326+ROW()/1000000,""),"")</f>
        <v/>
      </c>
    </row>
    <row r="327" ht="15" customHeight="1" s="51">
      <c r="A327" s="59">
        <f>IF(B327="","","OP-"&amp;TEXT(ROW()-4,"000"))</f>
        <v/>
      </c>
      <c r="B327" s="60" t="n"/>
      <c r="C327" s="61" t="n"/>
      <c r="D327" s="60" t="n"/>
      <c r="E327" s="60" t="n"/>
      <c r="F327" s="60" t="n"/>
      <c r="G327" s="60" t="n"/>
      <c r="H327" s="60" t="n"/>
      <c r="I327" s="60" t="n"/>
      <c r="J327" s="60" t="n"/>
      <c r="K327" s="60" t="n"/>
      <c r="L327" s="60" t="n"/>
      <c r="M327" s="62" t="n"/>
      <c r="N327" s="60" t="n"/>
      <c r="O327" s="61" t="n"/>
      <c r="P327" s="61" t="n"/>
      <c r="Q327" s="63" t="n"/>
      <c r="R327" s="60" t="n"/>
      <c r="S327" s="60" t="n"/>
      <c r="T327" s="64">
        <f>IF(A327="","",IFERROR(INDEX('Bid-NoBid'!$T:$T,MATCH(A327,'Bid-NoBid'!$A:$A,0)),""))</f>
        <v/>
      </c>
      <c r="U327" s="59">
        <f>IF(A327="","",IFERROR(IF(OR(INDEX('Bid-NoBid'!$U:$U,MATCH(A327,'Bid-NoBid'!$A:$A,0))="",LEFT(INDEX('Bid-NoBid'!$U:$U,MATCH(A327,'Bid-NoBid'!$A:$A,0)),10)="Incomplete"),"Screen: "&amp;AC327,INDEX('Bid-NoBid'!$U:$U,MATCH(A327,'Bid-NoBid'!$A:$A,0))),"Screen: "&amp;AC327))</f>
        <v/>
      </c>
      <c r="V327" s="60" t="n"/>
      <c r="W327" s="60" t="n"/>
      <c r="X327" s="60" t="n"/>
      <c r="Y327" s="60" t="n"/>
      <c r="Z327" s="60" t="n"/>
      <c r="AA327" s="65" t="n"/>
      <c r="AB327" s="66" t="n"/>
      <c r="AC327" s="66" t="n"/>
      <c r="AD327" s="66" t="n"/>
      <c r="AE327" s="67">
        <f>IF(ISNUMBER(Q327),ROUNDDOWN(Q327-NOW(),1),"")</f>
        <v/>
      </c>
      <c r="AF327" s="59">
        <f>IF(OR(A327="",AE327=""),"",IF(NOT(OR(W327="Watching",W327="Preparing")),"",IF(AE327&lt;0,"PASSED",IF(AND(AE327&lt;=7,W327&lt;&gt;"Preparing"),"RED",IF(AE327&lt;=14,"AMBER","GREEN")))))</f>
        <v/>
      </c>
      <c r="AG327" s="59">
        <f>IF(OR(A327="",NOT(OR(W327="Watching",W327="Preparing"))),"",IF(AND(ISNUMBER(M327),M327&gt;=3000000000),"YES – ≥ TZS 3bn",IF(AND(ISNUMBER(AE327),AE327&gt;=0,AE327&lt;10,V327=""),"YES – &lt;10 days","")))</f>
        <v/>
      </c>
      <c r="AH327" s="68" t="n"/>
      <c r="AI327" s="66" t="n"/>
      <c r="AJ327" s="66" t="n"/>
      <c r="AK327" s="66" t="n"/>
      <c r="AL327" s="59">
        <f>IF(AND(OR(W327="Watching",W327="Preparing"),ISNUMBER(Q327)),IF(AND(Q327&gt;='Friday Summary'!$C$4,Q327&lt;='Friday Summary'!$C$4+14),Q327+ROW()/1000000,""),"")</f>
        <v/>
      </c>
    </row>
    <row r="328" ht="15" customHeight="1" s="51">
      <c r="A328" s="59">
        <f>IF(B328="","","OP-"&amp;TEXT(ROW()-4,"000"))</f>
        <v/>
      </c>
      <c r="B328" s="60" t="n"/>
      <c r="C328" s="61" t="n"/>
      <c r="D328" s="60" t="n"/>
      <c r="E328" s="60" t="n"/>
      <c r="F328" s="60" t="n"/>
      <c r="G328" s="60" t="n"/>
      <c r="H328" s="60" t="n"/>
      <c r="I328" s="60" t="n"/>
      <c r="J328" s="60" t="n"/>
      <c r="K328" s="60" t="n"/>
      <c r="L328" s="60" t="n"/>
      <c r="M328" s="62" t="n"/>
      <c r="N328" s="60" t="n"/>
      <c r="O328" s="61" t="n"/>
      <c r="P328" s="61" t="n"/>
      <c r="Q328" s="63" t="n"/>
      <c r="R328" s="60" t="n"/>
      <c r="S328" s="60" t="n"/>
      <c r="T328" s="64">
        <f>IF(A328="","",IFERROR(INDEX('Bid-NoBid'!$T:$T,MATCH(A328,'Bid-NoBid'!$A:$A,0)),""))</f>
        <v/>
      </c>
      <c r="U328" s="59">
        <f>IF(A328="","",IFERROR(IF(OR(INDEX('Bid-NoBid'!$U:$U,MATCH(A328,'Bid-NoBid'!$A:$A,0))="",LEFT(INDEX('Bid-NoBid'!$U:$U,MATCH(A328,'Bid-NoBid'!$A:$A,0)),10)="Incomplete"),"Screen: "&amp;AC328,INDEX('Bid-NoBid'!$U:$U,MATCH(A328,'Bid-NoBid'!$A:$A,0))),"Screen: "&amp;AC328))</f>
        <v/>
      </c>
      <c r="V328" s="60" t="n"/>
      <c r="W328" s="60" t="n"/>
      <c r="X328" s="60" t="n"/>
      <c r="Y328" s="60" t="n"/>
      <c r="Z328" s="60" t="n"/>
      <c r="AA328" s="65" t="n"/>
      <c r="AB328" s="66" t="n"/>
      <c r="AC328" s="66" t="n"/>
      <c r="AD328" s="66" t="n"/>
      <c r="AE328" s="67">
        <f>IF(ISNUMBER(Q328),ROUNDDOWN(Q328-NOW(),1),"")</f>
        <v/>
      </c>
      <c r="AF328" s="59">
        <f>IF(OR(A328="",AE328=""),"",IF(NOT(OR(W328="Watching",W328="Preparing")),"",IF(AE328&lt;0,"PASSED",IF(AND(AE328&lt;=7,W328&lt;&gt;"Preparing"),"RED",IF(AE328&lt;=14,"AMBER","GREEN")))))</f>
        <v/>
      </c>
      <c r="AG328" s="59">
        <f>IF(OR(A328="",NOT(OR(W328="Watching",W328="Preparing"))),"",IF(AND(ISNUMBER(M328),M328&gt;=3000000000),"YES – ≥ TZS 3bn",IF(AND(ISNUMBER(AE328),AE328&gt;=0,AE328&lt;10,V328=""),"YES – &lt;10 days","")))</f>
        <v/>
      </c>
      <c r="AH328" s="68" t="n"/>
      <c r="AI328" s="66" t="n"/>
      <c r="AJ328" s="66" t="n"/>
      <c r="AK328" s="66" t="n"/>
      <c r="AL328" s="59">
        <f>IF(AND(OR(W328="Watching",W328="Preparing"),ISNUMBER(Q328)),IF(AND(Q328&gt;='Friday Summary'!$C$4,Q328&lt;='Friday Summary'!$C$4+14),Q328+ROW()/1000000,""),"")</f>
        <v/>
      </c>
    </row>
    <row r="329" ht="15" customHeight="1" s="51">
      <c r="A329" s="59">
        <f>IF(B329="","","OP-"&amp;TEXT(ROW()-4,"000"))</f>
        <v/>
      </c>
      <c r="B329" s="60" t="n"/>
      <c r="C329" s="61" t="n"/>
      <c r="D329" s="60" t="n"/>
      <c r="E329" s="60" t="n"/>
      <c r="F329" s="60" t="n"/>
      <c r="G329" s="60" t="n"/>
      <c r="H329" s="60" t="n"/>
      <c r="I329" s="60" t="n"/>
      <c r="J329" s="60" t="n"/>
      <c r="K329" s="60" t="n"/>
      <c r="L329" s="60" t="n"/>
      <c r="M329" s="62" t="n"/>
      <c r="N329" s="60" t="n"/>
      <c r="O329" s="61" t="n"/>
      <c r="P329" s="61" t="n"/>
      <c r="Q329" s="63" t="n"/>
      <c r="R329" s="60" t="n"/>
      <c r="S329" s="60" t="n"/>
      <c r="T329" s="64">
        <f>IF(A329="","",IFERROR(INDEX('Bid-NoBid'!$T:$T,MATCH(A329,'Bid-NoBid'!$A:$A,0)),""))</f>
        <v/>
      </c>
      <c r="U329" s="59">
        <f>IF(A329="","",IFERROR(IF(OR(INDEX('Bid-NoBid'!$U:$U,MATCH(A329,'Bid-NoBid'!$A:$A,0))="",LEFT(INDEX('Bid-NoBid'!$U:$U,MATCH(A329,'Bid-NoBid'!$A:$A,0)),10)="Incomplete"),"Screen: "&amp;AC329,INDEX('Bid-NoBid'!$U:$U,MATCH(A329,'Bid-NoBid'!$A:$A,0))),"Screen: "&amp;AC329))</f>
        <v/>
      </c>
      <c r="V329" s="60" t="n"/>
      <c r="W329" s="60" t="n"/>
      <c r="X329" s="60" t="n"/>
      <c r="Y329" s="60" t="n"/>
      <c r="Z329" s="60" t="n"/>
      <c r="AA329" s="65" t="n"/>
      <c r="AB329" s="66" t="n"/>
      <c r="AC329" s="66" t="n"/>
      <c r="AD329" s="66" t="n"/>
      <c r="AE329" s="67">
        <f>IF(ISNUMBER(Q329),ROUNDDOWN(Q329-NOW(),1),"")</f>
        <v/>
      </c>
      <c r="AF329" s="59">
        <f>IF(OR(A329="",AE329=""),"",IF(NOT(OR(W329="Watching",W329="Preparing")),"",IF(AE329&lt;0,"PASSED",IF(AND(AE329&lt;=7,W329&lt;&gt;"Preparing"),"RED",IF(AE329&lt;=14,"AMBER","GREEN")))))</f>
        <v/>
      </c>
      <c r="AG329" s="59">
        <f>IF(OR(A329="",NOT(OR(W329="Watching",W329="Preparing"))),"",IF(AND(ISNUMBER(M329),M329&gt;=3000000000),"YES – ≥ TZS 3bn",IF(AND(ISNUMBER(AE329),AE329&gt;=0,AE329&lt;10,V329=""),"YES – &lt;10 days","")))</f>
        <v/>
      </c>
      <c r="AH329" s="68" t="n"/>
      <c r="AI329" s="66" t="n"/>
      <c r="AJ329" s="66" t="n"/>
      <c r="AK329" s="66" t="n"/>
      <c r="AL329" s="59">
        <f>IF(AND(OR(W329="Watching",W329="Preparing"),ISNUMBER(Q329)),IF(AND(Q329&gt;='Friday Summary'!$C$4,Q329&lt;='Friday Summary'!$C$4+14),Q329+ROW()/1000000,""),"")</f>
        <v/>
      </c>
    </row>
    <row r="330" ht="15" customHeight="1" s="51">
      <c r="A330" s="59">
        <f>IF(B330="","","OP-"&amp;TEXT(ROW()-4,"000"))</f>
        <v/>
      </c>
      <c r="B330" s="60" t="n"/>
      <c r="C330" s="61" t="n"/>
      <c r="D330" s="60" t="n"/>
      <c r="E330" s="60" t="n"/>
      <c r="F330" s="60" t="n"/>
      <c r="G330" s="60" t="n"/>
      <c r="H330" s="60" t="n"/>
      <c r="I330" s="60" t="n"/>
      <c r="J330" s="60" t="n"/>
      <c r="K330" s="60" t="n"/>
      <c r="L330" s="60" t="n"/>
      <c r="M330" s="62" t="n"/>
      <c r="N330" s="60" t="n"/>
      <c r="O330" s="61" t="n"/>
      <c r="P330" s="61" t="n"/>
      <c r="Q330" s="63" t="n"/>
      <c r="R330" s="60" t="n"/>
      <c r="S330" s="60" t="n"/>
      <c r="T330" s="64">
        <f>IF(A330="","",IFERROR(INDEX('Bid-NoBid'!$T:$T,MATCH(A330,'Bid-NoBid'!$A:$A,0)),""))</f>
        <v/>
      </c>
      <c r="U330" s="59">
        <f>IF(A330="","",IFERROR(IF(OR(INDEX('Bid-NoBid'!$U:$U,MATCH(A330,'Bid-NoBid'!$A:$A,0))="",LEFT(INDEX('Bid-NoBid'!$U:$U,MATCH(A330,'Bid-NoBid'!$A:$A,0)),10)="Incomplete"),"Screen: "&amp;AC330,INDEX('Bid-NoBid'!$U:$U,MATCH(A330,'Bid-NoBid'!$A:$A,0))),"Screen: "&amp;AC330))</f>
        <v/>
      </c>
      <c r="V330" s="60" t="n"/>
      <c r="W330" s="60" t="n"/>
      <c r="X330" s="60" t="n"/>
      <c r="Y330" s="60" t="n"/>
      <c r="Z330" s="60" t="n"/>
      <c r="AA330" s="65" t="n"/>
      <c r="AB330" s="66" t="n"/>
      <c r="AC330" s="66" t="n"/>
      <c r="AD330" s="66" t="n"/>
      <c r="AE330" s="67">
        <f>IF(ISNUMBER(Q330),ROUNDDOWN(Q330-NOW(),1),"")</f>
        <v/>
      </c>
      <c r="AF330" s="59">
        <f>IF(OR(A330="",AE330=""),"",IF(NOT(OR(W330="Watching",W330="Preparing")),"",IF(AE330&lt;0,"PASSED",IF(AND(AE330&lt;=7,W330&lt;&gt;"Preparing"),"RED",IF(AE330&lt;=14,"AMBER","GREEN")))))</f>
        <v/>
      </c>
      <c r="AG330" s="59">
        <f>IF(OR(A330="",NOT(OR(W330="Watching",W330="Preparing"))),"",IF(AND(ISNUMBER(M330),M330&gt;=3000000000),"YES – ≥ TZS 3bn",IF(AND(ISNUMBER(AE330),AE330&gt;=0,AE330&lt;10,V330=""),"YES – &lt;10 days","")))</f>
        <v/>
      </c>
      <c r="AH330" s="68" t="n"/>
      <c r="AI330" s="66" t="n"/>
      <c r="AJ330" s="66" t="n"/>
      <c r="AK330" s="66" t="n"/>
      <c r="AL330" s="59">
        <f>IF(AND(OR(W330="Watching",W330="Preparing"),ISNUMBER(Q330)),IF(AND(Q330&gt;='Friday Summary'!$C$4,Q330&lt;='Friday Summary'!$C$4+14),Q330+ROW()/1000000,""),"")</f>
        <v/>
      </c>
    </row>
    <row r="331" ht="15" customHeight="1" s="51">
      <c r="A331" s="59">
        <f>IF(B331="","","OP-"&amp;TEXT(ROW()-4,"000"))</f>
        <v/>
      </c>
      <c r="B331" s="60" t="n"/>
      <c r="C331" s="61" t="n"/>
      <c r="D331" s="60" t="n"/>
      <c r="E331" s="60" t="n"/>
      <c r="F331" s="60" t="n"/>
      <c r="G331" s="60" t="n"/>
      <c r="H331" s="60" t="n"/>
      <c r="I331" s="60" t="n"/>
      <c r="J331" s="60" t="n"/>
      <c r="K331" s="60" t="n"/>
      <c r="L331" s="60" t="n"/>
      <c r="M331" s="62" t="n"/>
      <c r="N331" s="60" t="n"/>
      <c r="O331" s="61" t="n"/>
      <c r="P331" s="61" t="n"/>
      <c r="Q331" s="63" t="n"/>
      <c r="R331" s="60" t="n"/>
      <c r="S331" s="60" t="n"/>
      <c r="T331" s="64">
        <f>IF(A331="","",IFERROR(INDEX('Bid-NoBid'!$T:$T,MATCH(A331,'Bid-NoBid'!$A:$A,0)),""))</f>
        <v/>
      </c>
      <c r="U331" s="59">
        <f>IF(A331="","",IFERROR(IF(OR(INDEX('Bid-NoBid'!$U:$U,MATCH(A331,'Bid-NoBid'!$A:$A,0))="",LEFT(INDEX('Bid-NoBid'!$U:$U,MATCH(A331,'Bid-NoBid'!$A:$A,0)),10)="Incomplete"),"Screen: "&amp;AC331,INDEX('Bid-NoBid'!$U:$U,MATCH(A331,'Bid-NoBid'!$A:$A,0))),"Screen: "&amp;AC331))</f>
        <v/>
      </c>
      <c r="V331" s="60" t="n"/>
      <c r="W331" s="60" t="n"/>
      <c r="X331" s="60" t="n"/>
      <c r="Y331" s="60" t="n"/>
      <c r="Z331" s="60" t="n"/>
      <c r="AA331" s="65" t="n"/>
      <c r="AB331" s="66" t="n"/>
      <c r="AC331" s="66" t="n"/>
      <c r="AD331" s="66" t="n"/>
      <c r="AE331" s="67">
        <f>IF(ISNUMBER(Q331),ROUNDDOWN(Q331-NOW(),1),"")</f>
        <v/>
      </c>
      <c r="AF331" s="59">
        <f>IF(OR(A331="",AE331=""),"",IF(NOT(OR(W331="Watching",W331="Preparing")),"",IF(AE331&lt;0,"PASSED",IF(AND(AE331&lt;=7,W331&lt;&gt;"Preparing"),"RED",IF(AE331&lt;=14,"AMBER","GREEN")))))</f>
        <v/>
      </c>
      <c r="AG331" s="59">
        <f>IF(OR(A331="",NOT(OR(W331="Watching",W331="Preparing"))),"",IF(AND(ISNUMBER(M331),M331&gt;=3000000000),"YES – ≥ TZS 3bn",IF(AND(ISNUMBER(AE331),AE331&gt;=0,AE331&lt;10,V331=""),"YES – &lt;10 days","")))</f>
        <v/>
      </c>
      <c r="AH331" s="68" t="n"/>
      <c r="AI331" s="66" t="n"/>
      <c r="AJ331" s="66" t="n"/>
      <c r="AK331" s="66" t="n"/>
      <c r="AL331" s="59">
        <f>IF(AND(OR(W331="Watching",W331="Preparing"),ISNUMBER(Q331)),IF(AND(Q331&gt;='Friday Summary'!$C$4,Q331&lt;='Friday Summary'!$C$4+14),Q331+ROW()/1000000,""),"")</f>
        <v/>
      </c>
    </row>
    <row r="332" ht="15" customHeight="1" s="51">
      <c r="A332" s="59">
        <f>IF(B332="","","OP-"&amp;TEXT(ROW()-4,"000"))</f>
        <v/>
      </c>
      <c r="B332" s="60" t="n"/>
      <c r="C332" s="61" t="n"/>
      <c r="D332" s="60" t="n"/>
      <c r="E332" s="60" t="n"/>
      <c r="F332" s="60" t="n"/>
      <c r="G332" s="60" t="n"/>
      <c r="H332" s="60" t="n"/>
      <c r="I332" s="60" t="n"/>
      <c r="J332" s="60" t="n"/>
      <c r="K332" s="60" t="n"/>
      <c r="L332" s="60" t="n"/>
      <c r="M332" s="62" t="n"/>
      <c r="N332" s="60" t="n"/>
      <c r="O332" s="61" t="n"/>
      <c r="P332" s="61" t="n"/>
      <c r="Q332" s="63" t="n"/>
      <c r="R332" s="60" t="n"/>
      <c r="S332" s="60" t="n"/>
      <c r="T332" s="64">
        <f>IF(A332="","",IFERROR(INDEX('Bid-NoBid'!$T:$T,MATCH(A332,'Bid-NoBid'!$A:$A,0)),""))</f>
        <v/>
      </c>
      <c r="U332" s="59">
        <f>IF(A332="","",IFERROR(IF(OR(INDEX('Bid-NoBid'!$U:$U,MATCH(A332,'Bid-NoBid'!$A:$A,0))="",LEFT(INDEX('Bid-NoBid'!$U:$U,MATCH(A332,'Bid-NoBid'!$A:$A,0)),10)="Incomplete"),"Screen: "&amp;AC332,INDEX('Bid-NoBid'!$U:$U,MATCH(A332,'Bid-NoBid'!$A:$A,0))),"Screen: "&amp;AC332))</f>
        <v/>
      </c>
      <c r="V332" s="60" t="n"/>
      <c r="W332" s="60" t="n"/>
      <c r="X332" s="60" t="n"/>
      <c r="Y332" s="60" t="n"/>
      <c r="Z332" s="60" t="n"/>
      <c r="AA332" s="65" t="n"/>
      <c r="AB332" s="66" t="n"/>
      <c r="AC332" s="66" t="n"/>
      <c r="AD332" s="66" t="n"/>
      <c r="AE332" s="67">
        <f>IF(ISNUMBER(Q332),ROUNDDOWN(Q332-NOW(),1),"")</f>
        <v/>
      </c>
      <c r="AF332" s="59">
        <f>IF(OR(A332="",AE332=""),"",IF(NOT(OR(W332="Watching",W332="Preparing")),"",IF(AE332&lt;0,"PASSED",IF(AND(AE332&lt;=7,W332&lt;&gt;"Preparing"),"RED",IF(AE332&lt;=14,"AMBER","GREEN")))))</f>
        <v/>
      </c>
      <c r="AG332" s="59">
        <f>IF(OR(A332="",NOT(OR(W332="Watching",W332="Preparing"))),"",IF(AND(ISNUMBER(M332),M332&gt;=3000000000),"YES – ≥ TZS 3bn",IF(AND(ISNUMBER(AE332),AE332&gt;=0,AE332&lt;10,V332=""),"YES – &lt;10 days","")))</f>
        <v/>
      </c>
      <c r="AH332" s="68" t="n"/>
      <c r="AI332" s="66" t="n"/>
      <c r="AJ332" s="66" t="n"/>
      <c r="AK332" s="66" t="n"/>
      <c r="AL332" s="59">
        <f>IF(AND(OR(W332="Watching",W332="Preparing"),ISNUMBER(Q332)),IF(AND(Q332&gt;='Friday Summary'!$C$4,Q332&lt;='Friday Summary'!$C$4+14),Q332+ROW()/1000000,""),"")</f>
        <v/>
      </c>
    </row>
    <row r="333" ht="15" customHeight="1" s="51">
      <c r="A333" s="59">
        <f>IF(B333="","","OP-"&amp;TEXT(ROW()-4,"000"))</f>
        <v/>
      </c>
      <c r="B333" s="60" t="n"/>
      <c r="C333" s="61" t="n"/>
      <c r="D333" s="60" t="n"/>
      <c r="E333" s="60" t="n"/>
      <c r="F333" s="60" t="n"/>
      <c r="G333" s="60" t="n"/>
      <c r="H333" s="60" t="n"/>
      <c r="I333" s="60" t="n"/>
      <c r="J333" s="60" t="n"/>
      <c r="K333" s="60" t="n"/>
      <c r="L333" s="60" t="n"/>
      <c r="M333" s="62" t="n"/>
      <c r="N333" s="60" t="n"/>
      <c r="O333" s="61" t="n"/>
      <c r="P333" s="61" t="n"/>
      <c r="Q333" s="63" t="n"/>
      <c r="R333" s="60" t="n"/>
      <c r="S333" s="60" t="n"/>
      <c r="T333" s="64">
        <f>IF(A333="","",IFERROR(INDEX('Bid-NoBid'!$T:$T,MATCH(A333,'Bid-NoBid'!$A:$A,0)),""))</f>
        <v/>
      </c>
      <c r="U333" s="59">
        <f>IF(A333="","",IFERROR(IF(OR(INDEX('Bid-NoBid'!$U:$U,MATCH(A333,'Bid-NoBid'!$A:$A,0))="",LEFT(INDEX('Bid-NoBid'!$U:$U,MATCH(A333,'Bid-NoBid'!$A:$A,0)),10)="Incomplete"),"Screen: "&amp;AC333,INDEX('Bid-NoBid'!$U:$U,MATCH(A333,'Bid-NoBid'!$A:$A,0))),"Screen: "&amp;AC333))</f>
        <v/>
      </c>
      <c r="V333" s="60" t="n"/>
      <c r="W333" s="60" t="n"/>
      <c r="X333" s="60" t="n"/>
      <c r="Y333" s="60" t="n"/>
      <c r="Z333" s="60" t="n"/>
      <c r="AA333" s="65" t="n"/>
      <c r="AB333" s="66" t="n"/>
      <c r="AC333" s="66" t="n"/>
      <c r="AD333" s="66" t="n"/>
      <c r="AE333" s="67">
        <f>IF(ISNUMBER(Q333),ROUNDDOWN(Q333-NOW(),1),"")</f>
        <v/>
      </c>
      <c r="AF333" s="59">
        <f>IF(OR(A333="",AE333=""),"",IF(NOT(OR(W333="Watching",W333="Preparing")),"",IF(AE333&lt;0,"PASSED",IF(AND(AE333&lt;=7,W333&lt;&gt;"Preparing"),"RED",IF(AE333&lt;=14,"AMBER","GREEN")))))</f>
        <v/>
      </c>
      <c r="AG333" s="59">
        <f>IF(OR(A333="",NOT(OR(W333="Watching",W333="Preparing"))),"",IF(AND(ISNUMBER(M333),M333&gt;=3000000000),"YES – ≥ TZS 3bn",IF(AND(ISNUMBER(AE333),AE333&gt;=0,AE333&lt;10,V333=""),"YES – &lt;10 days","")))</f>
        <v/>
      </c>
      <c r="AH333" s="68" t="n"/>
      <c r="AI333" s="66" t="n"/>
      <c r="AJ333" s="66" t="n"/>
      <c r="AK333" s="66" t="n"/>
      <c r="AL333" s="59">
        <f>IF(AND(OR(W333="Watching",W333="Preparing"),ISNUMBER(Q333)),IF(AND(Q333&gt;='Friday Summary'!$C$4,Q333&lt;='Friday Summary'!$C$4+14),Q333+ROW()/1000000,""),"")</f>
        <v/>
      </c>
    </row>
    <row r="334" ht="15" customHeight="1" s="51">
      <c r="A334" s="59">
        <f>IF(B334="","","OP-"&amp;TEXT(ROW()-4,"000"))</f>
        <v/>
      </c>
      <c r="B334" s="60" t="n"/>
      <c r="C334" s="61" t="n"/>
      <c r="D334" s="60" t="n"/>
      <c r="E334" s="60" t="n"/>
      <c r="F334" s="60" t="n"/>
      <c r="G334" s="60" t="n"/>
      <c r="H334" s="60" t="n"/>
      <c r="I334" s="60" t="n"/>
      <c r="J334" s="60" t="n"/>
      <c r="K334" s="60" t="n"/>
      <c r="L334" s="60" t="n"/>
      <c r="M334" s="62" t="n"/>
      <c r="N334" s="60" t="n"/>
      <c r="O334" s="61" t="n"/>
      <c r="P334" s="61" t="n"/>
      <c r="Q334" s="63" t="n"/>
      <c r="R334" s="60" t="n"/>
      <c r="S334" s="60" t="n"/>
      <c r="T334" s="64">
        <f>IF(A334="","",IFERROR(INDEX('Bid-NoBid'!$T:$T,MATCH(A334,'Bid-NoBid'!$A:$A,0)),""))</f>
        <v/>
      </c>
      <c r="U334" s="59">
        <f>IF(A334="","",IFERROR(IF(OR(INDEX('Bid-NoBid'!$U:$U,MATCH(A334,'Bid-NoBid'!$A:$A,0))="",LEFT(INDEX('Bid-NoBid'!$U:$U,MATCH(A334,'Bid-NoBid'!$A:$A,0)),10)="Incomplete"),"Screen: "&amp;AC334,INDEX('Bid-NoBid'!$U:$U,MATCH(A334,'Bid-NoBid'!$A:$A,0))),"Screen: "&amp;AC334))</f>
        <v/>
      </c>
      <c r="V334" s="60" t="n"/>
      <c r="W334" s="60" t="n"/>
      <c r="X334" s="60" t="n"/>
      <c r="Y334" s="60" t="n"/>
      <c r="Z334" s="60" t="n"/>
      <c r="AA334" s="65" t="n"/>
      <c r="AB334" s="66" t="n"/>
      <c r="AC334" s="66" t="n"/>
      <c r="AD334" s="66" t="n"/>
      <c r="AE334" s="67">
        <f>IF(ISNUMBER(Q334),ROUNDDOWN(Q334-NOW(),1),"")</f>
        <v/>
      </c>
      <c r="AF334" s="59">
        <f>IF(OR(A334="",AE334=""),"",IF(NOT(OR(W334="Watching",W334="Preparing")),"",IF(AE334&lt;0,"PASSED",IF(AND(AE334&lt;=7,W334&lt;&gt;"Preparing"),"RED",IF(AE334&lt;=14,"AMBER","GREEN")))))</f>
        <v/>
      </c>
      <c r="AG334" s="59">
        <f>IF(OR(A334="",NOT(OR(W334="Watching",W334="Preparing"))),"",IF(AND(ISNUMBER(M334),M334&gt;=3000000000),"YES – ≥ TZS 3bn",IF(AND(ISNUMBER(AE334),AE334&gt;=0,AE334&lt;10,V334=""),"YES – &lt;10 days","")))</f>
        <v/>
      </c>
      <c r="AH334" s="68" t="n"/>
      <c r="AI334" s="66" t="n"/>
      <c r="AJ334" s="66" t="n"/>
      <c r="AK334" s="66" t="n"/>
      <c r="AL334" s="59">
        <f>IF(AND(OR(W334="Watching",W334="Preparing"),ISNUMBER(Q334)),IF(AND(Q334&gt;='Friday Summary'!$C$4,Q334&lt;='Friday Summary'!$C$4+14),Q334+ROW()/1000000,""),"")</f>
        <v/>
      </c>
    </row>
    <row r="335" ht="15" customHeight="1" s="51">
      <c r="A335" s="59">
        <f>IF(B335="","","OP-"&amp;TEXT(ROW()-4,"000"))</f>
        <v/>
      </c>
      <c r="B335" s="60" t="n"/>
      <c r="C335" s="61" t="n"/>
      <c r="D335" s="60" t="n"/>
      <c r="E335" s="60" t="n"/>
      <c r="F335" s="60" t="n"/>
      <c r="G335" s="60" t="n"/>
      <c r="H335" s="60" t="n"/>
      <c r="I335" s="60" t="n"/>
      <c r="J335" s="60" t="n"/>
      <c r="K335" s="60" t="n"/>
      <c r="L335" s="60" t="n"/>
      <c r="M335" s="62" t="n"/>
      <c r="N335" s="60" t="n"/>
      <c r="O335" s="61" t="n"/>
      <c r="P335" s="61" t="n"/>
      <c r="Q335" s="63" t="n"/>
      <c r="R335" s="60" t="n"/>
      <c r="S335" s="60" t="n"/>
      <c r="T335" s="64">
        <f>IF(A335="","",IFERROR(INDEX('Bid-NoBid'!$T:$T,MATCH(A335,'Bid-NoBid'!$A:$A,0)),""))</f>
        <v/>
      </c>
      <c r="U335" s="59">
        <f>IF(A335="","",IFERROR(IF(OR(INDEX('Bid-NoBid'!$U:$U,MATCH(A335,'Bid-NoBid'!$A:$A,0))="",LEFT(INDEX('Bid-NoBid'!$U:$U,MATCH(A335,'Bid-NoBid'!$A:$A,0)),10)="Incomplete"),"Screen: "&amp;AC335,INDEX('Bid-NoBid'!$U:$U,MATCH(A335,'Bid-NoBid'!$A:$A,0))),"Screen: "&amp;AC335))</f>
        <v/>
      </c>
      <c r="V335" s="60" t="n"/>
      <c r="W335" s="60" t="n"/>
      <c r="X335" s="60" t="n"/>
      <c r="Y335" s="60" t="n"/>
      <c r="Z335" s="60" t="n"/>
      <c r="AA335" s="65" t="n"/>
      <c r="AB335" s="66" t="n"/>
      <c r="AC335" s="66" t="n"/>
      <c r="AD335" s="66" t="n"/>
      <c r="AE335" s="67">
        <f>IF(ISNUMBER(Q335),ROUNDDOWN(Q335-NOW(),1),"")</f>
        <v/>
      </c>
      <c r="AF335" s="59">
        <f>IF(OR(A335="",AE335=""),"",IF(NOT(OR(W335="Watching",W335="Preparing")),"",IF(AE335&lt;0,"PASSED",IF(AND(AE335&lt;=7,W335&lt;&gt;"Preparing"),"RED",IF(AE335&lt;=14,"AMBER","GREEN")))))</f>
        <v/>
      </c>
      <c r="AG335" s="59">
        <f>IF(OR(A335="",NOT(OR(W335="Watching",W335="Preparing"))),"",IF(AND(ISNUMBER(M335),M335&gt;=3000000000),"YES – ≥ TZS 3bn",IF(AND(ISNUMBER(AE335),AE335&gt;=0,AE335&lt;10,V335=""),"YES – &lt;10 days","")))</f>
        <v/>
      </c>
      <c r="AH335" s="68" t="n"/>
      <c r="AI335" s="66" t="n"/>
      <c r="AJ335" s="66" t="n"/>
      <c r="AK335" s="66" t="n"/>
      <c r="AL335" s="59">
        <f>IF(AND(OR(W335="Watching",W335="Preparing"),ISNUMBER(Q335)),IF(AND(Q335&gt;='Friday Summary'!$C$4,Q335&lt;='Friday Summary'!$C$4+14),Q335+ROW()/1000000,""),"")</f>
        <v/>
      </c>
    </row>
    <row r="336" ht="15" customHeight="1" s="51">
      <c r="A336" s="59">
        <f>IF(B336="","","OP-"&amp;TEXT(ROW()-4,"000"))</f>
        <v/>
      </c>
      <c r="B336" s="60" t="n"/>
      <c r="C336" s="61" t="n"/>
      <c r="D336" s="60" t="n"/>
      <c r="E336" s="60" t="n"/>
      <c r="F336" s="60" t="n"/>
      <c r="G336" s="60" t="n"/>
      <c r="H336" s="60" t="n"/>
      <c r="I336" s="60" t="n"/>
      <c r="J336" s="60" t="n"/>
      <c r="K336" s="60" t="n"/>
      <c r="L336" s="60" t="n"/>
      <c r="M336" s="62" t="n"/>
      <c r="N336" s="60" t="n"/>
      <c r="O336" s="61" t="n"/>
      <c r="P336" s="61" t="n"/>
      <c r="Q336" s="63" t="n"/>
      <c r="R336" s="60" t="n"/>
      <c r="S336" s="60" t="n"/>
      <c r="T336" s="64">
        <f>IF(A336="","",IFERROR(INDEX('Bid-NoBid'!$T:$T,MATCH(A336,'Bid-NoBid'!$A:$A,0)),""))</f>
        <v/>
      </c>
      <c r="U336" s="59">
        <f>IF(A336="","",IFERROR(IF(OR(INDEX('Bid-NoBid'!$U:$U,MATCH(A336,'Bid-NoBid'!$A:$A,0))="",LEFT(INDEX('Bid-NoBid'!$U:$U,MATCH(A336,'Bid-NoBid'!$A:$A,0)),10)="Incomplete"),"Screen: "&amp;AC336,INDEX('Bid-NoBid'!$U:$U,MATCH(A336,'Bid-NoBid'!$A:$A,0))),"Screen: "&amp;AC336))</f>
        <v/>
      </c>
      <c r="V336" s="60" t="n"/>
      <c r="W336" s="60" t="n"/>
      <c r="X336" s="60" t="n"/>
      <c r="Y336" s="60" t="n"/>
      <c r="Z336" s="60" t="n"/>
      <c r="AA336" s="65" t="n"/>
      <c r="AB336" s="66" t="n"/>
      <c r="AC336" s="66" t="n"/>
      <c r="AD336" s="66" t="n"/>
      <c r="AE336" s="67">
        <f>IF(ISNUMBER(Q336),ROUNDDOWN(Q336-NOW(),1),"")</f>
        <v/>
      </c>
      <c r="AF336" s="59">
        <f>IF(OR(A336="",AE336=""),"",IF(NOT(OR(W336="Watching",W336="Preparing")),"",IF(AE336&lt;0,"PASSED",IF(AND(AE336&lt;=7,W336&lt;&gt;"Preparing"),"RED",IF(AE336&lt;=14,"AMBER","GREEN")))))</f>
        <v/>
      </c>
      <c r="AG336" s="59">
        <f>IF(OR(A336="",NOT(OR(W336="Watching",W336="Preparing"))),"",IF(AND(ISNUMBER(M336),M336&gt;=3000000000),"YES – ≥ TZS 3bn",IF(AND(ISNUMBER(AE336),AE336&gt;=0,AE336&lt;10,V336=""),"YES – &lt;10 days","")))</f>
        <v/>
      </c>
      <c r="AH336" s="68" t="n"/>
      <c r="AI336" s="66" t="n"/>
      <c r="AJ336" s="66" t="n"/>
      <c r="AK336" s="66" t="n"/>
      <c r="AL336" s="59">
        <f>IF(AND(OR(W336="Watching",W336="Preparing"),ISNUMBER(Q336)),IF(AND(Q336&gt;='Friday Summary'!$C$4,Q336&lt;='Friday Summary'!$C$4+14),Q336+ROW()/1000000,""),"")</f>
        <v/>
      </c>
    </row>
    <row r="337" ht="15" customHeight="1" s="51">
      <c r="A337" s="59">
        <f>IF(B337="","","OP-"&amp;TEXT(ROW()-4,"000"))</f>
        <v/>
      </c>
      <c r="B337" s="60" t="n"/>
      <c r="C337" s="61" t="n"/>
      <c r="D337" s="60" t="n"/>
      <c r="E337" s="60" t="n"/>
      <c r="F337" s="60" t="n"/>
      <c r="G337" s="60" t="n"/>
      <c r="H337" s="60" t="n"/>
      <c r="I337" s="60" t="n"/>
      <c r="J337" s="60" t="n"/>
      <c r="K337" s="60" t="n"/>
      <c r="L337" s="60" t="n"/>
      <c r="M337" s="62" t="n"/>
      <c r="N337" s="60" t="n"/>
      <c r="O337" s="61" t="n"/>
      <c r="P337" s="61" t="n"/>
      <c r="Q337" s="63" t="n"/>
      <c r="R337" s="60" t="n"/>
      <c r="S337" s="60" t="n"/>
      <c r="T337" s="64">
        <f>IF(A337="","",IFERROR(INDEX('Bid-NoBid'!$T:$T,MATCH(A337,'Bid-NoBid'!$A:$A,0)),""))</f>
        <v/>
      </c>
      <c r="U337" s="59">
        <f>IF(A337="","",IFERROR(IF(OR(INDEX('Bid-NoBid'!$U:$U,MATCH(A337,'Bid-NoBid'!$A:$A,0))="",LEFT(INDEX('Bid-NoBid'!$U:$U,MATCH(A337,'Bid-NoBid'!$A:$A,0)),10)="Incomplete"),"Screen: "&amp;AC337,INDEX('Bid-NoBid'!$U:$U,MATCH(A337,'Bid-NoBid'!$A:$A,0))),"Screen: "&amp;AC337))</f>
        <v/>
      </c>
      <c r="V337" s="60" t="n"/>
      <c r="W337" s="60" t="n"/>
      <c r="X337" s="60" t="n"/>
      <c r="Y337" s="60" t="n"/>
      <c r="Z337" s="60" t="n"/>
      <c r="AA337" s="65" t="n"/>
      <c r="AB337" s="66" t="n"/>
      <c r="AC337" s="66" t="n"/>
      <c r="AD337" s="66" t="n"/>
      <c r="AE337" s="67">
        <f>IF(ISNUMBER(Q337),ROUNDDOWN(Q337-NOW(),1),"")</f>
        <v/>
      </c>
      <c r="AF337" s="59">
        <f>IF(OR(A337="",AE337=""),"",IF(NOT(OR(W337="Watching",W337="Preparing")),"",IF(AE337&lt;0,"PASSED",IF(AND(AE337&lt;=7,W337&lt;&gt;"Preparing"),"RED",IF(AE337&lt;=14,"AMBER","GREEN")))))</f>
        <v/>
      </c>
      <c r="AG337" s="59">
        <f>IF(OR(A337="",NOT(OR(W337="Watching",W337="Preparing"))),"",IF(AND(ISNUMBER(M337),M337&gt;=3000000000),"YES – ≥ TZS 3bn",IF(AND(ISNUMBER(AE337),AE337&gt;=0,AE337&lt;10,V337=""),"YES – &lt;10 days","")))</f>
        <v/>
      </c>
      <c r="AH337" s="68" t="n"/>
      <c r="AI337" s="66" t="n"/>
      <c r="AJ337" s="66" t="n"/>
      <c r="AK337" s="66" t="n"/>
      <c r="AL337" s="59">
        <f>IF(AND(OR(W337="Watching",W337="Preparing"),ISNUMBER(Q337)),IF(AND(Q337&gt;='Friday Summary'!$C$4,Q337&lt;='Friday Summary'!$C$4+14),Q337+ROW()/1000000,""),"")</f>
        <v/>
      </c>
    </row>
    <row r="338" ht="15" customHeight="1" s="51">
      <c r="A338" s="59">
        <f>IF(B338="","","OP-"&amp;TEXT(ROW()-4,"000"))</f>
        <v/>
      </c>
      <c r="B338" s="60" t="n"/>
      <c r="C338" s="61" t="n"/>
      <c r="D338" s="60" t="n"/>
      <c r="E338" s="60" t="n"/>
      <c r="F338" s="60" t="n"/>
      <c r="G338" s="60" t="n"/>
      <c r="H338" s="60" t="n"/>
      <c r="I338" s="60" t="n"/>
      <c r="J338" s="60" t="n"/>
      <c r="K338" s="60" t="n"/>
      <c r="L338" s="60" t="n"/>
      <c r="M338" s="62" t="n"/>
      <c r="N338" s="60" t="n"/>
      <c r="O338" s="61" t="n"/>
      <c r="P338" s="61" t="n"/>
      <c r="Q338" s="63" t="n"/>
      <c r="R338" s="60" t="n"/>
      <c r="S338" s="60" t="n"/>
      <c r="T338" s="64">
        <f>IF(A338="","",IFERROR(INDEX('Bid-NoBid'!$T:$T,MATCH(A338,'Bid-NoBid'!$A:$A,0)),""))</f>
        <v/>
      </c>
      <c r="U338" s="59">
        <f>IF(A338="","",IFERROR(IF(OR(INDEX('Bid-NoBid'!$U:$U,MATCH(A338,'Bid-NoBid'!$A:$A,0))="",LEFT(INDEX('Bid-NoBid'!$U:$U,MATCH(A338,'Bid-NoBid'!$A:$A,0)),10)="Incomplete"),"Screen: "&amp;AC338,INDEX('Bid-NoBid'!$U:$U,MATCH(A338,'Bid-NoBid'!$A:$A,0))),"Screen: "&amp;AC338))</f>
        <v/>
      </c>
      <c r="V338" s="60" t="n"/>
      <c r="W338" s="60" t="n"/>
      <c r="X338" s="60" t="n"/>
      <c r="Y338" s="60" t="n"/>
      <c r="Z338" s="60" t="n"/>
      <c r="AA338" s="65" t="n"/>
      <c r="AB338" s="66" t="n"/>
      <c r="AC338" s="66" t="n"/>
      <c r="AD338" s="66" t="n"/>
      <c r="AE338" s="67">
        <f>IF(ISNUMBER(Q338),ROUNDDOWN(Q338-NOW(),1),"")</f>
        <v/>
      </c>
      <c r="AF338" s="59">
        <f>IF(OR(A338="",AE338=""),"",IF(NOT(OR(W338="Watching",W338="Preparing")),"",IF(AE338&lt;0,"PASSED",IF(AND(AE338&lt;=7,W338&lt;&gt;"Preparing"),"RED",IF(AE338&lt;=14,"AMBER","GREEN")))))</f>
        <v/>
      </c>
      <c r="AG338" s="59">
        <f>IF(OR(A338="",NOT(OR(W338="Watching",W338="Preparing"))),"",IF(AND(ISNUMBER(M338),M338&gt;=3000000000),"YES – ≥ TZS 3bn",IF(AND(ISNUMBER(AE338),AE338&gt;=0,AE338&lt;10,V338=""),"YES – &lt;10 days","")))</f>
        <v/>
      </c>
      <c r="AH338" s="68" t="n"/>
      <c r="AI338" s="66" t="n"/>
      <c r="AJ338" s="66" t="n"/>
      <c r="AK338" s="66" t="n"/>
      <c r="AL338" s="59">
        <f>IF(AND(OR(W338="Watching",W338="Preparing"),ISNUMBER(Q338)),IF(AND(Q338&gt;='Friday Summary'!$C$4,Q338&lt;='Friday Summary'!$C$4+14),Q338+ROW()/1000000,""),"")</f>
        <v/>
      </c>
    </row>
    <row r="339" ht="15" customHeight="1" s="51">
      <c r="A339" s="59">
        <f>IF(B339="","","OP-"&amp;TEXT(ROW()-4,"000"))</f>
        <v/>
      </c>
      <c r="B339" s="60" t="n"/>
      <c r="C339" s="61" t="n"/>
      <c r="D339" s="60" t="n"/>
      <c r="E339" s="60" t="n"/>
      <c r="F339" s="60" t="n"/>
      <c r="G339" s="60" t="n"/>
      <c r="H339" s="60" t="n"/>
      <c r="I339" s="60" t="n"/>
      <c r="J339" s="60" t="n"/>
      <c r="K339" s="60" t="n"/>
      <c r="L339" s="60" t="n"/>
      <c r="M339" s="62" t="n"/>
      <c r="N339" s="60" t="n"/>
      <c r="O339" s="61" t="n"/>
      <c r="P339" s="61" t="n"/>
      <c r="Q339" s="63" t="n"/>
      <c r="R339" s="60" t="n"/>
      <c r="S339" s="60" t="n"/>
      <c r="T339" s="64">
        <f>IF(A339="","",IFERROR(INDEX('Bid-NoBid'!$T:$T,MATCH(A339,'Bid-NoBid'!$A:$A,0)),""))</f>
        <v/>
      </c>
      <c r="U339" s="59">
        <f>IF(A339="","",IFERROR(IF(OR(INDEX('Bid-NoBid'!$U:$U,MATCH(A339,'Bid-NoBid'!$A:$A,0))="",LEFT(INDEX('Bid-NoBid'!$U:$U,MATCH(A339,'Bid-NoBid'!$A:$A,0)),10)="Incomplete"),"Screen: "&amp;AC339,INDEX('Bid-NoBid'!$U:$U,MATCH(A339,'Bid-NoBid'!$A:$A,0))),"Screen: "&amp;AC339))</f>
        <v/>
      </c>
      <c r="V339" s="60" t="n"/>
      <c r="W339" s="60" t="n"/>
      <c r="X339" s="60" t="n"/>
      <c r="Y339" s="60" t="n"/>
      <c r="Z339" s="60" t="n"/>
      <c r="AA339" s="65" t="n"/>
      <c r="AB339" s="66" t="n"/>
      <c r="AC339" s="66" t="n"/>
      <c r="AD339" s="66" t="n"/>
      <c r="AE339" s="67">
        <f>IF(ISNUMBER(Q339),ROUNDDOWN(Q339-NOW(),1),"")</f>
        <v/>
      </c>
      <c r="AF339" s="59">
        <f>IF(OR(A339="",AE339=""),"",IF(NOT(OR(W339="Watching",W339="Preparing")),"",IF(AE339&lt;0,"PASSED",IF(AND(AE339&lt;=7,W339&lt;&gt;"Preparing"),"RED",IF(AE339&lt;=14,"AMBER","GREEN")))))</f>
        <v/>
      </c>
      <c r="AG339" s="59">
        <f>IF(OR(A339="",NOT(OR(W339="Watching",W339="Preparing"))),"",IF(AND(ISNUMBER(M339),M339&gt;=3000000000),"YES – ≥ TZS 3bn",IF(AND(ISNUMBER(AE339),AE339&gt;=0,AE339&lt;10,V339=""),"YES – &lt;10 days","")))</f>
        <v/>
      </c>
      <c r="AH339" s="68" t="n"/>
      <c r="AI339" s="66" t="n"/>
      <c r="AJ339" s="66" t="n"/>
      <c r="AK339" s="66" t="n"/>
      <c r="AL339" s="59">
        <f>IF(AND(OR(W339="Watching",W339="Preparing"),ISNUMBER(Q339)),IF(AND(Q339&gt;='Friday Summary'!$C$4,Q339&lt;='Friday Summary'!$C$4+14),Q339+ROW()/1000000,""),"")</f>
        <v/>
      </c>
    </row>
    <row r="340" ht="15" customHeight="1" s="51">
      <c r="A340" s="59">
        <f>IF(B340="","","OP-"&amp;TEXT(ROW()-4,"000"))</f>
        <v/>
      </c>
      <c r="B340" s="60" t="n"/>
      <c r="C340" s="61" t="n"/>
      <c r="D340" s="60" t="n"/>
      <c r="E340" s="60" t="n"/>
      <c r="F340" s="60" t="n"/>
      <c r="G340" s="60" t="n"/>
      <c r="H340" s="60" t="n"/>
      <c r="I340" s="60" t="n"/>
      <c r="J340" s="60" t="n"/>
      <c r="K340" s="60" t="n"/>
      <c r="L340" s="60" t="n"/>
      <c r="M340" s="62" t="n"/>
      <c r="N340" s="60" t="n"/>
      <c r="O340" s="61" t="n"/>
      <c r="P340" s="61" t="n"/>
      <c r="Q340" s="63" t="n"/>
      <c r="R340" s="60" t="n"/>
      <c r="S340" s="60" t="n"/>
      <c r="T340" s="64">
        <f>IF(A340="","",IFERROR(INDEX('Bid-NoBid'!$T:$T,MATCH(A340,'Bid-NoBid'!$A:$A,0)),""))</f>
        <v/>
      </c>
      <c r="U340" s="59">
        <f>IF(A340="","",IFERROR(IF(OR(INDEX('Bid-NoBid'!$U:$U,MATCH(A340,'Bid-NoBid'!$A:$A,0))="",LEFT(INDEX('Bid-NoBid'!$U:$U,MATCH(A340,'Bid-NoBid'!$A:$A,0)),10)="Incomplete"),"Screen: "&amp;AC340,INDEX('Bid-NoBid'!$U:$U,MATCH(A340,'Bid-NoBid'!$A:$A,0))),"Screen: "&amp;AC340))</f>
        <v/>
      </c>
      <c r="V340" s="60" t="n"/>
      <c r="W340" s="60" t="n"/>
      <c r="X340" s="60" t="n"/>
      <c r="Y340" s="60" t="n"/>
      <c r="Z340" s="60" t="n"/>
      <c r="AA340" s="65" t="n"/>
      <c r="AB340" s="66" t="n"/>
      <c r="AC340" s="66" t="n"/>
      <c r="AD340" s="66" t="n"/>
      <c r="AE340" s="67">
        <f>IF(ISNUMBER(Q340),ROUNDDOWN(Q340-NOW(),1),"")</f>
        <v/>
      </c>
      <c r="AF340" s="59">
        <f>IF(OR(A340="",AE340=""),"",IF(NOT(OR(W340="Watching",W340="Preparing")),"",IF(AE340&lt;0,"PASSED",IF(AND(AE340&lt;=7,W340&lt;&gt;"Preparing"),"RED",IF(AE340&lt;=14,"AMBER","GREEN")))))</f>
        <v/>
      </c>
      <c r="AG340" s="59">
        <f>IF(OR(A340="",NOT(OR(W340="Watching",W340="Preparing"))),"",IF(AND(ISNUMBER(M340),M340&gt;=3000000000),"YES – ≥ TZS 3bn",IF(AND(ISNUMBER(AE340),AE340&gt;=0,AE340&lt;10,V340=""),"YES – &lt;10 days","")))</f>
        <v/>
      </c>
      <c r="AH340" s="68" t="n"/>
      <c r="AI340" s="66" t="n"/>
      <c r="AJ340" s="66" t="n"/>
      <c r="AK340" s="66" t="n"/>
      <c r="AL340" s="59">
        <f>IF(AND(OR(W340="Watching",W340="Preparing"),ISNUMBER(Q340)),IF(AND(Q340&gt;='Friday Summary'!$C$4,Q340&lt;='Friday Summary'!$C$4+14),Q340+ROW()/1000000,""),"")</f>
        <v/>
      </c>
    </row>
    <row r="341" ht="15" customHeight="1" s="51">
      <c r="A341" s="59">
        <f>IF(B341="","","OP-"&amp;TEXT(ROW()-4,"000"))</f>
        <v/>
      </c>
      <c r="B341" s="60" t="n"/>
      <c r="C341" s="61" t="n"/>
      <c r="D341" s="60" t="n"/>
      <c r="E341" s="60" t="n"/>
      <c r="F341" s="60" t="n"/>
      <c r="G341" s="60" t="n"/>
      <c r="H341" s="60" t="n"/>
      <c r="I341" s="60" t="n"/>
      <c r="J341" s="60" t="n"/>
      <c r="K341" s="60" t="n"/>
      <c r="L341" s="60" t="n"/>
      <c r="M341" s="62" t="n"/>
      <c r="N341" s="60" t="n"/>
      <c r="O341" s="61" t="n"/>
      <c r="P341" s="61" t="n"/>
      <c r="Q341" s="63" t="n"/>
      <c r="R341" s="60" t="n"/>
      <c r="S341" s="60" t="n"/>
      <c r="T341" s="64">
        <f>IF(A341="","",IFERROR(INDEX('Bid-NoBid'!$T:$T,MATCH(A341,'Bid-NoBid'!$A:$A,0)),""))</f>
        <v/>
      </c>
      <c r="U341" s="59">
        <f>IF(A341="","",IFERROR(IF(OR(INDEX('Bid-NoBid'!$U:$U,MATCH(A341,'Bid-NoBid'!$A:$A,0))="",LEFT(INDEX('Bid-NoBid'!$U:$U,MATCH(A341,'Bid-NoBid'!$A:$A,0)),10)="Incomplete"),"Screen: "&amp;AC341,INDEX('Bid-NoBid'!$U:$U,MATCH(A341,'Bid-NoBid'!$A:$A,0))),"Screen: "&amp;AC341))</f>
        <v/>
      </c>
      <c r="V341" s="60" t="n"/>
      <c r="W341" s="60" t="n"/>
      <c r="X341" s="60" t="n"/>
      <c r="Y341" s="60" t="n"/>
      <c r="Z341" s="60" t="n"/>
      <c r="AA341" s="65" t="n"/>
      <c r="AB341" s="66" t="n"/>
      <c r="AC341" s="66" t="n"/>
      <c r="AD341" s="66" t="n"/>
      <c r="AE341" s="67">
        <f>IF(ISNUMBER(Q341),ROUNDDOWN(Q341-NOW(),1),"")</f>
        <v/>
      </c>
      <c r="AF341" s="59">
        <f>IF(OR(A341="",AE341=""),"",IF(NOT(OR(W341="Watching",W341="Preparing")),"",IF(AE341&lt;0,"PASSED",IF(AND(AE341&lt;=7,W341&lt;&gt;"Preparing"),"RED",IF(AE341&lt;=14,"AMBER","GREEN")))))</f>
        <v/>
      </c>
      <c r="AG341" s="59">
        <f>IF(OR(A341="",NOT(OR(W341="Watching",W341="Preparing"))),"",IF(AND(ISNUMBER(M341),M341&gt;=3000000000),"YES – ≥ TZS 3bn",IF(AND(ISNUMBER(AE341),AE341&gt;=0,AE341&lt;10,V341=""),"YES – &lt;10 days","")))</f>
        <v/>
      </c>
      <c r="AH341" s="68" t="n"/>
      <c r="AI341" s="66" t="n"/>
      <c r="AJ341" s="66" t="n"/>
      <c r="AK341" s="66" t="n"/>
      <c r="AL341" s="59">
        <f>IF(AND(OR(W341="Watching",W341="Preparing"),ISNUMBER(Q341)),IF(AND(Q341&gt;='Friday Summary'!$C$4,Q341&lt;='Friday Summary'!$C$4+14),Q341+ROW()/1000000,""),"")</f>
        <v/>
      </c>
    </row>
    <row r="342" ht="15" customHeight="1" s="51">
      <c r="A342" s="59">
        <f>IF(B342="","","OP-"&amp;TEXT(ROW()-4,"000"))</f>
        <v/>
      </c>
      <c r="B342" s="60" t="n"/>
      <c r="C342" s="61" t="n"/>
      <c r="D342" s="60" t="n"/>
      <c r="E342" s="60" t="n"/>
      <c r="F342" s="60" t="n"/>
      <c r="G342" s="60" t="n"/>
      <c r="H342" s="60" t="n"/>
      <c r="I342" s="60" t="n"/>
      <c r="J342" s="60" t="n"/>
      <c r="K342" s="60" t="n"/>
      <c r="L342" s="60" t="n"/>
      <c r="M342" s="62" t="n"/>
      <c r="N342" s="60" t="n"/>
      <c r="O342" s="61" t="n"/>
      <c r="P342" s="61" t="n"/>
      <c r="Q342" s="63" t="n"/>
      <c r="R342" s="60" t="n"/>
      <c r="S342" s="60" t="n"/>
      <c r="T342" s="64">
        <f>IF(A342="","",IFERROR(INDEX('Bid-NoBid'!$T:$T,MATCH(A342,'Bid-NoBid'!$A:$A,0)),""))</f>
        <v/>
      </c>
      <c r="U342" s="59">
        <f>IF(A342="","",IFERROR(IF(OR(INDEX('Bid-NoBid'!$U:$U,MATCH(A342,'Bid-NoBid'!$A:$A,0))="",LEFT(INDEX('Bid-NoBid'!$U:$U,MATCH(A342,'Bid-NoBid'!$A:$A,0)),10)="Incomplete"),"Screen: "&amp;AC342,INDEX('Bid-NoBid'!$U:$U,MATCH(A342,'Bid-NoBid'!$A:$A,0))),"Screen: "&amp;AC342))</f>
        <v/>
      </c>
      <c r="V342" s="60" t="n"/>
      <c r="W342" s="60" t="n"/>
      <c r="X342" s="60" t="n"/>
      <c r="Y342" s="60" t="n"/>
      <c r="Z342" s="60" t="n"/>
      <c r="AA342" s="65" t="n"/>
      <c r="AB342" s="66" t="n"/>
      <c r="AC342" s="66" t="n"/>
      <c r="AD342" s="66" t="n"/>
      <c r="AE342" s="67">
        <f>IF(ISNUMBER(Q342),ROUNDDOWN(Q342-NOW(),1),"")</f>
        <v/>
      </c>
      <c r="AF342" s="59">
        <f>IF(OR(A342="",AE342=""),"",IF(NOT(OR(W342="Watching",W342="Preparing")),"",IF(AE342&lt;0,"PASSED",IF(AND(AE342&lt;=7,W342&lt;&gt;"Preparing"),"RED",IF(AE342&lt;=14,"AMBER","GREEN")))))</f>
        <v/>
      </c>
      <c r="AG342" s="59">
        <f>IF(OR(A342="",NOT(OR(W342="Watching",W342="Preparing"))),"",IF(AND(ISNUMBER(M342),M342&gt;=3000000000),"YES – ≥ TZS 3bn",IF(AND(ISNUMBER(AE342),AE342&gt;=0,AE342&lt;10,V342=""),"YES – &lt;10 days","")))</f>
        <v/>
      </c>
      <c r="AH342" s="68" t="n"/>
      <c r="AI342" s="66" t="n"/>
      <c r="AJ342" s="66" t="n"/>
      <c r="AK342" s="66" t="n"/>
      <c r="AL342" s="59">
        <f>IF(AND(OR(W342="Watching",W342="Preparing"),ISNUMBER(Q342)),IF(AND(Q342&gt;='Friday Summary'!$C$4,Q342&lt;='Friday Summary'!$C$4+14),Q342+ROW()/1000000,""),"")</f>
        <v/>
      </c>
    </row>
    <row r="343" ht="15" customHeight="1" s="51">
      <c r="A343" s="59">
        <f>IF(B343="","","OP-"&amp;TEXT(ROW()-4,"000"))</f>
        <v/>
      </c>
      <c r="B343" s="60" t="n"/>
      <c r="C343" s="61" t="n"/>
      <c r="D343" s="60" t="n"/>
      <c r="E343" s="60" t="n"/>
      <c r="F343" s="60" t="n"/>
      <c r="G343" s="60" t="n"/>
      <c r="H343" s="60" t="n"/>
      <c r="I343" s="60" t="n"/>
      <c r="J343" s="60" t="n"/>
      <c r="K343" s="60" t="n"/>
      <c r="L343" s="60" t="n"/>
      <c r="M343" s="62" t="n"/>
      <c r="N343" s="60" t="n"/>
      <c r="O343" s="61" t="n"/>
      <c r="P343" s="61" t="n"/>
      <c r="Q343" s="63" t="n"/>
      <c r="R343" s="60" t="n"/>
      <c r="S343" s="60" t="n"/>
      <c r="T343" s="64">
        <f>IF(A343="","",IFERROR(INDEX('Bid-NoBid'!$T:$T,MATCH(A343,'Bid-NoBid'!$A:$A,0)),""))</f>
        <v/>
      </c>
      <c r="U343" s="59">
        <f>IF(A343="","",IFERROR(IF(OR(INDEX('Bid-NoBid'!$U:$U,MATCH(A343,'Bid-NoBid'!$A:$A,0))="",LEFT(INDEX('Bid-NoBid'!$U:$U,MATCH(A343,'Bid-NoBid'!$A:$A,0)),10)="Incomplete"),"Screen: "&amp;AC343,INDEX('Bid-NoBid'!$U:$U,MATCH(A343,'Bid-NoBid'!$A:$A,0))),"Screen: "&amp;AC343))</f>
        <v/>
      </c>
      <c r="V343" s="60" t="n"/>
      <c r="W343" s="60" t="n"/>
      <c r="X343" s="60" t="n"/>
      <c r="Y343" s="60" t="n"/>
      <c r="Z343" s="60" t="n"/>
      <c r="AA343" s="65" t="n"/>
      <c r="AB343" s="66" t="n"/>
      <c r="AC343" s="66" t="n"/>
      <c r="AD343" s="66" t="n"/>
      <c r="AE343" s="67">
        <f>IF(ISNUMBER(Q343),ROUNDDOWN(Q343-NOW(),1),"")</f>
        <v/>
      </c>
      <c r="AF343" s="59">
        <f>IF(OR(A343="",AE343=""),"",IF(NOT(OR(W343="Watching",W343="Preparing")),"",IF(AE343&lt;0,"PASSED",IF(AND(AE343&lt;=7,W343&lt;&gt;"Preparing"),"RED",IF(AE343&lt;=14,"AMBER","GREEN")))))</f>
        <v/>
      </c>
      <c r="AG343" s="59">
        <f>IF(OR(A343="",NOT(OR(W343="Watching",W343="Preparing"))),"",IF(AND(ISNUMBER(M343),M343&gt;=3000000000),"YES – ≥ TZS 3bn",IF(AND(ISNUMBER(AE343),AE343&gt;=0,AE343&lt;10,V343=""),"YES – &lt;10 days","")))</f>
        <v/>
      </c>
      <c r="AH343" s="68" t="n"/>
      <c r="AI343" s="66" t="n"/>
      <c r="AJ343" s="66" t="n"/>
      <c r="AK343" s="66" t="n"/>
      <c r="AL343" s="59">
        <f>IF(AND(OR(W343="Watching",W343="Preparing"),ISNUMBER(Q343)),IF(AND(Q343&gt;='Friday Summary'!$C$4,Q343&lt;='Friday Summary'!$C$4+14),Q343+ROW()/1000000,""),"")</f>
        <v/>
      </c>
    </row>
    <row r="344" ht="15" customHeight="1" s="51">
      <c r="A344" s="59">
        <f>IF(B344="","","OP-"&amp;TEXT(ROW()-4,"000"))</f>
        <v/>
      </c>
      <c r="B344" s="60" t="n"/>
      <c r="C344" s="61" t="n"/>
      <c r="D344" s="60" t="n"/>
      <c r="E344" s="60" t="n"/>
      <c r="F344" s="60" t="n"/>
      <c r="G344" s="60" t="n"/>
      <c r="H344" s="60" t="n"/>
      <c r="I344" s="60" t="n"/>
      <c r="J344" s="60" t="n"/>
      <c r="K344" s="60" t="n"/>
      <c r="L344" s="60" t="n"/>
      <c r="M344" s="62" t="n"/>
      <c r="N344" s="60" t="n"/>
      <c r="O344" s="61" t="n"/>
      <c r="P344" s="61" t="n"/>
      <c r="Q344" s="63" t="n"/>
      <c r="R344" s="60" t="n"/>
      <c r="S344" s="60" t="n"/>
      <c r="T344" s="64">
        <f>IF(A344="","",IFERROR(INDEX('Bid-NoBid'!$T:$T,MATCH(A344,'Bid-NoBid'!$A:$A,0)),""))</f>
        <v/>
      </c>
      <c r="U344" s="59">
        <f>IF(A344="","",IFERROR(IF(OR(INDEX('Bid-NoBid'!$U:$U,MATCH(A344,'Bid-NoBid'!$A:$A,0))="",LEFT(INDEX('Bid-NoBid'!$U:$U,MATCH(A344,'Bid-NoBid'!$A:$A,0)),10)="Incomplete"),"Screen: "&amp;AC344,INDEX('Bid-NoBid'!$U:$U,MATCH(A344,'Bid-NoBid'!$A:$A,0))),"Screen: "&amp;AC344))</f>
        <v/>
      </c>
      <c r="V344" s="60" t="n"/>
      <c r="W344" s="60" t="n"/>
      <c r="X344" s="60" t="n"/>
      <c r="Y344" s="60" t="n"/>
      <c r="Z344" s="60" t="n"/>
      <c r="AA344" s="65" t="n"/>
      <c r="AB344" s="66" t="n"/>
      <c r="AC344" s="66" t="n"/>
      <c r="AD344" s="66" t="n"/>
      <c r="AE344" s="67">
        <f>IF(ISNUMBER(Q344),ROUNDDOWN(Q344-NOW(),1),"")</f>
        <v/>
      </c>
      <c r="AF344" s="59">
        <f>IF(OR(A344="",AE344=""),"",IF(NOT(OR(W344="Watching",W344="Preparing")),"",IF(AE344&lt;0,"PASSED",IF(AND(AE344&lt;=7,W344&lt;&gt;"Preparing"),"RED",IF(AE344&lt;=14,"AMBER","GREEN")))))</f>
        <v/>
      </c>
      <c r="AG344" s="59">
        <f>IF(OR(A344="",NOT(OR(W344="Watching",W344="Preparing"))),"",IF(AND(ISNUMBER(M344),M344&gt;=3000000000),"YES – ≥ TZS 3bn",IF(AND(ISNUMBER(AE344),AE344&gt;=0,AE344&lt;10,V344=""),"YES – &lt;10 days","")))</f>
        <v/>
      </c>
      <c r="AH344" s="68" t="n"/>
      <c r="AI344" s="66" t="n"/>
      <c r="AJ344" s="66" t="n"/>
      <c r="AK344" s="66" t="n"/>
      <c r="AL344" s="59">
        <f>IF(AND(OR(W344="Watching",W344="Preparing"),ISNUMBER(Q344)),IF(AND(Q344&gt;='Friday Summary'!$C$4,Q344&lt;='Friday Summary'!$C$4+14),Q344+ROW()/1000000,""),"")</f>
        <v/>
      </c>
    </row>
    <row r="345" ht="15" customHeight="1" s="51">
      <c r="A345" s="59">
        <f>IF(B345="","","OP-"&amp;TEXT(ROW()-4,"000"))</f>
        <v/>
      </c>
      <c r="B345" s="60" t="n"/>
      <c r="C345" s="61" t="n"/>
      <c r="D345" s="60" t="n"/>
      <c r="E345" s="60" t="n"/>
      <c r="F345" s="60" t="n"/>
      <c r="G345" s="60" t="n"/>
      <c r="H345" s="60" t="n"/>
      <c r="I345" s="60" t="n"/>
      <c r="J345" s="60" t="n"/>
      <c r="K345" s="60" t="n"/>
      <c r="L345" s="60" t="n"/>
      <c r="M345" s="62" t="n"/>
      <c r="N345" s="60" t="n"/>
      <c r="O345" s="61" t="n"/>
      <c r="P345" s="61" t="n"/>
      <c r="Q345" s="63" t="n"/>
      <c r="R345" s="60" t="n"/>
      <c r="S345" s="60" t="n"/>
      <c r="T345" s="64">
        <f>IF(A345="","",IFERROR(INDEX('Bid-NoBid'!$T:$T,MATCH(A345,'Bid-NoBid'!$A:$A,0)),""))</f>
        <v/>
      </c>
      <c r="U345" s="59">
        <f>IF(A345="","",IFERROR(IF(OR(INDEX('Bid-NoBid'!$U:$U,MATCH(A345,'Bid-NoBid'!$A:$A,0))="",LEFT(INDEX('Bid-NoBid'!$U:$U,MATCH(A345,'Bid-NoBid'!$A:$A,0)),10)="Incomplete"),"Screen: "&amp;AC345,INDEX('Bid-NoBid'!$U:$U,MATCH(A345,'Bid-NoBid'!$A:$A,0))),"Screen: "&amp;AC345))</f>
        <v/>
      </c>
      <c r="V345" s="60" t="n"/>
      <c r="W345" s="60" t="n"/>
      <c r="X345" s="60" t="n"/>
      <c r="Y345" s="60" t="n"/>
      <c r="Z345" s="60" t="n"/>
      <c r="AA345" s="65" t="n"/>
      <c r="AB345" s="66" t="n"/>
      <c r="AC345" s="66" t="n"/>
      <c r="AD345" s="66" t="n"/>
      <c r="AE345" s="67">
        <f>IF(ISNUMBER(Q345),ROUNDDOWN(Q345-NOW(),1),"")</f>
        <v/>
      </c>
      <c r="AF345" s="59">
        <f>IF(OR(A345="",AE345=""),"",IF(NOT(OR(W345="Watching",W345="Preparing")),"",IF(AE345&lt;0,"PASSED",IF(AND(AE345&lt;=7,W345&lt;&gt;"Preparing"),"RED",IF(AE345&lt;=14,"AMBER","GREEN")))))</f>
        <v/>
      </c>
      <c r="AG345" s="59">
        <f>IF(OR(A345="",NOT(OR(W345="Watching",W345="Preparing"))),"",IF(AND(ISNUMBER(M345),M345&gt;=3000000000),"YES – ≥ TZS 3bn",IF(AND(ISNUMBER(AE345),AE345&gt;=0,AE345&lt;10,V345=""),"YES – &lt;10 days","")))</f>
        <v/>
      </c>
      <c r="AH345" s="68" t="n"/>
      <c r="AI345" s="66" t="n"/>
      <c r="AJ345" s="66" t="n"/>
      <c r="AK345" s="66" t="n"/>
      <c r="AL345" s="59">
        <f>IF(AND(OR(W345="Watching",W345="Preparing"),ISNUMBER(Q345)),IF(AND(Q345&gt;='Friday Summary'!$C$4,Q345&lt;='Friday Summary'!$C$4+14),Q345+ROW()/1000000,""),"")</f>
        <v/>
      </c>
    </row>
    <row r="346" ht="15" customHeight="1" s="51">
      <c r="A346" s="59">
        <f>IF(B346="","","OP-"&amp;TEXT(ROW()-4,"000"))</f>
        <v/>
      </c>
      <c r="B346" s="60" t="n"/>
      <c r="C346" s="61" t="n"/>
      <c r="D346" s="60" t="n"/>
      <c r="E346" s="60" t="n"/>
      <c r="F346" s="60" t="n"/>
      <c r="G346" s="60" t="n"/>
      <c r="H346" s="60" t="n"/>
      <c r="I346" s="60" t="n"/>
      <c r="J346" s="60" t="n"/>
      <c r="K346" s="60" t="n"/>
      <c r="L346" s="60" t="n"/>
      <c r="M346" s="62" t="n"/>
      <c r="N346" s="60" t="n"/>
      <c r="O346" s="61" t="n"/>
      <c r="P346" s="61" t="n"/>
      <c r="Q346" s="63" t="n"/>
      <c r="R346" s="60" t="n"/>
      <c r="S346" s="60" t="n"/>
      <c r="T346" s="64">
        <f>IF(A346="","",IFERROR(INDEX('Bid-NoBid'!$T:$T,MATCH(A346,'Bid-NoBid'!$A:$A,0)),""))</f>
        <v/>
      </c>
      <c r="U346" s="59">
        <f>IF(A346="","",IFERROR(IF(OR(INDEX('Bid-NoBid'!$U:$U,MATCH(A346,'Bid-NoBid'!$A:$A,0))="",LEFT(INDEX('Bid-NoBid'!$U:$U,MATCH(A346,'Bid-NoBid'!$A:$A,0)),10)="Incomplete"),"Screen: "&amp;AC346,INDEX('Bid-NoBid'!$U:$U,MATCH(A346,'Bid-NoBid'!$A:$A,0))),"Screen: "&amp;AC346))</f>
        <v/>
      </c>
      <c r="V346" s="60" t="n"/>
      <c r="W346" s="60" t="n"/>
      <c r="X346" s="60" t="n"/>
      <c r="Y346" s="60" t="n"/>
      <c r="Z346" s="60" t="n"/>
      <c r="AA346" s="65" t="n"/>
      <c r="AB346" s="66" t="n"/>
      <c r="AC346" s="66" t="n"/>
      <c r="AD346" s="66" t="n"/>
      <c r="AE346" s="67">
        <f>IF(ISNUMBER(Q346),ROUNDDOWN(Q346-NOW(),1),"")</f>
        <v/>
      </c>
      <c r="AF346" s="59">
        <f>IF(OR(A346="",AE346=""),"",IF(NOT(OR(W346="Watching",W346="Preparing")),"",IF(AE346&lt;0,"PASSED",IF(AND(AE346&lt;=7,W346&lt;&gt;"Preparing"),"RED",IF(AE346&lt;=14,"AMBER","GREEN")))))</f>
        <v/>
      </c>
      <c r="AG346" s="59">
        <f>IF(OR(A346="",NOT(OR(W346="Watching",W346="Preparing"))),"",IF(AND(ISNUMBER(M346),M346&gt;=3000000000),"YES – ≥ TZS 3bn",IF(AND(ISNUMBER(AE346),AE346&gt;=0,AE346&lt;10,V346=""),"YES – &lt;10 days","")))</f>
        <v/>
      </c>
      <c r="AH346" s="68" t="n"/>
      <c r="AI346" s="66" t="n"/>
      <c r="AJ346" s="66" t="n"/>
      <c r="AK346" s="66" t="n"/>
      <c r="AL346" s="59">
        <f>IF(AND(OR(W346="Watching",W346="Preparing"),ISNUMBER(Q346)),IF(AND(Q346&gt;='Friday Summary'!$C$4,Q346&lt;='Friday Summary'!$C$4+14),Q346+ROW()/1000000,""),"")</f>
        <v/>
      </c>
    </row>
    <row r="347" ht="15" customHeight="1" s="51">
      <c r="A347" s="59">
        <f>IF(B347="","","OP-"&amp;TEXT(ROW()-4,"000"))</f>
        <v/>
      </c>
      <c r="B347" s="60" t="n"/>
      <c r="C347" s="61" t="n"/>
      <c r="D347" s="60" t="n"/>
      <c r="E347" s="60" t="n"/>
      <c r="F347" s="60" t="n"/>
      <c r="G347" s="60" t="n"/>
      <c r="H347" s="60" t="n"/>
      <c r="I347" s="60" t="n"/>
      <c r="J347" s="60" t="n"/>
      <c r="K347" s="60" t="n"/>
      <c r="L347" s="60" t="n"/>
      <c r="M347" s="62" t="n"/>
      <c r="N347" s="60" t="n"/>
      <c r="O347" s="61" t="n"/>
      <c r="P347" s="61" t="n"/>
      <c r="Q347" s="63" t="n"/>
      <c r="R347" s="60" t="n"/>
      <c r="S347" s="60" t="n"/>
      <c r="T347" s="64">
        <f>IF(A347="","",IFERROR(INDEX('Bid-NoBid'!$T:$T,MATCH(A347,'Bid-NoBid'!$A:$A,0)),""))</f>
        <v/>
      </c>
      <c r="U347" s="59">
        <f>IF(A347="","",IFERROR(IF(OR(INDEX('Bid-NoBid'!$U:$U,MATCH(A347,'Bid-NoBid'!$A:$A,0))="",LEFT(INDEX('Bid-NoBid'!$U:$U,MATCH(A347,'Bid-NoBid'!$A:$A,0)),10)="Incomplete"),"Screen: "&amp;AC347,INDEX('Bid-NoBid'!$U:$U,MATCH(A347,'Bid-NoBid'!$A:$A,0))),"Screen: "&amp;AC347))</f>
        <v/>
      </c>
      <c r="V347" s="60" t="n"/>
      <c r="W347" s="60" t="n"/>
      <c r="X347" s="60" t="n"/>
      <c r="Y347" s="60" t="n"/>
      <c r="Z347" s="60" t="n"/>
      <c r="AA347" s="65" t="n"/>
      <c r="AB347" s="66" t="n"/>
      <c r="AC347" s="66" t="n"/>
      <c r="AD347" s="66" t="n"/>
      <c r="AE347" s="67">
        <f>IF(ISNUMBER(Q347),ROUNDDOWN(Q347-NOW(),1),"")</f>
        <v/>
      </c>
      <c r="AF347" s="59">
        <f>IF(OR(A347="",AE347=""),"",IF(NOT(OR(W347="Watching",W347="Preparing")),"",IF(AE347&lt;0,"PASSED",IF(AND(AE347&lt;=7,W347&lt;&gt;"Preparing"),"RED",IF(AE347&lt;=14,"AMBER","GREEN")))))</f>
        <v/>
      </c>
      <c r="AG347" s="59">
        <f>IF(OR(A347="",NOT(OR(W347="Watching",W347="Preparing"))),"",IF(AND(ISNUMBER(M347),M347&gt;=3000000000),"YES – ≥ TZS 3bn",IF(AND(ISNUMBER(AE347),AE347&gt;=0,AE347&lt;10,V347=""),"YES – &lt;10 days","")))</f>
        <v/>
      </c>
      <c r="AH347" s="68" t="n"/>
      <c r="AI347" s="66" t="n"/>
      <c r="AJ347" s="66" t="n"/>
      <c r="AK347" s="66" t="n"/>
      <c r="AL347" s="59">
        <f>IF(AND(OR(W347="Watching",W347="Preparing"),ISNUMBER(Q347)),IF(AND(Q347&gt;='Friday Summary'!$C$4,Q347&lt;='Friday Summary'!$C$4+14),Q347+ROW()/1000000,""),"")</f>
        <v/>
      </c>
    </row>
    <row r="348" ht="15" customHeight="1" s="51">
      <c r="A348" s="59">
        <f>IF(B348="","","OP-"&amp;TEXT(ROW()-4,"000"))</f>
        <v/>
      </c>
      <c r="B348" s="60" t="n"/>
      <c r="C348" s="61" t="n"/>
      <c r="D348" s="60" t="n"/>
      <c r="E348" s="60" t="n"/>
      <c r="F348" s="60" t="n"/>
      <c r="G348" s="60" t="n"/>
      <c r="H348" s="60" t="n"/>
      <c r="I348" s="60" t="n"/>
      <c r="J348" s="60" t="n"/>
      <c r="K348" s="60" t="n"/>
      <c r="L348" s="60" t="n"/>
      <c r="M348" s="62" t="n"/>
      <c r="N348" s="60" t="n"/>
      <c r="O348" s="61" t="n"/>
      <c r="P348" s="61" t="n"/>
      <c r="Q348" s="63" t="n"/>
      <c r="R348" s="60" t="n"/>
      <c r="S348" s="60" t="n"/>
      <c r="T348" s="64">
        <f>IF(A348="","",IFERROR(INDEX('Bid-NoBid'!$T:$T,MATCH(A348,'Bid-NoBid'!$A:$A,0)),""))</f>
        <v/>
      </c>
      <c r="U348" s="59">
        <f>IF(A348="","",IFERROR(IF(OR(INDEX('Bid-NoBid'!$U:$U,MATCH(A348,'Bid-NoBid'!$A:$A,0))="",LEFT(INDEX('Bid-NoBid'!$U:$U,MATCH(A348,'Bid-NoBid'!$A:$A,0)),10)="Incomplete"),"Screen: "&amp;AC348,INDEX('Bid-NoBid'!$U:$U,MATCH(A348,'Bid-NoBid'!$A:$A,0))),"Screen: "&amp;AC348))</f>
        <v/>
      </c>
      <c r="V348" s="60" t="n"/>
      <c r="W348" s="60" t="n"/>
      <c r="X348" s="60" t="n"/>
      <c r="Y348" s="60" t="n"/>
      <c r="Z348" s="60" t="n"/>
      <c r="AA348" s="65" t="n"/>
      <c r="AB348" s="66" t="n"/>
      <c r="AC348" s="66" t="n"/>
      <c r="AD348" s="66" t="n"/>
      <c r="AE348" s="67">
        <f>IF(ISNUMBER(Q348),ROUNDDOWN(Q348-NOW(),1),"")</f>
        <v/>
      </c>
      <c r="AF348" s="59">
        <f>IF(OR(A348="",AE348=""),"",IF(NOT(OR(W348="Watching",W348="Preparing")),"",IF(AE348&lt;0,"PASSED",IF(AND(AE348&lt;=7,W348&lt;&gt;"Preparing"),"RED",IF(AE348&lt;=14,"AMBER","GREEN")))))</f>
        <v/>
      </c>
      <c r="AG348" s="59">
        <f>IF(OR(A348="",NOT(OR(W348="Watching",W348="Preparing"))),"",IF(AND(ISNUMBER(M348),M348&gt;=3000000000),"YES – ≥ TZS 3bn",IF(AND(ISNUMBER(AE348),AE348&gt;=0,AE348&lt;10,V348=""),"YES – &lt;10 days","")))</f>
        <v/>
      </c>
      <c r="AH348" s="68" t="n"/>
      <c r="AI348" s="66" t="n"/>
      <c r="AJ348" s="66" t="n"/>
      <c r="AK348" s="66" t="n"/>
      <c r="AL348" s="59">
        <f>IF(AND(OR(W348="Watching",W348="Preparing"),ISNUMBER(Q348)),IF(AND(Q348&gt;='Friday Summary'!$C$4,Q348&lt;='Friday Summary'!$C$4+14),Q348+ROW()/1000000,""),"")</f>
        <v/>
      </c>
    </row>
    <row r="349" ht="15" customHeight="1" s="51">
      <c r="A349" s="59">
        <f>IF(B349="","","OP-"&amp;TEXT(ROW()-4,"000"))</f>
        <v/>
      </c>
      <c r="B349" s="60" t="n"/>
      <c r="C349" s="61" t="n"/>
      <c r="D349" s="60" t="n"/>
      <c r="E349" s="60" t="n"/>
      <c r="F349" s="60" t="n"/>
      <c r="G349" s="60" t="n"/>
      <c r="H349" s="60" t="n"/>
      <c r="I349" s="60" t="n"/>
      <c r="J349" s="60" t="n"/>
      <c r="K349" s="60" t="n"/>
      <c r="L349" s="60" t="n"/>
      <c r="M349" s="62" t="n"/>
      <c r="N349" s="60" t="n"/>
      <c r="O349" s="61" t="n"/>
      <c r="P349" s="61" t="n"/>
      <c r="Q349" s="63" t="n"/>
      <c r="R349" s="60" t="n"/>
      <c r="S349" s="60" t="n"/>
      <c r="T349" s="64">
        <f>IF(A349="","",IFERROR(INDEX('Bid-NoBid'!$T:$T,MATCH(A349,'Bid-NoBid'!$A:$A,0)),""))</f>
        <v/>
      </c>
      <c r="U349" s="59">
        <f>IF(A349="","",IFERROR(IF(OR(INDEX('Bid-NoBid'!$U:$U,MATCH(A349,'Bid-NoBid'!$A:$A,0))="",LEFT(INDEX('Bid-NoBid'!$U:$U,MATCH(A349,'Bid-NoBid'!$A:$A,0)),10)="Incomplete"),"Screen: "&amp;AC349,INDEX('Bid-NoBid'!$U:$U,MATCH(A349,'Bid-NoBid'!$A:$A,0))),"Screen: "&amp;AC349))</f>
        <v/>
      </c>
      <c r="V349" s="60" t="n"/>
      <c r="W349" s="60" t="n"/>
      <c r="X349" s="60" t="n"/>
      <c r="Y349" s="60" t="n"/>
      <c r="Z349" s="60" t="n"/>
      <c r="AA349" s="65" t="n"/>
      <c r="AB349" s="66" t="n"/>
      <c r="AC349" s="66" t="n"/>
      <c r="AD349" s="66" t="n"/>
      <c r="AE349" s="67">
        <f>IF(ISNUMBER(Q349),ROUNDDOWN(Q349-NOW(),1),"")</f>
        <v/>
      </c>
      <c r="AF349" s="59">
        <f>IF(OR(A349="",AE349=""),"",IF(NOT(OR(W349="Watching",W349="Preparing")),"",IF(AE349&lt;0,"PASSED",IF(AND(AE349&lt;=7,W349&lt;&gt;"Preparing"),"RED",IF(AE349&lt;=14,"AMBER","GREEN")))))</f>
        <v/>
      </c>
      <c r="AG349" s="59">
        <f>IF(OR(A349="",NOT(OR(W349="Watching",W349="Preparing"))),"",IF(AND(ISNUMBER(M349),M349&gt;=3000000000),"YES – ≥ TZS 3bn",IF(AND(ISNUMBER(AE349),AE349&gt;=0,AE349&lt;10,V349=""),"YES – &lt;10 days","")))</f>
        <v/>
      </c>
      <c r="AH349" s="68" t="n"/>
      <c r="AI349" s="66" t="n"/>
      <c r="AJ349" s="66" t="n"/>
      <c r="AK349" s="66" t="n"/>
      <c r="AL349" s="59">
        <f>IF(AND(OR(W349="Watching",W349="Preparing"),ISNUMBER(Q349)),IF(AND(Q349&gt;='Friday Summary'!$C$4,Q349&lt;='Friday Summary'!$C$4+14),Q349+ROW()/1000000,""),"")</f>
        <v/>
      </c>
    </row>
    <row r="350" ht="15" customHeight="1" s="51">
      <c r="A350" s="59">
        <f>IF(B350="","","OP-"&amp;TEXT(ROW()-4,"000"))</f>
        <v/>
      </c>
      <c r="B350" s="60" t="n"/>
      <c r="C350" s="61" t="n"/>
      <c r="D350" s="60" t="n"/>
      <c r="E350" s="60" t="n"/>
      <c r="F350" s="60" t="n"/>
      <c r="G350" s="60" t="n"/>
      <c r="H350" s="60" t="n"/>
      <c r="I350" s="60" t="n"/>
      <c r="J350" s="60" t="n"/>
      <c r="K350" s="60" t="n"/>
      <c r="L350" s="60" t="n"/>
      <c r="M350" s="62" t="n"/>
      <c r="N350" s="60" t="n"/>
      <c r="O350" s="61" t="n"/>
      <c r="P350" s="61" t="n"/>
      <c r="Q350" s="63" t="n"/>
      <c r="R350" s="60" t="n"/>
      <c r="S350" s="60" t="n"/>
      <c r="T350" s="64">
        <f>IF(A350="","",IFERROR(INDEX('Bid-NoBid'!$T:$T,MATCH(A350,'Bid-NoBid'!$A:$A,0)),""))</f>
        <v/>
      </c>
      <c r="U350" s="59">
        <f>IF(A350="","",IFERROR(IF(OR(INDEX('Bid-NoBid'!$U:$U,MATCH(A350,'Bid-NoBid'!$A:$A,0))="",LEFT(INDEX('Bid-NoBid'!$U:$U,MATCH(A350,'Bid-NoBid'!$A:$A,0)),10)="Incomplete"),"Screen: "&amp;AC350,INDEX('Bid-NoBid'!$U:$U,MATCH(A350,'Bid-NoBid'!$A:$A,0))),"Screen: "&amp;AC350))</f>
        <v/>
      </c>
      <c r="V350" s="60" t="n"/>
      <c r="W350" s="60" t="n"/>
      <c r="X350" s="60" t="n"/>
      <c r="Y350" s="60" t="n"/>
      <c r="Z350" s="60" t="n"/>
      <c r="AA350" s="65" t="n"/>
      <c r="AB350" s="66" t="n"/>
      <c r="AC350" s="66" t="n"/>
      <c r="AD350" s="66" t="n"/>
      <c r="AE350" s="67">
        <f>IF(ISNUMBER(Q350),ROUNDDOWN(Q350-NOW(),1),"")</f>
        <v/>
      </c>
      <c r="AF350" s="59">
        <f>IF(OR(A350="",AE350=""),"",IF(NOT(OR(W350="Watching",W350="Preparing")),"",IF(AE350&lt;0,"PASSED",IF(AND(AE350&lt;=7,W350&lt;&gt;"Preparing"),"RED",IF(AE350&lt;=14,"AMBER","GREEN")))))</f>
        <v/>
      </c>
      <c r="AG350" s="59">
        <f>IF(OR(A350="",NOT(OR(W350="Watching",W350="Preparing"))),"",IF(AND(ISNUMBER(M350),M350&gt;=3000000000),"YES – ≥ TZS 3bn",IF(AND(ISNUMBER(AE350),AE350&gt;=0,AE350&lt;10,V350=""),"YES – &lt;10 days","")))</f>
        <v/>
      </c>
      <c r="AH350" s="68" t="n"/>
      <c r="AI350" s="66" t="n"/>
      <c r="AJ350" s="66" t="n"/>
      <c r="AK350" s="66" t="n"/>
      <c r="AL350" s="59">
        <f>IF(AND(OR(W350="Watching",W350="Preparing"),ISNUMBER(Q350)),IF(AND(Q350&gt;='Friday Summary'!$C$4,Q350&lt;='Friday Summary'!$C$4+14),Q350+ROW()/1000000,""),"")</f>
        <v/>
      </c>
    </row>
    <row r="351" ht="15" customHeight="1" s="51">
      <c r="A351" s="59">
        <f>IF(B351="","","OP-"&amp;TEXT(ROW()-4,"000"))</f>
        <v/>
      </c>
      <c r="B351" s="60" t="n"/>
      <c r="C351" s="61" t="n"/>
      <c r="D351" s="60" t="n"/>
      <c r="E351" s="60" t="n"/>
      <c r="F351" s="60" t="n"/>
      <c r="G351" s="60" t="n"/>
      <c r="H351" s="60" t="n"/>
      <c r="I351" s="60" t="n"/>
      <c r="J351" s="60" t="n"/>
      <c r="K351" s="60" t="n"/>
      <c r="L351" s="60" t="n"/>
      <c r="M351" s="62" t="n"/>
      <c r="N351" s="60" t="n"/>
      <c r="O351" s="61" t="n"/>
      <c r="P351" s="61" t="n"/>
      <c r="Q351" s="63" t="n"/>
      <c r="R351" s="60" t="n"/>
      <c r="S351" s="60" t="n"/>
      <c r="T351" s="64">
        <f>IF(A351="","",IFERROR(INDEX('Bid-NoBid'!$T:$T,MATCH(A351,'Bid-NoBid'!$A:$A,0)),""))</f>
        <v/>
      </c>
      <c r="U351" s="59">
        <f>IF(A351="","",IFERROR(IF(OR(INDEX('Bid-NoBid'!$U:$U,MATCH(A351,'Bid-NoBid'!$A:$A,0))="",LEFT(INDEX('Bid-NoBid'!$U:$U,MATCH(A351,'Bid-NoBid'!$A:$A,0)),10)="Incomplete"),"Screen: "&amp;AC351,INDEX('Bid-NoBid'!$U:$U,MATCH(A351,'Bid-NoBid'!$A:$A,0))),"Screen: "&amp;AC351))</f>
        <v/>
      </c>
      <c r="V351" s="60" t="n"/>
      <c r="W351" s="60" t="n"/>
      <c r="X351" s="60" t="n"/>
      <c r="Y351" s="60" t="n"/>
      <c r="Z351" s="60" t="n"/>
      <c r="AA351" s="65" t="n"/>
      <c r="AB351" s="66" t="n"/>
      <c r="AC351" s="66" t="n"/>
      <c r="AD351" s="66" t="n"/>
      <c r="AE351" s="67">
        <f>IF(ISNUMBER(Q351),ROUNDDOWN(Q351-NOW(),1),"")</f>
        <v/>
      </c>
      <c r="AF351" s="59">
        <f>IF(OR(A351="",AE351=""),"",IF(NOT(OR(W351="Watching",W351="Preparing")),"",IF(AE351&lt;0,"PASSED",IF(AND(AE351&lt;=7,W351&lt;&gt;"Preparing"),"RED",IF(AE351&lt;=14,"AMBER","GREEN")))))</f>
        <v/>
      </c>
      <c r="AG351" s="59">
        <f>IF(OR(A351="",NOT(OR(W351="Watching",W351="Preparing"))),"",IF(AND(ISNUMBER(M351),M351&gt;=3000000000),"YES – ≥ TZS 3bn",IF(AND(ISNUMBER(AE351),AE351&gt;=0,AE351&lt;10,V351=""),"YES – &lt;10 days","")))</f>
        <v/>
      </c>
      <c r="AH351" s="68" t="n"/>
      <c r="AI351" s="66" t="n"/>
      <c r="AJ351" s="66" t="n"/>
      <c r="AK351" s="66" t="n"/>
      <c r="AL351" s="59">
        <f>IF(AND(OR(W351="Watching",W351="Preparing"),ISNUMBER(Q351)),IF(AND(Q351&gt;='Friday Summary'!$C$4,Q351&lt;='Friday Summary'!$C$4+14),Q351+ROW()/1000000,""),"")</f>
        <v/>
      </c>
    </row>
    <row r="352" ht="15" customHeight="1" s="51">
      <c r="A352" s="59">
        <f>IF(B352="","","OP-"&amp;TEXT(ROW()-4,"000"))</f>
        <v/>
      </c>
      <c r="B352" s="60" t="n"/>
      <c r="C352" s="61" t="n"/>
      <c r="D352" s="60" t="n"/>
      <c r="E352" s="60" t="n"/>
      <c r="F352" s="60" t="n"/>
      <c r="G352" s="60" t="n"/>
      <c r="H352" s="60" t="n"/>
      <c r="I352" s="60" t="n"/>
      <c r="J352" s="60" t="n"/>
      <c r="K352" s="60" t="n"/>
      <c r="L352" s="60" t="n"/>
      <c r="M352" s="62" t="n"/>
      <c r="N352" s="60" t="n"/>
      <c r="O352" s="61" t="n"/>
      <c r="P352" s="61" t="n"/>
      <c r="Q352" s="63" t="n"/>
      <c r="R352" s="60" t="n"/>
      <c r="S352" s="60" t="n"/>
      <c r="T352" s="64">
        <f>IF(A352="","",IFERROR(INDEX('Bid-NoBid'!$T:$T,MATCH(A352,'Bid-NoBid'!$A:$A,0)),""))</f>
        <v/>
      </c>
      <c r="U352" s="59">
        <f>IF(A352="","",IFERROR(IF(OR(INDEX('Bid-NoBid'!$U:$U,MATCH(A352,'Bid-NoBid'!$A:$A,0))="",LEFT(INDEX('Bid-NoBid'!$U:$U,MATCH(A352,'Bid-NoBid'!$A:$A,0)),10)="Incomplete"),"Screen: "&amp;AC352,INDEX('Bid-NoBid'!$U:$U,MATCH(A352,'Bid-NoBid'!$A:$A,0))),"Screen: "&amp;AC352))</f>
        <v/>
      </c>
      <c r="V352" s="60" t="n"/>
      <c r="W352" s="60" t="n"/>
      <c r="X352" s="60" t="n"/>
      <c r="Y352" s="60" t="n"/>
      <c r="Z352" s="60" t="n"/>
      <c r="AA352" s="65" t="n"/>
      <c r="AB352" s="66" t="n"/>
      <c r="AC352" s="66" t="n"/>
      <c r="AD352" s="66" t="n"/>
      <c r="AE352" s="67">
        <f>IF(ISNUMBER(Q352),ROUNDDOWN(Q352-NOW(),1),"")</f>
        <v/>
      </c>
      <c r="AF352" s="59">
        <f>IF(OR(A352="",AE352=""),"",IF(NOT(OR(W352="Watching",W352="Preparing")),"",IF(AE352&lt;0,"PASSED",IF(AND(AE352&lt;=7,W352&lt;&gt;"Preparing"),"RED",IF(AE352&lt;=14,"AMBER","GREEN")))))</f>
        <v/>
      </c>
      <c r="AG352" s="59">
        <f>IF(OR(A352="",NOT(OR(W352="Watching",W352="Preparing"))),"",IF(AND(ISNUMBER(M352),M352&gt;=3000000000),"YES – ≥ TZS 3bn",IF(AND(ISNUMBER(AE352),AE352&gt;=0,AE352&lt;10,V352=""),"YES – &lt;10 days","")))</f>
        <v/>
      </c>
      <c r="AH352" s="68" t="n"/>
      <c r="AI352" s="66" t="n"/>
      <c r="AJ352" s="66" t="n"/>
      <c r="AK352" s="66" t="n"/>
      <c r="AL352" s="59">
        <f>IF(AND(OR(W352="Watching",W352="Preparing"),ISNUMBER(Q352)),IF(AND(Q352&gt;='Friday Summary'!$C$4,Q352&lt;='Friday Summary'!$C$4+14),Q352+ROW()/1000000,""),"")</f>
        <v/>
      </c>
    </row>
    <row r="353" ht="15" customHeight="1" s="51">
      <c r="A353" s="59">
        <f>IF(B353="","","OP-"&amp;TEXT(ROW()-4,"000"))</f>
        <v/>
      </c>
      <c r="B353" s="60" t="n"/>
      <c r="C353" s="61" t="n"/>
      <c r="D353" s="60" t="n"/>
      <c r="E353" s="60" t="n"/>
      <c r="F353" s="60" t="n"/>
      <c r="G353" s="60" t="n"/>
      <c r="H353" s="60" t="n"/>
      <c r="I353" s="60" t="n"/>
      <c r="J353" s="60" t="n"/>
      <c r="K353" s="60" t="n"/>
      <c r="L353" s="60" t="n"/>
      <c r="M353" s="62" t="n"/>
      <c r="N353" s="60" t="n"/>
      <c r="O353" s="61" t="n"/>
      <c r="P353" s="61" t="n"/>
      <c r="Q353" s="63" t="n"/>
      <c r="R353" s="60" t="n"/>
      <c r="S353" s="60" t="n"/>
      <c r="T353" s="64">
        <f>IF(A353="","",IFERROR(INDEX('Bid-NoBid'!$T:$T,MATCH(A353,'Bid-NoBid'!$A:$A,0)),""))</f>
        <v/>
      </c>
      <c r="U353" s="59">
        <f>IF(A353="","",IFERROR(IF(OR(INDEX('Bid-NoBid'!$U:$U,MATCH(A353,'Bid-NoBid'!$A:$A,0))="",LEFT(INDEX('Bid-NoBid'!$U:$U,MATCH(A353,'Bid-NoBid'!$A:$A,0)),10)="Incomplete"),"Screen: "&amp;AC353,INDEX('Bid-NoBid'!$U:$U,MATCH(A353,'Bid-NoBid'!$A:$A,0))),"Screen: "&amp;AC353))</f>
        <v/>
      </c>
      <c r="V353" s="60" t="n"/>
      <c r="W353" s="60" t="n"/>
      <c r="X353" s="60" t="n"/>
      <c r="Y353" s="60" t="n"/>
      <c r="Z353" s="60" t="n"/>
      <c r="AA353" s="65" t="n"/>
      <c r="AB353" s="66" t="n"/>
      <c r="AC353" s="66" t="n"/>
      <c r="AD353" s="66" t="n"/>
      <c r="AE353" s="67">
        <f>IF(ISNUMBER(Q353),ROUNDDOWN(Q353-NOW(),1),"")</f>
        <v/>
      </c>
      <c r="AF353" s="59">
        <f>IF(OR(A353="",AE353=""),"",IF(NOT(OR(W353="Watching",W353="Preparing")),"",IF(AE353&lt;0,"PASSED",IF(AND(AE353&lt;=7,W353&lt;&gt;"Preparing"),"RED",IF(AE353&lt;=14,"AMBER","GREEN")))))</f>
        <v/>
      </c>
      <c r="AG353" s="59">
        <f>IF(OR(A353="",NOT(OR(W353="Watching",W353="Preparing"))),"",IF(AND(ISNUMBER(M353),M353&gt;=3000000000),"YES – ≥ TZS 3bn",IF(AND(ISNUMBER(AE353),AE353&gt;=0,AE353&lt;10,V353=""),"YES – &lt;10 days","")))</f>
        <v/>
      </c>
      <c r="AH353" s="68" t="n"/>
      <c r="AI353" s="66" t="n"/>
      <c r="AJ353" s="66" t="n"/>
      <c r="AK353" s="66" t="n"/>
      <c r="AL353" s="59">
        <f>IF(AND(OR(W353="Watching",W353="Preparing"),ISNUMBER(Q353)),IF(AND(Q353&gt;='Friday Summary'!$C$4,Q353&lt;='Friday Summary'!$C$4+14),Q353+ROW()/1000000,""),"")</f>
        <v/>
      </c>
    </row>
    <row r="354" ht="15" customHeight="1" s="51">
      <c r="A354" s="59">
        <f>IF(B354="","","OP-"&amp;TEXT(ROW()-4,"000"))</f>
        <v/>
      </c>
      <c r="B354" s="60" t="n"/>
      <c r="C354" s="61" t="n"/>
      <c r="D354" s="60" t="n"/>
      <c r="E354" s="60" t="n"/>
      <c r="F354" s="60" t="n"/>
      <c r="G354" s="60" t="n"/>
      <c r="H354" s="60" t="n"/>
      <c r="I354" s="60" t="n"/>
      <c r="J354" s="60" t="n"/>
      <c r="K354" s="60" t="n"/>
      <c r="L354" s="60" t="n"/>
      <c r="M354" s="62" t="n"/>
      <c r="N354" s="60" t="n"/>
      <c r="O354" s="61" t="n"/>
      <c r="P354" s="61" t="n"/>
      <c r="Q354" s="63" t="n"/>
      <c r="R354" s="60" t="n"/>
      <c r="S354" s="60" t="n"/>
      <c r="T354" s="64">
        <f>IF(A354="","",IFERROR(INDEX('Bid-NoBid'!$T:$T,MATCH(A354,'Bid-NoBid'!$A:$A,0)),""))</f>
        <v/>
      </c>
      <c r="U354" s="59">
        <f>IF(A354="","",IFERROR(IF(OR(INDEX('Bid-NoBid'!$U:$U,MATCH(A354,'Bid-NoBid'!$A:$A,0))="",LEFT(INDEX('Bid-NoBid'!$U:$U,MATCH(A354,'Bid-NoBid'!$A:$A,0)),10)="Incomplete"),"Screen: "&amp;AC354,INDEX('Bid-NoBid'!$U:$U,MATCH(A354,'Bid-NoBid'!$A:$A,0))),"Screen: "&amp;AC354))</f>
        <v/>
      </c>
      <c r="V354" s="60" t="n"/>
      <c r="W354" s="60" t="n"/>
      <c r="X354" s="60" t="n"/>
      <c r="Y354" s="60" t="n"/>
      <c r="Z354" s="60" t="n"/>
      <c r="AA354" s="65" t="n"/>
      <c r="AB354" s="66" t="n"/>
      <c r="AC354" s="66" t="n"/>
      <c r="AD354" s="66" t="n"/>
      <c r="AE354" s="67">
        <f>IF(ISNUMBER(Q354),ROUNDDOWN(Q354-NOW(),1),"")</f>
        <v/>
      </c>
      <c r="AF354" s="59">
        <f>IF(OR(A354="",AE354=""),"",IF(NOT(OR(W354="Watching",W354="Preparing")),"",IF(AE354&lt;0,"PASSED",IF(AND(AE354&lt;=7,W354&lt;&gt;"Preparing"),"RED",IF(AE354&lt;=14,"AMBER","GREEN")))))</f>
        <v/>
      </c>
      <c r="AG354" s="59">
        <f>IF(OR(A354="",NOT(OR(W354="Watching",W354="Preparing"))),"",IF(AND(ISNUMBER(M354),M354&gt;=3000000000),"YES – ≥ TZS 3bn",IF(AND(ISNUMBER(AE354),AE354&gt;=0,AE354&lt;10,V354=""),"YES – &lt;10 days","")))</f>
        <v/>
      </c>
      <c r="AH354" s="68" t="n"/>
      <c r="AI354" s="66" t="n"/>
      <c r="AJ354" s="66" t="n"/>
      <c r="AK354" s="66" t="n"/>
      <c r="AL354" s="59">
        <f>IF(AND(OR(W354="Watching",W354="Preparing"),ISNUMBER(Q354)),IF(AND(Q354&gt;='Friday Summary'!$C$4,Q354&lt;='Friday Summary'!$C$4+14),Q354+ROW()/1000000,""),"")</f>
        <v/>
      </c>
    </row>
    <row r="355" ht="15" customHeight="1" s="51">
      <c r="A355" s="59">
        <f>IF(B355="","","OP-"&amp;TEXT(ROW()-4,"000"))</f>
        <v/>
      </c>
      <c r="B355" s="60" t="n"/>
      <c r="C355" s="61" t="n"/>
      <c r="D355" s="60" t="n"/>
      <c r="E355" s="60" t="n"/>
      <c r="F355" s="60" t="n"/>
      <c r="G355" s="60" t="n"/>
      <c r="H355" s="60" t="n"/>
      <c r="I355" s="60" t="n"/>
      <c r="J355" s="60" t="n"/>
      <c r="K355" s="60" t="n"/>
      <c r="L355" s="60" t="n"/>
      <c r="M355" s="62" t="n"/>
      <c r="N355" s="60" t="n"/>
      <c r="O355" s="61" t="n"/>
      <c r="P355" s="61" t="n"/>
      <c r="Q355" s="63" t="n"/>
      <c r="R355" s="60" t="n"/>
      <c r="S355" s="60" t="n"/>
      <c r="T355" s="64">
        <f>IF(A355="","",IFERROR(INDEX('Bid-NoBid'!$T:$T,MATCH(A355,'Bid-NoBid'!$A:$A,0)),""))</f>
        <v/>
      </c>
      <c r="U355" s="59">
        <f>IF(A355="","",IFERROR(IF(OR(INDEX('Bid-NoBid'!$U:$U,MATCH(A355,'Bid-NoBid'!$A:$A,0))="",LEFT(INDEX('Bid-NoBid'!$U:$U,MATCH(A355,'Bid-NoBid'!$A:$A,0)),10)="Incomplete"),"Screen: "&amp;AC355,INDEX('Bid-NoBid'!$U:$U,MATCH(A355,'Bid-NoBid'!$A:$A,0))),"Screen: "&amp;AC355))</f>
        <v/>
      </c>
      <c r="V355" s="60" t="n"/>
      <c r="W355" s="60" t="n"/>
      <c r="X355" s="60" t="n"/>
      <c r="Y355" s="60" t="n"/>
      <c r="Z355" s="60" t="n"/>
      <c r="AA355" s="65" t="n"/>
      <c r="AB355" s="66" t="n"/>
      <c r="AC355" s="66" t="n"/>
      <c r="AD355" s="66" t="n"/>
      <c r="AE355" s="67">
        <f>IF(ISNUMBER(Q355),ROUNDDOWN(Q355-NOW(),1),"")</f>
        <v/>
      </c>
      <c r="AF355" s="59">
        <f>IF(OR(A355="",AE355=""),"",IF(NOT(OR(W355="Watching",W355="Preparing")),"",IF(AE355&lt;0,"PASSED",IF(AND(AE355&lt;=7,W355&lt;&gt;"Preparing"),"RED",IF(AE355&lt;=14,"AMBER","GREEN")))))</f>
        <v/>
      </c>
      <c r="AG355" s="59">
        <f>IF(OR(A355="",NOT(OR(W355="Watching",W355="Preparing"))),"",IF(AND(ISNUMBER(M355),M355&gt;=3000000000),"YES – ≥ TZS 3bn",IF(AND(ISNUMBER(AE355),AE355&gt;=0,AE355&lt;10,V355=""),"YES – &lt;10 days","")))</f>
        <v/>
      </c>
      <c r="AH355" s="68" t="n"/>
      <c r="AI355" s="66" t="n"/>
      <c r="AJ355" s="66" t="n"/>
      <c r="AK355" s="66" t="n"/>
      <c r="AL355" s="59">
        <f>IF(AND(OR(W355="Watching",W355="Preparing"),ISNUMBER(Q355)),IF(AND(Q355&gt;='Friday Summary'!$C$4,Q355&lt;='Friday Summary'!$C$4+14),Q355+ROW()/1000000,""),"")</f>
        <v/>
      </c>
    </row>
    <row r="356" ht="15" customHeight="1" s="51">
      <c r="A356" s="59">
        <f>IF(B356="","","OP-"&amp;TEXT(ROW()-4,"000"))</f>
        <v/>
      </c>
      <c r="B356" s="60" t="n"/>
      <c r="C356" s="61" t="n"/>
      <c r="D356" s="60" t="n"/>
      <c r="E356" s="60" t="n"/>
      <c r="F356" s="60" t="n"/>
      <c r="G356" s="60" t="n"/>
      <c r="H356" s="60" t="n"/>
      <c r="I356" s="60" t="n"/>
      <c r="J356" s="60" t="n"/>
      <c r="K356" s="60" t="n"/>
      <c r="L356" s="60" t="n"/>
      <c r="M356" s="62" t="n"/>
      <c r="N356" s="60" t="n"/>
      <c r="O356" s="61" t="n"/>
      <c r="P356" s="61" t="n"/>
      <c r="Q356" s="63" t="n"/>
      <c r="R356" s="60" t="n"/>
      <c r="S356" s="60" t="n"/>
      <c r="T356" s="64">
        <f>IF(A356="","",IFERROR(INDEX('Bid-NoBid'!$T:$T,MATCH(A356,'Bid-NoBid'!$A:$A,0)),""))</f>
        <v/>
      </c>
      <c r="U356" s="59">
        <f>IF(A356="","",IFERROR(IF(OR(INDEX('Bid-NoBid'!$U:$U,MATCH(A356,'Bid-NoBid'!$A:$A,0))="",LEFT(INDEX('Bid-NoBid'!$U:$U,MATCH(A356,'Bid-NoBid'!$A:$A,0)),10)="Incomplete"),"Screen: "&amp;AC356,INDEX('Bid-NoBid'!$U:$U,MATCH(A356,'Bid-NoBid'!$A:$A,0))),"Screen: "&amp;AC356))</f>
        <v/>
      </c>
      <c r="V356" s="60" t="n"/>
      <c r="W356" s="60" t="n"/>
      <c r="X356" s="60" t="n"/>
      <c r="Y356" s="60" t="n"/>
      <c r="Z356" s="60" t="n"/>
      <c r="AA356" s="65" t="n"/>
      <c r="AB356" s="66" t="n"/>
      <c r="AC356" s="66" t="n"/>
      <c r="AD356" s="66" t="n"/>
      <c r="AE356" s="67">
        <f>IF(ISNUMBER(Q356),ROUNDDOWN(Q356-NOW(),1),"")</f>
        <v/>
      </c>
      <c r="AF356" s="59">
        <f>IF(OR(A356="",AE356=""),"",IF(NOT(OR(W356="Watching",W356="Preparing")),"",IF(AE356&lt;0,"PASSED",IF(AND(AE356&lt;=7,W356&lt;&gt;"Preparing"),"RED",IF(AE356&lt;=14,"AMBER","GREEN")))))</f>
        <v/>
      </c>
      <c r="AG356" s="59">
        <f>IF(OR(A356="",NOT(OR(W356="Watching",W356="Preparing"))),"",IF(AND(ISNUMBER(M356),M356&gt;=3000000000),"YES – ≥ TZS 3bn",IF(AND(ISNUMBER(AE356),AE356&gt;=0,AE356&lt;10,V356=""),"YES – &lt;10 days","")))</f>
        <v/>
      </c>
      <c r="AH356" s="68" t="n"/>
      <c r="AI356" s="66" t="n"/>
      <c r="AJ356" s="66" t="n"/>
      <c r="AK356" s="66" t="n"/>
      <c r="AL356" s="59">
        <f>IF(AND(OR(W356="Watching",W356="Preparing"),ISNUMBER(Q356)),IF(AND(Q356&gt;='Friday Summary'!$C$4,Q356&lt;='Friday Summary'!$C$4+14),Q356+ROW()/1000000,""),"")</f>
        <v/>
      </c>
    </row>
    <row r="357" ht="15" customHeight="1" s="51">
      <c r="A357" s="59">
        <f>IF(B357="","","OP-"&amp;TEXT(ROW()-4,"000"))</f>
        <v/>
      </c>
      <c r="B357" s="60" t="n"/>
      <c r="C357" s="61" t="n"/>
      <c r="D357" s="60" t="n"/>
      <c r="E357" s="60" t="n"/>
      <c r="F357" s="60" t="n"/>
      <c r="G357" s="60" t="n"/>
      <c r="H357" s="60" t="n"/>
      <c r="I357" s="60" t="n"/>
      <c r="J357" s="60" t="n"/>
      <c r="K357" s="60" t="n"/>
      <c r="L357" s="60" t="n"/>
      <c r="M357" s="62" t="n"/>
      <c r="N357" s="60" t="n"/>
      <c r="O357" s="61" t="n"/>
      <c r="P357" s="61" t="n"/>
      <c r="Q357" s="63" t="n"/>
      <c r="R357" s="60" t="n"/>
      <c r="S357" s="60" t="n"/>
      <c r="T357" s="64">
        <f>IF(A357="","",IFERROR(INDEX('Bid-NoBid'!$T:$T,MATCH(A357,'Bid-NoBid'!$A:$A,0)),""))</f>
        <v/>
      </c>
      <c r="U357" s="59">
        <f>IF(A357="","",IFERROR(IF(OR(INDEX('Bid-NoBid'!$U:$U,MATCH(A357,'Bid-NoBid'!$A:$A,0))="",LEFT(INDEX('Bid-NoBid'!$U:$U,MATCH(A357,'Bid-NoBid'!$A:$A,0)),10)="Incomplete"),"Screen: "&amp;AC357,INDEX('Bid-NoBid'!$U:$U,MATCH(A357,'Bid-NoBid'!$A:$A,0))),"Screen: "&amp;AC357))</f>
        <v/>
      </c>
      <c r="V357" s="60" t="n"/>
      <c r="W357" s="60" t="n"/>
      <c r="X357" s="60" t="n"/>
      <c r="Y357" s="60" t="n"/>
      <c r="Z357" s="60" t="n"/>
      <c r="AA357" s="65" t="n"/>
      <c r="AB357" s="66" t="n"/>
      <c r="AC357" s="66" t="n"/>
      <c r="AD357" s="66" t="n"/>
      <c r="AE357" s="67">
        <f>IF(ISNUMBER(Q357),ROUNDDOWN(Q357-NOW(),1),"")</f>
        <v/>
      </c>
      <c r="AF357" s="59">
        <f>IF(OR(A357="",AE357=""),"",IF(NOT(OR(W357="Watching",W357="Preparing")),"",IF(AE357&lt;0,"PASSED",IF(AND(AE357&lt;=7,W357&lt;&gt;"Preparing"),"RED",IF(AE357&lt;=14,"AMBER","GREEN")))))</f>
        <v/>
      </c>
      <c r="AG357" s="59">
        <f>IF(OR(A357="",NOT(OR(W357="Watching",W357="Preparing"))),"",IF(AND(ISNUMBER(M357),M357&gt;=3000000000),"YES – ≥ TZS 3bn",IF(AND(ISNUMBER(AE357),AE357&gt;=0,AE357&lt;10,V357=""),"YES – &lt;10 days","")))</f>
        <v/>
      </c>
      <c r="AH357" s="68" t="n"/>
      <c r="AI357" s="66" t="n"/>
      <c r="AJ357" s="66" t="n"/>
      <c r="AK357" s="66" t="n"/>
      <c r="AL357" s="59">
        <f>IF(AND(OR(W357="Watching",W357="Preparing"),ISNUMBER(Q357)),IF(AND(Q357&gt;='Friday Summary'!$C$4,Q357&lt;='Friday Summary'!$C$4+14),Q357+ROW()/1000000,""),"")</f>
        <v/>
      </c>
    </row>
    <row r="358" ht="15" customHeight="1" s="51">
      <c r="A358" s="59">
        <f>IF(B358="","","OP-"&amp;TEXT(ROW()-4,"000"))</f>
        <v/>
      </c>
      <c r="B358" s="60" t="n"/>
      <c r="C358" s="61" t="n"/>
      <c r="D358" s="60" t="n"/>
      <c r="E358" s="60" t="n"/>
      <c r="F358" s="60" t="n"/>
      <c r="G358" s="60" t="n"/>
      <c r="H358" s="60" t="n"/>
      <c r="I358" s="60" t="n"/>
      <c r="J358" s="60" t="n"/>
      <c r="K358" s="60" t="n"/>
      <c r="L358" s="60" t="n"/>
      <c r="M358" s="62" t="n"/>
      <c r="N358" s="60" t="n"/>
      <c r="O358" s="61" t="n"/>
      <c r="P358" s="61" t="n"/>
      <c r="Q358" s="63" t="n"/>
      <c r="R358" s="60" t="n"/>
      <c r="S358" s="60" t="n"/>
      <c r="T358" s="64">
        <f>IF(A358="","",IFERROR(INDEX('Bid-NoBid'!$T:$T,MATCH(A358,'Bid-NoBid'!$A:$A,0)),""))</f>
        <v/>
      </c>
      <c r="U358" s="59">
        <f>IF(A358="","",IFERROR(IF(OR(INDEX('Bid-NoBid'!$U:$U,MATCH(A358,'Bid-NoBid'!$A:$A,0))="",LEFT(INDEX('Bid-NoBid'!$U:$U,MATCH(A358,'Bid-NoBid'!$A:$A,0)),10)="Incomplete"),"Screen: "&amp;AC358,INDEX('Bid-NoBid'!$U:$U,MATCH(A358,'Bid-NoBid'!$A:$A,0))),"Screen: "&amp;AC358))</f>
        <v/>
      </c>
      <c r="V358" s="60" t="n"/>
      <c r="W358" s="60" t="n"/>
      <c r="X358" s="60" t="n"/>
      <c r="Y358" s="60" t="n"/>
      <c r="Z358" s="60" t="n"/>
      <c r="AA358" s="65" t="n"/>
      <c r="AB358" s="66" t="n"/>
      <c r="AC358" s="66" t="n"/>
      <c r="AD358" s="66" t="n"/>
      <c r="AE358" s="67">
        <f>IF(ISNUMBER(Q358),ROUNDDOWN(Q358-NOW(),1),"")</f>
        <v/>
      </c>
      <c r="AF358" s="59">
        <f>IF(OR(A358="",AE358=""),"",IF(NOT(OR(W358="Watching",W358="Preparing")),"",IF(AE358&lt;0,"PASSED",IF(AND(AE358&lt;=7,W358&lt;&gt;"Preparing"),"RED",IF(AE358&lt;=14,"AMBER","GREEN")))))</f>
        <v/>
      </c>
      <c r="AG358" s="59">
        <f>IF(OR(A358="",NOT(OR(W358="Watching",W358="Preparing"))),"",IF(AND(ISNUMBER(M358),M358&gt;=3000000000),"YES – ≥ TZS 3bn",IF(AND(ISNUMBER(AE358),AE358&gt;=0,AE358&lt;10,V358=""),"YES – &lt;10 days","")))</f>
        <v/>
      </c>
      <c r="AH358" s="68" t="n"/>
      <c r="AI358" s="66" t="n"/>
      <c r="AJ358" s="66" t="n"/>
      <c r="AK358" s="66" t="n"/>
      <c r="AL358" s="59">
        <f>IF(AND(OR(W358="Watching",W358="Preparing"),ISNUMBER(Q358)),IF(AND(Q358&gt;='Friday Summary'!$C$4,Q358&lt;='Friday Summary'!$C$4+14),Q358+ROW()/1000000,""),"")</f>
        <v/>
      </c>
    </row>
    <row r="359" ht="15" customHeight="1" s="51">
      <c r="A359" s="59">
        <f>IF(B359="","","OP-"&amp;TEXT(ROW()-4,"000"))</f>
        <v/>
      </c>
      <c r="B359" s="60" t="n"/>
      <c r="C359" s="61" t="n"/>
      <c r="D359" s="60" t="n"/>
      <c r="E359" s="60" t="n"/>
      <c r="F359" s="60" t="n"/>
      <c r="G359" s="60" t="n"/>
      <c r="H359" s="60" t="n"/>
      <c r="I359" s="60" t="n"/>
      <c r="J359" s="60" t="n"/>
      <c r="K359" s="60" t="n"/>
      <c r="L359" s="60" t="n"/>
      <c r="M359" s="62" t="n"/>
      <c r="N359" s="60" t="n"/>
      <c r="O359" s="61" t="n"/>
      <c r="P359" s="61" t="n"/>
      <c r="Q359" s="63" t="n"/>
      <c r="R359" s="60" t="n"/>
      <c r="S359" s="60" t="n"/>
      <c r="T359" s="64">
        <f>IF(A359="","",IFERROR(INDEX('Bid-NoBid'!$T:$T,MATCH(A359,'Bid-NoBid'!$A:$A,0)),""))</f>
        <v/>
      </c>
      <c r="U359" s="59">
        <f>IF(A359="","",IFERROR(IF(OR(INDEX('Bid-NoBid'!$U:$U,MATCH(A359,'Bid-NoBid'!$A:$A,0))="",LEFT(INDEX('Bid-NoBid'!$U:$U,MATCH(A359,'Bid-NoBid'!$A:$A,0)),10)="Incomplete"),"Screen: "&amp;AC359,INDEX('Bid-NoBid'!$U:$U,MATCH(A359,'Bid-NoBid'!$A:$A,0))),"Screen: "&amp;AC359))</f>
        <v/>
      </c>
      <c r="V359" s="60" t="n"/>
      <c r="W359" s="60" t="n"/>
      <c r="X359" s="60" t="n"/>
      <c r="Y359" s="60" t="n"/>
      <c r="Z359" s="60" t="n"/>
      <c r="AA359" s="65" t="n"/>
      <c r="AB359" s="66" t="n"/>
      <c r="AC359" s="66" t="n"/>
      <c r="AD359" s="66" t="n"/>
      <c r="AE359" s="67">
        <f>IF(ISNUMBER(Q359),ROUNDDOWN(Q359-NOW(),1),"")</f>
        <v/>
      </c>
      <c r="AF359" s="59">
        <f>IF(OR(A359="",AE359=""),"",IF(NOT(OR(W359="Watching",W359="Preparing")),"",IF(AE359&lt;0,"PASSED",IF(AND(AE359&lt;=7,W359&lt;&gt;"Preparing"),"RED",IF(AE359&lt;=14,"AMBER","GREEN")))))</f>
        <v/>
      </c>
      <c r="AG359" s="59">
        <f>IF(OR(A359="",NOT(OR(W359="Watching",W359="Preparing"))),"",IF(AND(ISNUMBER(M359),M359&gt;=3000000000),"YES – ≥ TZS 3bn",IF(AND(ISNUMBER(AE359),AE359&gt;=0,AE359&lt;10,V359=""),"YES – &lt;10 days","")))</f>
        <v/>
      </c>
      <c r="AH359" s="68" t="n"/>
      <c r="AI359" s="66" t="n"/>
      <c r="AJ359" s="66" t="n"/>
      <c r="AK359" s="66" t="n"/>
      <c r="AL359" s="59">
        <f>IF(AND(OR(W359="Watching",W359="Preparing"),ISNUMBER(Q359)),IF(AND(Q359&gt;='Friday Summary'!$C$4,Q359&lt;='Friday Summary'!$C$4+14),Q359+ROW()/1000000,""),"")</f>
        <v/>
      </c>
    </row>
    <row r="360" ht="15" customHeight="1" s="51">
      <c r="A360" s="59">
        <f>IF(B360="","","OP-"&amp;TEXT(ROW()-4,"000"))</f>
        <v/>
      </c>
      <c r="B360" s="60" t="n"/>
      <c r="C360" s="61" t="n"/>
      <c r="D360" s="60" t="n"/>
      <c r="E360" s="60" t="n"/>
      <c r="F360" s="60" t="n"/>
      <c r="G360" s="60" t="n"/>
      <c r="H360" s="60" t="n"/>
      <c r="I360" s="60" t="n"/>
      <c r="J360" s="60" t="n"/>
      <c r="K360" s="60" t="n"/>
      <c r="L360" s="60" t="n"/>
      <c r="M360" s="62" t="n"/>
      <c r="N360" s="60" t="n"/>
      <c r="O360" s="61" t="n"/>
      <c r="P360" s="61" t="n"/>
      <c r="Q360" s="63" t="n"/>
      <c r="R360" s="60" t="n"/>
      <c r="S360" s="60" t="n"/>
      <c r="T360" s="64">
        <f>IF(A360="","",IFERROR(INDEX('Bid-NoBid'!$T:$T,MATCH(A360,'Bid-NoBid'!$A:$A,0)),""))</f>
        <v/>
      </c>
      <c r="U360" s="59">
        <f>IF(A360="","",IFERROR(IF(OR(INDEX('Bid-NoBid'!$U:$U,MATCH(A360,'Bid-NoBid'!$A:$A,0))="",LEFT(INDEX('Bid-NoBid'!$U:$U,MATCH(A360,'Bid-NoBid'!$A:$A,0)),10)="Incomplete"),"Screen: "&amp;AC360,INDEX('Bid-NoBid'!$U:$U,MATCH(A360,'Bid-NoBid'!$A:$A,0))),"Screen: "&amp;AC360))</f>
        <v/>
      </c>
      <c r="V360" s="60" t="n"/>
      <c r="W360" s="60" t="n"/>
      <c r="X360" s="60" t="n"/>
      <c r="Y360" s="60" t="n"/>
      <c r="Z360" s="60" t="n"/>
      <c r="AA360" s="65" t="n"/>
      <c r="AB360" s="66" t="n"/>
      <c r="AC360" s="66" t="n"/>
      <c r="AD360" s="66" t="n"/>
      <c r="AE360" s="67">
        <f>IF(ISNUMBER(Q360),ROUNDDOWN(Q360-NOW(),1),"")</f>
        <v/>
      </c>
      <c r="AF360" s="59">
        <f>IF(OR(A360="",AE360=""),"",IF(NOT(OR(W360="Watching",W360="Preparing")),"",IF(AE360&lt;0,"PASSED",IF(AND(AE360&lt;=7,W360&lt;&gt;"Preparing"),"RED",IF(AE360&lt;=14,"AMBER","GREEN")))))</f>
        <v/>
      </c>
      <c r="AG360" s="59">
        <f>IF(OR(A360="",NOT(OR(W360="Watching",W360="Preparing"))),"",IF(AND(ISNUMBER(M360),M360&gt;=3000000000),"YES – ≥ TZS 3bn",IF(AND(ISNUMBER(AE360),AE360&gt;=0,AE360&lt;10,V360=""),"YES – &lt;10 days","")))</f>
        <v/>
      </c>
      <c r="AH360" s="68" t="n"/>
      <c r="AI360" s="66" t="n"/>
      <c r="AJ360" s="66" t="n"/>
      <c r="AK360" s="66" t="n"/>
      <c r="AL360" s="59">
        <f>IF(AND(OR(W360="Watching",W360="Preparing"),ISNUMBER(Q360)),IF(AND(Q360&gt;='Friday Summary'!$C$4,Q360&lt;='Friday Summary'!$C$4+14),Q360+ROW()/1000000,""),"")</f>
        <v/>
      </c>
    </row>
    <row r="361" ht="15" customHeight="1" s="51">
      <c r="A361" s="59">
        <f>IF(B361="","","OP-"&amp;TEXT(ROW()-4,"000"))</f>
        <v/>
      </c>
      <c r="B361" s="60" t="n"/>
      <c r="C361" s="61" t="n"/>
      <c r="D361" s="60" t="n"/>
      <c r="E361" s="60" t="n"/>
      <c r="F361" s="60" t="n"/>
      <c r="G361" s="60" t="n"/>
      <c r="H361" s="60" t="n"/>
      <c r="I361" s="60" t="n"/>
      <c r="J361" s="60" t="n"/>
      <c r="K361" s="60" t="n"/>
      <c r="L361" s="60" t="n"/>
      <c r="M361" s="62" t="n"/>
      <c r="N361" s="60" t="n"/>
      <c r="O361" s="61" t="n"/>
      <c r="P361" s="61" t="n"/>
      <c r="Q361" s="63" t="n"/>
      <c r="R361" s="60" t="n"/>
      <c r="S361" s="60" t="n"/>
      <c r="T361" s="64">
        <f>IF(A361="","",IFERROR(INDEX('Bid-NoBid'!$T:$T,MATCH(A361,'Bid-NoBid'!$A:$A,0)),""))</f>
        <v/>
      </c>
      <c r="U361" s="59">
        <f>IF(A361="","",IFERROR(IF(OR(INDEX('Bid-NoBid'!$U:$U,MATCH(A361,'Bid-NoBid'!$A:$A,0))="",LEFT(INDEX('Bid-NoBid'!$U:$U,MATCH(A361,'Bid-NoBid'!$A:$A,0)),10)="Incomplete"),"Screen: "&amp;AC361,INDEX('Bid-NoBid'!$U:$U,MATCH(A361,'Bid-NoBid'!$A:$A,0))),"Screen: "&amp;AC361))</f>
        <v/>
      </c>
      <c r="V361" s="60" t="n"/>
      <c r="W361" s="60" t="n"/>
      <c r="X361" s="60" t="n"/>
      <c r="Y361" s="60" t="n"/>
      <c r="Z361" s="60" t="n"/>
      <c r="AA361" s="65" t="n"/>
      <c r="AB361" s="66" t="n"/>
      <c r="AC361" s="66" t="n"/>
      <c r="AD361" s="66" t="n"/>
      <c r="AE361" s="67">
        <f>IF(ISNUMBER(Q361),ROUNDDOWN(Q361-NOW(),1),"")</f>
        <v/>
      </c>
      <c r="AF361" s="59">
        <f>IF(OR(A361="",AE361=""),"",IF(NOT(OR(W361="Watching",W361="Preparing")),"",IF(AE361&lt;0,"PASSED",IF(AND(AE361&lt;=7,W361&lt;&gt;"Preparing"),"RED",IF(AE361&lt;=14,"AMBER","GREEN")))))</f>
        <v/>
      </c>
      <c r="AG361" s="59">
        <f>IF(OR(A361="",NOT(OR(W361="Watching",W361="Preparing"))),"",IF(AND(ISNUMBER(M361),M361&gt;=3000000000),"YES – ≥ TZS 3bn",IF(AND(ISNUMBER(AE361),AE361&gt;=0,AE361&lt;10,V361=""),"YES – &lt;10 days","")))</f>
        <v/>
      </c>
      <c r="AH361" s="68" t="n"/>
      <c r="AI361" s="66" t="n"/>
      <c r="AJ361" s="66" t="n"/>
      <c r="AK361" s="66" t="n"/>
      <c r="AL361" s="59">
        <f>IF(AND(OR(W361="Watching",W361="Preparing"),ISNUMBER(Q361)),IF(AND(Q361&gt;='Friday Summary'!$C$4,Q361&lt;='Friday Summary'!$C$4+14),Q361+ROW()/1000000,""),"")</f>
        <v/>
      </c>
    </row>
    <row r="362" ht="15" customHeight="1" s="51">
      <c r="A362" s="59">
        <f>IF(B362="","","OP-"&amp;TEXT(ROW()-4,"000"))</f>
        <v/>
      </c>
      <c r="B362" s="60" t="n"/>
      <c r="C362" s="61" t="n"/>
      <c r="D362" s="60" t="n"/>
      <c r="E362" s="60" t="n"/>
      <c r="F362" s="60" t="n"/>
      <c r="G362" s="60" t="n"/>
      <c r="H362" s="60" t="n"/>
      <c r="I362" s="60" t="n"/>
      <c r="J362" s="60" t="n"/>
      <c r="K362" s="60" t="n"/>
      <c r="L362" s="60" t="n"/>
      <c r="M362" s="62" t="n"/>
      <c r="N362" s="60" t="n"/>
      <c r="O362" s="61" t="n"/>
      <c r="P362" s="61" t="n"/>
      <c r="Q362" s="63" t="n"/>
      <c r="R362" s="60" t="n"/>
      <c r="S362" s="60" t="n"/>
      <c r="T362" s="64">
        <f>IF(A362="","",IFERROR(INDEX('Bid-NoBid'!$T:$T,MATCH(A362,'Bid-NoBid'!$A:$A,0)),""))</f>
        <v/>
      </c>
      <c r="U362" s="59">
        <f>IF(A362="","",IFERROR(IF(OR(INDEX('Bid-NoBid'!$U:$U,MATCH(A362,'Bid-NoBid'!$A:$A,0))="",LEFT(INDEX('Bid-NoBid'!$U:$U,MATCH(A362,'Bid-NoBid'!$A:$A,0)),10)="Incomplete"),"Screen: "&amp;AC362,INDEX('Bid-NoBid'!$U:$U,MATCH(A362,'Bid-NoBid'!$A:$A,0))),"Screen: "&amp;AC362))</f>
        <v/>
      </c>
      <c r="V362" s="60" t="n"/>
      <c r="W362" s="60" t="n"/>
      <c r="X362" s="60" t="n"/>
      <c r="Y362" s="60" t="n"/>
      <c r="Z362" s="60" t="n"/>
      <c r="AA362" s="65" t="n"/>
      <c r="AB362" s="66" t="n"/>
      <c r="AC362" s="66" t="n"/>
      <c r="AD362" s="66" t="n"/>
      <c r="AE362" s="67">
        <f>IF(ISNUMBER(Q362),ROUNDDOWN(Q362-NOW(),1),"")</f>
        <v/>
      </c>
      <c r="AF362" s="59">
        <f>IF(OR(A362="",AE362=""),"",IF(NOT(OR(W362="Watching",W362="Preparing")),"",IF(AE362&lt;0,"PASSED",IF(AND(AE362&lt;=7,W362&lt;&gt;"Preparing"),"RED",IF(AE362&lt;=14,"AMBER","GREEN")))))</f>
        <v/>
      </c>
      <c r="AG362" s="59">
        <f>IF(OR(A362="",NOT(OR(W362="Watching",W362="Preparing"))),"",IF(AND(ISNUMBER(M362),M362&gt;=3000000000),"YES – ≥ TZS 3bn",IF(AND(ISNUMBER(AE362),AE362&gt;=0,AE362&lt;10,V362=""),"YES – &lt;10 days","")))</f>
        <v/>
      </c>
      <c r="AH362" s="68" t="n"/>
      <c r="AI362" s="66" t="n"/>
      <c r="AJ362" s="66" t="n"/>
      <c r="AK362" s="66" t="n"/>
      <c r="AL362" s="59">
        <f>IF(AND(OR(W362="Watching",W362="Preparing"),ISNUMBER(Q362)),IF(AND(Q362&gt;='Friday Summary'!$C$4,Q362&lt;='Friday Summary'!$C$4+14),Q362+ROW()/1000000,""),"")</f>
        <v/>
      </c>
    </row>
    <row r="363" ht="15" customHeight="1" s="51">
      <c r="A363" s="59">
        <f>IF(B363="","","OP-"&amp;TEXT(ROW()-4,"000"))</f>
        <v/>
      </c>
      <c r="B363" s="60" t="n"/>
      <c r="C363" s="61" t="n"/>
      <c r="D363" s="60" t="n"/>
      <c r="E363" s="60" t="n"/>
      <c r="F363" s="60" t="n"/>
      <c r="G363" s="60" t="n"/>
      <c r="H363" s="60" t="n"/>
      <c r="I363" s="60" t="n"/>
      <c r="J363" s="60" t="n"/>
      <c r="K363" s="60" t="n"/>
      <c r="L363" s="60" t="n"/>
      <c r="M363" s="62" t="n"/>
      <c r="N363" s="60" t="n"/>
      <c r="O363" s="61" t="n"/>
      <c r="P363" s="61" t="n"/>
      <c r="Q363" s="63" t="n"/>
      <c r="R363" s="60" t="n"/>
      <c r="S363" s="60" t="n"/>
      <c r="T363" s="64">
        <f>IF(A363="","",IFERROR(INDEX('Bid-NoBid'!$T:$T,MATCH(A363,'Bid-NoBid'!$A:$A,0)),""))</f>
        <v/>
      </c>
      <c r="U363" s="59">
        <f>IF(A363="","",IFERROR(IF(OR(INDEX('Bid-NoBid'!$U:$U,MATCH(A363,'Bid-NoBid'!$A:$A,0))="",LEFT(INDEX('Bid-NoBid'!$U:$U,MATCH(A363,'Bid-NoBid'!$A:$A,0)),10)="Incomplete"),"Screen: "&amp;AC363,INDEX('Bid-NoBid'!$U:$U,MATCH(A363,'Bid-NoBid'!$A:$A,0))),"Screen: "&amp;AC363))</f>
        <v/>
      </c>
      <c r="V363" s="60" t="n"/>
      <c r="W363" s="60" t="n"/>
      <c r="X363" s="60" t="n"/>
      <c r="Y363" s="60" t="n"/>
      <c r="Z363" s="60" t="n"/>
      <c r="AA363" s="65" t="n"/>
      <c r="AB363" s="66" t="n"/>
      <c r="AC363" s="66" t="n"/>
      <c r="AD363" s="66" t="n"/>
      <c r="AE363" s="67">
        <f>IF(ISNUMBER(Q363),ROUNDDOWN(Q363-NOW(),1),"")</f>
        <v/>
      </c>
      <c r="AF363" s="59">
        <f>IF(OR(A363="",AE363=""),"",IF(NOT(OR(W363="Watching",W363="Preparing")),"",IF(AE363&lt;0,"PASSED",IF(AND(AE363&lt;=7,W363&lt;&gt;"Preparing"),"RED",IF(AE363&lt;=14,"AMBER","GREEN")))))</f>
        <v/>
      </c>
      <c r="AG363" s="59">
        <f>IF(OR(A363="",NOT(OR(W363="Watching",W363="Preparing"))),"",IF(AND(ISNUMBER(M363),M363&gt;=3000000000),"YES – ≥ TZS 3bn",IF(AND(ISNUMBER(AE363),AE363&gt;=0,AE363&lt;10,V363=""),"YES – &lt;10 days","")))</f>
        <v/>
      </c>
      <c r="AH363" s="68" t="n"/>
      <c r="AI363" s="66" t="n"/>
      <c r="AJ363" s="66" t="n"/>
      <c r="AK363" s="66" t="n"/>
      <c r="AL363" s="59">
        <f>IF(AND(OR(W363="Watching",W363="Preparing"),ISNUMBER(Q363)),IF(AND(Q363&gt;='Friday Summary'!$C$4,Q363&lt;='Friday Summary'!$C$4+14),Q363+ROW()/1000000,""),"")</f>
        <v/>
      </c>
    </row>
    <row r="364" ht="15" customHeight="1" s="51">
      <c r="A364" s="59">
        <f>IF(B364="","","OP-"&amp;TEXT(ROW()-4,"000"))</f>
        <v/>
      </c>
      <c r="B364" s="60" t="n"/>
      <c r="C364" s="61" t="n"/>
      <c r="D364" s="60" t="n"/>
      <c r="E364" s="60" t="n"/>
      <c r="F364" s="60" t="n"/>
      <c r="G364" s="60" t="n"/>
      <c r="H364" s="60" t="n"/>
      <c r="I364" s="60" t="n"/>
      <c r="J364" s="60" t="n"/>
      <c r="K364" s="60" t="n"/>
      <c r="L364" s="60" t="n"/>
      <c r="M364" s="62" t="n"/>
      <c r="N364" s="60" t="n"/>
      <c r="O364" s="61" t="n"/>
      <c r="P364" s="61" t="n"/>
      <c r="Q364" s="63" t="n"/>
      <c r="R364" s="60" t="n"/>
      <c r="S364" s="60" t="n"/>
      <c r="T364" s="64">
        <f>IF(A364="","",IFERROR(INDEX('Bid-NoBid'!$T:$T,MATCH(A364,'Bid-NoBid'!$A:$A,0)),""))</f>
        <v/>
      </c>
      <c r="U364" s="59">
        <f>IF(A364="","",IFERROR(IF(OR(INDEX('Bid-NoBid'!$U:$U,MATCH(A364,'Bid-NoBid'!$A:$A,0))="",LEFT(INDEX('Bid-NoBid'!$U:$U,MATCH(A364,'Bid-NoBid'!$A:$A,0)),10)="Incomplete"),"Screen: "&amp;AC364,INDEX('Bid-NoBid'!$U:$U,MATCH(A364,'Bid-NoBid'!$A:$A,0))),"Screen: "&amp;AC364))</f>
        <v/>
      </c>
      <c r="V364" s="60" t="n"/>
      <c r="W364" s="60" t="n"/>
      <c r="X364" s="60" t="n"/>
      <c r="Y364" s="60" t="n"/>
      <c r="Z364" s="60" t="n"/>
      <c r="AA364" s="65" t="n"/>
      <c r="AB364" s="66" t="n"/>
      <c r="AC364" s="66" t="n"/>
      <c r="AD364" s="66" t="n"/>
      <c r="AE364" s="67">
        <f>IF(ISNUMBER(Q364),ROUNDDOWN(Q364-NOW(),1),"")</f>
        <v/>
      </c>
      <c r="AF364" s="59">
        <f>IF(OR(A364="",AE364=""),"",IF(NOT(OR(W364="Watching",W364="Preparing")),"",IF(AE364&lt;0,"PASSED",IF(AND(AE364&lt;=7,W364&lt;&gt;"Preparing"),"RED",IF(AE364&lt;=14,"AMBER","GREEN")))))</f>
        <v/>
      </c>
      <c r="AG364" s="59">
        <f>IF(OR(A364="",NOT(OR(W364="Watching",W364="Preparing"))),"",IF(AND(ISNUMBER(M364),M364&gt;=3000000000),"YES – ≥ TZS 3bn",IF(AND(ISNUMBER(AE364),AE364&gt;=0,AE364&lt;10,V364=""),"YES – &lt;10 days","")))</f>
        <v/>
      </c>
      <c r="AH364" s="68" t="n"/>
      <c r="AI364" s="66" t="n"/>
      <c r="AJ364" s="66" t="n"/>
      <c r="AK364" s="66" t="n"/>
      <c r="AL364" s="59">
        <f>IF(AND(OR(W364="Watching",W364="Preparing"),ISNUMBER(Q364)),IF(AND(Q364&gt;='Friday Summary'!$C$4,Q364&lt;='Friday Summary'!$C$4+14),Q364+ROW()/1000000,""),"")</f>
        <v/>
      </c>
    </row>
    <row r="365" ht="15" customHeight="1" s="51">
      <c r="A365" s="59">
        <f>IF(B365="","","OP-"&amp;TEXT(ROW()-4,"000"))</f>
        <v/>
      </c>
      <c r="B365" s="60" t="n"/>
      <c r="C365" s="61" t="n"/>
      <c r="D365" s="60" t="n"/>
      <c r="E365" s="60" t="n"/>
      <c r="F365" s="60" t="n"/>
      <c r="G365" s="60" t="n"/>
      <c r="H365" s="60" t="n"/>
      <c r="I365" s="60" t="n"/>
      <c r="J365" s="60" t="n"/>
      <c r="K365" s="60" t="n"/>
      <c r="L365" s="60" t="n"/>
      <c r="M365" s="62" t="n"/>
      <c r="N365" s="60" t="n"/>
      <c r="O365" s="61" t="n"/>
      <c r="P365" s="61" t="n"/>
      <c r="Q365" s="63" t="n"/>
      <c r="R365" s="60" t="n"/>
      <c r="S365" s="60" t="n"/>
      <c r="T365" s="64">
        <f>IF(A365="","",IFERROR(INDEX('Bid-NoBid'!$T:$T,MATCH(A365,'Bid-NoBid'!$A:$A,0)),""))</f>
        <v/>
      </c>
      <c r="U365" s="59">
        <f>IF(A365="","",IFERROR(IF(OR(INDEX('Bid-NoBid'!$U:$U,MATCH(A365,'Bid-NoBid'!$A:$A,0))="",LEFT(INDEX('Bid-NoBid'!$U:$U,MATCH(A365,'Bid-NoBid'!$A:$A,0)),10)="Incomplete"),"Screen: "&amp;AC365,INDEX('Bid-NoBid'!$U:$U,MATCH(A365,'Bid-NoBid'!$A:$A,0))),"Screen: "&amp;AC365))</f>
        <v/>
      </c>
      <c r="V365" s="60" t="n"/>
      <c r="W365" s="60" t="n"/>
      <c r="X365" s="60" t="n"/>
      <c r="Y365" s="60" t="n"/>
      <c r="Z365" s="60" t="n"/>
      <c r="AA365" s="65" t="n"/>
      <c r="AB365" s="66" t="n"/>
      <c r="AC365" s="66" t="n"/>
      <c r="AD365" s="66" t="n"/>
      <c r="AE365" s="67">
        <f>IF(ISNUMBER(Q365),ROUNDDOWN(Q365-NOW(),1),"")</f>
        <v/>
      </c>
      <c r="AF365" s="59">
        <f>IF(OR(A365="",AE365=""),"",IF(NOT(OR(W365="Watching",W365="Preparing")),"",IF(AE365&lt;0,"PASSED",IF(AND(AE365&lt;=7,W365&lt;&gt;"Preparing"),"RED",IF(AE365&lt;=14,"AMBER","GREEN")))))</f>
        <v/>
      </c>
      <c r="AG365" s="59">
        <f>IF(OR(A365="",NOT(OR(W365="Watching",W365="Preparing"))),"",IF(AND(ISNUMBER(M365),M365&gt;=3000000000),"YES – ≥ TZS 3bn",IF(AND(ISNUMBER(AE365),AE365&gt;=0,AE365&lt;10,V365=""),"YES – &lt;10 days","")))</f>
        <v/>
      </c>
      <c r="AH365" s="68" t="n"/>
      <c r="AI365" s="66" t="n"/>
      <c r="AJ365" s="66" t="n"/>
      <c r="AK365" s="66" t="n"/>
      <c r="AL365" s="59">
        <f>IF(AND(OR(W365="Watching",W365="Preparing"),ISNUMBER(Q365)),IF(AND(Q365&gt;='Friday Summary'!$C$4,Q365&lt;='Friday Summary'!$C$4+14),Q365+ROW()/1000000,""),"")</f>
        <v/>
      </c>
    </row>
    <row r="366" ht="15" customHeight="1" s="51">
      <c r="A366" s="59">
        <f>IF(B366="","","OP-"&amp;TEXT(ROW()-4,"000"))</f>
        <v/>
      </c>
      <c r="B366" s="60" t="n"/>
      <c r="C366" s="61" t="n"/>
      <c r="D366" s="60" t="n"/>
      <c r="E366" s="60" t="n"/>
      <c r="F366" s="60" t="n"/>
      <c r="G366" s="60" t="n"/>
      <c r="H366" s="60" t="n"/>
      <c r="I366" s="60" t="n"/>
      <c r="J366" s="60" t="n"/>
      <c r="K366" s="60" t="n"/>
      <c r="L366" s="60" t="n"/>
      <c r="M366" s="62" t="n"/>
      <c r="N366" s="60" t="n"/>
      <c r="O366" s="61" t="n"/>
      <c r="P366" s="61" t="n"/>
      <c r="Q366" s="63" t="n"/>
      <c r="R366" s="60" t="n"/>
      <c r="S366" s="60" t="n"/>
      <c r="T366" s="64">
        <f>IF(A366="","",IFERROR(INDEX('Bid-NoBid'!$T:$T,MATCH(A366,'Bid-NoBid'!$A:$A,0)),""))</f>
        <v/>
      </c>
      <c r="U366" s="59">
        <f>IF(A366="","",IFERROR(IF(OR(INDEX('Bid-NoBid'!$U:$U,MATCH(A366,'Bid-NoBid'!$A:$A,0))="",LEFT(INDEX('Bid-NoBid'!$U:$U,MATCH(A366,'Bid-NoBid'!$A:$A,0)),10)="Incomplete"),"Screen: "&amp;AC366,INDEX('Bid-NoBid'!$U:$U,MATCH(A366,'Bid-NoBid'!$A:$A,0))),"Screen: "&amp;AC366))</f>
        <v/>
      </c>
      <c r="V366" s="60" t="n"/>
      <c r="W366" s="60" t="n"/>
      <c r="X366" s="60" t="n"/>
      <c r="Y366" s="60" t="n"/>
      <c r="Z366" s="60" t="n"/>
      <c r="AA366" s="65" t="n"/>
      <c r="AB366" s="66" t="n"/>
      <c r="AC366" s="66" t="n"/>
      <c r="AD366" s="66" t="n"/>
      <c r="AE366" s="67">
        <f>IF(ISNUMBER(Q366),ROUNDDOWN(Q366-NOW(),1),"")</f>
        <v/>
      </c>
      <c r="AF366" s="59">
        <f>IF(OR(A366="",AE366=""),"",IF(NOT(OR(W366="Watching",W366="Preparing")),"",IF(AE366&lt;0,"PASSED",IF(AND(AE366&lt;=7,W366&lt;&gt;"Preparing"),"RED",IF(AE366&lt;=14,"AMBER","GREEN")))))</f>
        <v/>
      </c>
      <c r="AG366" s="59">
        <f>IF(OR(A366="",NOT(OR(W366="Watching",W366="Preparing"))),"",IF(AND(ISNUMBER(M366),M366&gt;=3000000000),"YES – ≥ TZS 3bn",IF(AND(ISNUMBER(AE366),AE366&gt;=0,AE366&lt;10,V366=""),"YES – &lt;10 days","")))</f>
        <v/>
      </c>
      <c r="AH366" s="68" t="n"/>
      <c r="AI366" s="66" t="n"/>
      <c r="AJ366" s="66" t="n"/>
      <c r="AK366" s="66" t="n"/>
      <c r="AL366" s="59">
        <f>IF(AND(OR(W366="Watching",W366="Preparing"),ISNUMBER(Q366)),IF(AND(Q366&gt;='Friday Summary'!$C$4,Q366&lt;='Friday Summary'!$C$4+14),Q366+ROW()/1000000,""),"")</f>
        <v/>
      </c>
    </row>
    <row r="367" ht="15" customHeight="1" s="51">
      <c r="A367" s="59">
        <f>IF(B367="","","OP-"&amp;TEXT(ROW()-4,"000"))</f>
        <v/>
      </c>
      <c r="B367" s="60" t="n"/>
      <c r="C367" s="61" t="n"/>
      <c r="D367" s="60" t="n"/>
      <c r="E367" s="60" t="n"/>
      <c r="F367" s="60" t="n"/>
      <c r="G367" s="60" t="n"/>
      <c r="H367" s="60" t="n"/>
      <c r="I367" s="60" t="n"/>
      <c r="J367" s="60" t="n"/>
      <c r="K367" s="60" t="n"/>
      <c r="L367" s="60" t="n"/>
      <c r="M367" s="62" t="n"/>
      <c r="N367" s="60" t="n"/>
      <c r="O367" s="61" t="n"/>
      <c r="P367" s="61" t="n"/>
      <c r="Q367" s="63" t="n"/>
      <c r="R367" s="60" t="n"/>
      <c r="S367" s="60" t="n"/>
      <c r="T367" s="64">
        <f>IF(A367="","",IFERROR(INDEX('Bid-NoBid'!$T:$T,MATCH(A367,'Bid-NoBid'!$A:$A,0)),""))</f>
        <v/>
      </c>
      <c r="U367" s="59">
        <f>IF(A367="","",IFERROR(IF(OR(INDEX('Bid-NoBid'!$U:$U,MATCH(A367,'Bid-NoBid'!$A:$A,0))="",LEFT(INDEX('Bid-NoBid'!$U:$U,MATCH(A367,'Bid-NoBid'!$A:$A,0)),10)="Incomplete"),"Screen: "&amp;AC367,INDEX('Bid-NoBid'!$U:$U,MATCH(A367,'Bid-NoBid'!$A:$A,0))),"Screen: "&amp;AC367))</f>
        <v/>
      </c>
      <c r="V367" s="60" t="n"/>
      <c r="W367" s="60" t="n"/>
      <c r="X367" s="60" t="n"/>
      <c r="Y367" s="60" t="n"/>
      <c r="Z367" s="60" t="n"/>
      <c r="AA367" s="65" t="n"/>
      <c r="AB367" s="66" t="n"/>
      <c r="AC367" s="66" t="n"/>
      <c r="AD367" s="66" t="n"/>
      <c r="AE367" s="67">
        <f>IF(ISNUMBER(Q367),ROUNDDOWN(Q367-NOW(),1),"")</f>
        <v/>
      </c>
      <c r="AF367" s="59">
        <f>IF(OR(A367="",AE367=""),"",IF(NOT(OR(W367="Watching",W367="Preparing")),"",IF(AE367&lt;0,"PASSED",IF(AND(AE367&lt;=7,W367&lt;&gt;"Preparing"),"RED",IF(AE367&lt;=14,"AMBER","GREEN")))))</f>
        <v/>
      </c>
      <c r="AG367" s="59">
        <f>IF(OR(A367="",NOT(OR(W367="Watching",W367="Preparing"))),"",IF(AND(ISNUMBER(M367),M367&gt;=3000000000),"YES – ≥ TZS 3bn",IF(AND(ISNUMBER(AE367),AE367&gt;=0,AE367&lt;10,V367=""),"YES – &lt;10 days","")))</f>
        <v/>
      </c>
      <c r="AH367" s="68" t="n"/>
      <c r="AI367" s="66" t="n"/>
      <c r="AJ367" s="66" t="n"/>
      <c r="AK367" s="66" t="n"/>
      <c r="AL367" s="59">
        <f>IF(AND(OR(W367="Watching",W367="Preparing"),ISNUMBER(Q367)),IF(AND(Q367&gt;='Friday Summary'!$C$4,Q367&lt;='Friday Summary'!$C$4+14),Q367+ROW()/1000000,""),"")</f>
        <v/>
      </c>
    </row>
    <row r="368" ht="15" customHeight="1" s="51">
      <c r="A368" s="59">
        <f>IF(B368="","","OP-"&amp;TEXT(ROW()-4,"000"))</f>
        <v/>
      </c>
      <c r="B368" s="60" t="n"/>
      <c r="C368" s="61" t="n"/>
      <c r="D368" s="60" t="n"/>
      <c r="E368" s="60" t="n"/>
      <c r="F368" s="60" t="n"/>
      <c r="G368" s="60" t="n"/>
      <c r="H368" s="60" t="n"/>
      <c r="I368" s="60" t="n"/>
      <c r="J368" s="60" t="n"/>
      <c r="K368" s="60" t="n"/>
      <c r="L368" s="60" t="n"/>
      <c r="M368" s="62" t="n"/>
      <c r="N368" s="60" t="n"/>
      <c r="O368" s="61" t="n"/>
      <c r="P368" s="61" t="n"/>
      <c r="Q368" s="63" t="n"/>
      <c r="R368" s="60" t="n"/>
      <c r="S368" s="60" t="n"/>
      <c r="T368" s="64">
        <f>IF(A368="","",IFERROR(INDEX('Bid-NoBid'!$T:$T,MATCH(A368,'Bid-NoBid'!$A:$A,0)),""))</f>
        <v/>
      </c>
      <c r="U368" s="59">
        <f>IF(A368="","",IFERROR(IF(OR(INDEX('Bid-NoBid'!$U:$U,MATCH(A368,'Bid-NoBid'!$A:$A,0))="",LEFT(INDEX('Bid-NoBid'!$U:$U,MATCH(A368,'Bid-NoBid'!$A:$A,0)),10)="Incomplete"),"Screen: "&amp;AC368,INDEX('Bid-NoBid'!$U:$U,MATCH(A368,'Bid-NoBid'!$A:$A,0))),"Screen: "&amp;AC368))</f>
        <v/>
      </c>
      <c r="V368" s="60" t="n"/>
      <c r="W368" s="60" t="n"/>
      <c r="X368" s="60" t="n"/>
      <c r="Y368" s="60" t="n"/>
      <c r="Z368" s="60" t="n"/>
      <c r="AA368" s="65" t="n"/>
      <c r="AB368" s="66" t="n"/>
      <c r="AC368" s="66" t="n"/>
      <c r="AD368" s="66" t="n"/>
      <c r="AE368" s="67">
        <f>IF(ISNUMBER(Q368),ROUNDDOWN(Q368-NOW(),1),"")</f>
        <v/>
      </c>
      <c r="AF368" s="59">
        <f>IF(OR(A368="",AE368=""),"",IF(NOT(OR(W368="Watching",W368="Preparing")),"",IF(AE368&lt;0,"PASSED",IF(AND(AE368&lt;=7,W368&lt;&gt;"Preparing"),"RED",IF(AE368&lt;=14,"AMBER","GREEN")))))</f>
        <v/>
      </c>
      <c r="AG368" s="59">
        <f>IF(OR(A368="",NOT(OR(W368="Watching",W368="Preparing"))),"",IF(AND(ISNUMBER(M368),M368&gt;=3000000000),"YES – ≥ TZS 3bn",IF(AND(ISNUMBER(AE368),AE368&gt;=0,AE368&lt;10,V368=""),"YES – &lt;10 days","")))</f>
        <v/>
      </c>
      <c r="AH368" s="68" t="n"/>
      <c r="AI368" s="66" t="n"/>
      <c r="AJ368" s="66" t="n"/>
      <c r="AK368" s="66" t="n"/>
      <c r="AL368" s="59">
        <f>IF(AND(OR(W368="Watching",W368="Preparing"),ISNUMBER(Q368)),IF(AND(Q368&gt;='Friday Summary'!$C$4,Q368&lt;='Friday Summary'!$C$4+14),Q368+ROW()/1000000,""),"")</f>
        <v/>
      </c>
    </row>
    <row r="369" ht="15" customHeight="1" s="51">
      <c r="A369" s="59">
        <f>IF(B369="","","OP-"&amp;TEXT(ROW()-4,"000"))</f>
        <v/>
      </c>
      <c r="B369" s="60" t="n"/>
      <c r="C369" s="61" t="n"/>
      <c r="D369" s="60" t="n"/>
      <c r="E369" s="60" t="n"/>
      <c r="F369" s="60" t="n"/>
      <c r="G369" s="60" t="n"/>
      <c r="H369" s="60" t="n"/>
      <c r="I369" s="60" t="n"/>
      <c r="J369" s="60" t="n"/>
      <c r="K369" s="60" t="n"/>
      <c r="L369" s="60" t="n"/>
      <c r="M369" s="62" t="n"/>
      <c r="N369" s="60" t="n"/>
      <c r="O369" s="61" t="n"/>
      <c r="P369" s="61" t="n"/>
      <c r="Q369" s="63" t="n"/>
      <c r="R369" s="60" t="n"/>
      <c r="S369" s="60" t="n"/>
      <c r="T369" s="64">
        <f>IF(A369="","",IFERROR(INDEX('Bid-NoBid'!$T:$T,MATCH(A369,'Bid-NoBid'!$A:$A,0)),""))</f>
        <v/>
      </c>
      <c r="U369" s="59">
        <f>IF(A369="","",IFERROR(IF(OR(INDEX('Bid-NoBid'!$U:$U,MATCH(A369,'Bid-NoBid'!$A:$A,0))="",LEFT(INDEX('Bid-NoBid'!$U:$U,MATCH(A369,'Bid-NoBid'!$A:$A,0)),10)="Incomplete"),"Screen: "&amp;AC369,INDEX('Bid-NoBid'!$U:$U,MATCH(A369,'Bid-NoBid'!$A:$A,0))),"Screen: "&amp;AC369))</f>
        <v/>
      </c>
      <c r="V369" s="60" t="n"/>
      <c r="W369" s="60" t="n"/>
      <c r="X369" s="60" t="n"/>
      <c r="Y369" s="60" t="n"/>
      <c r="Z369" s="60" t="n"/>
      <c r="AA369" s="65" t="n"/>
      <c r="AB369" s="66" t="n"/>
      <c r="AC369" s="66" t="n"/>
      <c r="AD369" s="66" t="n"/>
      <c r="AE369" s="67">
        <f>IF(ISNUMBER(Q369),ROUNDDOWN(Q369-NOW(),1),"")</f>
        <v/>
      </c>
      <c r="AF369" s="59">
        <f>IF(OR(A369="",AE369=""),"",IF(NOT(OR(W369="Watching",W369="Preparing")),"",IF(AE369&lt;0,"PASSED",IF(AND(AE369&lt;=7,W369&lt;&gt;"Preparing"),"RED",IF(AE369&lt;=14,"AMBER","GREEN")))))</f>
        <v/>
      </c>
      <c r="AG369" s="59">
        <f>IF(OR(A369="",NOT(OR(W369="Watching",W369="Preparing"))),"",IF(AND(ISNUMBER(M369),M369&gt;=3000000000),"YES – ≥ TZS 3bn",IF(AND(ISNUMBER(AE369),AE369&gt;=0,AE369&lt;10,V369=""),"YES – &lt;10 days","")))</f>
        <v/>
      </c>
      <c r="AH369" s="68" t="n"/>
      <c r="AI369" s="66" t="n"/>
      <c r="AJ369" s="66" t="n"/>
      <c r="AK369" s="66" t="n"/>
      <c r="AL369" s="59">
        <f>IF(AND(OR(W369="Watching",W369="Preparing"),ISNUMBER(Q369)),IF(AND(Q369&gt;='Friday Summary'!$C$4,Q369&lt;='Friday Summary'!$C$4+14),Q369+ROW()/1000000,""),"")</f>
        <v/>
      </c>
    </row>
    <row r="370" ht="15" customHeight="1" s="51">
      <c r="A370" s="59">
        <f>IF(B370="","","OP-"&amp;TEXT(ROW()-4,"000"))</f>
        <v/>
      </c>
      <c r="B370" s="60" t="n"/>
      <c r="C370" s="61" t="n"/>
      <c r="D370" s="60" t="n"/>
      <c r="E370" s="60" t="n"/>
      <c r="F370" s="60" t="n"/>
      <c r="G370" s="60" t="n"/>
      <c r="H370" s="60" t="n"/>
      <c r="I370" s="60" t="n"/>
      <c r="J370" s="60" t="n"/>
      <c r="K370" s="60" t="n"/>
      <c r="L370" s="60" t="n"/>
      <c r="M370" s="62" t="n"/>
      <c r="N370" s="60" t="n"/>
      <c r="O370" s="61" t="n"/>
      <c r="P370" s="61" t="n"/>
      <c r="Q370" s="63" t="n"/>
      <c r="R370" s="60" t="n"/>
      <c r="S370" s="60" t="n"/>
      <c r="T370" s="64">
        <f>IF(A370="","",IFERROR(INDEX('Bid-NoBid'!$T:$T,MATCH(A370,'Bid-NoBid'!$A:$A,0)),""))</f>
        <v/>
      </c>
      <c r="U370" s="59">
        <f>IF(A370="","",IFERROR(IF(OR(INDEX('Bid-NoBid'!$U:$U,MATCH(A370,'Bid-NoBid'!$A:$A,0))="",LEFT(INDEX('Bid-NoBid'!$U:$U,MATCH(A370,'Bid-NoBid'!$A:$A,0)),10)="Incomplete"),"Screen: "&amp;AC370,INDEX('Bid-NoBid'!$U:$U,MATCH(A370,'Bid-NoBid'!$A:$A,0))),"Screen: "&amp;AC370))</f>
        <v/>
      </c>
      <c r="V370" s="60" t="n"/>
      <c r="W370" s="60" t="n"/>
      <c r="X370" s="60" t="n"/>
      <c r="Y370" s="60" t="n"/>
      <c r="Z370" s="60" t="n"/>
      <c r="AA370" s="65" t="n"/>
      <c r="AB370" s="66" t="n"/>
      <c r="AC370" s="66" t="n"/>
      <c r="AD370" s="66" t="n"/>
      <c r="AE370" s="67">
        <f>IF(ISNUMBER(Q370),ROUNDDOWN(Q370-NOW(),1),"")</f>
        <v/>
      </c>
      <c r="AF370" s="59">
        <f>IF(OR(A370="",AE370=""),"",IF(NOT(OR(W370="Watching",W370="Preparing")),"",IF(AE370&lt;0,"PASSED",IF(AND(AE370&lt;=7,W370&lt;&gt;"Preparing"),"RED",IF(AE370&lt;=14,"AMBER","GREEN")))))</f>
        <v/>
      </c>
      <c r="AG370" s="59">
        <f>IF(OR(A370="",NOT(OR(W370="Watching",W370="Preparing"))),"",IF(AND(ISNUMBER(M370),M370&gt;=3000000000),"YES – ≥ TZS 3bn",IF(AND(ISNUMBER(AE370),AE370&gt;=0,AE370&lt;10,V370=""),"YES – &lt;10 days","")))</f>
        <v/>
      </c>
      <c r="AH370" s="68" t="n"/>
      <c r="AI370" s="66" t="n"/>
      <c r="AJ370" s="66" t="n"/>
      <c r="AK370" s="66" t="n"/>
      <c r="AL370" s="59">
        <f>IF(AND(OR(W370="Watching",W370="Preparing"),ISNUMBER(Q370)),IF(AND(Q370&gt;='Friday Summary'!$C$4,Q370&lt;='Friday Summary'!$C$4+14),Q370+ROW()/1000000,""),"")</f>
        <v/>
      </c>
    </row>
    <row r="371" ht="15" customHeight="1" s="51">
      <c r="A371" s="59">
        <f>IF(B371="","","OP-"&amp;TEXT(ROW()-4,"000"))</f>
        <v/>
      </c>
      <c r="B371" s="60" t="n"/>
      <c r="C371" s="61" t="n"/>
      <c r="D371" s="60" t="n"/>
      <c r="E371" s="60" t="n"/>
      <c r="F371" s="60" t="n"/>
      <c r="G371" s="60" t="n"/>
      <c r="H371" s="60" t="n"/>
      <c r="I371" s="60" t="n"/>
      <c r="J371" s="60" t="n"/>
      <c r="K371" s="60" t="n"/>
      <c r="L371" s="60" t="n"/>
      <c r="M371" s="62" t="n"/>
      <c r="N371" s="60" t="n"/>
      <c r="O371" s="61" t="n"/>
      <c r="P371" s="61" t="n"/>
      <c r="Q371" s="63" t="n"/>
      <c r="R371" s="60" t="n"/>
      <c r="S371" s="60" t="n"/>
      <c r="T371" s="64">
        <f>IF(A371="","",IFERROR(INDEX('Bid-NoBid'!$T:$T,MATCH(A371,'Bid-NoBid'!$A:$A,0)),""))</f>
        <v/>
      </c>
      <c r="U371" s="59">
        <f>IF(A371="","",IFERROR(IF(OR(INDEX('Bid-NoBid'!$U:$U,MATCH(A371,'Bid-NoBid'!$A:$A,0))="",LEFT(INDEX('Bid-NoBid'!$U:$U,MATCH(A371,'Bid-NoBid'!$A:$A,0)),10)="Incomplete"),"Screen: "&amp;AC371,INDEX('Bid-NoBid'!$U:$U,MATCH(A371,'Bid-NoBid'!$A:$A,0))),"Screen: "&amp;AC371))</f>
        <v/>
      </c>
      <c r="V371" s="60" t="n"/>
      <c r="W371" s="60" t="n"/>
      <c r="X371" s="60" t="n"/>
      <c r="Y371" s="60" t="n"/>
      <c r="Z371" s="60" t="n"/>
      <c r="AA371" s="65" t="n"/>
      <c r="AB371" s="66" t="n"/>
      <c r="AC371" s="66" t="n"/>
      <c r="AD371" s="66" t="n"/>
      <c r="AE371" s="67">
        <f>IF(ISNUMBER(Q371),ROUNDDOWN(Q371-NOW(),1),"")</f>
        <v/>
      </c>
      <c r="AF371" s="59">
        <f>IF(OR(A371="",AE371=""),"",IF(NOT(OR(W371="Watching",W371="Preparing")),"",IF(AE371&lt;0,"PASSED",IF(AND(AE371&lt;=7,W371&lt;&gt;"Preparing"),"RED",IF(AE371&lt;=14,"AMBER","GREEN")))))</f>
        <v/>
      </c>
      <c r="AG371" s="59">
        <f>IF(OR(A371="",NOT(OR(W371="Watching",W371="Preparing"))),"",IF(AND(ISNUMBER(M371),M371&gt;=3000000000),"YES – ≥ TZS 3bn",IF(AND(ISNUMBER(AE371),AE371&gt;=0,AE371&lt;10,V371=""),"YES – &lt;10 days","")))</f>
        <v/>
      </c>
      <c r="AH371" s="68" t="n"/>
      <c r="AI371" s="66" t="n"/>
      <c r="AJ371" s="66" t="n"/>
      <c r="AK371" s="66" t="n"/>
      <c r="AL371" s="59">
        <f>IF(AND(OR(W371="Watching",W371="Preparing"),ISNUMBER(Q371)),IF(AND(Q371&gt;='Friday Summary'!$C$4,Q371&lt;='Friday Summary'!$C$4+14),Q371+ROW()/1000000,""),"")</f>
        <v/>
      </c>
    </row>
    <row r="372" ht="15" customHeight="1" s="51">
      <c r="A372" s="59">
        <f>IF(B372="","","OP-"&amp;TEXT(ROW()-4,"000"))</f>
        <v/>
      </c>
      <c r="B372" s="60" t="n"/>
      <c r="C372" s="61" t="n"/>
      <c r="D372" s="60" t="n"/>
      <c r="E372" s="60" t="n"/>
      <c r="F372" s="60" t="n"/>
      <c r="G372" s="60" t="n"/>
      <c r="H372" s="60" t="n"/>
      <c r="I372" s="60" t="n"/>
      <c r="J372" s="60" t="n"/>
      <c r="K372" s="60" t="n"/>
      <c r="L372" s="60" t="n"/>
      <c r="M372" s="62" t="n"/>
      <c r="N372" s="60" t="n"/>
      <c r="O372" s="61" t="n"/>
      <c r="P372" s="61" t="n"/>
      <c r="Q372" s="63" t="n"/>
      <c r="R372" s="60" t="n"/>
      <c r="S372" s="60" t="n"/>
      <c r="T372" s="64">
        <f>IF(A372="","",IFERROR(INDEX('Bid-NoBid'!$T:$T,MATCH(A372,'Bid-NoBid'!$A:$A,0)),""))</f>
        <v/>
      </c>
      <c r="U372" s="59">
        <f>IF(A372="","",IFERROR(IF(OR(INDEX('Bid-NoBid'!$U:$U,MATCH(A372,'Bid-NoBid'!$A:$A,0))="",LEFT(INDEX('Bid-NoBid'!$U:$U,MATCH(A372,'Bid-NoBid'!$A:$A,0)),10)="Incomplete"),"Screen: "&amp;AC372,INDEX('Bid-NoBid'!$U:$U,MATCH(A372,'Bid-NoBid'!$A:$A,0))),"Screen: "&amp;AC372))</f>
        <v/>
      </c>
      <c r="V372" s="60" t="n"/>
      <c r="W372" s="60" t="n"/>
      <c r="X372" s="60" t="n"/>
      <c r="Y372" s="60" t="n"/>
      <c r="Z372" s="60" t="n"/>
      <c r="AA372" s="65" t="n"/>
      <c r="AB372" s="66" t="n"/>
      <c r="AC372" s="66" t="n"/>
      <c r="AD372" s="66" t="n"/>
      <c r="AE372" s="67">
        <f>IF(ISNUMBER(Q372),ROUNDDOWN(Q372-NOW(),1),"")</f>
        <v/>
      </c>
      <c r="AF372" s="59">
        <f>IF(OR(A372="",AE372=""),"",IF(NOT(OR(W372="Watching",W372="Preparing")),"",IF(AE372&lt;0,"PASSED",IF(AND(AE372&lt;=7,W372&lt;&gt;"Preparing"),"RED",IF(AE372&lt;=14,"AMBER","GREEN")))))</f>
        <v/>
      </c>
      <c r="AG372" s="59">
        <f>IF(OR(A372="",NOT(OR(W372="Watching",W372="Preparing"))),"",IF(AND(ISNUMBER(M372),M372&gt;=3000000000),"YES – ≥ TZS 3bn",IF(AND(ISNUMBER(AE372),AE372&gt;=0,AE372&lt;10,V372=""),"YES – &lt;10 days","")))</f>
        <v/>
      </c>
      <c r="AH372" s="68" t="n"/>
      <c r="AI372" s="66" t="n"/>
      <c r="AJ372" s="66" t="n"/>
      <c r="AK372" s="66" t="n"/>
      <c r="AL372" s="59">
        <f>IF(AND(OR(W372="Watching",W372="Preparing"),ISNUMBER(Q372)),IF(AND(Q372&gt;='Friday Summary'!$C$4,Q372&lt;='Friday Summary'!$C$4+14),Q372+ROW()/1000000,""),"")</f>
        <v/>
      </c>
    </row>
    <row r="373" ht="15" customHeight="1" s="51">
      <c r="A373" s="59">
        <f>IF(B373="","","OP-"&amp;TEXT(ROW()-4,"000"))</f>
        <v/>
      </c>
      <c r="B373" s="60" t="n"/>
      <c r="C373" s="61" t="n"/>
      <c r="D373" s="60" t="n"/>
      <c r="E373" s="60" t="n"/>
      <c r="F373" s="60" t="n"/>
      <c r="G373" s="60" t="n"/>
      <c r="H373" s="60" t="n"/>
      <c r="I373" s="60" t="n"/>
      <c r="J373" s="60" t="n"/>
      <c r="K373" s="60" t="n"/>
      <c r="L373" s="60" t="n"/>
      <c r="M373" s="62" t="n"/>
      <c r="N373" s="60" t="n"/>
      <c r="O373" s="61" t="n"/>
      <c r="P373" s="61" t="n"/>
      <c r="Q373" s="63" t="n"/>
      <c r="R373" s="60" t="n"/>
      <c r="S373" s="60" t="n"/>
      <c r="T373" s="64">
        <f>IF(A373="","",IFERROR(INDEX('Bid-NoBid'!$T:$T,MATCH(A373,'Bid-NoBid'!$A:$A,0)),""))</f>
        <v/>
      </c>
      <c r="U373" s="59">
        <f>IF(A373="","",IFERROR(IF(OR(INDEX('Bid-NoBid'!$U:$U,MATCH(A373,'Bid-NoBid'!$A:$A,0))="",LEFT(INDEX('Bid-NoBid'!$U:$U,MATCH(A373,'Bid-NoBid'!$A:$A,0)),10)="Incomplete"),"Screen: "&amp;AC373,INDEX('Bid-NoBid'!$U:$U,MATCH(A373,'Bid-NoBid'!$A:$A,0))),"Screen: "&amp;AC373))</f>
        <v/>
      </c>
      <c r="V373" s="60" t="n"/>
      <c r="W373" s="60" t="n"/>
      <c r="X373" s="60" t="n"/>
      <c r="Y373" s="60" t="n"/>
      <c r="Z373" s="60" t="n"/>
      <c r="AA373" s="65" t="n"/>
      <c r="AB373" s="66" t="n"/>
      <c r="AC373" s="66" t="n"/>
      <c r="AD373" s="66" t="n"/>
      <c r="AE373" s="67">
        <f>IF(ISNUMBER(Q373),ROUNDDOWN(Q373-NOW(),1),"")</f>
        <v/>
      </c>
      <c r="AF373" s="59">
        <f>IF(OR(A373="",AE373=""),"",IF(NOT(OR(W373="Watching",W373="Preparing")),"",IF(AE373&lt;0,"PASSED",IF(AND(AE373&lt;=7,W373&lt;&gt;"Preparing"),"RED",IF(AE373&lt;=14,"AMBER","GREEN")))))</f>
        <v/>
      </c>
      <c r="AG373" s="59">
        <f>IF(OR(A373="",NOT(OR(W373="Watching",W373="Preparing"))),"",IF(AND(ISNUMBER(M373),M373&gt;=3000000000),"YES – ≥ TZS 3bn",IF(AND(ISNUMBER(AE373),AE373&gt;=0,AE373&lt;10,V373=""),"YES – &lt;10 days","")))</f>
        <v/>
      </c>
      <c r="AH373" s="68" t="n"/>
      <c r="AI373" s="66" t="n"/>
      <c r="AJ373" s="66" t="n"/>
      <c r="AK373" s="66" t="n"/>
      <c r="AL373" s="59">
        <f>IF(AND(OR(W373="Watching",W373="Preparing"),ISNUMBER(Q373)),IF(AND(Q373&gt;='Friday Summary'!$C$4,Q373&lt;='Friday Summary'!$C$4+14),Q373+ROW()/1000000,""),"")</f>
        <v/>
      </c>
    </row>
    <row r="374" ht="15" customHeight="1" s="51">
      <c r="A374" s="59">
        <f>IF(B374="","","OP-"&amp;TEXT(ROW()-4,"000"))</f>
        <v/>
      </c>
      <c r="B374" s="60" t="n"/>
      <c r="C374" s="61" t="n"/>
      <c r="D374" s="60" t="n"/>
      <c r="E374" s="60" t="n"/>
      <c r="F374" s="60" t="n"/>
      <c r="G374" s="60" t="n"/>
      <c r="H374" s="60" t="n"/>
      <c r="I374" s="60" t="n"/>
      <c r="J374" s="60" t="n"/>
      <c r="K374" s="60" t="n"/>
      <c r="L374" s="60" t="n"/>
      <c r="M374" s="62" t="n"/>
      <c r="N374" s="60" t="n"/>
      <c r="O374" s="61" t="n"/>
      <c r="P374" s="61" t="n"/>
      <c r="Q374" s="63" t="n"/>
      <c r="R374" s="60" t="n"/>
      <c r="S374" s="60" t="n"/>
      <c r="T374" s="64">
        <f>IF(A374="","",IFERROR(INDEX('Bid-NoBid'!$T:$T,MATCH(A374,'Bid-NoBid'!$A:$A,0)),""))</f>
        <v/>
      </c>
      <c r="U374" s="59">
        <f>IF(A374="","",IFERROR(IF(OR(INDEX('Bid-NoBid'!$U:$U,MATCH(A374,'Bid-NoBid'!$A:$A,0))="",LEFT(INDEX('Bid-NoBid'!$U:$U,MATCH(A374,'Bid-NoBid'!$A:$A,0)),10)="Incomplete"),"Screen: "&amp;AC374,INDEX('Bid-NoBid'!$U:$U,MATCH(A374,'Bid-NoBid'!$A:$A,0))),"Screen: "&amp;AC374))</f>
        <v/>
      </c>
      <c r="V374" s="60" t="n"/>
      <c r="W374" s="60" t="n"/>
      <c r="X374" s="60" t="n"/>
      <c r="Y374" s="60" t="n"/>
      <c r="Z374" s="60" t="n"/>
      <c r="AA374" s="65" t="n"/>
      <c r="AB374" s="66" t="n"/>
      <c r="AC374" s="66" t="n"/>
      <c r="AD374" s="66" t="n"/>
      <c r="AE374" s="67">
        <f>IF(ISNUMBER(Q374),ROUNDDOWN(Q374-NOW(),1),"")</f>
        <v/>
      </c>
      <c r="AF374" s="59">
        <f>IF(OR(A374="",AE374=""),"",IF(NOT(OR(W374="Watching",W374="Preparing")),"",IF(AE374&lt;0,"PASSED",IF(AND(AE374&lt;=7,W374&lt;&gt;"Preparing"),"RED",IF(AE374&lt;=14,"AMBER","GREEN")))))</f>
        <v/>
      </c>
      <c r="AG374" s="59">
        <f>IF(OR(A374="",NOT(OR(W374="Watching",W374="Preparing"))),"",IF(AND(ISNUMBER(M374),M374&gt;=3000000000),"YES – ≥ TZS 3bn",IF(AND(ISNUMBER(AE374),AE374&gt;=0,AE374&lt;10,V374=""),"YES – &lt;10 days","")))</f>
        <v/>
      </c>
      <c r="AH374" s="68" t="n"/>
      <c r="AI374" s="66" t="n"/>
      <c r="AJ374" s="66" t="n"/>
      <c r="AK374" s="66" t="n"/>
      <c r="AL374" s="59">
        <f>IF(AND(OR(W374="Watching",W374="Preparing"),ISNUMBER(Q374)),IF(AND(Q374&gt;='Friday Summary'!$C$4,Q374&lt;='Friday Summary'!$C$4+14),Q374+ROW()/1000000,""),"")</f>
        <v/>
      </c>
    </row>
    <row r="375" ht="15" customHeight="1" s="51">
      <c r="A375" s="59">
        <f>IF(B375="","","OP-"&amp;TEXT(ROW()-4,"000"))</f>
        <v/>
      </c>
      <c r="B375" s="60" t="n"/>
      <c r="C375" s="61" t="n"/>
      <c r="D375" s="60" t="n"/>
      <c r="E375" s="60" t="n"/>
      <c r="F375" s="60" t="n"/>
      <c r="G375" s="60" t="n"/>
      <c r="H375" s="60" t="n"/>
      <c r="I375" s="60" t="n"/>
      <c r="J375" s="60" t="n"/>
      <c r="K375" s="60" t="n"/>
      <c r="L375" s="60" t="n"/>
      <c r="M375" s="62" t="n"/>
      <c r="N375" s="60" t="n"/>
      <c r="O375" s="61" t="n"/>
      <c r="P375" s="61" t="n"/>
      <c r="Q375" s="63" t="n"/>
      <c r="R375" s="60" t="n"/>
      <c r="S375" s="60" t="n"/>
      <c r="T375" s="64">
        <f>IF(A375="","",IFERROR(INDEX('Bid-NoBid'!$T:$T,MATCH(A375,'Bid-NoBid'!$A:$A,0)),""))</f>
        <v/>
      </c>
      <c r="U375" s="59">
        <f>IF(A375="","",IFERROR(IF(OR(INDEX('Bid-NoBid'!$U:$U,MATCH(A375,'Bid-NoBid'!$A:$A,0))="",LEFT(INDEX('Bid-NoBid'!$U:$U,MATCH(A375,'Bid-NoBid'!$A:$A,0)),10)="Incomplete"),"Screen: "&amp;AC375,INDEX('Bid-NoBid'!$U:$U,MATCH(A375,'Bid-NoBid'!$A:$A,0))),"Screen: "&amp;AC375))</f>
        <v/>
      </c>
      <c r="V375" s="60" t="n"/>
      <c r="W375" s="60" t="n"/>
      <c r="X375" s="60" t="n"/>
      <c r="Y375" s="60" t="n"/>
      <c r="Z375" s="60" t="n"/>
      <c r="AA375" s="65" t="n"/>
      <c r="AB375" s="66" t="n"/>
      <c r="AC375" s="66" t="n"/>
      <c r="AD375" s="66" t="n"/>
      <c r="AE375" s="67">
        <f>IF(ISNUMBER(Q375),ROUNDDOWN(Q375-NOW(),1),"")</f>
        <v/>
      </c>
      <c r="AF375" s="59">
        <f>IF(OR(A375="",AE375=""),"",IF(NOT(OR(W375="Watching",W375="Preparing")),"",IF(AE375&lt;0,"PASSED",IF(AND(AE375&lt;=7,W375&lt;&gt;"Preparing"),"RED",IF(AE375&lt;=14,"AMBER","GREEN")))))</f>
        <v/>
      </c>
      <c r="AG375" s="59">
        <f>IF(OR(A375="",NOT(OR(W375="Watching",W375="Preparing"))),"",IF(AND(ISNUMBER(M375),M375&gt;=3000000000),"YES – ≥ TZS 3bn",IF(AND(ISNUMBER(AE375),AE375&gt;=0,AE375&lt;10,V375=""),"YES – &lt;10 days","")))</f>
        <v/>
      </c>
      <c r="AH375" s="68" t="n"/>
      <c r="AI375" s="66" t="n"/>
      <c r="AJ375" s="66" t="n"/>
      <c r="AK375" s="66" t="n"/>
      <c r="AL375" s="59">
        <f>IF(AND(OR(W375="Watching",W375="Preparing"),ISNUMBER(Q375)),IF(AND(Q375&gt;='Friday Summary'!$C$4,Q375&lt;='Friday Summary'!$C$4+14),Q375+ROW()/1000000,""),"")</f>
        <v/>
      </c>
    </row>
    <row r="376" ht="15" customHeight="1" s="51">
      <c r="A376" s="59">
        <f>IF(B376="","","OP-"&amp;TEXT(ROW()-4,"000"))</f>
        <v/>
      </c>
      <c r="B376" s="60" t="n"/>
      <c r="C376" s="61" t="n"/>
      <c r="D376" s="60" t="n"/>
      <c r="E376" s="60" t="n"/>
      <c r="F376" s="60" t="n"/>
      <c r="G376" s="60" t="n"/>
      <c r="H376" s="60" t="n"/>
      <c r="I376" s="60" t="n"/>
      <c r="J376" s="60" t="n"/>
      <c r="K376" s="60" t="n"/>
      <c r="L376" s="60" t="n"/>
      <c r="M376" s="62" t="n"/>
      <c r="N376" s="60" t="n"/>
      <c r="O376" s="61" t="n"/>
      <c r="P376" s="61" t="n"/>
      <c r="Q376" s="63" t="n"/>
      <c r="R376" s="60" t="n"/>
      <c r="S376" s="60" t="n"/>
      <c r="T376" s="64">
        <f>IF(A376="","",IFERROR(INDEX('Bid-NoBid'!$T:$T,MATCH(A376,'Bid-NoBid'!$A:$A,0)),""))</f>
        <v/>
      </c>
      <c r="U376" s="59">
        <f>IF(A376="","",IFERROR(IF(OR(INDEX('Bid-NoBid'!$U:$U,MATCH(A376,'Bid-NoBid'!$A:$A,0))="",LEFT(INDEX('Bid-NoBid'!$U:$U,MATCH(A376,'Bid-NoBid'!$A:$A,0)),10)="Incomplete"),"Screen: "&amp;AC376,INDEX('Bid-NoBid'!$U:$U,MATCH(A376,'Bid-NoBid'!$A:$A,0))),"Screen: "&amp;AC376))</f>
        <v/>
      </c>
      <c r="V376" s="60" t="n"/>
      <c r="W376" s="60" t="n"/>
      <c r="X376" s="60" t="n"/>
      <c r="Y376" s="60" t="n"/>
      <c r="Z376" s="60" t="n"/>
      <c r="AA376" s="65" t="n"/>
      <c r="AB376" s="66" t="n"/>
      <c r="AC376" s="66" t="n"/>
      <c r="AD376" s="66" t="n"/>
      <c r="AE376" s="67">
        <f>IF(ISNUMBER(Q376),ROUNDDOWN(Q376-NOW(),1),"")</f>
        <v/>
      </c>
      <c r="AF376" s="59">
        <f>IF(OR(A376="",AE376=""),"",IF(NOT(OR(W376="Watching",W376="Preparing")),"",IF(AE376&lt;0,"PASSED",IF(AND(AE376&lt;=7,W376&lt;&gt;"Preparing"),"RED",IF(AE376&lt;=14,"AMBER","GREEN")))))</f>
        <v/>
      </c>
      <c r="AG376" s="59">
        <f>IF(OR(A376="",NOT(OR(W376="Watching",W376="Preparing"))),"",IF(AND(ISNUMBER(M376),M376&gt;=3000000000),"YES – ≥ TZS 3bn",IF(AND(ISNUMBER(AE376),AE376&gt;=0,AE376&lt;10,V376=""),"YES – &lt;10 days","")))</f>
        <v/>
      </c>
      <c r="AH376" s="68" t="n"/>
      <c r="AI376" s="66" t="n"/>
      <c r="AJ376" s="66" t="n"/>
      <c r="AK376" s="66" t="n"/>
      <c r="AL376" s="59">
        <f>IF(AND(OR(W376="Watching",W376="Preparing"),ISNUMBER(Q376)),IF(AND(Q376&gt;='Friday Summary'!$C$4,Q376&lt;='Friday Summary'!$C$4+14),Q376+ROW()/1000000,""),"")</f>
        <v/>
      </c>
    </row>
    <row r="377" ht="15" customHeight="1" s="51">
      <c r="A377" s="59">
        <f>IF(B377="","","OP-"&amp;TEXT(ROW()-4,"000"))</f>
        <v/>
      </c>
      <c r="B377" s="60" t="n"/>
      <c r="C377" s="61" t="n"/>
      <c r="D377" s="60" t="n"/>
      <c r="E377" s="60" t="n"/>
      <c r="F377" s="60" t="n"/>
      <c r="G377" s="60" t="n"/>
      <c r="H377" s="60" t="n"/>
      <c r="I377" s="60" t="n"/>
      <c r="J377" s="60" t="n"/>
      <c r="K377" s="60" t="n"/>
      <c r="L377" s="60" t="n"/>
      <c r="M377" s="62" t="n"/>
      <c r="N377" s="60" t="n"/>
      <c r="O377" s="61" t="n"/>
      <c r="P377" s="61" t="n"/>
      <c r="Q377" s="63" t="n"/>
      <c r="R377" s="60" t="n"/>
      <c r="S377" s="60" t="n"/>
      <c r="T377" s="64">
        <f>IF(A377="","",IFERROR(INDEX('Bid-NoBid'!$T:$T,MATCH(A377,'Bid-NoBid'!$A:$A,0)),""))</f>
        <v/>
      </c>
      <c r="U377" s="59">
        <f>IF(A377="","",IFERROR(IF(OR(INDEX('Bid-NoBid'!$U:$U,MATCH(A377,'Bid-NoBid'!$A:$A,0))="",LEFT(INDEX('Bid-NoBid'!$U:$U,MATCH(A377,'Bid-NoBid'!$A:$A,0)),10)="Incomplete"),"Screen: "&amp;AC377,INDEX('Bid-NoBid'!$U:$U,MATCH(A377,'Bid-NoBid'!$A:$A,0))),"Screen: "&amp;AC377))</f>
        <v/>
      </c>
      <c r="V377" s="60" t="n"/>
      <c r="W377" s="60" t="n"/>
      <c r="X377" s="60" t="n"/>
      <c r="Y377" s="60" t="n"/>
      <c r="Z377" s="60" t="n"/>
      <c r="AA377" s="65" t="n"/>
      <c r="AB377" s="66" t="n"/>
      <c r="AC377" s="66" t="n"/>
      <c r="AD377" s="66" t="n"/>
      <c r="AE377" s="67">
        <f>IF(ISNUMBER(Q377),ROUNDDOWN(Q377-NOW(),1),"")</f>
        <v/>
      </c>
      <c r="AF377" s="59">
        <f>IF(OR(A377="",AE377=""),"",IF(NOT(OR(W377="Watching",W377="Preparing")),"",IF(AE377&lt;0,"PASSED",IF(AND(AE377&lt;=7,W377&lt;&gt;"Preparing"),"RED",IF(AE377&lt;=14,"AMBER","GREEN")))))</f>
        <v/>
      </c>
      <c r="AG377" s="59">
        <f>IF(OR(A377="",NOT(OR(W377="Watching",W377="Preparing"))),"",IF(AND(ISNUMBER(M377),M377&gt;=3000000000),"YES – ≥ TZS 3bn",IF(AND(ISNUMBER(AE377),AE377&gt;=0,AE377&lt;10,V377=""),"YES – &lt;10 days","")))</f>
        <v/>
      </c>
      <c r="AH377" s="68" t="n"/>
      <c r="AI377" s="66" t="n"/>
      <c r="AJ377" s="66" t="n"/>
      <c r="AK377" s="66" t="n"/>
      <c r="AL377" s="59">
        <f>IF(AND(OR(W377="Watching",W377="Preparing"),ISNUMBER(Q377)),IF(AND(Q377&gt;='Friday Summary'!$C$4,Q377&lt;='Friday Summary'!$C$4+14),Q377+ROW()/1000000,""),"")</f>
        <v/>
      </c>
    </row>
    <row r="378" ht="15" customHeight="1" s="51">
      <c r="A378" s="59">
        <f>IF(B378="","","OP-"&amp;TEXT(ROW()-4,"000"))</f>
        <v/>
      </c>
      <c r="B378" s="60" t="n"/>
      <c r="C378" s="61" t="n"/>
      <c r="D378" s="60" t="n"/>
      <c r="E378" s="60" t="n"/>
      <c r="F378" s="60" t="n"/>
      <c r="G378" s="60" t="n"/>
      <c r="H378" s="60" t="n"/>
      <c r="I378" s="60" t="n"/>
      <c r="J378" s="60" t="n"/>
      <c r="K378" s="60" t="n"/>
      <c r="L378" s="60" t="n"/>
      <c r="M378" s="62" t="n"/>
      <c r="N378" s="60" t="n"/>
      <c r="O378" s="61" t="n"/>
      <c r="P378" s="61" t="n"/>
      <c r="Q378" s="63" t="n"/>
      <c r="R378" s="60" t="n"/>
      <c r="S378" s="60" t="n"/>
      <c r="T378" s="64">
        <f>IF(A378="","",IFERROR(INDEX('Bid-NoBid'!$T:$T,MATCH(A378,'Bid-NoBid'!$A:$A,0)),""))</f>
        <v/>
      </c>
      <c r="U378" s="59">
        <f>IF(A378="","",IFERROR(IF(OR(INDEX('Bid-NoBid'!$U:$U,MATCH(A378,'Bid-NoBid'!$A:$A,0))="",LEFT(INDEX('Bid-NoBid'!$U:$U,MATCH(A378,'Bid-NoBid'!$A:$A,0)),10)="Incomplete"),"Screen: "&amp;AC378,INDEX('Bid-NoBid'!$U:$U,MATCH(A378,'Bid-NoBid'!$A:$A,0))),"Screen: "&amp;AC378))</f>
        <v/>
      </c>
      <c r="V378" s="60" t="n"/>
      <c r="W378" s="60" t="n"/>
      <c r="X378" s="60" t="n"/>
      <c r="Y378" s="60" t="n"/>
      <c r="Z378" s="60" t="n"/>
      <c r="AA378" s="65" t="n"/>
      <c r="AB378" s="66" t="n"/>
      <c r="AC378" s="66" t="n"/>
      <c r="AD378" s="66" t="n"/>
      <c r="AE378" s="67">
        <f>IF(ISNUMBER(Q378),ROUNDDOWN(Q378-NOW(),1),"")</f>
        <v/>
      </c>
      <c r="AF378" s="59">
        <f>IF(OR(A378="",AE378=""),"",IF(NOT(OR(W378="Watching",W378="Preparing")),"",IF(AE378&lt;0,"PASSED",IF(AND(AE378&lt;=7,W378&lt;&gt;"Preparing"),"RED",IF(AE378&lt;=14,"AMBER","GREEN")))))</f>
        <v/>
      </c>
      <c r="AG378" s="59">
        <f>IF(OR(A378="",NOT(OR(W378="Watching",W378="Preparing"))),"",IF(AND(ISNUMBER(M378),M378&gt;=3000000000),"YES – ≥ TZS 3bn",IF(AND(ISNUMBER(AE378),AE378&gt;=0,AE378&lt;10,V378=""),"YES – &lt;10 days","")))</f>
        <v/>
      </c>
      <c r="AH378" s="68" t="n"/>
      <c r="AI378" s="66" t="n"/>
      <c r="AJ378" s="66" t="n"/>
      <c r="AK378" s="66" t="n"/>
      <c r="AL378" s="59">
        <f>IF(AND(OR(W378="Watching",W378="Preparing"),ISNUMBER(Q378)),IF(AND(Q378&gt;='Friday Summary'!$C$4,Q378&lt;='Friday Summary'!$C$4+14),Q378+ROW()/1000000,""),"")</f>
        <v/>
      </c>
    </row>
    <row r="379" ht="15" customHeight="1" s="51">
      <c r="A379" s="59">
        <f>IF(B379="","","OP-"&amp;TEXT(ROW()-4,"000"))</f>
        <v/>
      </c>
      <c r="B379" s="60" t="n"/>
      <c r="C379" s="61" t="n"/>
      <c r="D379" s="60" t="n"/>
      <c r="E379" s="60" t="n"/>
      <c r="F379" s="60" t="n"/>
      <c r="G379" s="60" t="n"/>
      <c r="H379" s="60" t="n"/>
      <c r="I379" s="60" t="n"/>
      <c r="J379" s="60" t="n"/>
      <c r="K379" s="60" t="n"/>
      <c r="L379" s="60" t="n"/>
      <c r="M379" s="62" t="n"/>
      <c r="N379" s="60" t="n"/>
      <c r="O379" s="61" t="n"/>
      <c r="P379" s="61" t="n"/>
      <c r="Q379" s="63" t="n"/>
      <c r="R379" s="60" t="n"/>
      <c r="S379" s="60" t="n"/>
      <c r="T379" s="64">
        <f>IF(A379="","",IFERROR(INDEX('Bid-NoBid'!$T:$T,MATCH(A379,'Bid-NoBid'!$A:$A,0)),""))</f>
        <v/>
      </c>
      <c r="U379" s="59">
        <f>IF(A379="","",IFERROR(IF(OR(INDEX('Bid-NoBid'!$U:$U,MATCH(A379,'Bid-NoBid'!$A:$A,0))="",LEFT(INDEX('Bid-NoBid'!$U:$U,MATCH(A379,'Bid-NoBid'!$A:$A,0)),10)="Incomplete"),"Screen: "&amp;AC379,INDEX('Bid-NoBid'!$U:$U,MATCH(A379,'Bid-NoBid'!$A:$A,0))),"Screen: "&amp;AC379))</f>
        <v/>
      </c>
      <c r="V379" s="60" t="n"/>
      <c r="W379" s="60" t="n"/>
      <c r="X379" s="60" t="n"/>
      <c r="Y379" s="60" t="n"/>
      <c r="Z379" s="60" t="n"/>
      <c r="AA379" s="65" t="n"/>
      <c r="AB379" s="66" t="n"/>
      <c r="AC379" s="66" t="n"/>
      <c r="AD379" s="66" t="n"/>
      <c r="AE379" s="67">
        <f>IF(ISNUMBER(Q379),ROUNDDOWN(Q379-NOW(),1),"")</f>
        <v/>
      </c>
      <c r="AF379" s="59">
        <f>IF(OR(A379="",AE379=""),"",IF(NOT(OR(W379="Watching",W379="Preparing")),"",IF(AE379&lt;0,"PASSED",IF(AND(AE379&lt;=7,W379&lt;&gt;"Preparing"),"RED",IF(AE379&lt;=14,"AMBER","GREEN")))))</f>
        <v/>
      </c>
      <c r="AG379" s="59">
        <f>IF(OR(A379="",NOT(OR(W379="Watching",W379="Preparing"))),"",IF(AND(ISNUMBER(M379),M379&gt;=3000000000),"YES – ≥ TZS 3bn",IF(AND(ISNUMBER(AE379),AE379&gt;=0,AE379&lt;10,V379=""),"YES – &lt;10 days","")))</f>
        <v/>
      </c>
      <c r="AH379" s="68" t="n"/>
      <c r="AI379" s="66" t="n"/>
      <c r="AJ379" s="66" t="n"/>
      <c r="AK379" s="66" t="n"/>
      <c r="AL379" s="59">
        <f>IF(AND(OR(W379="Watching",W379="Preparing"),ISNUMBER(Q379)),IF(AND(Q379&gt;='Friday Summary'!$C$4,Q379&lt;='Friday Summary'!$C$4+14),Q379+ROW()/1000000,""),"")</f>
        <v/>
      </c>
    </row>
    <row r="380" ht="15" customHeight="1" s="51">
      <c r="A380" s="59">
        <f>IF(B380="","","OP-"&amp;TEXT(ROW()-4,"000"))</f>
        <v/>
      </c>
      <c r="B380" s="60" t="n"/>
      <c r="C380" s="61" t="n"/>
      <c r="D380" s="60" t="n"/>
      <c r="E380" s="60" t="n"/>
      <c r="F380" s="60" t="n"/>
      <c r="G380" s="60" t="n"/>
      <c r="H380" s="60" t="n"/>
      <c r="I380" s="60" t="n"/>
      <c r="J380" s="60" t="n"/>
      <c r="K380" s="60" t="n"/>
      <c r="L380" s="60" t="n"/>
      <c r="M380" s="62" t="n"/>
      <c r="N380" s="60" t="n"/>
      <c r="O380" s="61" t="n"/>
      <c r="P380" s="61" t="n"/>
      <c r="Q380" s="63" t="n"/>
      <c r="R380" s="60" t="n"/>
      <c r="S380" s="60" t="n"/>
      <c r="T380" s="64">
        <f>IF(A380="","",IFERROR(INDEX('Bid-NoBid'!$T:$T,MATCH(A380,'Bid-NoBid'!$A:$A,0)),""))</f>
        <v/>
      </c>
      <c r="U380" s="59">
        <f>IF(A380="","",IFERROR(IF(OR(INDEX('Bid-NoBid'!$U:$U,MATCH(A380,'Bid-NoBid'!$A:$A,0))="",LEFT(INDEX('Bid-NoBid'!$U:$U,MATCH(A380,'Bid-NoBid'!$A:$A,0)),10)="Incomplete"),"Screen: "&amp;AC380,INDEX('Bid-NoBid'!$U:$U,MATCH(A380,'Bid-NoBid'!$A:$A,0))),"Screen: "&amp;AC380))</f>
        <v/>
      </c>
      <c r="V380" s="60" t="n"/>
      <c r="W380" s="60" t="n"/>
      <c r="X380" s="60" t="n"/>
      <c r="Y380" s="60" t="n"/>
      <c r="Z380" s="60" t="n"/>
      <c r="AA380" s="65" t="n"/>
      <c r="AB380" s="66" t="n"/>
      <c r="AC380" s="66" t="n"/>
      <c r="AD380" s="66" t="n"/>
      <c r="AE380" s="67">
        <f>IF(ISNUMBER(Q380),ROUNDDOWN(Q380-NOW(),1),"")</f>
        <v/>
      </c>
      <c r="AF380" s="59">
        <f>IF(OR(A380="",AE380=""),"",IF(NOT(OR(W380="Watching",W380="Preparing")),"",IF(AE380&lt;0,"PASSED",IF(AND(AE380&lt;=7,W380&lt;&gt;"Preparing"),"RED",IF(AE380&lt;=14,"AMBER","GREEN")))))</f>
        <v/>
      </c>
      <c r="AG380" s="59">
        <f>IF(OR(A380="",NOT(OR(W380="Watching",W380="Preparing"))),"",IF(AND(ISNUMBER(M380),M380&gt;=3000000000),"YES – ≥ TZS 3bn",IF(AND(ISNUMBER(AE380),AE380&gt;=0,AE380&lt;10,V380=""),"YES – &lt;10 days","")))</f>
        <v/>
      </c>
      <c r="AH380" s="68" t="n"/>
      <c r="AI380" s="66" t="n"/>
      <c r="AJ380" s="66" t="n"/>
      <c r="AK380" s="66" t="n"/>
      <c r="AL380" s="59">
        <f>IF(AND(OR(W380="Watching",W380="Preparing"),ISNUMBER(Q380)),IF(AND(Q380&gt;='Friday Summary'!$C$4,Q380&lt;='Friday Summary'!$C$4+14),Q380+ROW()/1000000,""),"")</f>
        <v/>
      </c>
    </row>
    <row r="381" ht="15" customHeight="1" s="51">
      <c r="A381" s="59">
        <f>IF(B381="","","OP-"&amp;TEXT(ROW()-4,"000"))</f>
        <v/>
      </c>
      <c r="B381" s="60" t="n"/>
      <c r="C381" s="61" t="n"/>
      <c r="D381" s="60" t="n"/>
      <c r="E381" s="60" t="n"/>
      <c r="F381" s="60" t="n"/>
      <c r="G381" s="60" t="n"/>
      <c r="H381" s="60" t="n"/>
      <c r="I381" s="60" t="n"/>
      <c r="J381" s="60" t="n"/>
      <c r="K381" s="60" t="n"/>
      <c r="L381" s="60" t="n"/>
      <c r="M381" s="62" t="n"/>
      <c r="N381" s="60" t="n"/>
      <c r="O381" s="61" t="n"/>
      <c r="P381" s="61" t="n"/>
      <c r="Q381" s="63" t="n"/>
      <c r="R381" s="60" t="n"/>
      <c r="S381" s="60" t="n"/>
      <c r="T381" s="64">
        <f>IF(A381="","",IFERROR(INDEX('Bid-NoBid'!$T:$T,MATCH(A381,'Bid-NoBid'!$A:$A,0)),""))</f>
        <v/>
      </c>
      <c r="U381" s="59">
        <f>IF(A381="","",IFERROR(IF(OR(INDEX('Bid-NoBid'!$U:$U,MATCH(A381,'Bid-NoBid'!$A:$A,0))="",LEFT(INDEX('Bid-NoBid'!$U:$U,MATCH(A381,'Bid-NoBid'!$A:$A,0)),10)="Incomplete"),"Screen: "&amp;AC381,INDEX('Bid-NoBid'!$U:$U,MATCH(A381,'Bid-NoBid'!$A:$A,0))),"Screen: "&amp;AC381))</f>
        <v/>
      </c>
      <c r="V381" s="60" t="n"/>
      <c r="W381" s="60" t="n"/>
      <c r="X381" s="60" t="n"/>
      <c r="Y381" s="60" t="n"/>
      <c r="Z381" s="60" t="n"/>
      <c r="AA381" s="65" t="n"/>
      <c r="AB381" s="66" t="n"/>
      <c r="AC381" s="66" t="n"/>
      <c r="AD381" s="66" t="n"/>
      <c r="AE381" s="67">
        <f>IF(ISNUMBER(Q381),ROUNDDOWN(Q381-NOW(),1),"")</f>
        <v/>
      </c>
      <c r="AF381" s="59">
        <f>IF(OR(A381="",AE381=""),"",IF(NOT(OR(W381="Watching",W381="Preparing")),"",IF(AE381&lt;0,"PASSED",IF(AND(AE381&lt;=7,W381&lt;&gt;"Preparing"),"RED",IF(AE381&lt;=14,"AMBER","GREEN")))))</f>
        <v/>
      </c>
      <c r="AG381" s="59">
        <f>IF(OR(A381="",NOT(OR(W381="Watching",W381="Preparing"))),"",IF(AND(ISNUMBER(M381),M381&gt;=3000000000),"YES – ≥ TZS 3bn",IF(AND(ISNUMBER(AE381),AE381&gt;=0,AE381&lt;10,V381=""),"YES – &lt;10 days","")))</f>
        <v/>
      </c>
      <c r="AH381" s="68" t="n"/>
      <c r="AI381" s="66" t="n"/>
      <c r="AJ381" s="66" t="n"/>
      <c r="AK381" s="66" t="n"/>
      <c r="AL381" s="59">
        <f>IF(AND(OR(W381="Watching",W381="Preparing"),ISNUMBER(Q381)),IF(AND(Q381&gt;='Friday Summary'!$C$4,Q381&lt;='Friday Summary'!$C$4+14),Q381+ROW()/1000000,""),"")</f>
        <v/>
      </c>
    </row>
    <row r="382" ht="15" customHeight="1" s="51">
      <c r="A382" s="59">
        <f>IF(B382="","","OP-"&amp;TEXT(ROW()-4,"000"))</f>
        <v/>
      </c>
      <c r="B382" s="60" t="n"/>
      <c r="C382" s="61" t="n"/>
      <c r="D382" s="60" t="n"/>
      <c r="E382" s="60" t="n"/>
      <c r="F382" s="60" t="n"/>
      <c r="G382" s="60" t="n"/>
      <c r="H382" s="60" t="n"/>
      <c r="I382" s="60" t="n"/>
      <c r="J382" s="60" t="n"/>
      <c r="K382" s="60" t="n"/>
      <c r="L382" s="60" t="n"/>
      <c r="M382" s="62" t="n"/>
      <c r="N382" s="60" t="n"/>
      <c r="O382" s="61" t="n"/>
      <c r="P382" s="61" t="n"/>
      <c r="Q382" s="63" t="n"/>
      <c r="R382" s="60" t="n"/>
      <c r="S382" s="60" t="n"/>
      <c r="T382" s="64">
        <f>IF(A382="","",IFERROR(INDEX('Bid-NoBid'!$T:$T,MATCH(A382,'Bid-NoBid'!$A:$A,0)),""))</f>
        <v/>
      </c>
      <c r="U382" s="59">
        <f>IF(A382="","",IFERROR(IF(OR(INDEX('Bid-NoBid'!$U:$U,MATCH(A382,'Bid-NoBid'!$A:$A,0))="",LEFT(INDEX('Bid-NoBid'!$U:$U,MATCH(A382,'Bid-NoBid'!$A:$A,0)),10)="Incomplete"),"Screen: "&amp;AC382,INDEX('Bid-NoBid'!$U:$U,MATCH(A382,'Bid-NoBid'!$A:$A,0))),"Screen: "&amp;AC382))</f>
        <v/>
      </c>
      <c r="V382" s="60" t="n"/>
      <c r="W382" s="60" t="n"/>
      <c r="X382" s="60" t="n"/>
      <c r="Y382" s="60" t="n"/>
      <c r="Z382" s="60" t="n"/>
      <c r="AA382" s="65" t="n"/>
      <c r="AB382" s="66" t="n"/>
      <c r="AC382" s="66" t="n"/>
      <c r="AD382" s="66" t="n"/>
      <c r="AE382" s="67">
        <f>IF(ISNUMBER(Q382),ROUNDDOWN(Q382-NOW(),1),"")</f>
        <v/>
      </c>
      <c r="AF382" s="59">
        <f>IF(OR(A382="",AE382=""),"",IF(NOT(OR(W382="Watching",W382="Preparing")),"",IF(AE382&lt;0,"PASSED",IF(AND(AE382&lt;=7,W382&lt;&gt;"Preparing"),"RED",IF(AE382&lt;=14,"AMBER","GREEN")))))</f>
        <v/>
      </c>
      <c r="AG382" s="59">
        <f>IF(OR(A382="",NOT(OR(W382="Watching",W382="Preparing"))),"",IF(AND(ISNUMBER(M382),M382&gt;=3000000000),"YES – ≥ TZS 3bn",IF(AND(ISNUMBER(AE382),AE382&gt;=0,AE382&lt;10,V382=""),"YES – &lt;10 days","")))</f>
        <v/>
      </c>
      <c r="AH382" s="68" t="n"/>
      <c r="AI382" s="66" t="n"/>
      <c r="AJ382" s="66" t="n"/>
      <c r="AK382" s="66" t="n"/>
      <c r="AL382" s="59">
        <f>IF(AND(OR(W382="Watching",W382="Preparing"),ISNUMBER(Q382)),IF(AND(Q382&gt;='Friday Summary'!$C$4,Q382&lt;='Friday Summary'!$C$4+14),Q382+ROW()/1000000,""),"")</f>
        <v/>
      </c>
    </row>
    <row r="383" ht="15" customHeight="1" s="51">
      <c r="A383" s="59">
        <f>IF(B383="","","OP-"&amp;TEXT(ROW()-4,"000"))</f>
        <v/>
      </c>
      <c r="B383" s="60" t="n"/>
      <c r="C383" s="61" t="n"/>
      <c r="D383" s="60" t="n"/>
      <c r="E383" s="60" t="n"/>
      <c r="F383" s="60" t="n"/>
      <c r="G383" s="60" t="n"/>
      <c r="H383" s="60" t="n"/>
      <c r="I383" s="60" t="n"/>
      <c r="J383" s="60" t="n"/>
      <c r="K383" s="60" t="n"/>
      <c r="L383" s="60" t="n"/>
      <c r="M383" s="62" t="n"/>
      <c r="N383" s="60" t="n"/>
      <c r="O383" s="61" t="n"/>
      <c r="P383" s="61" t="n"/>
      <c r="Q383" s="63" t="n"/>
      <c r="R383" s="60" t="n"/>
      <c r="S383" s="60" t="n"/>
      <c r="T383" s="64">
        <f>IF(A383="","",IFERROR(INDEX('Bid-NoBid'!$T:$T,MATCH(A383,'Bid-NoBid'!$A:$A,0)),""))</f>
        <v/>
      </c>
      <c r="U383" s="59">
        <f>IF(A383="","",IFERROR(IF(OR(INDEX('Bid-NoBid'!$U:$U,MATCH(A383,'Bid-NoBid'!$A:$A,0))="",LEFT(INDEX('Bid-NoBid'!$U:$U,MATCH(A383,'Bid-NoBid'!$A:$A,0)),10)="Incomplete"),"Screen: "&amp;AC383,INDEX('Bid-NoBid'!$U:$U,MATCH(A383,'Bid-NoBid'!$A:$A,0))),"Screen: "&amp;AC383))</f>
        <v/>
      </c>
      <c r="V383" s="60" t="n"/>
      <c r="W383" s="60" t="n"/>
      <c r="X383" s="60" t="n"/>
      <c r="Y383" s="60" t="n"/>
      <c r="Z383" s="60" t="n"/>
      <c r="AA383" s="65" t="n"/>
      <c r="AB383" s="66" t="n"/>
      <c r="AC383" s="66" t="n"/>
      <c r="AD383" s="66" t="n"/>
      <c r="AE383" s="67">
        <f>IF(ISNUMBER(Q383),ROUNDDOWN(Q383-NOW(),1),"")</f>
        <v/>
      </c>
      <c r="AF383" s="59">
        <f>IF(OR(A383="",AE383=""),"",IF(NOT(OR(W383="Watching",W383="Preparing")),"",IF(AE383&lt;0,"PASSED",IF(AND(AE383&lt;=7,W383&lt;&gt;"Preparing"),"RED",IF(AE383&lt;=14,"AMBER","GREEN")))))</f>
        <v/>
      </c>
      <c r="AG383" s="59">
        <f>IF(OR(A383="",NOT(OR(W383="Watching",W383="Preparing"))),"",IF(AND(ISNUMBER(M383),M383&gt;=3000000000),"YES – ≥ TZS 3bn",IF(AND(ISNUMBER(AE383),AE383&gt;=0,AE383&lt;10,V383=""),"YES – &lt;10 days","")))</f>
        <v/>
      </c>
      <c r="AH383" s="68" t="n"/>
      <c r="AI383" s="66" t="n"/>
      <c r="AJ383" s="66" t="n"/>
      <c r="AK383" s="66" t="n"/>
      <c r="AL383" s="59">
        <f>IF(AND(OR(W383="Watching",W383="Preparing"),ISNUMBER(Q383)),IF(AND(Q383&gt;='Friday Summary'!$C$4,Q383&lt;='Friday Summary'!$C$4+14),Q383+ROW()/1000000,""),"")</f>
        <v/>
      </c>
    </row>
    <row r="384" ht="15" customHeight="1" s="51">
      <c r="A384" s="59">
        <f>IF(B384="","","OP-"&amp;TEXT(ROW()-4,"000"))</f>
        <v/>
      </c>
      <c r="B384" s="60" t="n"/>
      <c r="C384" s="61" t="n"/>
      <c r="D384" s="60" t="n"/>
      <c r="E384" s="60" t="n"/>
      <c r="F384" s="60" t="n"/>
      <c r="G384" s="60" t="n"/>
      <c r="H384" s="60" t="n"/>
      <c r="I384" s="60" t="n"/>
      <c r="J384" s="60" t="n"/>
      <c r="K384" s="60" t="n"/>
      <c r="L384" s="60" t="n"/>
      <c r="M384" s="62" t="n"/>
      <c r="N384" s="60" t="n"/>
      <c r="O384" s="61" t="n"/>
      <c r="P384" s="61" t="n"/>
      <c r="Q384" s="63" t="n"/>
      <c r="R384" s="60" t="n"/>
      <c r="S384" s="60" t="n"/>
      <c r="T384" s="64">
        <f>IF(A384="","",IFERROR(INDEX('Bid-NoBid'!$T:$T,MATCH(A384,'Bid-NoBid'!$A:$A,0)),""))</f>
        <v/>
      </c>
      <c r="U384" s="59">
        <f>IF(A384="","",IFERROR(IF(OR(INDEX('Bid-NoBid'!$U:$U,MATCH(A384,'Bid-NoBid'!$A:$A,0))="",LEFT(INDEX('Bid-NoBid'!$U:$U,MATCH(A384,'Bid-NoBid'!$A:$A,0)),10)="Incomplete"),"Screen: "&amp;AC384,INDEX('Bid-NoBid'!$U:$U,MATCH(A384,'Bid-NoBid'!$A:$A,0))),"Screen: "&amp;AC384))</f>
        <v/>
      </c>
      <c r="V384" s="60" t="n"/>
      <c r="W384" s="60" t="n"/>
      <c r="X384" s="60" t="n"/>
      <c r="Y384" s="60" t="n"/>
      <c r="Z384" s="60" t="n"/>
      <c r="AA384" s="65" t="n"/>
      <c r="AB384" s="66" t="n"/>
      <c r="AC384" s="66" t="n"/>
      <c r="AD384" s="66" t="n"/>
      <c r="AE384" s="67">
        <f>IF(ISNUMBER(Q384),ROUNDDOWN(Q384-NOW(),1),"")</f>
        <v/>
      </c>
      <c r="AF384" s="59">
        <f>IF(OR(A384="",AE384=""),"",IF(NOT(OR(W384="Watching",W384="Preparing")),"",IF(AE384&lt;0,"PASSED",IF(AND(AE384&lt;=7,W384&lt;&gt;"Preparing"),"RED",IF(AE384&lt;=14,"AMBER","GREEN")))))</f>
        <v/>
      </c>
      <c r="AG384" s="59">
        <f>IF(OR(A384="",NOT(OR(W384="Watching",W384="Preparing"))),"",IF(AND(ISNUMBER(M384),M384&gt;=3000000000),"YES – ≥ TZS 3bn",IF(AND(ISNUMBER(AE384),AE384&gt;=0,AE384&lt;10,V384=""),"YES – &lt;10 days","")))</f>
        <v/>
      </c>
      <c r="AH384" s="68" t="n"/>
      <c r="AI384" s="66" t="n"/>
      <c r="AJ384" s="66" t="n"/>
      <c r="AK384" s="66" t="n"/>
      <c r="AL384" s="59">
        <f>IF(AND(OR(W384="Watching",W384="Preparing"),ISNUMBER(Q384)),IF(AND(Q384&gt;='Friday Summary'!$C$4,Q384&lt;='Friday Summary'!$C$4+14),Q384+ROW()/1000000,""),"")</f>
        <v/>
      </c>
    </row>
    <row r="385" ht="15" customHeight="1" s="51">
      <c r="A385" s="59">
        <f>IF(B385="","","OP-"&amp;TEXT(ROW()-4,"000"))</f>
        <v/>
      </c>
      <c r="B385" s="60" t="n"/>
      <c r="C385" s="61" t="n"/>
      <c r="D385" s="60" t="n"/>
      <c r="E385" s="60" t="n"/>
      <c r="F385" s="60" t="n"/>
      <c r="G385" s="60" t="n"/>
      <c r="H385" s="60" t="n"/>
      <c r="I385" s="60" t="n"/>
      <c r="J385" s="60" t="n"/>
      <c r="K385" s="60" t="n"/>
      <c r="L385" s="60" t="n"/>
      <c r="M385" s="62" t="n"/>
      <c r="N385" s="60" t="n"/>
      <c r="O385" s="61" t="n"/>
      <c r="P385" s="61" t="n"/>
      <c r="Q385" s="63" t="n"/>
      <c r="R385" s="60" t="n"/>
      <c r="S385" s="60" t="n"/>
      <c r="T385" s="64">
        <f>IF(A385="","",IFERROR(INDEX('Bid-NoBid'!$T:$T,MATCH(A385,'Bid-NoBid'!$A:$A,0)),""))</f>
        <v/>
      </c>
      <c r="U385" s="59">
        <f>IF(A385="","",IFERROR(IF(OR(INDEX('Bid-NoBid'!$U:$U,MATCH(A385,'Bid-NoBid'!$A:$A,0))="",LEFT(INDEX('Bid-NoBid'!$U:$U,MATCH(A385,'Bid-NoBid'!$A:$A,0)),10)="Incomplete"),"Screen: "&amp;AC385,INDEX('Bid-NoBid'!$U:$U,MATCH(A385,'Bid-NoBid'!$A:$A,0))),"Screen: "&amp;AC385))</f>
        <v/>
      </c>
      <c r="V385" s="60" t="n"/>
      <c r="W385" s="60" t="n"/>
      <c r="X385" s="60" t="n"/>
      <c r="Y385" s="60" t="n"/>
      <c r="Z385" s="60" t="n"/>
      <c r="AA385" s="65" t="n"/>
      <c r="AB385" s="66" t="n"/>
      <c r="AC385" s="66" t="n"/>
      <c r="AD385" s="66" t="n"/>
      <c r="AE385" s="67">
        <f>IF(ISNUMBER(Q385),ROUNDDOWN(Q385-NOW(),1),"")</f>
        <v/>
      </c>
      <c r="AF385" s="59">
        <f>IF(OR(A385="",AE385=""),"",IF(NOT(OR(W385="Watching",W385="Preparing")),"",IF(AE385&lt;0,"PASSED",IF(AND(AE385&lt;=7,W385&lt;&gt;"Preparing"),"RED",IF(AE385&lt;=14,"AMBER","GREEN")))))</f>
        <v/>
      </c>
      <c r="AG385" s="59">
        <f>IF(OR(A385="",NOT(OR(W385="Watching",W385="Preparing"))),"",IF(AND(ISNUMBER(M385),M385&gt;=3000000000),"YES – ≥ TZS 3bn",IF(AND(ISNUMBER(AE385),AE385&gt;=0,AE385&lt;10,V385=""),"YES – &lt;10 days","")))</f>
        <v/>
      </c>
      <c r="AH385" s="68" t="n"/>
      <c r="AI385" s="66" t="n"/>
      <c r="AJ385" s="66" t="n"/>
      <c r="AK385" s="66" t="n"/>
      <c r="AL385" s="59">
        <f>IF(AND(OR(W385="Watching",W385="Preparing"),ISNUMBER(Q385)),IF(AND(Q385&gt;='Friday Summary'!$C$4,Q385&lt;='Friday Summary'!$C$4+14),Q385+ROW()/1000000,""),"")</f>
        <v/>
      </c>
    </row>
    <row r="386" ht="15" customHeight="1" s="51">
      <c r="A386" s="59">
        <f>IF(B386="","","OP-"&amp;TEXT(ROW()-4,"000"))</f>
        <v/>
      </c>
      <c r="B386" s="60" t="n"/>
      <c r="C386" s="61" t="n"/>
      <c r="D386" s="60" t="n"/>
      <c r="E386" s="60" t="n"/>
      <c r="F386" s="60" t="n"/>
      <c r="G386" s="60" t="n"/>
      <c r="H386" s="60" t="n"/>
      <c r="I386" s="60" t="n"/>
      <c r="J386" s="60" t="n"/>
      <c r="K386" s="60" t="n"/>
      <c r="L386" s="60" t="n"/>
      <c r="M386" s="62" t="n"/>
      <c r="N386" s="60" t="n"/>
      <c r="O386" s="61" t="n"/>
      <c r="P386" s="61" t="n"/>
      <c r="Q386" s="63" t="n"/>
      <c r="R386" s="60" t="n"/>
      <c r="S386" s="60" t="n"/>
      <c r="T386" s="64">
        <f>IF(A386="","",IFERROR(INDEX('Bid-NoBid'!$T:$T,MATCH(A386,'Bid-NoBid'!$A:$A,0)),""))</f>
        <v/>
      </c>
      <c r="U386" s="59">
        <f>IF(A386="","",IFERROR(IF(OR(INDEX('Bid-NoBid'!$U:$U,MATCH(A386,'Bid-NoBid'!$A:$A,0))="",LEFT(INDEX('Bid-NoBid'!$U:$U,MATCH(A386,'Bid-NoBid'!$A:$A,0)),10)="Incomplete"),"Screen: "&amp;AC386,INDEX('Bid-NoBid'!$U:$U,MATCH(A386,'Bid-NoBid'!$A:$A,0))),"Screen: "&amp;AC386))</f>
        <v/>
      </c>
      <c r="V386" s="60" t="n"/>
      <c r="W386" s="60" t="n"/>
      <c r="X386" s="60" t="n"/>
      <c r="Y386" s="60" t="n"/>
      <c r="Z386" s="60" t="n"/>
      <c r="AA386" s="65" t="n"/>
      <c r="AB386" s="66" t="n"/>
      <c r="AC386" s="66" t="n"/>
      <c r="AD386" s="66" t="n"/>
      <c r="AE386" s="67">
        <f>IF(ISNUMBER(Q386),ROUNDDOWN(Q386-NOW(),1),"")</f>
        <v/>
      </c>
      <c r="AF386" s="59">
        <f>IF(OR(A386="",AE386=""),"",IF(NOT(OR(W386="Watching",W386="Preparing")),"",IF(AE386&lt;0,"PASSED",IF(AND(AE386&lt;=7,W386&lt;&gt;"Preparing"),"RED",IF(AE386&lt;=14,"AMBER","GREEN")))))</f>
        <v/>
      </c>
      <c r="AG386" s="59">
        <f>IF(OR(A386="",NOT(OR(W386="Watching",W386="Preparing"))),"",IF(AND(ISNUMBER(M386),M386&gt;=3000000000),"YES – ≥ TZS 3bn",IF(AND(ISNUMBER(AE386),AE386&gt;=0,AE386&lt;10,V386=""),"YES – &lt;10 days","")))</f>
        <v/>
      </c>
      <c r="AH386" s="68" t="n"/>
      <c r="AI386" s="66" t="n"/>
      <c r="AJ386" s="66" t="n"/>
      <c r="AK386" s="66" t="n"/>
      <c r="AL386" s="59">
        <f>IF(AND(OR(W386="Watching",W386="Preparing"),ISNUMBER(Q386)),IF(AND(Q386&gt;='Friday Summary'!$C$4,Q386&lt;='Friday Summary'!$C$4+14),Q386+ROW()/1000000,""),"")</f>
        <v/>
      </c>
    </row>
    <row r="387" ht="15" customHeight="1" s="51">
      <c r="A387" s="59">
        <f>IF(B387="","","OP-"&amp;TEXT(ROW()-4,"000"))</f>
        <v/>
      </c>
      <c r="B387" s="60" t="n"/>
      <c r="C387" s="61" t="n"/>
      <c r="D387" s="60" t="n"/>
      <c r="E387" s="60" t="n"/>
      <c r="F387" s="60" t="n"/>
      <c r="G387" s="60" t="n"/>
      <c r="H387" s="60" t="n"/>
      <c r="I387" s="60" t="n"/>
      <c r="J387" s="60" t="n"/>
      <c r="K387" s="60" t="n"/>
      <c r="L387" s="60" t="n"/>
      <c r="M387" s="62" t="n"/>
      <c r="N387" s="60" t="n"/>
      <c r="O387" s="61" t="n"/>
      <c r="P387" s="61" t="n"/>
      <c r="Q387" s="63" t="n"/>
      <c r="R387" s="60" t="n"/>
      <c r="S387" s="60" t="n"/>
      <c r="T387" s="64">
        <f>IF(A387="","",IFERROR(INDEX('Bid-NoBid'!$T:$T,MATCH(A387,'Bid-NoBid'!$A:$A,0)),""))</f>
        <v/>
      </c>
      <c r="U387" s="59">
        <f>IF(A387="","",IFERROR(IF(OR(INDEX('Bid-NoBid'!$U:$U,MATCH(A387,'Bid-NoBid'!$A:$A,0))="",LEFT(INDEX('Bid-NoBid'!$U:$U,MATCH(A387,'Bid-NoBid'!$A:$A,0)),10)="Incomplete"),"Screen: "&amp;AC387,INDEX('Bid-NoBid'!$U:$U,MATCH(A387,'Bid-NoBid'!$A:$A,0))),"Screen: "&amp;AC387))</f>
        <v/>
      </c>
      <c r="V387" s="60" t="n"/>
      <c r="W387" s="60" t="n"/>
      <c r="X387" s="60" t="n"/>
      <c r="Y387" s="60" t="n"/>
      <c r="Z387" s="60" t="n"/>
      <c r="AA387" s="65" t="n"/>
      <c r="AB387" s="66" t="n"/>
      <c r="AC387" s="66" t="n"/>
      <c r="AD387" s="66" t="n"/>
      <c r="AE387" s="67">
        <f>IF(ISNUMBER(Q387),ROUNDDOWN(Q387-NOW(),1),"")</f>
        <v/>
      </c>
      <c r="AF387" s="59">
        <f>IF(OR(A387="",AE387=""),"",IF(NOT(OR(W387="Watching",W387="Preparing")),"",IF(AE387&lt;0,"PASSED",IF(AND(AE387&lt;=7,W387&lt;&gt;"Preparing"),"RED",IF(AE387&lt;=14,"AMBER","GREEN")))))</f>
        <v/>
      </c>
      <c r="AG387" s="59">
        <f>IF(OR(A387="",NOT(OR(W387="Watching",W387="Preparing"))),"",IF(AND(ISNUMBER(M387),M387&gt;=3000000000),"YES – ≥ TZS 3bn",IF(AND(ISNUMBER(AE387),AE387&gt;=0,AE387&lt;10,V387=""),"YES – &lt;10 days","")))</f>
        <v/>
      </c>
      <c r="AH387" s="68" t="n"/>
      <c r="AI387" s="66" t="n"/>
      <c r="AJ387" s="66" t="n"/>
      <c r="AK387" s="66" t="n"/>
      <c r="AL387" s="59">
        <f>IF(AND(OR(W387="Watching",W387="Preparing"),ISNUMBER(Q387)),IF(AND(Q387&gt;='Friday Summary'!$C$4,Q387&lt;='Friday Summary'!$C$4+14),Q387+ROW()/1000000,""),"")</f>
        <v/>
      </c>
    </row>
    <row r="388" ht="15" customHeight="1" s="51">
      <c r="A388" s="59">
        <f>IF(B388="","","OP-"&amp;TEXT(ROW()-4,"000"))</f>
        <v/>
      </c>
      <c r="B388" s="60" t="n"/>
      <c r="C388" s="61" t="n"/>
      <c r="D388" s="60" t="n"/>
      <c r="E388" s="60" t="n"/>
      <c r="F388" s="60" t="n"/>
      <c r="G388" s="60" t="n"/>
      <c r="H388" s="60" t="n"/>
      <c r="I388" s="60" t="n"/>
      <c r="J388" s="60" t="n"/>
      <c r="K388" s="60" t="n"/>
      <c r="L388" s="60" t="n"/>
      <c r="M388" s="62" t="n"/>
      <c r="N388" s="60" t="n"/>
      <c r="O388" s="61" t="n"/>
      <c r="P388" s="61" t="n"/>
      <c r="Q388" s="63" t="n"/>
      <c r="R388" s="60" t="n"/>
      <c r="S388" s="60" t="n"/>
      <c r="T388" s="64">
        <f>IF(A388="","",IFERROR(INDEX('Bid-NoBid'!$T:$T,MATCH(A388,'Bid-NoBid'!$A:$A,0)),""))</f>
        <v/>
      </c>
      <c r="U388" s="59">
        <f>IF(A388="","",IFERROR(IF(OR(INDEX('Bid-NoBid'!$U:$U,MATCH(A388,'Bid-NoBid'!$A:$A,0))="",LEFT(INDEX('Bid-NoBid'!$U:$U,MATCH(A388,'Bid-NoBid'!$A:$A,0)),10)="Incomplete"),"Screen: "&amp;AC388,INDEX('Bid-NoBid'!$U:$U,MATCH(A388,'Bid-NoBid'!$A:$A,0))),"Screen: "&amp;AC388))</f>
        <v/>
      </c>
      <c r="V388" s="60" t="n"/>
      <c r="W388" s="60" t="n"/>
      <c r="X388" s="60" t="n"/>
      <c r="Y388" s="60" t="n"/>
      <c r="Z388" s="60" t="n"/>
      <c r="AA388" s="65" t="n"/>
      <c r="AB388" s="66" t="n"/>
      <c r="AC388" s="66" t="n"/>
      <c r="AD388" s="66" t="n"/>
      <c r="AE388" s="67">
        <f>IF(ISNUMBER(Q388),ROUNDDOWN(Q388-NOW(),1),"")</f>
        <v/>
      </c>
      <c r="AF388" s="59">
        <f>IF(OR(A388="",AE388=""),"",IF(NOT(OR(W388="Watching",W388="Preparing")),"",IF(AE388&lt;0,"PASSED",IF(AND(AE388&lt;=7,W388&lt;&gt;"Preparing"),"RED",IF(AE388&lt;=14,"AMBER","GREEN")))))</f>
        <v/>
      </c>
      <c r="AG388" s="59">
        <f>IF(OR(A388="",NOT(OR(W388="Watching",W388="Preparing"))),"",IF(AND(ISNUMBER(M388),M388&gt;=3000000000),"YES – ≥ TZS 3bn",IF(AND(ISNUMBER(AE388),AE388&gt;=0,AE388&lt;10,V388=""),"YES – &lt;10 days","")))</f>
        <v/>
      </c>
      <c r="AH388" s="68" t="n"/>
      <c r="AI388" s="66" t="n"/>
      <c r="AJ388" s="66" t="n"/>
      <c r="AK388" s="66" t="n"/>
      <c r="AL388" s="59">
        <f>IF(AND(OR(W388="Watching",W388="Preparing"),ISNUMBER(Q388)),IF(AND(Q388&gt;='Friday Summary'!$C$4,Q388&lt;='Friday Summary'!$C$4+14),Q388+ROW()/1000000,""),"")</f>
        <v/>
      </c>
    </row>
    <row r="389" ht="15" customHeight="1" s="51">
      <c r="A389" s="59">
        <f>IF(B389="","","OP-"&amp;TEXT(ROW()-4,"000"))</f>
        <v/>
      </c>
      <c r="B389" s="60" t="n"/>
      <c r="C389" s="61" t="n"/>
      <c r="D389" s="60" t="n"/>
      <c r="E389" s="60" t="n"/>
      <c r="F389" s="60" t="n"/>
      <c r="G389" s="60" t="n"/>
      <c r="H389" s="60" t="n"/>
      <c r="I389" s="60" t="n"/>
      <c r="J389" s="60" t="n"/>
      <c r="K389" s="60" t="n"/>
      <c r="L389" s="60" t="n"/>
      <c r="M389" s="62" t="n"/>
      <c r="N389" s="60" t="n"/>
      <c r="O389" s="61" t="n"/>
      <c r="P389" s="61" t="n"/>
      <c r="Q389" s="63" t="n"/>
      <c r="R389" s="60" t="n"/>
      <c r="S389" s="60" t="n"/>
      <c r="T389" s="64">
        <f>IF(A389="","",IFERROR(INDEX('Bid-NoBid'!$T:$T,MATCH(A389,'Bid-NoBid'!$A:$A,0)),""))</f>
        <v/>
      </c>
      <c r="U389" s="59">
        <f>IF(A389="","",IFERROR(IF(OR(INDEX('Bid-NoBid'!$U:$U,MATCH(A389,'Bid-NoBid'!$A:$A,0))="",LEFT(INDEX('Bid-NoBid'!$U:$U,MATCH(A389,'Bid-NoBid'!$A:$A,0)),10)="Incomplete"),"Screen: "&amp;AC389,INDEX('Bid-NoBid'!$U:$U,MATCH(A389,'Bid-NoBid'!$A:$A,0))),"Screen: "&amp;AC389))</f>
        <v/>
      </c>
      <c r="V389" s="60" t="n"/>
      <c r="W389" s="60" t="n"/>
      <c r="X389" s="60" t="n"/>
      <c r="Y389" s="60" t="n"/>
      <c r="Z389" s="60" t="n"/>
      <c r="AA389" s="65" t="n"/>
      <c r="AB389" s="66" t="n"/>
      <c r="AC389" s="66" t="n"/>
      <c r="AD389" s="66" t="n"/>
      <c r="AE389" s="67">
        <f>IF(ISNUMBER(Q389),ROUNDDOWN(Q389-NOW(),1),"")</f>
        <v/>
      </c>
      <c r="AF389" s="59">
        <f>IF(OR(A389="",AE389=""),"",IF(NOT(OR(W389="Watching",W389="Preparing")),"",IF(AE389&lt;0,"PASSED",IF(AND(AE389&lt;=7,W389&lt;&gt;"Preparing"),"RED",IF(AE389&lt;=14,"AMBER","GREEN")))))</f>
        <v/>
      </c>
      <c r="AG389" s="59">
        <f>IF(OR(A389="",NOT(OR(W389="Watching",W389="Preparing"))),"",IF(AND(ISNUMBER(M389),M389&gt;=3000000000),"YES – ≥ TZS 3bn",IF(AND(ISNUMBER(AE389),AE389&gt;=0,AE389&lt;10,V389=""),"YES – &lt;10 days","")))</f>
        <v/>
      </c>
      <c r="AH389" s="68" t="n"/>
      <c r="AI389" s="66" t="n"/>
      <c r="AJ389" s="66" t="n"/>
      <c r="AK389" s="66" t="n"/>
      <c r="AL389" s="59">
        <f>IF(AND(OR(W389="Watching",W389="Preparing"),ISNUMBER(Q389)),IF(AND(Q389&gt;='Friday Summary'!$C$4,Q389&lt;='Friday Summary'!$C$4+14),Q389+ROW()/1000000,""),"")</f>
        <v/>
      </c>
    </row>
    <row r="390" ht="15" customHeight="1" s="51">
      <c r="A390" s="59">
        <f>IF(B390="","","OP-"&amp;TEXT(ROW()-4,"000"))</f>
        <v/>
      </c>
      <c r="B390" s="60" t="n"/>
      <c r="C390" s="61" t="n"/>
      <c r="D390" s="60" t="n"/>
      <c r="E390" s="60" t="n"/>
      <c r="F390" s="60" t="n"/>
      <c r="G390" s="60" t="n"/>
      <c r="H390" s="60" t="n"/>
      <c r="I390" s="60" t="n"/>
      <c r="J390" s="60" t="n"/>
      <c r="K390" s="60" t="n"/>
      <c r="L390" s="60" t="n"/>
      <c r="M390" s="62" t="n"/>
      <c r="N390" s="60" t="n"/>
      <c r="O390" s="61" t="n"/>
      <c r="P390" s="61" t="n"/>
      <c r="Q390" s="63" t="n"/>
      <c r="R390" s="60" t="n"/>
      <c r="S390" s="60" t="n"/>
      <c r="T390" s="64">
        <f>IF(A390="","",IFERROR(INDEX('Bid-NoBid'!$T:$T,MATCH(A390,'Bid-NoBid'!$A:$A,0)),""))</f>
        <v/>
      </c>
      <c r="U390" s="59">
        <f>IF(A390="","",IFERROR(IF(OR(INDEX('Bid-NoBid'!$U:$U,MATCH(A390,'Bid-NoBid'!$A:$A,0))="",LEFT(INDEX('Bid-NoBid'!$U:$U,MATCH(A390,'Bid-NoBid'!$A:$A,0)),10)="Incomplete"),"Screen: "&amp;AC390,INDEX('Bid-NoBid'!$U:$U,MATCH(A390,'Bid-NoBid'!$A:$A,0))),"Screen: "&amp;AC390))</f>
        <v/>
      </c>
      <c r="V390" s="60" t="n"/>
      <c r="W390" s="60" t="n"/>
      <c r="X390" s="60" t="n"/>
      <c r="Y390" s="60" t="n"/>
      <c r="Z390" s="60" t="n"/>
      <c r="AA390" s="65" t="n"/>
      <c r="AB390" s="66" t="n"/>
      <c r="AC390" s="66" t="n"/>
      <c r="AD390" s="66" t="n"/>
      <c r="AE390" s="67">
        <f>IF(ISNUMBER(Q390),ROUNDDOWN(Q390-NOW(),1),"")</f>
        <v/>
      </c>
      <c r="AF390" s="59">
        <f>IF(OR(A390="",AE390=""),"",IF(NOT(OR(W390="Watching",W390="Preparing")),"",IF(AE390&lt;0,"PASSED",IF(AND(AE390&lt;=7,W390&lt;&gt;"Preparing"),"RED",IF(AE390&lt;=14,"AMBER","GREEN")))))</f>
        <v/>
      </c>
      <c r="AG390" s="59">
        <f>IF(OR(A390="",NOT(OR(W390="Watching",W390="Preparing"))),"",IF(AND(ISNUMBER(M390),M390&gt;=3000000000),"YES – ≥ TZS 3bn",IF(AND(ISNUMBER(AE390),AE390&gt;=0,AE390&lt;10,V390=""),"YES – &lt;10 days","")))</f>
        <v/>
      </c>
      <c r="AH390" s="68" t="n"/>
      <c r="AI390" s="66" t="n"/>
      <c r="AJ390" s="66" t="n"/>
      <c r="AK390" s="66" t="n"/>
      <c r="AL390" s="59">
        <f>IF(AND(OR(W390="Watching",W390="Preparing"),ISNUMBER(Q390)),IF(AND(Q390&gt;='Friday Summary'!$C$4,Q390&lt;='Friday Summary'!$C$4+14),Q390+ROW()/1000000,""),"")</f>
        <v/>
      </c>
    </row>
    <row r="391" ht="15" customHeight="1" s="51">
      <c r="A391" s="59">
        <f>IF(B391="","","OP-"&amp;TEXT(ROW()-4,"000"))</f>
        <v/>
      </c>
      <c r="B391" s="60" t="n"/>
      <c r="C391" s="61" t="n"/>
      <c r="D391" s="60" t="n"/>
      <c r="E391" s="60" t="n"/>
      <c r="F391" s="60" t="n"/>
      <c r="G391" s="60" t="n"/>
      <c r="H391" s="60" t="n"/>
      <c r="I391" s="60" t="n"/>
      <c r="J391" s="60" t="n"/>
      <c r="K391" s="60" t="n"/>
      <c r="L391" s="60" t="n"/>
      <c r="M391" s="62" t="n"/>
      <c r="N391" s="60" t="n"/>
      <c r="O391" s="61" t="n"/>
      <c r="P391" s="61" t="n"/>
      <c r="Q391" s="63" t="n"/>
      <c r="R391" s="60" t="n"/>
      <c r="S391" s="60" t="n"/>
      <c r="T391" s="64">
        <f>IF(A391="","",IFERROR(INDEX('Bid-NoBid'!$T:$T,MATCH(A391,'Bid-NoBid'!$A:$A,0)),""))</f>
        <v/>
      </c>
      <c r="U391" s="59">
        <f>IF(A391="","",IFERROR(IF(OR(INDEX('Bid-NoBid'!$U:$U,MATCH(A391,'Bid-NoBid'!$A:$A,0))="",LEFT(INDEX('Bid-NoBid'!$U:$U,MATCH(A391,'Bid-NoBid'!$A:$A,0)),10)="Incomplete"),"Screen: "&amp;AC391,INDEX('Bid-NoBid'!$U:$U,MATCH(A391,'Bid-NoBid'!$A:$A,0))),"Screen: "&amp;AC391))</f>
        <v/>
      </c>
      <c r="V391" s="60" t="n"/>
      <c r="W391" s="60" t="n"/>
      <c r="X391" s="60" t="n"/>
      <c r="Y391" s="60" t="n"/>
      <c r="Z391" s="60" t="n"/>
      <c r="AA391" s="65" t="n"/>
      <c r="AB391" s="66" t="n"/>
      <c r="AC391" s="66" t="n"/>
      <c r="AD391" s="66" t="n"/>
      <c r="AE391" s="67">
        <f>IF(ISNUMBER(Q391),ROUNDDOWN(Q391-NOW(),1),"")</f>
        <v/>
      </c>
      <c r="AF391" s="59">
        <f>IF(OR(A391="",AE391=""),"",IF(NOT(OR(W391="Watching",W391="Preparing")),"",IF(AE391&lt;0,"PASSED",IF(AND(AE391&lt;=7,W391&lt;&gt;"Preparing"),"RED",IF(AE391&lt;=14,"AMBER","GREEN")))))</f>
        <v/>
      </c>
      <c r="AG391" s="59">
        <f>IF(OR(A391="",NOT(OR(W391="Watching",W391="Preparing"))),"",IF(AND(ISNUMBER(M391),M391&gt;=3000000000),"YES – ≥ TZS 3bn",IF(AND(ISNUMBER(AE391),AE391&gt;=0,AE391&lt;10,V391=""),"YES – &lt;10 days","")))</f>
        <v/>
      </c>
      <c r="AH391" s="68" t="n"/>
      <c r="AI391" s="66" t="n"/>
      <c r="AJ391" s="66" t="n"/>
      <c r="AK391" s="66" t="n"/>
      <c r="AL391" s="59">
        <f>IF(AND(OR(W391="Watching",W391="Preparing"),ISNUMBER(Q391)),IF(AND(Q391&gt;='Friday Summary'!$C$4,Q391&lt;='Friday Summary'!$C$4+14),Q391+ROW()/1000000,""),"")</f>
        <v/>
      </c>
    </row>
    <row r="392" ht="15" customHeight="1" s="51">
      <c r="A392" s="59">
        <f>IF(B392="","","OP-"&amp;TEXT(ROW()-4,"000"))</f>
        <v/>
      </c>
      <c r="B392" s="60" t="n"/>
      <c r="C392" s="61" t="n"/>
      <c r="D392" s="60" t="n"/>
      <c r="E392" s="60" t="n"/>
      <c r="F392" s="60" t="n"/>
      <c r="G392" s="60" t="n"/>
      <c r="H392" s="60" t="n"/>
      <c r="I392" s="60" t="n"/>
      <c r="J392" s="60" t="n"/>
      <c r="K392" s="60" t="n"/>
      <c r="L392" s="60" t="n"/>
      <c r="M392" s="62" t="n"/>
      <c r="N392" s="60" t="n"/>
      <c r="O392" s="61" t="n"/>
      <c r="P392" s="61" t="n"/>
      <c r="Q392" s="63" t="n"/>
      <c r="R392" s="60" t="n"/>
      <c r="S392" s="60" t="n"/>
      <c r="T392" s="64">
        <f>IF(A392="","",IFERROR(INDEX('Bid-NoBid'!$T:$T,MATCH(A392,'Bid-NoBid'!$A:$A,0)),""))</f>
        <v/>
      </c>
      <c r="U392" s="59">
        <f>IF(A392="","",IFERROR(IF(OR(INDEX('Bid-NoBid'!$U:$U,MATCH(A392,'Bid-NoBid'!$A:$A,0))="",LEFT(INDEX('Bid-NoBid'!$U:$U,MATCH(A392,'Bid-NoBid'!$A:$A,0)),10)="Incomplete"),"Screen: "&amp;AC392,INDEX('Bid-NoBid'!$U:$U,MATCH(A392,'Bid-NoBid'!$A:$A,0))),"Screen: "&amp;AC392))</f>
        <v/>
      </c>
      <c r="V392" s="60" t="n"/>
      <c r="W392" s="60" t="n"/>
      <c r="X392" s="60" t="n"/>
      <c r="Y392" s="60" t="n"/>
      <c r="Z392" s="60" t="n"/>
      <c r="AA392" s="65" t="n"/>
      <c r="AB392" s="66" t="n"/>
      <c r="AC392" s="66" t="n"/>
      <c r="AD392" s="66" t="n"/>
      <c r="AE392" s="67">
        <f>IF(ISNUMBER(Q392),ROUNDDOWN(Q392-NOW(),1),"")</f>
        <v/>
      </c>
      <c r="AF392" s="59">
        <f>IF(OR(A392="",AE392=""),"",IF(NOT(OR(W392="Watching",W392="Preparing")),"",IF(AE392&lt;0,"PASSED",IF(AND(AE392&lt;=7,W392&lt;&gt;"Preparing"),"RED",IF(AE392&lt;=14,"AMBER","GREEN")))))</f>
        <v/>
      </c>
      <c r="AG392" s="59">
        <f>IF(OR(A392="",NOT(OR(W392="Watching",W392="Preparing"))),"",IF(AND(ISNUMBER(M392),M392&gt;=3000000000),"YES – ≥ TZS 3bn",IF(AND(ISNUMBER(AE392),AE392&gt;=0,AE392&lt;10,V392=""),"YES – &lt;10 days","")))</f>
        <v/>
      </c>
      <c r="AH392" s="68" t="n"/>
      <c r="AI392" s="66" t="n"/>
      <c r="AJ392" s="66" t="n"/>
      <c r="AK392" s="66" t="n"/>
      <c r="AL392" s="59">
        <f>IF(AND(OR(W392="Watching",W392="Preparing"),ISNUMBER(Q392)),IF(AND(Q392&gt;='Friday Summary'!$C$4,Q392&lt;='Friday Summary'!$C$4+14),Q392+ROW()/1000000,""),"")</f>
        <v/>
      </c>
    </row>
    <row r="393" ht="15" customHeight="1" s="51">
      <c r="A393" s="59">
        <f>IF(B393="","","OP-"&amp;TEXT(ROW()-4,"000"))</f>
        <v/>
      </c>
      <c r="B393" s="60" t="n"/>
      <c r="C393" s="61" t="n"/>
      <c r="D393" s="60" t="n"/>
      <c r="E393" s="60" t="n"/>
      <c r="F393" s="60" t="n"/>
      <c r="G393" s="60" t="n"/>
      <c r="H393" s="60" t="n"/>
      <c r="I393" s="60" t="n"/>
      <c r="J393" s="60" t="n"/>
      <c r="K393" s="60" t="n"/>
      <c r="L393" s="60" t="n"/>
      <c r="M393" s="62" t="n"/>
      <c r="N393" s="60" t="n"/>
      <c r="O393" s="61" t="n"/>
      <c r="P393" s="61" t="n"/>
      <c r="Q393" s="63" t="n"/>
      <c r="R393" s="60" t="n"/>
      <c r="S393" s="60" t="n"/>
      <c r="T393" s="64">
        <f>IF(A393="","",IFERROR(INDEX('Bid-NoBid'!$T:$T,MATCH(A393,'Bid-NoBid'!$A:$A,0)),""))</f>
        <v/>
      </c>
      <c r="U393" s="59">
        <f>IF(A393="","",IFERROR(IF(OR(INDEX('Bid-NoBid'!$U:$U,MATCH(A393,'Bid-NoBid'!$A:$A,0))="",LEFT(INDEX('Bid-NoBid'!$U:$U,MATCH(A393,'Bid-NoBid'!$A:$A,0)),10)="Incomplete"),"Screen: "&amp;AC393,INDEX('Bid-NoBid'!$U:$U,MATCH(A393,'Bid-NoBid'!$A:$A,0))),"Screen: "&amp;AC393))</f>
        <v/>
      </c>
      <c r="V393" s="60" t="n"/>
      <c r="W393" s="60" t="n"/>
      <c r="X393" s="60" t="n"/>
      <c r="Y393" s="60" t="n"/>
      <c r="Z393" s="60" t="n"/>
      <c r="AA393" s="65" t="n"/>
      <c r="AB393" s="66" t="n"/>
      <c r="AC393" s="66" t="n"/>
      <c r="AD393" s="66" t="n"/>
      <c r="AE393" s="67">
        <f>IF(ISNUMBER(Q393),ROUNDDOWN(Q393-NOW(),1),"")</f>
        <v/>
      </c>
      <c r="AF393" s="59">
        <f>IF(OR(A393="",AE393=""),"",IF(NOT(OR(W393="Watching",W393="Preparing")),"",IF(AE393&lt;0,"PASSED",IF(AND(AE393&lt;=7,W393&lt;&gt;"Preparing"),"RED",IF(AE393&lt;=14,"AMBER","GREEN")))))</f>
        <v/>
      </c>
      <c r="AG393" s="59">
        <f>IF(OR(A393="",NOT(OR(W393="Watching",W393="Preparing"))),"",IF(AND(ISNUMBER(M393),M393&gt;=3000000000),"YES – ≥ TZS 3bn",IF(AND(ISNUMBER(AE393),AE393&gt;=0,AE393&lt;10,V393=""),"YES – &lt;10 days","")))</f>
        <v/>
      </c>
      <c r="AH393" s="68" t="n"/>
      <c r="AI393" s="66" t="n"/>
      <c r="AJ393" s="66" t="n"/>
      <c r="AK393" s="66" t="n"/>
      <c r="AL393" s="59">
        <f>IF(AND(OR(W393="Watching",W393="Preparing"),ISNUMBER(Q393)),IF(AND(Q393&gt;='Friday Summary'!$C$4,Q393&lt;='Friday Summary'!$C$4+14),Q393+ROW()/1000000,""),"")</f>
        <v/>
      </c>
    </row>
    <row r="394" ht="15" customHeight="1" s="51">
      <c r="A394" s="59">
        <f>IF(B394="","","OP-"&amp;TEXT(ROW()-4,"000"))</f>
        <v/>
      </c>
      <c r="B394" s="60" t="n"/>
      <c r="C394" s="61" t="n"/>
      <c r="D394" s="60" t="n"/>
      <c r="E394" s="60" t="n"/>
      <c r="F394" s="60" t="n"/>
      <c r="G394" s="60" t="n"/>
      <c r="H394" s="60" t="n"/>
      <c r="I394" s="60" t="n"/>
      <c r="J394" s="60" t="n"/>
      <c r="K394" s="60" t="n"/>
      <c r="L394" s="60" t="n"/>
      <c r="M394" s="62" t="n"/>
      <c r="N394" s="60" t="n"/>
      <c r="O394" s="61" t="n"/>
      <c r="P394" s="61" t="n"/>
      <c r="Q394" s="63" t="n"/>
      <c r="R394" s="60" t="n"/>
      <c r="S394" s="60" t="n"/>
      <c r="T394" s="64">
        <f>IF(A394="","",IFERROR(INDEX('Bid-NoBid'!$T:$T,MATCH(A394,'Bid-NoBid'!$A:$A,0)),""))</f>
        <v/>
      </c>
      <c r="U394" s="59">
        <f>IF(A394="","",IFERROR(IF(OR(INDEX('Bid-NoBid'!$U:$U,MATCH(A394,'Bid-NoBid'!$A:$A,0))="",LEFT(INDEX('Bid-NoBid'!$U:$U,MATCH(A394,'Bid-NoBid'!$A:$A,0)),10)="Incomplete"),"Screen: "&amp;AC394,INDEX('Bid-NoBid'!$U:$U,MATCH(A394,'Bid-NoBid'!$A:$A,0))),"Screen: "&amp;AC394))</f>
        <v/>
      </c>
      <c r="V394" s="60" t="n"/>
      <c r="W394" s="60" t="n"/>
      <c r="X394" s="60" t="n"/>
      <c r="Y394" s="60" t="n"/>
      <c r="Z394" s="60" t="n"/>
      <c r="AA394" s="65" t="n"/>
      <c r="AB394" s="66" t="n"/>
      <c r="AC394" s="66" t="n"/>
      <c r="AD394" s="66" t="n"/>
      <c r="AE394" s="67">
        <f>IF(ISNUMBER(Q394),ROUNDDOWN(Q394-NOW(),1),"")</f>
        <v/>
      </c>
      <c r="AF394" s="59">
        <f>IF(OR(A394="",AE394=""),"",IF(NOT(OR(W394="Watching",W394="Preparing")),"",IF(AE394&lt;0,"PASSED",IF(AND(AE394&lt;=7,W394&lt;&gt;"Preparing"),"RED",IF(AE394&lt;=14,"AMBER","GREEN")))))</f>
        <v/>
      </c>
      <c r="AG394" s="59">
        <f>IF(OR(A394="",NOT(OR(W394="Watching",W394="Preparing"))),"",IF(AND(ISNUMBER(M394),M394&gt;=3000000000),"YES – ≥ TZS 3bn",IF(AND(ISNUMBER(AE394),AE394&gt;=0,AE394&lt;10,V394=""),"YES – &lt;10 days","")))</f>
        <v/>
      </c>
      <c r="AH394" s="68" t="n"/>
      <c r="AI394" s="66" t="n"/>
      <c r="AJ394" s="66" t="n"/>
      <c r="AK394" s="66" t="n"/>
      <c r="AL394" s="59">
        <f>IF(AND(OR(W394="Watching",W394="Preparing"),ISNUMBER(Q394)),IF(AND(Q394&gt;='Friday Summary'!$C$4,Q394&lt;='Friday Summary'!$C$4+14),Q394+ROW()/1000000,""),"")</f>
        <v/>
      </c>
    </row>
    <row r="395" ht="15" customHeight="1" s="51">
      <c r="A395" s="59">
        <f>IF(B395="","","OP-"&amp;TEXT(ROW()-4,"000"))</f>
        <v/>
      </c>
      <c r="B395" s="60" t="n"/>
      <c r="C395" s="61" t="n"/>
      <c r="D395" s="60" t="n"/>
      <c r="E395" s="60" t="n"/>
      <c r="F395" s="60" t="n"/>
      <c r="G395" s="60" t="n"/>
      <c r="H395" s="60" t="n"/>
      <c r="I395" s="60" t="n"/>
      <c r="J395" s="60" t="n"/>
      <c r="K395" s="60" t="n"/>
      <c r="L395" s="60" t="n"/>
      <c r="M395" s="62" t="n"/>
      <c r="N395" s="60" t="n"/>
      <c r="O395" s="61" t="n"/>
      <c r="P395" s="61" t="n"/>
      <c r="Q395" s="63" t="n"/>
      <c r="R395" s="60" t="n"/>
      <c r="S395" s="60" t="n"/>
      <c r="T395" s="64">
        <f>IF(A395="","",IFERROR(INDEX('Bid-NoBid'!$T:$T,MATCH(A395,'Bid-NoBid'!$A:$A,0)),""))</f>
        <v/>
      </c>
      <c r="U395" s="59">
        <f>IF(A395="","",IFERROR(IF(OR(INDEX('Bid-NoBid'!$U:$U,MATCH(A395,'Bid-NoBid'!$A:$A,0))="",LEFT(INDEX('Bid-NoBid'!$U:$U,MATCH(A395,'Bid-NoBid'!$A:$A,0)),10)="Incomplete"),"Screen: "&amp;AC395,INDEX('Bid-NoBid'!$U:$U,MATCH(A395,'Bid-NoBid'!$A:$A,0))),"Screen: "&amp;AC395))</f>
        <v/>
      </c>
      <c r="V395" s="60" t="n"/>
      <c r="W395" s="60" t="n"/>
      <c r="X395" s="60" t="n"/>
      <c r="Y395" s="60" t="n"/>
      <c r="Z395" s="60" t="n"/>
      <c r="AA395" s="65" t="n"/>
      <c r="AB395" s="66" t="n"/>
      <c r="AC395" s="66" t="n"/>
      <c r="AD395" s="66" t="n"/>
      <c r="AE395" s="67">
        <f>IF(ISNUMBER(Q395),ROUNDDOWN(Q395-NOW(),1),"")</f>
        <v/>
      </c>
      <c r="AF395" s="59">
        <f>IF(OR(A395="",AE395=""),"",IF(NOT(OR(W395="Watching",W395="Preparing")),"",IF(AE395&lt;0,"PASSED",IF(AND(AE395&lt;=7,W395&lt;&gt;"Preparing"),"RED",IF(AE395&lt;=14,"AMBER","GREEN")))))</f>
        <v/>
      </c>
      <c r="AG395" s="59">
        <f>IF(OR(A395="",NOT(OR(W395="Watching",W395="Preparing"))),"",IF(AND(ISNUMBER(M395),M395&gt;=3000000000),"YES – ≥ TZS 3bn",IF(AND(ISNUMBER(AE395),AE395&gt;=0,AE395&lt;10,V395=""),"YES – &lt;10 days","")))</f>
        <v/>
      </c>
      <c r="AH395" s="68" t="n"/>
      <c r="AI395" s="66" t="n"/>
      <c r="AJ395" s="66" t="n"/>
      <c r="AK395" s="66" t="n"/>
      <c r="AL395" s="59">
        <f>IF(AND(OR(W395="Watching",W395="Preparing"),ISNUMBER(Q395)),IF(AND(Q395&gt;='Friday Summary'!$C$4,Q395&lt;='Friday Summary'!$C$4+14),Q395+ROW()/1000000,""),"")</f>
        <v/>
      </c>
    </row>
    <row r="396" ht="15" customHeight="1" s="51">
      <c r="A396" s="59">
        <f>IF(B396="","","OP-"&amp;TEXT(ROW()-4,"000"))</f>
        <v/>
      </c>
      <c r="B396" s="60" t="n"/>
      <c r="C396" s="61" t="n"/>
      <c r="D396" s="60" t="n"/>
      <c r="E396" s="60" t="n"/>
      <c r="F396" s="60" t="n"/>
      <c r="G396" s="60" t="n"/>
      <c r="H396" s="60" t="n"/>
      <c r="I396" s="60" t="n"/>
      <c r="J396" s="60" t="n"/>
      <c r="K396" s="60" t="n"/>
      <c r="L396" s="60" t="n"/>
      <c r="M396" s="62" t="n"/>
      <c r="N396" s="60" t="n"/>
      <c r="O396" s="61" t="n"/>
      <c r="P396" s="61" t="n"/>
      <c r="Q396" s="63" t="n"/>
      <c r="R396" s="60" t="n"/>
      <c r="S396" s="60" t="n"/>
      <c r="T396" s="64">
        <f>IF(A396="","",IFERROR(INDEX('Bid-NoBid'!$T:$T,MATCH(A396,'Bid-NoBid'!$A:$A,0)),""))</f>
        <v/>
      </c>
      <c r="U396" s="59">
        <f>IF(A396="","",IFERROR(IF(OR(INDEX('Bid-NoBid'!$U:$U,MATCH(A396,'Bid-NoBid'!$A:$A,0))="",LEFT(INDEX('Bid-NoBid'!$U:$U,MATCH(A396,'Bid-NoBid'!$A:$A,0)),10)="Incomplete"),"Screen: "&amp;AC396,INDEX('Bid-NoBid'!$U:$U,MATCH(A396,'Bid-NoBid'!$A:$A,0))),"Screen: "&amp;AC396))</f>
        <v/>
      </c>
      <c r="V396" s="60" t="n"/>
      <c r="W396" s="60" t="n"/>
      <c r="X396" s="60" t="n"/>
      <c r="Y396" s="60" t="n"/>
      <c r="Z396" s="60" t="n"/>
      <c r="AA396" s="65" t="n"/>
      <c r="AB396" s="66" t="n"/>
      <c r="AC396" s="66" t="n"/>
      <c r="AD396" s="66" t="n"/>
      <c r="AE396" s="67">
        <f>IF(ISNUMBER(Q396),ROUNDDOWN(Q396-NOW(),1),"")</f>
        <v/>
      </c>
      <c r="AF396" s="59">
        <f>IF(OR(A396="",AE396=""),"",IF(NOT(OR(W396="Watching",W396="Preparing")),"",IF(AE396&lt;0,"PASSED",IF(AND(AE396&lt;=7,W396&lt;&gt;"Preparing"),"RED",IF(AE396&lt;=14,"AMBER","GREEN")))))</f>
        <v/>
      </c>
      <c r="AG396" s="59">
        <f>IF(OR(A396="",NOT(OR(W396="Watching",W396="Preparing"))),"",IF(AND(ISNUMBER(M396),M396&gt;=3000000000),"YES – ≥ TZS 3bn",IF(AND(ISNUMBER(AE396),AE396&gt;=0,AE396&lt;10,V396=""),"YES – &lt;10 days","")))</f>
        <v/>
      </c>
      <c r="AH396" s="68" t="n"/>
      <c r="AI396" s="66" t="n"/>
      <c r="AJ396" s="66" t="n"/>
      <c r="AK396" s="66" t="n"/>
      <c r="AL396" s="59">
        <f>IF(AND(OR(W396="Watching",W396="Preparing"),ISNUMBER(Q396)),IF(AND(Q396&gt;='Friday Summary'!$C$4,Q396&lt;='Friday Summary'!$C$4+14),Q396+ROW()/1000000,""),"")</f>
        <v/>
      </c>
    </row>
    <row r="397" ht="15" customHeight="1" s="51">
      <c r="A397" s="59">
        <f>IF(B397="","","OP-"&amp;TEXT(ROW()-4,"000"))</f>
        <v/>
      </c>
      <c r="B397" s="60" t="n"/>
      <c r="C397" s="61" t="n"/>
      <c r="D397" s="60" t="n"/>
      <c r="E397" s="60" t="n"/>
      <c r="F397" s="60" t="n"/>
      <c r="G397" s="60" t="n"/>
      <c r="H397" s="60" t="n"/>
      <c r="I397" s="60" t="n"/>
      <c r="J397" s="60" t="n"/>
      <c r="K397" s="60" t="n"/>
      <c r="L397" s="60" t="n"/>
      <c r="M397" s="62" t="n"/>
      <c r="N397" s="60" t="n"/>
      <c r="O397" s="61" t="n"/>
      <c r="P397" s="61" t="n"/>
      <c r="Q397" s="63" t="n"/>
      <c r="R397" s="60" t="n"/>
      <c r="S397" s="60" t="n"/>
      <c r="T397" s="64">
        <f>IF(A397="","",IFERROR(INDEX('Bid-NoBid'!$T:$T,MATCH(A397,'Bid-NoBid'!$A:$A,0)),""))</f>
        <v/>
      </c>
      <c r="U397" s="59">
        <f>IF(A397="","",IFERROR(IF(OR(INDEX('Bid-NoBid'!$U:$U,MATCH(A397,'Bid-NoBid'!$A:$A,0))="",LEFT(INDEX('Bid-NoBid'!$U:$U,MATCH(A397,'Bid-NoBid'!$A:$A,0)),10)="Incomplete"),"Screen: "&amp;AC397,INDEX('Bid-NoBid'!$U:$U,MATCH(A397,'Bid-NoBid'!$A:$A,0))),"Screen: "&amp;AC397))</f>
        <v/>
      </c>
      <c r="V397" s="60" t="n"/>
      <c r="W397" s="60" t="n"/>
      <c r="X397" s="60" t="n"/>
      <c r="Y397" s="60" t="n"/>
      <c r="Z397" s="60" t="n"/>
      <c r="AA397" s="65" t="n"/>
      <c r="AB397" s="66" t="n"/>
      <c r="AC397" s="66" t="n"/>
      <c r="AD397" s="66" t="n"/>
      <c r="AE397" s="67">
        <f>IF(ISNUMBER(Q397),ROUNDDOWN(Q397-NOW(),1),"")</f>
        <v/>
      </c>
      <c r="AF397" s="59">
        <f>IF(OR(A397="",AE397=""),"",IF(NOT(OR(W397="Watching",W397="Preparing")),"",IF(AE397&lt;0,"PASSED",IF(AND(AE397&lt;=7,W397&lt;&gt;"Preparing"),"RED",IF(AE397&lt;=14,"AMBER","GREEN")))))</f>
        <v/>
      </c>
      <c r="AG397" s="59">
        <f>IF(OR(A397="",NOT(OR(W397="Watching",W397="Preparing"))),"",IF(AND(ISNUMBER(M397),M397&gt;=3000000000),"YES – ≥ TZS 3bn",IF(AND(ISNUMBER(AE397),AE397&gt;=0,AE397&lt;10,V397=""),"YES – &lt;10 days","")))</f>
        <v/>
      </c>
      <c r="AH397" s="68" t="n"/>
      <c r="AI397" s="66" t="n"/>
      <c r="AJ397" s="66" t="n"/>
      <c r="AK397" s="66" t="n"/>
      <c r="AL397" s="59">
        <f>IF(AND(OR(W397="Watching",W397="Preparing"),ISNUMBER(Q397)),IF(AND(Q397&gt;='Friday Summary'!$C$4,Q397&lt;='Friday Summary'!$C$4+14),Q397+ROW()/1000000,""),"")</f>
        <v/>
      </c>
    </row>
    <row r="398" ht="15" customHeight="1" s="51">
      <c r="A398" s="59">
        <f>IF(B398="","","OP-"&amp;TEXT(ROW()-4,"000"))</f>
        <v/>
      </c>
      <c r="B398" s="60" t="n"/>
      <c r="C398" s="61" t="n"/>
      <c r="D398" s="60" t="n"/>
      <c r="E398" s="60" t="n"/>
      <c r="F398" s="60" t="n"/>
      <c r="G398" s="60" t="n"/>
      <c r="H398" s="60" t="n"/>
      <c r="I398" s="60" t="n"/>
      <c r="J398" s="60" t="n"/>
      <c r="K398" s="60" t="n"/>
      <c r="L398" s="60" t="n"/>
      <c r="M398" s="62" t="n"/>
      <c r="N398" s="60" t="n"/>
      <c r="O398" s="61" t="n"/>
      <c r="P398" s="61" t="n"/>
      <c r="Q398" s="63" t="n"/>
      <c r="R398" s="60" t="n"/>
      <c r="S398" s="60" t="n"/>
      <c r="T398" s="64">
        <f>IF(A398="","",IFERROR(INDEX('Bid-NoBid'!$T:$T,MATCH(A398,'Bid-NoBid'!$A:$A,0)),""))</f>
        <v/>
      </c>
      <c r="U398" s="59">
        <f>IF(A398="","",IFERROR(IF(OR(INDEX('Bid-NoBid'!$U:$U,MATCH(A398,'Bid-NoBid'!$A:$A,0))="",LEFT(INDEX('Bid-NoBid'!$U:$U,MATCH(A398,'Bid-NoBid'!$A:$A,0)),10)="Incomplete"),"Screen: "&amp;AC398,INDEX('Bid-NoBid'!$U:$U,MATCH(A398,'Bid-NoBid'!$A:$A,0))),"Screen: "&amp;AC398))</f>
        <v/>
      </c>
      <c r="V398" s="60" t="n"/>
      <c r="W398" s="60" t="n"/>
      <c r="X398" s="60" t="n"/>
      <c r="Y398" s="60" t="n"/>
      <c r="Z398" s="60" t="n"/>
      <c r="AA398" s="65" t="n"/>
      <c r="AB398" s="66" t="n"/>
      <c r="AC398" s="66" t="n"/>
      <c r="AD398" s="66" t="n"/>
      <c r="AE398" s="67">
        <f>IF(ISNUMBER(Q398),ROUNDDOWN(Q398-NOW(),1),"")</f>
        <v/>
      </c>
      <c r="AF398" s="59">
        <f>IF(OR(A398="",AE398=""),"",IF(NOT(OR(W398="Watching",W398="Preparing")),"",IF(AE398&lt;0,"PASSED",IF(AND(AE398&lt;=7,W398&lt;&gt;"Preparing"),"RED",IF(AE398&lt;=14,"AMBER","GREEN")))))</f>
        <v/>
      </c>
      <c r="AG398" s="59">
        <f>IF(OR(A398="",NOT(OR(W398="Watching",W398="Preparing"))),"",IF(AND(ISNUMBER(M398),M398&gt;=3000000000),"YES – ≥ TZS 3bn",IF(AND(ISNUMBER(AE398),AE398&gt;=0,AE398&lt;10,V398=""),"YES – &lt;10 days","")))</f>
        <v/>
      </c>
      <c r="AH398" s="68" t="n"/>
      <c r="AI398" s="66" t="n"/>
      <c r="AJ398" s="66" t="n"/>
      <c r="AK398" s="66" t="n"/>
      <c r="AL398" s="59">
        <f>IF(AND(OR(W398="Watching",W398="Preparing"),ISNUMBER(Q398)),IF(AND(Q398&gt;='Friday Summary'!$C$4,Q398&lt;='Friday Summary'!$C$4+14),Q398+ROW()/1000000,""),"")</f>
        <v/>
      </c>
    </row>
    <row r="399" ht="15" customHeight="1" s="51">
      <c r="A399" s="59">
        <f>IF(B399="","","OP-"&amp;TEXT(ROW()-4,"000"))</f>
        <v/>
      </c>
      <c r="B399" s="60" t="n"/>
      <c r="C399" s="61" t="n"/>
      <c r="D399" s="60" t="n"/>
      <c r="E399" s="60" t="n"/>
      <c r="F399" s="60" t="n"/>
      <c r="G399" s="60" t="n"/>
      <c r="H399" s="60" t="n"/>
      <c r="I399" s="60" t="n"/>
      <c r="J399" s="60" t="n"/>
      <c r="K399" s="60" t="n"/>
      <c r="L399" s="60" t="n"/>
      <c r="M399" s="62" t="n"/>
      <c r="N399" s="60" t="n"/>
      <c r="O399" s="61" t="n"/>
      <c r="P399" s="61" t="n"/>
      <c r="Q399" s="63" t="n"/>
      <c r="R399" s="60" t="n"/>
      <c r="S399" s="60" t="n"/>
      <c r="T399" s="64">
        <f>IF(A399="","",IFERROR(INDEX('Bid-NoBid'!$T:$T,MATCH(A399,'Bid-NoBid'!$A:$A,0)),""))</f>
        <v/>
      </c>
      <c r="U399" s="59">
        <f>IF(A399="","",IFERROR(IF(OR(INDEX('Bid-NoBid'!$U:$U,MATCH(A399,'Bid-NoBid'!$A:$A,0))="",LEFT(INDEX('Bid-NoBid'!$U:$U,MATCH(A399,'Bid-NoBid'!$A:$A,0)),10)="Incomplete"),"Screen: "&amp;AC399,INDEX('Bid-NoBid'!$U:$U,MATCH(A399,'Bid-NoBid'!$A:$A,0))),"Screen: "&amp;AC399))</f>
        <v/>
      </c>
      <c r="V399" s="60" t="n"/>
      <c r="W399" s="60" t="n"/>
      <c r="X399" s="60" t="n"/>
      <c r="Y399" s="60" t="n"/>
      <c r="Z399" s="60" t="n"/>
      <c r="AA399" s="65" t="n"/>
      <c r="AB399" s="66" t="n"/>
      <c r="AC399" s="66" t="n"/>
      <c r="AD399" s="66" t="n"/>
      <c r="AE399" s="67">
        <f>IF(ISNUMBER(Q399),ROUNDDOWN(Q399-NOW(),1),"")</f>
        <v/>
      </c>
      <c r="AF399" s="59">
        <f>IF(OR(A399="",AE399=""),"",IF(NOT(OR(W399="Watching",W399="Preparing")),"",IF(AE399&lt;0,"PASSED",IF(AND(AE399&lt;=7,W399&lt;&gt;"Preparing"),"RED",IF(AE399&lt;=14,"AMBER","GREEN")))))</f>
        <v/>
      </c>
      <c r="AG399" s="59">
        <f>IF(OR(A399="",NOT(OR(W399="Watching",W399="Preparing"))),"",IF(AND(ISNUMBER(M399),M399&gt;=3000000000),"YES – ≥ TZS 3bn",IF(AND(ISNUMBER(AE399),AE399&gt;=0,AE399&lt;10,V399=""),"YES – &lt;10 days","")))</f>
        <v/>
      </c>
      <c r="AH399" s="68" t="n"/>
      <c r="AI399" s="66" t="n"/>
      <c r="AJ399" s="66" t="n"/>
      <c r="AK399" s="66" t="n"/>
      <c r="AL399" s="59">
        <f>IF(AND(OR(W399="Watching",W399="Preparing"),ISNUMBER(Q399)),IF(AND(Q399&gt;='Friday Summary'!$C$4,Q399&lt;='Friday Summary'!$C$4+14),Q399+ROW()/1000000,""),"")</f>
        <v/>
      </c>
    </row>
    <row r="400" ht="15" customHeight="1" s="51">
      <c r="A400" s="59">
        <f>IF(B400="","","OP-"&amp;TEXT(ROW()-4,"000"))</f>
        <v/>
      </c>
      <c r="B400" s="60" t="n"/>
      <c r="C400" s="61" t="n"/>
      <c r="D400" s="60" t="n"/>
      <c r="E400" s="60" t="n"/>
      <c r="F400" s="60" t="n"/>
      <c r="G400" s="60" t="n"/>
      <c r="H400" s="60" t="n"/>
      <c r="I400" s="60" t="n"/>
      <c r="J400" s="60" t="n"/>
      <c r="K400" s="60" t="n"/>
      <c r="L400" s="60" t="n"/>
      <c r="M400" s="62" t="n"/>
      <c r="N400" s="60" t="n"/>
      <c r="O400" s="61" t="n"/>
      <c r="P400" s="61" t="n"/>
      <c r="Q400" s="63" t="n"/>
      <c r="R400" s="60" t="n"/>
      <c r="S400" s="60" t="n"/>
      <c r="T400" s="64">
        <f>IF(A400="","",IFERROR(INDEX('Bid-NoBid'!$T:$T,MATCH(A400,'Bid-NoBid'!$A:$A,0)),""))</f>
        <v/>
      </c>
      <c r="U400" s="59">
        <f>IF(A400="","",IFERROR(IF(OR(INDEX('Bid-NoBid'!$U:$U,MATCH(A400,'Bid-NoBid'!$A:$A,0))="",LEFT(INDEX('Bid-NoBid'!$U:$U,MATCH(A400,'Bid-NoBid'!$A:$A,0)),10)="Incomplete"),"Screen: "&amp;AC400,INDEX('Bid-NoBid'!$U:$U,MATCH(A400,'Bid-NoBid'!$A:$A,0))),"Screen: "&amp;AC400))</f>
        <v/>
      </c>
      <c r="V400" s="60" t="n"/>
      <c r="W400" s="60" t="n"/>
      <c r="X400" s="60" t="n"/>
      <c r="Y400" s="60" t="n"/>
      <c r="Z400" s="60" t="n"/>
      <c r="AA400" s="65" t="n"/>
      <c r="AB400" s="66" t="n"/>
      <c r="AC400" s="66" t="n"/>
      <c r="AD400" s="66" t="n"/>
      <c r="AE400" s="67">
        <f>IF(ISNUMBER(Q400),ROUNDDOWN(Q400-NOW(),1),"")</f>
        <v/>
      </c>
      <c r="AF400" s="59">
        <f>IF(OR(A400="",AE400=""),"",IF(NOT(OR(W400="Watching",W400="Preparing")),"",IF(AE400&lt;0,"PASSED",IF(AND(AE400&lt;=7,W400&lt;&gt;"Preparing"),"RED",IF(AE400&lt;=14,"AMBER","GREEN")))))</f>
        <v/>
      </c>
      <c r="AG400" s="59">
        <f>IF(OR(A400="",NOT(OR(W400="Watching",W400="Preparing"))),"",IF(AND(ISNUMBER(M400),M400&gt;=3000000000),"YES – ≥ TZS 3bn",IF(AND(ISNUMBER(AE400),AE400&gt;=0,AE400&lt;10,V400=""),"YES – &lt;10 days","")))</f>
        <v/>
      </c>
      <c r="AH400" s="68" t="n"/>
      <c r="AI400" s="66" t="n"/>
      <c r="AJ400" s="66" t="n"/>
      <c r="AK400" s="66" t="n"/>
      <c r="AL400" s="59">
        <f>IF(AND(OR(W400="Watching",W400="Preparing"),ISNUMBER(Q400)),IF(AND(Q400&gt;='Friday Summary'!$C$4,Q400&lt;='Friday Summary'!$C$4+14),Q400+ROW()/1000000,""),"")</f>
        <v/>
      </c>
    </row>
    <row r="401" ht="15" customHeight="1" s="51">
      <c r="A401" s="59">
        <f>IF(B401="","","OP-"&amp;TEXT(ROW()-4,"000"))</f>
        <v/>
      </c>
      <c r="B401" s="60" t="n"/>
      <c r="C401" s="61" t="n"/>
      <c r="D401" s="60" t="n"/>
      <c r="E401" s="60" t="n"/>
      <c r="F401" s="60" t="n"/>
      <c r="G401" s="60" t="n"/>
      <c r="H401" s="60" t="n"/>
      <c r="I401" s="60" t="n"/>
      <c r="J401" s="60" t="n"/>
      <c r="K401" s="60" t="n"/>
      <c r="L401" s="60" t="n"/>
      <c r="M401" s="62" t="n"/>
      <c r="N401" s="60" t="n"/>
      <c r="O401" s="61" t="n"/>
      <c r="P401" s="61" t="n"/>
      <c r="Q401" s="63" t="n"/>
      <c r="R401" s="60" t="n"/>
      <c r="S401" s="60" t="n"/>
      <c r="T401" s="64">
        <f>IF(A401="","",IFERROR(INDEX('Bid-NoBid'!$T:$T,MATCH(A401,'Bid-NoBid'!$A:$A,0)),""))</f>
        <v/>
      </c>
      <c r="U401" s="59">
        <f>IF(A401="","",IFERROR(IF(OR(INDEX('Bid-NoBid'!$U:$U,MATCH(A401,'Bid-NoBid'!$A:$A,0))="",LEFT(INDEX('Bid-NoBid'!$U:$U,MATCH(A401,'Bid-NoBid'!$A:$A,0)),10)="Incomplete"),"Screen: "&amp;AC401,INDEX('Bid-NoBid'!$U:$U,MATCH(A401,'Bid-NoBid'!$A:$A,0))),"Screen: "&amp;AC401))</f>
        <v/>
      </c>
      <c r="V401" s="60" t="n"/>
      <c r="W401" s="60" t="n"/>
      <c r="X401" s="60" t="n"/>
      <c r="Y401" s="60" t="n"/>
      <c r="Z401" s="60" t="n"/>
      <c r="AA401" s="65" t="n"/>
      <c r="AB401" s="66" t="n"/>
      <c r="AC401" s="66" t="n"/>
      <c r="AD401" s="66" t="n"/>
      <c r="AE401" s="67">
        <f>IF(ISNUMBER(Q401),ROUNDDOWN(Q401-NOW(),1),"")</f>
        <v/>
      </c>
      <c r="AF401" s="59">
        <f>IF(OR(A401="",AE401=""),"",IF(NOT(OR(W401="Watching",W401="Preparing")),"",IF(AE401&lt;0,"PASSED",IF(AND(AE401&lt;=7,W401&lt;&gt;"Preparing"),"RED",IF(AE401&lt;=14,"AMBER","GREEN")))))</f>
        <v/>
      </c>
      <c r="AG401" s="59">
        <f>IF(OR(A401="",NOT(OR(W401="Watching",W401="Preparing"))),"",IF(AND(ISNUMBER(M401),M401&gt;=3000000000),"YES – ≥ TZS 3bn",IF(AND(ISNUMBER(AE401),AE401&gt;=0,AE401&lt;10,V401=""),"YES – &lt;10 days","")))</f>
        <v/>
      </c>
      <c r="AH401" s="68" t="n"/>
      <c r="AI401" s="66" t="n"/>
      <c r="AJ401" s="66" t="n"/>
      <c r="AK401" s="66" t="n"/>
      <c r="AL401" s="59">
        <f>IF(AND(OR(W401="Watching",W401="Preparing"),ISNUMBER(Q401)),IF(AND(Q401&gt;='Friday Summary'!$C$4,Q401&lt;='Friday Summary'!$C$4+14),Q401+ROW()/1000000,""),"")</f>
        <v/>
      </c>
    </row>
    <row r="402" ht="15" customHeight="1" s="51">
      <c r="A402" s="59">
        <f>IF(B402="","","OP-"&amp;TEXT(ROW()-4,"000"))</f>
        <v/>
      </c>
      <c r="B402" s="60" t="n"/>
      <c r="C402" s="61" t="n"/>
      <c r="D402" s="60" t="n"/>
      <c r="E402" s="60" t="n"/>
      <c r="F402" s="60" t="n"/>
      <c r="G402" s="60" t="n"/>
      <c r="H402" s="60" t="n"/>
      <c r="I402" s="60" t="n"/>
      <c r="J402" s="60" t="n"/>
      <c r="K402" s="60" t="n"/>
      <c r="L402" s="60" t="n"/>
      <c r="M402" s="62" t="n"/>
      <c r="N402" s="60" t="n"/>
      <c r="O402" s="61" t="n"/>
      <c r="P402" s="61" t="n"/>
      <c r="Q402" s="63" t="n"/>
      <c r="R402" s="60" t="n"/>
      <c r="S402" s="60" t="n"/>
      <c r="T402" s="64">
        <f>IF(A402="","",IFERROR(INDEX('Bid-NoBid'!$T:$T,MATCH(A402,'Bid-NoBid'!$A:$A,0)),""))</f>
        <v/>
      </c>
      <c r="U402" s="59">
        <f>IF(A402="","",IFERROR(IF(OR(INDEX('Bid-NoBid'!$U:$U,MATCH(A402,'Bid-NoBid'!$A:$A,0))="",LEFT(INDEX('Bid-NoBid'!$U:$U,MATCH(A402,'Bid-NoBid'!$A:$A,0)),10)="Incomplete"),"Screen: "&amp;AC402,INDEX('Bid-NoBid'!$U:$U,MATCH(A402,'Bid-NoBid'!$A:$A,0))),"Screen: "&amp;AC402))</f>
        <v/>
      </c>
      <c r="V402" s="60" t="n"/>
      <c r="W402" s="60" t="n"/>
      <c r="X402" s="60" t="n"/>
      <c r="Y402" s="60" t="n"/>
      <c r="Z402" s="60" t="n"/>
      <c r="AA402" s="65" t="n"/>
      <c r="AB402" s="66" t="n"/>
      <c r="AC402" s="66" t="n"/>
      <c r="AD402" s="66" t="n"/>
      <c r="AE402" s="67">
        <f>IF(ISNUMBER(Q402),ROUNDDOWN(Q402-NOW(),1),"")</f>
        <v/>
      </c>
      <c r="AF402" s="59">
        <f>IF(OR(A402="",AE402=""),"",IF(NOT(OR(W402="Watching",W402="Preparing")),"",IF(AE402&lt;0,"PASSED",IF(AND(AE402&lt;=7,W402&lt;&gt;"Preparing"),"RED",IF(AE402&lt;=14,"AMBER","GREEN")))))</f>
        <v/>
      </c>
      <c r="AG402" s="59">
        <f>IF(OR(A402="",NOT(OR(W402="Watching",W402="Preparing"))),"",IF(AND(ISNUMBER(M402),M402&gt;=3000000000),"YES – ≥ TZS 3bn",IF(AND(ISNUMBER(AE402),AE402&gt;=0,AE402&lt;10,V402=""),"YES – &lt;10 days","")))</f>
        <v/>
      </c>
      <c r="AH402" s="68" t="n"/>
      <c r="AI402" s="66" t="n"/>
      <c r="AJ402" s="66" t="n"/>
      <c r="AK402" s="66" t="n"/>
      <c r="AL402" s="59">
        <f>IF(AND(OR(W402="Watching",W402="Preparing"),ISNUMBER(Q402)),IF(AND(Q402&gt;='Friday Summary'!$C$4,Q402&lt;='Friday Summary'!$C$4+14),Q402+ROW()/1000000,""),"")</f>
        <v/>
      </c>
    </row>
    <row r="403" ht="15" customHeight="1" s="51">
      <c r="A403" s="59">
        <f>IF(B403="","","OP-"&amp;TEXT(ROW()-4,"000"))</f>
        <v/>
      </c>
      <c r="B403" s="60" t="n"/>
      <c r="C403" s="61" t="n"/>
      <c r="D403" s="60" t="n"/>
      <c r="E403" s="60" t="n"/>
      <c r="F403" s="60" t="n"/>
      <c r="G403" s="60" t="n"/>
      <c r="H403" s="60" t="n"/>
      <c r="I403" s="60" t="n"/>
      <c r="J403" s="60" t="n"/>
      <c r="K403" s="60" t="n"/>
      <c r="L403" s="60" t="n"/>
      <c r="M403" s="62" t="n"/>
      <c r="N403" s="60" t="n"/>
      <c r="O403" s="61" t="n"/>
      <c r="P403" s="61" t="n"/>
      <c r="Q403" s="63" t="n"/>
      <c r="R403" s="60" t="n"/>
      <c r="S403" s="60" t="n"/>
      <c r="T403" s="64">
        <f>IF(A403="","",IFERROR(INDEX('Bid-NoBid'!$T:$T,MATCH(A403,'Bid-NoBid'!$A:$A,0)),""))</f>
        <v/>
      </c>
      <c r="U403" s="59">
        <f>IF(A403="","",IFERROR(IF(OR(INDEX('Bid-NoBid'!$U:$U,MATCH(A403,'Bid-NoBid'!$A:$A,0))="",LEFT(INDEX('Bid-NoBid'!$U:$U,MATCH(A403,'Bid-NoBid'!$A:$A,0)),10)="Incomplete"),"Screen: "&amp;AC403,INDEX('Bid-NoBid'!$U:$U,MATCH(A403,'Bid-NoBid'!$A:$A,0))),"Screen: "&amp;AC403))</f>
        <v/>
      </c>
      <c r="V403" s="60" t="n"/>
      <c r="W403" s="60" t="n"/>
      <c r="X403" s="60" t="n"/>
      <c r="Y403" s="60" t="n"/>
      <c r="Z403" s="60" t="n"/>
      <c r="AA403" s="65" t="n"/>
      <c r="AB403" s="66" t="n"/>
      <c r="AC403" s="66" t="n"/>
      <c r="AD403" s="66" t="n"/>
      <c r="AE403" s="67">
        <f>IF(ISNUMBER(Q403),ROUNDDOWN(Q403-NOW(),1),"")</f>
        <v/>
      </c>
      <c r="AF403" s="59">
        <f>IF(OR(A403="",AE403=""),"",IF(NOT(OR(W403="Watching",W403="Preparing")),"",IF(AE403&lt;0,"PASSED",IF(AND(AE403&lt;=7,W403&lt;&gt;"Preparing"),"RED",IF(AE403&lt;=14,"AMBER","GREEN")))))</f>
        <v/>
      </c>
      <c r="AG403" s="59">
        <f>IF(OR(A403="",NOT(OR(W403="Watching",W403="Preparing"))),"",IF(AND(ISNUMBER(M403),M403&gt;=3000000000),"YES – ≥ TZS 3bn",IF(AND(ISNUMBER(AE403),AE403&gt;=0,AE403&lt;10,V403=""),"YES – &lt;10 days","")))</f>
        <v/>
      </c>
      <c r="AH403" s="68" t="n"/>
      <c r="AI403" s="66" t="n"/>
      <c r="AJ403" s="66" t="n"/>
      <c r="AK403" s="66" t="n"/>
      <c r="AL403" s="59">
        <f>IF(AND(OR(W403="Watching",W403="Preparing"),ISNUMBER(Q403)),IF(AND(Q403&gt;='Friday Summary'!$C$4,Q403&lt;='Friday Summary'!$C$4+14),Q403+ROW()/1000000,""),"")</f>
        <v/>
      </c>
    </row>
    <row r="404" ht="15" customHeight="1" s="51">
      <c r="A404" s="59">
        <f>IF(B404="","","OP-"&amp;TEXT(ROW()-4,"000"))</f>
        <v/>
      </c>
      <c r="B404" s="60" t="n"/>
      <c r="C404" s="61" t="n"/>
      <c r="D404" s="60" t="n"/>
      <c r="E404" s="60" t="n"/>
      <c r="F404" s="60" t="n"/>
      <c r="G404" s="60" t="n"/>
      <c r="H404" s="60" t="n"/>
      <c r="I404" s="60" t="n"/>
      <c r="J404" s="60" t="n"/>
      <c r="K404" s="60" t="n"/>
      <c r="L404" s="60" t="n"/>
      <c r="M404" s="62" t="n"/>
      <c r="N404" s="60" t="n"/>
      <c r="O404" s="61" t="n"/>
      <c r="P404" s="61" t="n"/>
      <c r="Q404" s="63" t="n"/>
      <c r="R404" s="60" t="n"/>
      <c r="S404" s="60" t="n"/>
      <c r="T404" s="64">
        <f>IF(A404="","",IFERROR(INDEX('Bid-NoBid'!$T:$T,MATCH(A404,'Bid-NoBid'!$A:$A,0)),""))</f>
        <v/>
      </c>
      <c r="U404" s="59">
        <f>IF(A404="","",IFERROR(IF(OR(INDEX('Bid-NoBid'!$U:$U,MATCH(A404,'Bid-NoBid'!$A:$A,0))="",LEFT(INDEX('Bid-NoBid'!$U:$U,MATCH(A404,'Bid-NoBid'!$A:$A,0)),10)="Incomplete"),"Screen: "&amp;AC404,INDEX('Bid-NoBid'!$U:$U,MATCH(A404,'Bid-NoBid'!$A:$A,0))),"Screen: "&amp;AC404))</f>
        <v/>
      </c>
      <c r="V404" s="60" t="n"/>
      <c r="W404" s="60" t="n"/>
      <c r="X404" s="60" t="n"/>
      <c r="Y404" s="60" t="n"/>
      <c r="Z404" s="60" t="n"/>
      <c r="AA404" s="65" t="n"/>
      <c r="AB404" s="66" t="n"/>
      <c r="AC404" s="66" t="n"/>
      <c r="AD404" s="66" t="n"/>
      <c r="AE404" s="67">
        <f>IF(ISNUMBER(Q404),ROUNDDOWN(Q404-NOW(),1),"")</f>
        <v/>
      </c>
      <c r="AF404" s="59">
        <f>IF(OR(A404="",AE404=""),"",IF(NOT(OR(W404="Watching",W404="Preparing")),"",IF(AE404&lt;0,"PASSED",IF(AND(AE404&lt;=7,W404&lt;&gt;"Preparing"),"RED",IF(AE404&lt;=14,"AMBER","GREEN")))))</f>
        <v/>
      </c>
      <c r="AG404" s="59">
        <f>IF(OR(A404="",NOT(OR(W404="Watching",W404="Preparing"))),"",IF(AND(ISNUMBER(M404),M404&gt;=3000000000),"YES – ≥ TZS 3bn",IF(AND(ISNUMBER(AE404),AE404&gt;=0,AE404&lt;10,V404=""),"YES – &lt;10 days","")))</f>
        <v/>
      </c>
      <c r="AH404" s="68" t="n"/>
      <c r="AI404" s="66" t="n"/>
      <c r="AJ404" s="66" t="n"/>
      <c r="AK404" s="66" t="n"/>
      <c r="AL404" s="59">
        <f>IF(AND(OR(W404="Watching",W404="Preparing"),ISNUMBER(Q404)),IF(AND(Q404&gt;='Friday Summary'!$C$4,Q404&lt;='Friday Summary'!$C$4+14),Q404+ROW()/1000000,""),"")</f>
        <v/>
      </c>
    </row>
    <row r="405" ht="15" customHeight="1" s="51">
      <c r="A405" s="59">
        <f>IF(B405="","","OP-"&amp;TEXT(ROW()-4,"000"))</f>
        <v/>
      </c>
      <c r="B405" s="60" t="n"/>
      <c r="C405" s="61" t="n"/>
      <c r="D405" s="60" t="n"/>
      <c r="E405" s="60" t="n"/>
      <c r="F405" s="60" t="n"/>
      <c r="G405" s="60" t="n"/>
      <c r="H405" s="60" t="n"/>
      <c r="I405" s="60" t="n"/>
      <c r="J405" s="60" t="n"/>
      <c r="K405" s="60" t="n"/>
      <c r="L405" s="60" t="n"/>
      <c r="M405" s="62" t="n"/>
      <c r="N405" s="60" t="n"/>
      <c r="O405" s="61" t="n"/>
      <c r="P405" s="61" t="n"/>
      <c r="Q405" s="63" t="n"/>
      <c r="R405" s="60" t="n"/>
      <c r="S405" s="60" t="n"/>
      <c r="T405" s="64">
        <f>IF(A405="","",IFERROR(INDEX('Bid-NoBid'!$T:$T,MATCH(A405,'Bid-NoBid'!$A:$A,0)),""))</f>
        <v/>
      </c>
      <c r="U405" s="59">
        <f>IF(A405="","",IFERROR(IF(OR(INDEX('Bid-NoBid'!$U:$U,MATCH(A405,'Bid-NoBid'!$A:$A,0))="",LEFT(INDEX('Bid-NoBid'!$U:$U,MATCH(A405,'Bid-NoBid'!$A:$A,0)),10)="Incomplete"),"Screen: "&amp;AC405,INDEX('Bid-NoBid'!$U:$U,MATCH(A405,'Bid-NoBid'!$A:$A,0))),"Screen: "&amp;AC405))</f>
        <v/>
      </c>
      <c r="V405" s="60" t="n"/>
      <c r="W405" s="60" t="n"/>
      <c r="X405" s="60" t="n"/>
      <c r="Y405" s="60" t="n"/>
      <c r="Z405" s="60" t="n"/>
      <c r="AA405" s="65" t="n"/>
      <c r="AB405" s="66" t="n"/>
      <c r="AC405" s="66" t="n"/>
      <c r="AD405" s="66" t="n"/>
      <c r="AE405" s="67">
        <f>IF(ISNUMBER(Q405),ROUNDDOWN(Q405-NOW(),1),"")</f>
        <v/>
      </c>
      <c r="AF405" s="59">
        <f>IF(OR(A405="",AE405=""),"",IF(NOT(OR(W405="Watching",W405="Preparing")),"",IF(AE405&lt;0,"PASSED",IF(AND(AE405&lt;=7,W405&lt;&gt;"Preparing"),"RED",IF(AE405&lt;=14,"AMBER","GREEN")))))</f>
        <v/>
      </c>
      <c r="AG405" s="59">
        <f>IF(OR(A405="",NOT(OR(W405="Watching",W405="Preparing"))),"",IF(AND(ISNUMBER(M405),M405&gt;=3000000000),"YES – ≥ TZS 3bn",IF(AND(ISNUMBER(AE405),AE405&gt;=0,AE405&lt;10,V405=""),"YES – &lt;10 days","")))</f>
        <v/>
      </c>
      <c r="AH405" s="68" t="n"/>
      <c r="AI405" s="66" t="n"/>
      <c r="AJ405" s="66" t="n"/>
      <c r="AK405" s="66" t="n"/>
      <c r="AL405" s="59">
        <f>IF(AND(OR(W405="Watching",W405="Preparing"),ISNUMBER(Q405)),IF(AND(Q405&gt;='Friday Summary'!$C$4,Q405&lt;='Friday Summary'!$C$4+14),Q405+ROW()/1000000,""),"")</f>
        <v/>
      </c>
    </row>
    <row r="406" ht="15" customHeight="1" s="51">
      <c r="A406" s="59">
        <f>IF(B406="","","OP-"&amp;TEXT(ROW()-4,"000"))</f>
        <v/>
      </c>
      <c r="B406" s="60" t="n"/>
      <c r="C406" s="61" t="n"/>
      <c r="D406" s="60" t="n"/>
      <c r="E406" s="60" t="n"/>
      <c r="F406" s="60" t="n"/>
      <c r="G406" s="60" t="n"/>
      <c r="H406" s="60" t="n"/>
      <c r="I406" s="60" t="n"/>
      <c r="J406" s="60" t="n"/>
      <c r="K406" s="60" t="n"/>
      <c r="L406" s="60" t="n"/>
      <c r="M406" s="62" t="n"/>
      <c r="N406" s="60" t="n"/>
      <c r="O406" s="61" t="n"/>
      <c r="P406" s="61" t="n"/>
      <c r="Q406" s="63" t="n"/>
      <c r="R406" s="60" t="n"/>
      <c r="S406" s="60" t="n"/>
      <c r="T406" s="64">
        <f>IF(A406="","",IFERROR(INDEX('Bid-NoBid'!$T:$T,MATCH(A406,'Bid-NoBid'!$A:$A,0)),""))</f>
        <v/>
      </c>
      <c r="U406" s="59">
        <f>IF(A406="","",IFERROR(IF(OR(INDEX('Bid-NoBid'!$U:$U,MATCH(A406,'Bid-NoBid'!$A:$A,0))="",LEFT(INDEX('Bid-NoBid'!$U:$U,MATCH(A406,'Bid-NoBid'!$A:$A,0)),10)="Incomplete"),"Screen: "&amp;AC406,INDEX('Bid-NoBid'!$U:$U,MATCH(A406,'Bid-NoBid'!$A:$A,0))),"Screen: "&amp;AC406))</f>
        <v/>
      </c>
      <c r="V406" s="60" t="n"/>
      <c r="W406" s="60" t="n"/>
      <c r="X406" s="60" t="n"/>
      <c r="Y406" s="60" t="n"/>
      <c r="Z406" s="60" t="n"/>
      <c r="AA406" s="65" t="n"/>
      <c r="AB406" s="66" t="n"/>
      <c r="AC406" s="66" t="n"/>
      <c r="AD406" s="66" t="n"/>
      <c r="AE406" s="67">
        <f>IF(ISNUMBER(Q406),ROUNDDOWN(Q406-NOW(),1),"")</f>
        <v/>
      </c>
      <c r="AF406" s="59">
        <f>IF(OR(A406="",AE406=""),"",IF(NOT(OR(W406="Watching",W406="Preparing")),"",IF(AE406&lt;0,"PASSED",IF(AND(AE406&lt;=7,W406&lt;&gt;"Preparing"),"RED",IF(AE406&lt;=14,"AMBER","GREEN")))))</f>
        <v/>
      </c>
      <c r="AG406" s="59">
        <f>IF(OR(A406="",NOT(OR(W406="Watching",W406="Preparing"))),"",IF(AND(ISNUMBER(M406),M406&gt;=3000000000),"YES – ≥ TZS 3bn",IF(AND(ISNUMBER(AE406),AE406&gt;=0,AE406&lt;10,V406=""),"YES – &lt;10 days","")))</f>
        <v/>
      </c>
      <c r="AH406" s="68" t="n"/>
      <c r="AI406" s="66" t="n"/>
      <c r="AJ406" s="66" t="n"/>
      <c r="AK406" s="66" t="n"/>
      <c r="AL406" s="59">
        <f>IF(AND(OR(W406="Watching",W406="Preparing"),ISNUMBER(Q406)),IF(AND(Q406&gt;='Friday Summary'!$C$4,Q406&lt;='Friday Summary'!$C$4+14),Q406+ROW()/1000000,""),"")</f>
        <v/>
      </c>
    </row>
    <row r="407" ht="15" customHeight="1" s="51">
      <c r="A407" s="59">
        <f>IF(B407="","","OP-"&amp;TEXT(ROW()-4,"000"))</f>
        <v/>
      </c>
      <c r="B407" s="60" t="n"/>
      <c r="C407" s="61" t="n"/>
      <c r="D407" s="60" t="n"/>
      <c r="E407" s="60" t="n"/>
      <c r="F407" s="60" t="n"/>
      <c r="G407" s="60" t="n"/>
      <c r="H407" s="60" t="n"/>
      <c r="I407" s="60" t="n"/>
      <c r="J407" s="60" t="n"/>
      <c r="K407" s="60" t="n"/>
      <c r="L407" s="60" t="n"/>
      <c r="M407" s="62" t="n"/>
      <c r="N407" s="60" t="n"/>
      <c r="O407" s="61" t="n"/>
      <c r="P407" s="61" t="n"/>
      <c r="Q407" s="63" t="n"/>
      <c r="R407" s="60" t="n"/>
      <c r="S407" s="60" t="n"/>
      <c r="T407" s="64">
        <f>IF(A407="","",IFERROR(INDEX('Bid-NoBid'!$T:$T,MATCH(A407,'Bid-NoBid'!$A:$A,0)),""))</f>
        <v/>
      </c>
      <c r="U407" s="59">
        <f>IF(A407="","",IFERROR(IF(OR(INDEX('Bid-NoBid'!$U:$U,MATCH(A407,'Bid-NoBid'!$A:$A,0))="",LEFT(INDEX('Bid-NoBid'!$U:$U,MATCH(A407,'Bid-NoBid'!$A:$A,0)),10)="Incomplete"),"Screen: "&amp;AC407,INDEX('Bid-NoBid'!$U:$U,MATCH(A407,'Bid-NoBid'!$A:$A,0))),"Screen: "&amp;AC407))</f>
        <v/>
      </c>
      <c r="V407" s="60" t="n"/>
      <c r="W407" s="60" t="n"/>
      <c r="X407" s="60" t="n"/>
      <c r="Y407" s="60" t="n"/>
      <c r="Z407" s="60" t="n"/>
      <c r="AA407" s="65" t="n"/>
      <c r="AB407" s="66" t="n"/>
      <c r="AC407" s="66" t="n"/>
      <c r="AD407" s="66" t="n"/>
      <c r="AE407" s="67">
        <f>IF(ISNUMBER(Q407),ROUNDDOWN(Q407-NOW(),1),"")</f>
        <v/>
      </c>
      <c r="AF407" s="59">
        <f>IF(OR(A407="",AE407=""),"",IF(NOT(OR(W407="Watching",W407="Preparing")),"",IF(AE407&lt;0,"PASSED",IF(AND(AE407&lt;=7,W407&lt;&gt;"Preparing"),"RED",IF(AE407&lt;=14,"AMBER","GREEN")))))</f>
        <v/>
      </c>
      <c r="AG407" s="59">
        <f>IF(OR(A407="",NOT(OR(W407="Watching",W407="Preparing"))),"",IF(AND(ISNUMBER(M407),M407&gt;=3000000000),"YES – ≥ TZS 3bn",IF(AND(ISNUMBER(AE407),AE407&gt;=0,AE407&lt;10,V407=""),"YES – &lt;10 days","")))</f>
        <v/>
      </c>
      <c r="AH407" s="68" t="n"/>
      <c r="AI407" s="66" t="n"/>
      <c r="AJ407" s="66" t="n"/>
      <c r="AK407" s="66" t="n"/>
      <c r="AL407" s="59">
        <f>IF(AND(OR(W407="Watching",W407="Preparing"),ISNUMBER(Q407)),IF(AND(Q407&gt;='Friday Summary'!$C$4,Q407&lt;='Friday Summary'!$C$4+14),Q407+ROW()/1000000,""),"")</f>
        <v/>
      </c>
    </row>
    <row r="408" ht="15" customHeight="1" s="51">
      <c r="A408" s="59">
        <f>IF(B408="","","OP-"&amp;TEXT(ROW()-4,"000"))</f>
        <v/>
      </c>
      <c r="B408" s="60" t="n"/>
      <c r="C408" s="61" t="n"/>
      <c r="D408" s="60" t="n"/>
      <c r="E408" s="60" t="n"/>
      <c r="F408" s="60" t="n"/>
      <c r="G408" s="60" t="n"/>
      <c r="H408" s="60" t="n"/>
      <c r="I408" s="60" t="n"/>
      <c r="J408" s="60" t="n"/>
      <c r="K408" s="60" t="n"/>
      <c r="L408" s="60" t="n"/>
      <c r="M408" s="62" t="n"/>
      <c r="N408" s="60" t="n"/>
      <c r="O408" s="61" t="n"/>
      <c r="P408" s="61" t="n"/>
      <c r="Q408" s="63" t="n"/>
      <c r="R408" s="60" t="n"/>
      <c r="S408" s="60" t="n"/>
      <c r="T408" s="64">
        <f>IF(A408="","",IFERROR(INDEX('Bid-NoBid'!$T:$T,MATCH(A408,'Bid-NoBid'!$A:$A,0)),""))</f>
        <v/>
      </c>
      <c r="U408" s="59">
        <f>IF(A408="","",IFERROR(IF(OR(INDEX('Bid-NoBid'!$U:$U,MATCH(A408,'Bid-NoBid'!$A:$A,0))="",LEFT(INDEX('Bid-NoBid'!$U:$U,MATCH(A408,'Bid-NoBid'!$A:$A,0)),10)="Incomplete"),"Screen: "&amp;AC408,INDEX('Bid-NoBid'!$U:$U,MATCH(A408,'Bid-NoBid'!$A:$A,0))),"Screen: "&amp;AC408))</f>
        <v/>
      </c>
      <c r="V408" s="60" t="n"/>
      <c r="W408" s="60" t="n"/>
      <c r="X408" s="60" t="n"/>
      <c r="Y408" s="60" t="n"/>
      <c r="Z408" s="60" t="n"/>
      <c r="AA408" s="65" t="n"/>
      <c r="AB408" s="66" t="n"/>
      <c r="AC408" s="66" t="n"/>
      <c r="AD408" s="66" t="n"/>
      <c r="AE408" s="67">
        <f>IF(ISNUMBER(Q408),ROUNDDOWN(Q408-NOW(),1),"")</f>
        <v/>
      </c>
      <c r="AF408" s="59">
        <f>IF(OR(A408="",AE408=""),"",IF(NOT(OR(W408="Watching",W408="Preparing")),"",IF(AE408&lt;0,"PASSED",IF(AND(AE408&lt;=7,W408&lt;&gt;"Preparing"),"RED",IF(AE408&lt;=14,"AMBER","GREEN")))))</f>
        <v/>
      </c>
      <c r="AG408" s="59">
        <f>IF(OR(A408="",NOT(OR(W408="Watching",W408="Preparing"))),"",IF(AND(ISNUMBER(M408),M408&gt;=3000000000),"YES – ≥ TZS 3bn",IF(AND(ISNUMBER(AE408),AE408&gt;=0,AE408&lt;10,V408=""),"YES – &lt;10 days","")))</f>
        <v/>
      </c>
      <c r="AH408" s="68" t="n"/>
      <c r="AI408" s="66" t="n"/>
      <c r="AJ408" s="66" t="n"/>
      <c r="AK408" s="66" t="n"/>
      <c r="AL408" s="59">
        <f>IF(AND(OR(W408="Watching",W408="Preparing"),ISNUMBER(Q408)),IF(AND(Q408&gt;='Friday Summary'!$C$4,Q408&lt;='Friday Summary'!$C$4+14),Q408+ROW()/1000000,""),"")</f>
        <v/>
      </c>
    </row>
    <row r="409" ht="15" customHeight="1" s="51">
      <c r="A409" s="59">
        <f>IF(B409="","","OP-"&amp;TEXT(ROW()-4,"000"))</f>
        <v/>
      </c>
      <c r="B409" s="60" t="n"/>
      <c r="C409" s="61" t="n"/>
      <c r="D409" s="60" t="n"/>
      <c r="E409" s="60" t="n"/>
      <c r="F409" s="60" t="n"/>
      <c r="G409" s="60" t="n"/>
      <c r="H409" s="60" t="n"/>
      <c r="I409" s="60" t="n"/>
      <c r="J409" s="60" t="n"/>
      <c r="K409" s="60" t="n"/>
      <c r="L409" s="60" t="n"/>
      <c r="M409" s="62" t="n"/>
      <c r="N409" s="60" t="n"/>
      <c r="O409" s="61" t="n"/>
      <c r="P409" s="61" t="n"/>
      <c r="Q409" s="63" t="n"/>
      <c r="R409" s="60" t="n"/>
      <c r="S409" s="60" t="n"/>
      <c r="T409" s="64">
        <f>IF(A409="","",IFERROR(INDEX('Bid-NoBid'!$T:$T,MATCH(A409,'Bid-NoBid'!$A:$A,0)),""))</f>
        <v/>
      </c>
      <c r="U409" s="59">
        <f>IF(A409="","",IFERROR(IF(OR(INDEX('Bid-NoBid'!$U:$U,MATCH(A409,'Bid-NoBid'!$A:$A,0))="",LEFT(INDEX('Bid-NoBid'!$U:$U,MATCH(A409,'Bid-NoBid'!$A:$A,0)),10)="Incomplete"),"Screen: "&amp;AC409,INDEX('Bid-NoBid'!$U:$U,MATCH(A409,'Bid-NoBid'!$A:$A,0))),"Screen: "&amp;AC409))</f>
        <v/>
      </c>
      <c r="V409" s="60" t="n"/>
      <c r="W409" s="60" t="n"/>
      <c r="X409" s="60" t="n"/>
      <c r="Y409" s="60" t="n"/>
      <c r="Z409" s="60" t="n"/>
      <c r="AA409" s="65" t="n"/>
      <c r="AB409" s="66" t="n"/>
      <c r="AC409" s="66" t="n"/>
      <c r="AD409" s="66" t="n"/>
      <c r="AE409" s="67">
        <f>IF(ISNUMBER(Q409),ROUNDDOWN(Q409-NOW(),1),"")</f>
        <v/>
      </c>
      <c r="AF409" s="59">
        <f>IF(OR(A409="",AE409=""),"",IF(NOT(OR(W409="Watching",W409="Preparing")),"",IF(AE409&lt;0,"PASSED",IF(AND(AE409&lt;=7,W409&lt;&gt;"Preparing"),"RED",IF(AE409&lt;=14,"AMBER","GREEN")))))</f>
        <v/>
      </c>
      <c r="AG409" s="59">
        <f>IF(OR(A409="",NOT(OR(W409="Watching",W409="Preparing"))),"",IF(AND(ISNUMBER(M409),M409&gt;=3000000000),"YES – ≥ TZS 3bn",IF(AND(ISNUMBER(AE409),AE409&gt;=0,AE409&lt;10,V409=""),"YES – &lt;10 days","")))</f>
        <v/>
      </c>
      <c r="AH409" s="68" t="n"/>
      <c r="AI409" s="66" t="n"/>
      <c r="AJ409" s="66" t="n"/>
      <c r="AK409" s="66" t="n"/>
      <c r="AL409" s="59">
        <f>IF(AND(OR(W409="Watching",W409="Preparing"),ISNUMBER(Q409)),IF(AND(Q409&gt;='Friday Summary'!$C$4,Q409&lt;='Friday Summary'!$C$4+14),Q409+ROW()/1000000,""),"")</f>
        <v/>
      </c>
    </row>
    <row r="410" ht="15" customHeight="1" s="51">
      <c r="A410" s="59">
        <f>IF(B410="","","OP-"&amp;TEXT(ROW()-4,"000"))</f>
        <v/>
      </c>
      <c r="B410" s="60" t="n"/>
      <c r="C410" s="61" t="n"/>
      <c r="D410" s="60" t="n"/>
      <c r="E410" s="60" t="n"/>
      <c r="F410" s="60" t="n"/>
      <c r="G410" s="60" t="n"/>
      <c r="H410" s="60" t="n"/>
      <c r="I410" s="60" t="n"/>
      <c r="J410" s="60" t="n"/>
      <c r="K410" s="60" t="n"/>
      <c r="L410" s="60" t="n"/>
      <c r="M410" s="62" t="n"/>
      <c r="N410" s="60" t="n"/>
      <c r="O410" s="61" t="n"/>
      <c r="P410" s="61" t="n"/>
      <c r="Q410" s="63" t="n"/>
      <c r="R410" s="60" t="n"/>
      <c r="S410" s="60" t="n"/>
      <c r="T410" s="64">
        <f>IF(A410="","",IFERROR(INDEX('Bid-NoBid'!$T:$T,MATCH(A410,'Bid-NoBid'!$A:$A,0)),""))</f>
        <v/>
      </c>
      <c r="U410" s="59">
        <f>IF(A410="","",IFERROR(IF(OR(INDEX('Bid-NoBid'!$U:$U,MATCH(A410,'Bid-NoBid'!$A:$A,0))="",LEFT(INDEX('Bid-NoBid'!$U:$U,MATCH(A410,'Bid-NoBid'!$A:$A,0)),10)="Incomplete"),"Screen: "&amp;AC410,INDEX('Bid-NoBid'!$U:$U,MATCH(A410,'Bid-NoBid'!$A:$A,0))),"Screen: "&amp;AC410))</f>
        <v/>
      </c>
      <c r="V410" s="60" t="n"/>
      <c r="W410" s="60" t="n"/>
      <c r="X410" s="60" t="n"/>
      <c r="Y410" s="60" t="n"/>
      <c r="Z410" s="60" t="n"/>
      <c r="AA410" s="65" t="n"/>
      <c r="AB410" s="66" t="n"/>
      <c r="AC410" s="66" t="n"/>
      <c r="AD410" s="66" t="n"/>
      <c r="AE410" s="67">
        <f>IF(ISNUMBER(Q410),ROUNDDOWN(Q410-NOW(),1),"")</f>
        <v/>
      </c>
      <c r="AF410" s="59">
        <f>IF(OR(A410="",AE410=""),"",IF(NOT(OR(W410="Watching",W410="Preparing")),"",IF(AE410&lt;0,"PASSED",IF(AND(AE410&lt;=7,W410&lt;&gt;"Preparing"),"RED",IF(AE410&lt;=14,"AMBER","GREEN")))))</f>
        <v/>
      </c>
      <c r="AG410" s="59">
        <f>IF(OR(A410="",NOT(OR(W410="Watching",W410="Preparing"))),"",IF(AND(ISNUMBER(M410),M410&gt;=3000000000),"YES – ≥ TZS 3bn",IF(AND(ISNUMBER(AE410),AE410&gt;=0,AE410&lt;10,V410=""),"YES – &lt;10 days","")))</f>
        <v/>
      </c>
      <c r="AH410" s="68" t="n"/>
      <c r="AI410" s="66" t="n"/>
      <c r="AJ410" s="66" t="n"/>
      <c r="AK410" s="66" t="n"/>
      <c r="AL410" s="59">
        <f>IF(AND(OR(W410="Watching",W410="Preparing"),ISNUMBER(Q410)),IF(AND(Q410&gt;='Friday Summary'!$C$4,Q410&lt;='Friday Summary'!$C$4+14),Q410+ROW()/1000000,""),"")</f>
        <v/>
      </c>
    </row>
    <row r="411" ht="15" customHeight="1" s="51">
      <c r="A411" s="59">
        <f>IF(B411="","","OP-"&amp;TEXT(ROW()-4,"000"))</f>
        <v/>
      </c>
      <c r="B411" s="60" t="n"/>
      <c r="C411" s="61" t="n"/>
      <c r="D411" s="60" t="n"/>
      <c r="E411" s="60" t="n"/>
      <c r="F411" s="60" t="n"/>
      <c r="G411" s="60" t="n"/>
      <c r="H411" s="60" t="n"/>
      <c r="I411" s="60" t="n"/>
      <c r="J411" s="60" t="n"/>
      <c r="K411" s="60" t="n"/>
      <c r="L411" s="60" t="n"/>
      <c r="M411" s="62" t="n"/>
      <c r="N411" s="60" t="n"/>
      <c r="O411" s="61" t="n"/>
      <c r="P411" s="61" t="n"/>
      <c r="Q411" s="63" t="n"/>
      <c r="R411" s="60" t="n"/>
      <c r="S411" s="60" t="n"/>
      <c r="T411" s="64">
        <f>IF(A411="","",IFERROR(INDEX('Bid-NoBid'!$T:$T,MATCH(A411,'Bid-NoBid'!$A:$A,0)),""))</f>
        <v/>
      </c>
      <c r="U411" s="59">
        <f>IF(A411="","",IFERROR(IF(OR(INDEX('Bid-NoBid'!$U:$U,MATCH(A411,'Bid-NoBid'!$A:$A,0))="",LEFT(INDEX('Bid-NoBid'!$U:$U,MATCH(A411,'Bid-NoBid'!$A:$A,0)),10)="Incomplete"),"Screen: "&amp;AC411,INDEX('Bid-NoBid'!$U:$U,MATCH(A411,'Bid-NoBid'!$A:$A,0))),"Screen: "&amp;AC411))</f>
        <v/>
      </c>
      <c r="V411" s="60" t="n"/>
      <c r="W411" s="60" t="n"/>
      <c r="X411" s="60" t="n"/>
      <c r="Y411" s="60" t="n"/>
      <c r="Z411" s="60" t="n"/>
      <c r="AA411" s="65" t="n"/>
      <c r="AB411" s="66" t="n"/>
      <c r="AC411" s="66" t="n"/>
      <c r="AD411" s="66" t="n"/>
      <c r="AE411" s="67">
        <f>IF(ISNUMBER(Q411),ROUNDDOWN(Q411-NOW(),1),"")</f>
        <v/>
      </c>
      <c r="AF411" s="59">
        <f>IF(OR(A411="",AE411=""),"",IF(NOT(OR(W411="Watching",W411="Preparing")),"",IF(AE411&lt;0,"PASSED",IF(AND(AE411&lt;=7,W411&lt;&gt;"Preparing"),"RED",IF(AE411&lt;=14,"AMBER","GREEN")))))</f>
        <v/>
      </c>
      <c r="AG411" s="59">
        <f>IF(OR(A411="",NOT(OR(W411="Watching",W411="Preparing"))),"",IF(AND(ISNUMBER(M411),M411&gt;=3000000000),"YES – ≥ TZS 3bn",IF(AND(ISNUMBER(AE411),AE411&gt;=0,AE411&lt;10,V411=""),"YES – &lt;10 days","")))</f>
        <v/>
      </c>
      <c r="AH411" s="68" t="n"/>
      <c r="AI411" s="66" t="n"/>
      <c r="AJ411" s="66" t="n"/>
      <c r="AK411" s="66" t="n"/>
      <c r="AL411" s="59">
        <f>IF(AND(OR(W411="Watching",W411="Preparing"),ISNUMBER(Q411)),IF(AND(Q411&gt;='Friday Summary'!$C$4,Q411&lt;='Friday Summary'!$C$4+14),Q411+ROW()/1000000,""),"")</f>
        <v/>
      </c>
    </row>
    <row r="412" ht="15" customHeight="1" s="51">
      <c r="A412" s="59">
        <f>IF(B412="","","OP-"&amp;TEXT(ROW()-4,"000"))</f>
        <v/>
      </c>
      <c r="B412" s="60" t="n"/>
      <c r="C412" s="61" t="n"/>
      <c r="D412" s="60" t="n"/>
      <c r="E412" s="60" t="n"/>
      <c r="F412" s="60" t="n"/>
      <c r="G412" s="60" t="n"/>
      <c r="H412" s="60" t="n"/>
      <c r="I412" s="60" t="n"/>
      <c r="J412" s="60" t="n"/>
      <c r="K412" s="60" t="n"/>
      <c r="L412" s="60" t="n"/>
      <c r="M412" s="62" t="n"/>
      <c r="N412" s="60" t="n"/>
      <c r="O412" s="61" t="n"/>
      <c r="P412" s="61" t="n"/>
      <c r="Q412" s="63" t="n"/>
      <c r="R412" s="60" t="n"/>
      <c r="S412" s="60" t="n"/>
      <c r="T412" s="64">
        <f>IF(A412="","",IFERROR(INDEX('Bid-NoBid'!$T:$T,MATCH(A412,'Bid-NoBid'!$A:$A,0)),""))</f>
        <v/>
      </c>
      <c r="U412" s="59">
        <f>IF(A412="","",IFERROR(IF(OR(INDEX('Bid-NoBid'!$U:$U,MATCH(A412,'Bid-NoBid'!$A:$A,0))="",LEFT(INDEX('Bid-NoBid'!$U:$U,MATCH(A412,'Bid-NoBid'!$A:$A,0)),10)="Incomplete"),"Screen: "&amp;AC412,INDEX('Bid-NoBid'!$U:$U,MATCH(A412,'Bid-NoBid'!$A:$A,0))),"Screen: "&amp;AC412))</f>
        <v/>
      </c>
      <c r="V412" s="60" t="n"/>
      <c r="W412" s="60" t="n"/>
      <c r="X412" s="60" t="n"/>
      <c r="Y412" s="60" t="n"/>
      <c r="Z412" s="60" t="n"/>
      <c r="AA412" s="65" t="n"/>
      <c r="AB412" s="66" t="n"/>
      <c r="AC412" s="66" t="n"/>
      <c r="AD412" s="66" t="n"/>
      <c r="AE412" s="67">
        <f>IF(ISNUMBER(Q412),ROUNDDOWN(Q412-NOW(),1),"")</f>
        <v/>
      </c>
      <c r="AF412" s="59">
        <f>IF(OR(A412="",AE412=""),"",IF(NOT(OR(W412="Watching",W412="Preparing")),"",IF(AE412&lt;0,"PASSED",IF(AND(AE412&lt;=7,W412&lt;&gt;"Preparing"),"RED",IF(AE412&lt;=14,"AMBER","GREEN")))))</f>
        <v/>
      </c>
      <c r="AG412" s="59">
        <f>IF(OR(A412="",NOT(OR(W412="Watching",W412="Preparing"))),"",IF(AND(ISNUMBER(M412),M412&gt;=3000000000),"YES – ≥ TZS 3bn",IF(AND(ISNUMBER(AE412),AE412&gt;=0,AE412&lt;10,V412=""),"YES – &lt;10 days","")))</f>
        <v/>
      </c>
      <c r="AH412" s="68" t="n"/>
      <c r="AI412" s="66" t="n"/>
      <c r="AJ412" s="66" t="n"/>
      <c r="AK412" s="66" t="n"/>
      <c r="AL412" s="59">
        <f>IF(AND(OR(W412="Watching",W412="Preparing"),ISNUMBER(Q412)),IF(AND(Q412&gt;='Friday Summary'!$C$4,Q412&lt;='Friday Summary'!$C$4+14),Q412+ROW()/1000000,""),"")</f>
        <v/>
      </c>
    </row>
    <row r="413" ht="15" customHeight="1" s="51">
      <c r="A413" s="59">
        <f>IF(B413="","","OP-"&amp;TEXT(ROW()-4,"000"))</f>
        <v/>
      </c>
      <c r="B413" s="60" t="n"/>
      <c r="C413" s="61" t="n"/>
      <c r="D413" s="60" t="n"/>
      <c r="E413" s="60" t="n"/>
      <c r="F413" s="60" t="n"/>
      <c r="G413" s="60" t="n"/>
      <c r="H413" s="60" t="n"/>
      <c r="I413" s="60" t="n"/>
      <c r="J413" s="60" t="n"/>
      <c r="K413" s="60" t="n"/>
      <c r="L413" s="60" t="n"/>
      <c r="M413" s="62" t="n"/>
      <c r="N413" s="60" t="n"/>
      <c r="O413" s="61" t="n"/>
      <c r="P413" s="61" t="n"/>
      <c r="Q413" s="63" t="n"/>
      <c r="R413" s="60" t="n"/>
      <c r="S413" s="60" t="n"/>
      <c r="T413" s="64">
        <f>IF(A413="","",IFERROR(INDEX('Bid-NoBid'!$T:$T,MATCH(A413,'Bid-NoBid'!$A:$A,0)),""))</f>
        <v/>
      </c>
      <c r="U413" s="59">
        <f>IF(A413="","",IFERROR(IF(OR(INDEX('Bid-NoBid'!$U:$U,MATCH(A413,'Bid-NoBid'!$A:$A,0))="",LEFT(INDEX('Bid-NoBid'!$U:$U,MATCH(A413,'Bid-NoBid'!$A:$A,0)),10)="Incomplete"),"Screen: "&amp;AC413,INDEX('Bid-NoBid'!$U:$U,MATCH(A413,'Bid-NoBid'!$A:$A,0))),"Screen: "&amp;AC413))</f>
        <v/>
      </c>
      <c r="V413" s="60" t="n"/>
      <c r="W413" s="60" t="n"/>
      <c r="X413" s="60" t="n"/>
      <c r="Y413" s="60" t="n"/>
      <c r="Z413" s="60" t="n"/>
      <c r="AA413" s="65" t="n"/>
      <c r="AB413" s="66" t="n"/>
      <c r="AC413" s="66" t="n"/>
      <c r="AD413" s="66" t="n"/>
      <c r="AE413" s="67">
        <f>IF(ISNUMBER(Q413),ROUNDDOWN(Q413-NOW(),1),"")</f>
        <v/>
      </c>
      <c r="AF413" s="59">
        <f>IF(OR(A413="",AE413=""),"",IF(NOT(OR(W413="Watching",W413="Preparing")),"",IF(AE413&lt;0,"PASSED",IF(AND(AE413&lt;=7,W413&lt;&gt;"Preparing"),"RED",IF(AE413&lt;=14,"AMBER","GREEN")))))</f>
        <v/>
      </c>
      <c r="AG413" s="59">
        <f>IF(OR(A413="",NOT(OR(W413="Watching",W413="Preparing"))),"",IF(AND(ISNUMBER(M413),M413&gt;=3000000000),"YES – ≥ TZS 3bn",IF(AND(ISNUMBER(AE413),AE413&gt;=0,AE413&lt;10,V413=""),"YES – &lt;10 days","")))</f>
        <v/>
      </c>
      <c r="AH413" s="68" t="n"/>
      <c r="AI413" s="66" t="n"/>
      <c r="AJ413" s="66" t="n"/>
      <c r="AK413" s="66" t="n"/>
      <c r="AL413" s="59">
        <f>IF(AND(OR(W413="Watching",W413="Preparing"),ISNUMBER(Q413)),IF(AND(Q413&gt;='Friday Summary'!$C$4,Q413&lt;='Friday Summary'!$C$4+14),Q413+ROW()/1000000,""),"")</f>
        <v/>
      </c>
    </row>
    <row r="414" ht="15" customHeight="1" s="51">
      <c r="A414" s="59">
        <f>IF(B414="","","OP-"&amp;TEXT(ROW()-4,"000"))</f>
        <v/>
      </c>
      <c r="B414" s="60" t="n"/>
      <c r="C414" s="61" t="n"/>
      <c r="D414" s="60" t="n"/>
      <c r="E414" s="60" t="n"/>
      <c r="F414" s="60" t="n"/>
      <c r="G414" s="60" t="n"/>
      <c r="H414" s="60" t="n"/>
      <c r="I414" s="60" t="n"/>
      <c r="J414" s="60" t="n"/>
      <c r="K414" s="60" t="n"/>
      <c r="L414" s="60" t="n"/>
      <c r="M414" s="62" t="n"/>
      <c r="N414" s="60" t="n"/>
      <c r="O414" s="61" t="n"/>
      <c r="P414" s="61" t="n"/>
      <c r="Q414" s="63" t="n"/>
      <c r="R414" s="60" t="n"/>
      <c r="S414" s="60" t="n"/>
      <c r="T414" s="64">
        <f>IF(A414="","",IFERROR(INDEX('Bid-NoBid'!$T:$T,MATCH(A414,'Bid-NoBid'!$A:$A,0)),""))</f>
        <v/>
      </c>
      <c r="U414" s="59">
        <f>IF(A414="","",IFERROR(IF(OR(INDEX('Bid-NoBid'!$U:$U,MATCH(A414,'Bid-NoBid'!$A:$A,0))="",LEFT(INDEX('Bid-NoBid'!$U:$U,MATCH(A414,'Bid-NoBid'!$A:$A,0)),10)="Incomplete"),"Screen: "&amp;AC414,INDEX('Bid-NoBid'!$U:$U,MATCH(A414,'Bid-NoBid'!$A:$A,0))),"Screen: "&amp;AC414))</f>
        <v/>
      </c>
      <c r="V414" s="60" t="n"/>
      <c r="W414" s="60" t="n"/>
      <c r="X414" s="60" t="n"/>
      <c r="Y414" s="60" t="n"/>
      <c r="Z414" s="60" t="n"/>
      <c r="AA414" s="65" t="n"/>
      <c r="AB414" s="66" t="n"/>
      <c r="AC414" s="66" t="n"/>
      <c r="AD414" s="66" t="n"/>
      <c r="AE414" s="67">
        <f>IF(ISNUMBER(Q414),ROUNDDOWN(Q414-NOW(),1),"")</f>
        <v/>
      </c>
      <c r="AF414" s="59">
        <f>IF(OR(A414="",AE414=""),"",IF(NOT(OR(W414="Watching",W414="Preparing")),"",IF(AE414&lt;0,"PASSED",IF(AND(AE414&lt;=7,W414&lt;&gt;"Preparing"),"RED",IF(AE414&lt;=14,"AMBER","GREEN")))))</f>
        <v/>
      </c>
      <c r="AG414" s="59">
        <f>IF(OR(A414="",NOT(OR(W414="Watching",W414="Preparing"))),"",IF(AND(ISNUMBER(M414),M414&gt;=3000000000),"YES – ≥ TZS 3bn",IF(AND(ISNUMBER(AE414),AE414&gt;=0,AE414&lt;10,V414=""),"YES – &lt;10 days","")))</f>
        <v/>
      </c>
      <c r="AH414" s="68" t="n"/>
      <c r="AI414" s="66" t="n"/>
      <c r="AJ414" s="66" t="n"/>
      <c r="AK414" s="66" t="n"/>
      <c r="AL414" s="59">
        <f>IF(AND(OR(W414="Watching",W414="Preparing"),ISNUMBER(Q414)),IF(AND(Q414&gt;='Friday Summary'!$C$4,Q414&lt;='Friday Summary'!$C$4+14),Q414+ROW()/1000000,""),"")</f>
        <v/>
      </c>
    </row>
    <row r="415" ht="15" customHeight="1" s="51">
      <c r="A415" s="59">
        <f>IF(B415="","","OP-"&amp;TEXT(ROW()-4,"000"))</f>
        <v/>
      </c>
      <c r="B415" s="60" t="n"/>
      <c r="C415" s="61" t="n"/>
      <c r="D415" s="60" t="n"/>
      <c r="E415" s="60" t="n"/>
      <c r="F415" s="60" t="n"/>
      <c r="G415" s="60" t="n"/>
      <c r="H415" s="60" t="n"/>
      <c r="I415" s="60" t="n"/>
      <c r="J415" s="60" t="n"/>
      <c r="K415" s="60" t="n"/>
      <c r="L415" s="60" t="n"/>
      <c r="M415" s="62" t="n"/>
      <c r="N415" s="60" t="n"/>
      <c r="O415" s="61" t="n"/>
      <c r="P415" s="61" t="n"/>
      <c r="Q415" s="63" t="n"/>
      <c r="R415" s="60" t="n"/>
      <c r="S415" s="60" t="n"/>
      <c r="T415" s="64">
        <f>IF(A415="","",IFERROR(INDEX('Bid-NoBid'!$T:$T,MATCH(A415,'Bid-NoBid'!$A:$A,0)),""))</f>
        <v/>
      </c>
      <c r="U415" s="59">
        <f>IF(A415="","",IFERROR(IF(OR(INDEX('Bid-NoBid'!$U:$U,MATCH(A415,'Bid-NoBid'!$A:$A,0))="",LEFT(INDEX('Bid-NoBid'!$U:$U,MATCH(A415,'Bid-NoBid'!$A:$A,0)),10)="Incomplete"),"Screen: "&amp;AC415,INDEX('Bid-NoBid'!$U:$U,MATCH(A415,'Bid-NoBid'!$A:$A,0))),"Screen: "&amp;AC415))</f>
        <v/>
      </c>
      <c r="V415" s="60" t="n"/>
      <c r="W415" s="60" t="n"/>
      <c r="X415" s="60" t="n"/>
      <c r="Y415" s="60" t="n"/>
      <c r="Z415" s="60" t="n"/>
      <c r="AA415" s="65" t="n"/>
      <c r="AB415" s="66" t="n"/>
      <c r="AC415" s="66" t="n"/>
      <c r="AD415" s="66" t="n"/>
      <c r="AE415" s="67">
        <f>IF(ISNUMBER(Q415),ROUNDDOWN(Q415-NOW(),1),"")</f>
        <v/>
      </c>
      <c r="AF415" s="59">
        <f>IF(OR(A415="",AE415=""),"",IF(NOT(OR(W415="Watching",W415="Preparing")),"",IF(AE415&lt;0,"PASSED",IF(AND(AE415&lt;=7,W415&lt;&gt;"Preparing"),"RED",IF(AE415&lt;=14,"AMBER","GREEN")))))</f>
        <v/>
      </c>
      <c r="AG415" s="59">
        <f>IF(OR(A415="",NOT(OR(W415="Watching",W415="Preparing"))),"",IF(AND(ISNUMBER(M415),M415&gt;=3000000000),"YES – ≥ TZS 3bn",IF(AND(ISNUMBER(AE415),AE415&gt;=0,AE415&lt;10,V415=""),"YES – &lt;10 days","")))</f>
        <v/>
      </c>
      <c r="AH415" s="68" t="n"/>
      <c r="AI415" s="66" t="n"/>
      <c r="AJ415" s="66" t="n"/>
      <c r="AK415" s="66" t="n"/>
      <c r="AL415" s="59">
        <f>IF(AND(OR(W415="Watching",W415="Preparing"),ISNUMBER(Q415)),IF(AND(Q415&gt;='Friday Summary'!$C$4,Q415&lt;='Friday Summary'!$C$4+14),Q415+ROW()/1000000,""),"")</f>
        <v/>
      </c>
    </row>
    <row r="416" ht="15" customHeight="1" s="51">
      <c r="A416" s="59">
        <f>IF(B416="","","OP-"&amp;TEXT(ROW()-4,"000"))</f>
        <v/>
      </c>
      <c r="B416" s="60" t="n"/>
      <c r="C416" s="61" t="n"/>
      <c r="D416" s="60" t="n"/>
      <c r="E416" s="60" t="n"/>
      <c r="F416" s="60" t="n"/>
      <c r="G416" s="60" t="n"/>
      <c r="H416" s="60" t="n"/>
      <c r="I416" s="60" t="n"/>
      <c r="J416" s="60" t="n"/>
      <c r="K416" s="60" t="n"/>
      <c r="L416" s="60" t="n"/>
      <c r="M416" s="62" t="n"/>
      <c r="N416" s="60" t="n"/>
      <c r="O416" s="61" t="n"/>
      <c r="P416" s="61" t="n"/>
      <c r="Q416" s="63" t="n"/>
      <c r="R416" s="60" t="n"/>
      <c r="S416" s="60" t="n"/>
      <c r="T416" s="64">
        <f>IF(A416="","",IFERROR(INDEX('Bid-NoBid'!$T:$T,MATCH(A416,'Bid-NoBid'!$A:$A,0)),""))</f>
        <v/>
      </c>
      <c r="U416" s="59">
        <f>IF(A416="","",IFERROR(IF(OR(INDEX('Bid-NoBid'!$U:$U,MATCH(A416,'Bid-NoBid'!$A:$A,0))="",LEFT(INDEX('Bid-NoBid'!$U:$U,MATCH(A416,'Bid-NoBid'!$A:$A,0)),10)="Incomplete"),"Screen: "&amp;AC416,INDEX('Bid-NoBid'!$U:$U,MATCH(A416,'Bid-NoBid'!$A:$A,0))),"Screen: "&amp;AC416))</f>
        <v/>
      </c>
      <c r="V416" s="60" t="n"/>
      <c r="W416" s="60" t="n"/>
      <c r="X416" s="60" t="n"/>
      <c r="Y416" s="60" t="n"/>
      <c r="Z416" s="60" t="n"/>
      <c r="AA416" s="65" t="n"/>
      <c r="AB416" s="66" t="n"/>
      <c r="AC416" s="66" t="n"/>
      <c r="AD416" s="66" t="n"/>
      <c r="AE416" s="67">
        <f>IF(ISNUMBER(Q416),ROUNDDOWN(Q416-NOW(),1),"")</f>
        <v/>
      </c>
      <c r="AF416" s="59">
        <f>IF(OR(A416="",AE416=""),"",IF(NOT(OR(W416="Watching",W416="Preparing")),"",IF(AE416&lt;0,"PASSED",IF(AND(AE416&lt;=7,W416&lt;&gt;"Preparing"),"RED",IF(AE416&lt;=14,"AMBER","GREEN")))))</f>
        <v/>
      </c>
      <c r="AG416" s="59">
        <f>IF(OR(A416="",NOT(OR(W416="Watching",W416="Preparing"))),"",IF(AND(ISNUMBER(M416),M416&gt;=3000000000),"YES – ≥ TZS 3bn",IF(AND(ISNUMBER(AE416),AE416&gt;=0,AE416&lt;10,V416=""),"YES – &lt;10 days","")))</f>
        <v/>
      </c>
      <c r="AH416" s="68" t="n"/>
      <c r="AI416" s="66" t="n"/>
      <c r="AJ416" s="66" t="n"/>
      <c r="AK416" s="66" t="n"/>
      <c r="AL416" s="59">
        <f>IF(AND(OR(W416="Watching",W416="Preparing"),ISNUMBER(Q416)),IF(AND(Q416&gt;='Friday Summary'!$C$4,Q416&lt;='Friday Summary'!$C$4+14),Q416+ROW()/1000000,""),"")</f>
        <v/>
      </c>
    </row>
    <row r="417" ht="15" customHeight="1" s="51">
      <c r="A417" s="59">
        <f>IF(B417="","","OP-"&amp;TEXT(ROW()-4,"000"))</f>
        <v/>
      </c>
      <c r="B417" s="60" t="n"/>
      <c r="C417" s="61" t="n"/>
      <c r="D417" s="60" t="n"/>
      <c r="E417" s="60" t="n"/>
      <c r="F417" s="60" t="n"/>
      <c r="G417" s="60" t="n"/>
      <c r="H417" s="60" t="n"/>
      <c r="I417" s="60" t="n"/>
      <c r="J417" s="60" t="n"/>
      <c r="K417" s="60" t="n"/>
      <c r="L417" s="60" t="n"/>
      <c r="M417" s="62" t="n"/>
      <c r="N417" s="60" t="n"/>
      <c r="O417" s="61" t="n"/>
      <c r="P417" s="61" t="n"/>
      <c r="Q417" s="63" t="n"/>
      <c r="R417" s="60" t="n"/>
      <c r="S417" s="60" t="n"/>
      <c r="T417" s="64">
        <f>IF(A417="","",IFERROR(INDEX('Bid-NoBid'!$T:$T,MATCH(A417,'Bid-NoBid'!$A:$A,0)),""))</f>
        <v/>
      </c>
      <c r="U417" s="59">
        <f>IF(A417="","",IFERROR(IF(OR(INDEX('Bid-NoBid'!$U:$U,MATCH(A417,'Bid-NoBid'!$A:$A,0))="",LEFT(INDEX('Bid-NoBid'!$U:$U,MATCH(A417,'Bid-NoBid'!$A:$A,0)),10)="Incomplete"),"Screen: "&amp;AC417,INDEX('Bid-NoBid'!$U:$U,MATCH(A417,'Bid-NoBid'!$A:$A,0))),"Screen: "&amp;AC417))</f>
        <v/>
      </c>
      <c r="V417" s="60" t="n"/>
      <c r="W417" s="60" t="n"/>
      <c r="X417" s="60" t="n"/>
      <c r="Y417" s="60" t="n"/>
      <c r="Z417" s="60" t="n"/>
      <c r="AA417" s="65" t="n"/>
      <c r="AB417" s="66" t="n"/>
      <c r="AC417" s="66" t="n"/>
      <c r="AD417" s="66" t="n"/>
      <c r="AE417" s="67">
        <f>IF(ISNUMBER(Q417),ROUNDDOWN(Q417-NOW(),1),"")</f>
        <v/>
      </c>
      <c r="AF417" s="59">
        <f>IF(OR(A417="",AE417=""),"",IF(NOT(OR(W417="Watching",W417="Preparing")),"",IF(AE417&lt;0,"PASSED",IF(AND(AE417&lt;=7,W417&lt;&gt;"Preparing"),"RED",IF(AE417&lt;=14,"AMBER","GREEN")))))</f>
        <v/>
      </c>
      <c r="AG417" s="59">
        <f>IF(OR(A417="",NOT(OR(W417="Watching",W417="Preparing"))),"",IF(AND(ISNUMBER(M417),M417&gt;=3000000000),"YES – ≥ TZS 3bn",IF(AND(ISNUMBER(AE417),AE417&gt;=0,AE417&lt;10,V417=""),"YES – &lt;10 days","")))</f>
        <v/>
      </c>
      <c r="AH417" s="68" t="n"/>
      <c r="AI417" s="66" t="n"/>
      <c r="AJ417" s="66" t="n"/>
      <c r="AK417" s="66" t="n"/>
      <c r="AL417" s="59">
        <f>IF(AND(OR(W417="Watching",W417="Preparing"),ISNUMBER(Q417)),IF(AND(Q417&gt;='Friday Summary'!$C$4,Q417&lt;='Friday Summary'!$C$4+14),Q417+ROW()/1000000,""),"")</f>
        <v/>
      </c>
    </row>
    <row r="418" ht="15" customHeight="1" s="51">
      <c r="A418" s="59">
        <f>IF(B418="","","OP-"&amp;TEXT(ROW()-4,"000"))</f>
        <v/>
      </c>
      <c r="B418" s="60" t="n"/>
      <c r="C418" s="61" t="n"/>
      <c r="D418" s="60" t="n"/>
      <c r="E418" s="60" t="n"/>
      <c r="F418" s="60" t="n"/>
      <c r="G418" s="60" t="n"/>
      <c r="H418" s="60" t="n"/>
      <c r="I418" s="60" t="n"/>
      <c r="J418" s="60" t="n"/>
      <c r="K418" s="60" t="n"/>
      <c r="L418" s="60" t="n"/>
      <c r="M418" s="62" t="n"/>
      <c r="N418" s="60" t="n"/>
      <c r="O418" s="61" t="n"/>
      <c r="P418" s="61" t="n"/>
      <c r="Q418" s="63" t="n"/>
      <c r="R418" s="60" t="n"/>
      <c r="S418" s="60" t="n"/>
      <c r="T418" s="64">
        <f>IF(A418="","",IFERROR(INDEX('Bid-NoBid'!$T:$T,MATCH(A418,'Bid-NoBid'!$A:$A,0)),""))</f>
        <v/>
      </c>
      <c r="U418" s="59">
        <f>IF(A418="","",IFERROR(IF(OR(INDEX('Bid-NoBid'!$U:$U,MATCH(A418,'Bid-NoBid'!$A:$A,0))="",LEFT(INDEX('Bid-NoBid'!$U:$U,MATCH(A418,'Bid-NoBid'!$A:$A,0)),10)="Incomplete"),"Screen: "&amp;AC418,INDEX('Bid-NoBid'!$U:$U,MATCH(A418,'Bid-NoBid'!$A:$A,0))),"Screen: "&amp;AC418))</f>
        <v/>
      </c>
      <c r="V418" s="60" t="n"/>
      <c r="W418" s="60" t="n"/>
      <c r="X418" s="60" t="n"/>
      <c r="Y418" s="60" t="n"/>
      <c r="Z418" s="60" t="n"/>
      <c r="AA418" s="65" t="n"/>
      <c r="AB418" s="66" t="n"/>
      <c r="AC418" s="66" t="n"/>
      <c r="AD418" s="66" t="n"/>
      <c r="AE418" s="67">
        <f>IF(ISNUMBER(Q418),ROUNDDOWN(Q418-NOW(),1),"")</f>
        <v/>
      </c>
      <c r="AF418" s="59">
        <f>IF(OR(A418="",AE418=""),"",IF(NOT(OR(W418="Watching",W418="Preparing")),"",IF(AE418&lt;0,"PASSED",IF(AND(AE418&lt;=7,W418&lt;&gt;"Preparing"),"RED",IF(AE418&lt;=14,"AMBER","GREEN")))))</f>
        <v/>
      </c>
      <c r="AG418" s="59">
        <f>IF(OR(A418="",NOT(OR(W418="Watching",W418="Preparing"))),"",IF(AND(ISNUMBER(M418),M418&gt;=3000000000),"YES – ≥ TZS 3bn",IF(AND(ISNUMBER(AE418),AE418&gt;=0,AE418&lt;10,V418=""),"YES – &lt;10 days","")))</f>
        <v/>
      </c>
      <c r="AH418" s="68" t="n"/>
      <c r="AI418" s="66" t="n"/>
      <c r="AJ418" s="66" t="n"/>
      <c r="AK418" s="66" t="n"/>
      <c r="AL418" s="59">
        <f>IF(AND(OR(W418="Watching",W418="Preparing"),ISNUMBER(Q418)),IF(AND(Q418&gt;='Friday Summary'!$C$4,Q418&lt;='Friday Summary'!$C$4+14),Q418+ROW()/1000000,""),"")</f>
        <v/>
      </c>
    </row>
    <row r="419" ht="15" customHeight="1" s="51">
      <c r="A419" s="59">
        <f>IF(B419="","","OP-"&amp;TEXT(ROW()-4,"000"))</f>
        <v/>
      </c>
      <c r="B419" s="60" t="n"/>
      <c r="C419" s="61" t="n"/>
      <c r="D419" s="60" t="n"/>
      <c r="E419" s="60" t="n"/>
      <c r="F419" s="60" t="n"/>
      <c r="G419" s="60" t="n"/>
      <c r="H419" s="60" t="n"/>
      <c r="I419" s="60" t="n"/>
      <c r="J419" s="60" t="n"/>
      <c r="K419" s="60" t="n"/>
      <c r="L419" s="60" t="n"/>
      <c r="M419" s="62" t="n"/>
      <c r="N419" s="60" t="n"/>
      <c r="O419" s="61" t="n"/>
      <c r="P419" s="61" t="n"/>
      <c r="Q419" s="63" t="n"/>
      <c r="R419" s="60" t="n"/>
      <c r="S419" s="60" t="n"/>
      <c r="T419" s="64">
        <f>IF(A419="","",IFERROR(INDEX('Bid-NoBid'!$T:$T,MATCH(A419,'Bid-NoBid'!$A:$A,0)),""))</f>
        <v/>
      </c>
      <c r="U419" s="59">
        <f>IF(A419="","",IFERROR(IF(OR(INDEX('Bid-NoBid'!$U:$U,MATCH(A419,'Bid-NoBid'!$A:$A,0))="",LEFT(INDEX('Bid-NoBid'!$U:$U,MATCH(A419,'Bid-NoBid'!$A:$A,0)),10)="Incomplete"),"Screen: "&amp;AC419,INDEX('Bid-NoBid'!$U:$U,MATCH(A419,'Bid-NoBid'!$A:$A,0))),"Screen: "&amp;AC419))</f>
        <v/>
      </c>
      <c r="V419" s="60" t="n"/>
      <c r="W419" s="60" t="n"/>
      <c r="X419" s="60" t="n"/>
      <c r="Y419" s="60" t="n"/>
      <c r="Z419" s="60" t="n"/>
      <c r="AA419" s="65" t="n"/>
      <c r="AB419" s="66" t="n"/>
      <c r="AC419" s="66" t="n"/>
      <c r="AD419" s="66" t="n"/>
      <c r="AE419" s="67">
        <f>IF(ISNUMBER(Q419),ROUNDDOWN(Q419-NOW(),1),"")</f>
        <v/>
      </c>
      <c r="AF419" s="59">
        <f>IF(OR(A419="",AE419=""),"",IF(NOT(OR(W419="Watching",W419="Preparing")),"",IF(AE419&lt;0,"PASSED",IF(AND(AE419&lt;=7,W419&lt;&gt;"Preparing"),"RED",IF(AE419&lt;=14,"AMBER","GREEN")))))</f>
        <v/>
      </c>
      <c r="AG419" s="59">
        <f>IF(OR(A419="",NOT(OR(W419="Watching",W419="Preparing"))),"",IF(AND(ISNUMBER(M419),M419&gt;=3000000000),"YES – ≥ TZS 3bn",IF(AND(ISNUMBER(AE419),AE419&gt;=0,AE419&lt;10,V419=""),"YES – &lt;10 days","")))</f>
        <v/>
      </c>
      <c r="AH419" s="68" t="n"/>
      <c r="AI419" s="66" t="n"/>
      <c r="AJ419" s="66" t="n"/>
      <c r="AK419" s="66" t="n"/>
      <c r="AL419" s="59">
        <f>IF(AND(OR(W419="Watching",W419="Preparing"),ISNUMBER(Q419)),IF(AND(Q419&gt;='Friday Summary'!$C$4,Q419&lt;='Friday Summary'!$C$4+14),Q419+ROW()/1000000,""),"")</f>
        <v/>
      </c>
    </row>
    <row r="420" ht="15" customHeight="1" s="51">
      <c r="A420" s="59">
        <f>IF(B420="","","OP-"&amp;TEXT(ROW()-4,"000"))</f>
        <v/>
      </c>
      <c r="B420" s="60" t="n"/>
      <c r="C420" s="61" t="n"/>
      <c r="D420" s="60" t="n"/>
      <c r="E420" s="60" t="n"/>
      <c r="F420" s="60" t="n"/>
      <c r="G420" s="60" t="n"/>
      <c r="H420" s="60" t="n"/>
      <c r="I420" s="60" t="n"/>
      <c r="J420" s="60" t="n"/>
      <c r="K420" s="60" t="n"/>
      <c r="L420" s="60" t="n"/>
      <c r="M420" s="62" t="n"/>
      <c r="N420" s="60" t="n"/>
      <c r="O420" s="61" t="n"/>
      <c r="P420" s="61" t="n"/>
      <c r="Q420" s="63" t="n"/>
      <c r="R420" s="60" t="n"/>
      <c r="S420" s="60" t="n"/>
      <c r="T420" s="64">
        <f>IF(A420="","",IFERROR(INDEX('Bid-NoBid'!$T:$T,MATCH(A420,'Bid-NoBid'!$A:$A,0)),""))</f>
        <v/>
      </c>
      <c r="U420" s="59">
        <f>IF(A420="","",IFERROR(IF(OR(INDEX('Bid-NoBid'!$U:$U,MATCH(A420,'Bid-NoBid'!$A:$A,0))="",LEFT(INDEX('Bid-NoBid'!$U:$U,MATCH(A420,'Bid-NoBid'!$A:$A,0)),10)="Incomplete"),"Screen: "&amp;AC420,INDEX('Bid-NoBid'!$U:$U,MATCH(A420,'Bid-NoBid'!$A:$A,0))),"Screen: "&amp;AC420))</f>
        <v/>
      </c>
      <c r="V420" s="60" t="n"/>
      <c r="W420" s="60" t="n"/>
      <c r="X420" s="60" t="n"/>
      <c r="Y420" s="60" t="n"/>
      <c r="Z420" s="60" t="n"/>
      <c r="AA420" s="65" t="n"/>
      <c r="AB420" s="66" t="n"/>
      <c r="AC420" s="66" t="n"/>
      <c r="AD420" s="66" t="n"/>
      <c r="AE420" s="67">
        <f>IF(ISNUMBER(Q420),ROUNDDOWN(Q420-NOW(),1),"")</f>
        <v/>
      </c>
      <c r="AF420" s="59">
        <f>IF(OR(A420="",AE420=""),"",IF(NOT(OR(W420="Watching",W420="Preparing")),"",IF(AE420&lt;0,"PASSED",IF(AND(AE420&lt;=7,W420&lt;&gt;"Preparing"),"RED",IF(AE420&lt;=14,"AMBER","GREEN")))))</f>
        <v/>
      </c>
      <c r="AG420" s="59">
        <f>IF(OR(A420="",NOT(OR(W420="Watching",W420="Preparing"))),"",IF(AND(ISNUMBER(M420),M420&gt;=3000000000),"YES – ≥ TZS 3bn",IF(AND(ISNUMBER(AE420),AE420&gt;=0,AE420&lt;10,V420=""),"YES – &lt;10 days","")))</f>
        <v/>
      </c>
      <c r="AH420" s="68" t="n"/>
      <c r="AI420" s="66" t="n"/>
      <c r="AJ420" s="66" t="n"/>
      <c r="AK420" s="66" t="n"/>
      <c r="AL420" s="59">
        <f>IF(AND(OR(W420="Watching",W420="Preparing"),ISNUMBER(Q420)),IF(AND(Q420&gt;='Friday Summary'!$C$4,Q420&lt;='Friday Summary'!$C$4+14),Q420+ROW()/1000000,""),"")</f>
        <v/>
      </c>
    </row>
    <row r="421" ht="15" customHeight="1" s="51">
      <c r="A421" s="59">
        <f>IF(B421="","","OP-"&amp;TEXT(ROW()-4,"000"))</f>
        <v/>
      </c>
      <c r="B421" s="60" t="n"/>
      <c r="C421" s="61" t="n"/>
      <c r="D421" s="60" t="n"/>
      <c r="E421" s="60" t="n"/>
      <c r="F421" s="60" t="n"/>
      <c r="G421" s="60" t="n"/>
      <c r="H421" s="60" t="n"/>
      <c r="I421" s="60" t="n"/>
      <c r="J421" s="60" t="n"/>
      <c r="K421" s="60" t="n"/>
      <c r="L421" s="60" t="n"/>
      <c r="M421" s="62" t="n"/>
      <c r="N421" s="60" t="n"/>
      <c r="O421" s="61" t="n"/>
      <c r="P421" s="61" t="n"/>
      <c r="Q421" s="63" t="n"/>
      <c r="R421" s="60" t="n"/>
      <c r="S421" s="60" t="n"/>
      <c r="T421" s="64">
        <f>IF(A421="","",IFERROR(INDEX('Bid-NoBid'!$T:$T,MATCH(A421,'Bid-NoBid'!$A:$A,0)),""))</f>
        <v/>
      </c>
      <c r="U421" s="59">
        <f>IF(A421="","",IFERROR(IF(OR(INDEX('Bid-NoBid'!$U:$U,MATCH(A421,'Bid-NoBid'!$A:$A,0))="",LEFT(INDEX('Bid-NoBid'!$U:$U,MATCH(A421,'Bid-NoBid'!$A:$A,0)),10)="Incomplete"),"Screen: "&amp;AC421,INDEX('Bid-NoBid'!$U:$U,MATCH(A421,'Bid-NoBid'!$A:$A,0))),"Screen: "&amp;AC421))</f>
        <v/>
      </c>
      <c r="V421" s="60" t="n"/>
      <c r="W421" s="60" t="n"/>
      <c r="X421" s="60" t="n"/>
      <c r="Y421" s="60" t="n"/>
      <c r="Z421" s="60" t="n"/>
      <c r="AA421" s="65" t="n"/>
      <c r="AB421" s="66" t="n"/>
      <c r="AC421" s="66" t="n"/>
      <c r="AD421" s="66" t="n"/>
      <c r="AE421" s="67">
        <f>IF(ISNUMBER(Q421),ROUNDDOWN(Q421-NOW(),1),"")</f>
        <v/>
      </c>
      <c r="AF421" s="59">
        <f>IF(OR(A421="",AE421=""),"",IF(NOT(OR(W421="Watching",W421="Preparing")),"",IF(AE421&lt;0,"PASSED",IF(AND(AE421&lt;=7,W421&lt;&gt;"Preparing"),"RED",IF(AE421&lt;=14,"AMBER","GREEN")))))</f>
        <v/>
      </c>
      <c r="AG421" s="59">
        <f>IF(OR(A421="",NOT(OR(W421="Watching",W421="Preparing"))),"",IF(AND(ISNUMBER(M421),M421&gt;=3000000000),"YES – ≥ TZS 3bn",IF(AND(ISNUMBER(AE421),AE421&gt;=0,AE421&lt;10,V421=""),"YES – &lt;10 days","")))</f>
        <v/>
      </c>
      <c r="AH421" s="68" t="n"/>
      <c r="AI421" s="66" t="n"/>
      <c r="AJ421" s="66" t="n"/>
      <c r="AK421" s="66" t="n"/>
      <c r="AL421" s="59">
        <f>IF(AND(OR(W421="Watching",W421="Preparing"),ISNUMBER(Q421)),IF(AND(Q421&gt;='Friday Summary'!$C$4,Q421&lt;='Friday Summary'!$C$4+14),Q421+ROW()/1000000,""),"")</f>
        <v/>
      </c>
    </row>
    <row r="422" ht="15" customHeight="1" s="51">
      <c r="A422" s="59">
        <f>IF(B422="","","OP-"&amp;TEXT(ROW()-4,"000"))</f>
        <v/>
      </c>
      <c r="B422" s="60" t="n"/>
      <c r="C422" s="61" t="n"/>
      <c r="D422" s="60" t="n"/>
      <c r="E422" s="60" t="n"/>
      <c r="F422" s="60" t="n"/>
      <c r="G422" s="60" t="n"/>
      <c r="H422" s="60" t="n"/>
      <c r="I422" s="60" t="n"/>
      <c r="J422" s="60" t="n"/>
      <c r="K422" s="60" t="n"/>
      <c r="L422" s="60" t="n"/>
      <c r="M422" s="62" t="n"/>
      <c r="N422" s="60" t="n"/>
      <c r="O422" s="61" t="n"/>
      <c r="P422" s="61" t="n"/>
      <c r="Q422" s="63" t="n"/>
      <c r="R422" s="60" t="n"/>
      <c r="S422" s="60" t="n"/>
      <c r="T422" s="64">
        <f>IF(A422="","",IFERROR(INDEX('Bid-NoBid'!$T:$T,MATCH(A422,'Bid-NoBid'!$A:$A,0)),""))</f>
        <v/>
      </c>
      <c r="U422" s="59">
        <f>IF(A422="","",IFERROR(IF(OR(INDEX('Bid-NoBid'!$U:$U,MATCH(A422,'Bid-NoBid'!$A:$A,0))="",LEFT(INDEX('Bid-NoBid'!$U:$U,MATCH(A422,'Bid-NoBid'!$A:$A,0)),10)="Incomplete"),"Screen: "&amp;AC422,INDEX('Bid-NoBid'!$U:$U,MATCH(A422,'Bid-NoBid'!$A:$A,0))),"Screen: "&amp;AC422))</f>
        <v/>
      </c>
      <c r="V422" s="60" t="n"/>
      <c r="W422" s="60" t="n"/>
      <c r="X422" s="60" t="n"/>
      <c r="Y422" s="60" t="n"/>
      <c r="Z422" s="60" t="n"/>
      <c r="AA422" s="65" t="n"/>
      <c r="AB422" s="66" t="n"/>
      <c r="AC422" s="66" t="n"/>
      <c r="AD422" s="66" t="n"/>
      <c r="AE422" s="67">
        <f>IF(ISNUMBER(Q422),ROUNDDOWN(Q422-NOW(),1),"")</f>
        <v/>
      </c>
      <c r="AF422" s="59">
        <f>IF(OR(A422="",AE422=""),"",IF(NOT(OR(W422="Watching",W422="Preparing")),"",IF(AE422&lt;0,"PASSED",IF(AND(AE422&lt;=7,W422&lt;&gt;"Preparing"),"RED",IF(AE422&lt;=14,"AMBER","GREEN")))))</f>
        <v/>
      </c>
      <c r="AG422" s="59">
        <f>IF(OR(A422="",NOT(OR(W422="Watching",W422="Preparing"))),"",IF(AND(ISNUMBER(M422),M422&gt;=3000000000),"YES – ≥ TZS 3bn",IF(AND(ISNUMBER(AE422),AE422&gt;=0,AE422&lt;10,V422=""),"YES – &lt;10 days","")))</f>
        <v/>
      </c>
      <c r="AH422" s="68" t="n"/>
      <c r="AI422" s="66" t="n"/>
      <c r="AJ422" s="66" t="n"/>
      <c r="AK422" s="66" t="n"/>
      <c r="AL422" s="59">
        <f>IF(AND(OR(W422="Watching",W422="Preparing"),ISNUMBER(Q422)),IF(AND(Q422&gt;='Friday Summary'!$C$4,Q422&lt;='Friday Summary'!$C$4+14),Q422+ROW()/1000000,""),"")</f>
        <v/>
      </c>
    </row>
    <row r="423" ht="15" customHeight="1" s="51">
      <c r="A423" s="59">
        <f>IF(B423="","","OP-"&amp;TEXT(ROW()-4,"000"))</f>
        <v/>
      </c>
      <c r="B423" s="60" t="n"/>
      <c r="C423" s="61" t="n"/>
      <c r="D423" s="60" t="n"/>
      <c r="E423" s="60" t="n"/>
      <c r="F423" s="60" t="n"/>
      <c r="G423" s="60" t="n"/>
      <c r="H423" s="60" t="n"/>
      <c r="I423" s="60" t="n"/>
      <c r="J423" s="60" t="n"/>
      <c r="K423" s="60" t="n"/>
      <c r="L423" s="60" t="n"/>
      <c r="M423" s="62" t="n"/>
      <c r="N423" s="60" t="n"/>
      <c r="O423" s="61" t="n"/>
      <c r="P423" s="61" t="n"/>
      <c r="Q423" s="63" t="n"/>
      <c r="R423" s="60" t="n"/>
      <c r="S423" s="60" t="n"/>
      <c r="T423" s="64">
        <f>IF(A423="","",IFERROR(INDEX('Bid-NoBid'!$T:$T,MATCH(A423,'Bid-NoBid'!$A:$A,0)),""))</f>
        <v/>
      </c>
      <c r="U423" s="59">
        <f>IF(A423="","",IFERROR(IF(OR(INDEX('Bid-NoBid'!$U:$U,MATCH(A423,'Bid-NoBid'!$A:$A,0))="",LEFT(INDEX('Bid-NoBid'!$U:$U,MATCH(A423,'Bid-NoBid'!$A:$A,0)),10)="Incomplete"),"Screen: "&amp;AC423,INDEX('Bid-NoBid'!$U:$U,MATCH(A423,'Bid-NoBid'!$A:$A,0))),"Screen: "&amp;AC423))</f>
        <v/>
      </c>
      <c r="V423" s="60" t="n"/>
      <c r="W423" s="60" t="n"/>
      <c r="X423" s="60" t="n"/>
      <c r="Y423" s="60" t="n"/>
      <c r="Z423" s="60" t="n"/>
      <c r="AA423" s="65" t="n"/>
      <c r="AB423" s="66" t="n"/>
      <c r="AC423" s="66" t="n"/>
      <c r="AD423" s="66" t="n"/>
      <c r="AE423" s="67">
        <f>IF(ISNUMBER(Q423),ROUNDDOWN(Q423-NOW(),1),"")</f>
        <v/>
      </c>
      <c r="AF423" s="59">
        <f>IF(OR(A423="",AE423=""),"",IF(NOT(OR(W423="Watching",W423="Preparing")),"",IF(AE423&lt;0,"PASSED",IF(AND(AE423&lt;=7,W423&lt;&gt;"Preparing"),"RED",IF(AE423&lt;=14,"AMBER","GREEN")))))</f>
        <v/>
      </c>
      <c r="AG423" s="59">
        <f>IF(OR(A423="",NOT(OR(W423="Watching",W423="Preparing"))),"",IF(AND(ISNUMBER(M423),M423&gt;=3000000000),"YES – ≥ TZS 3bn",IF(AND(ISNUMBER(AE423),AE423&gt;=0,AE423&lt;10,V423=""),"YES – &lt;10 days","")))</f>
        <v/>
      </c>
      <c r="AH423" s="68" t="n"/>
      <c r="AI423" s="66" t="n"/>
      <c r="AJ423" s="66" t="n"/>
      <c r="AK423" s="66" t="n"/>
      <c r="AL423" s="59">
        <f>IF(AND(OR(W423="Watching",W423="Preparing"),ISNUMBER(Q423)),IF(AND(Q423&gt;='Friday Summary'!$C$4,Q423&lt;='Friday Summary'!$C$4+14),Q423+ROW()/1000000,""),"")</f>
        <v/>
      </c>
    </row>
    <row r="424" ht="15" customHeight="1" s="51">
      <c r="A424" s="59">
        <f>IF(B424="","","OP-"&amp;TEXT(ROW()-4,"000"))</f>
        <v/>
      </c>
      <c r="B424" s="60" t="n"/>
      <c r="C424" s="61" t="n"/>
      <c r="D424" s="60" t="n"/>
      <c r="E424" s="60" t="n"/>
      <c r="F424" s="60" t="n"/>
      <c r="G424" s="60" t="n"/>
      <c r="H424" s="60" t="n"/>
      <c r="I424" s="60" t="n"/>
      <c r="J424" s="60" t="n"/>
      <c r="K424" s="60" t="n"/>
      <c r="L424" s="60" t="n"/>
      <c r="M424" s="62" t="n"/>
      <c r="N424" s="60" t="n"/>
      <c r="O424" s="61" t="n"/>
      <c r="P424" s="61" t="n"/>
      <c r="Q424" s="63" t="n"/>
      <c r="R424" s="60" t="n"/>
      <c r="S424" s="60" t="n"/>
      <c r="T424" s="64">
        <f>IF(A424="","",IFERROR(INDEX('Bid-NoBid'!$T:$T,MATCH(A424,'Bid-NoBid'!$A:$A,0)),""))</f>
        <v/>
      </c>
      <c r="U424" s="59">
        <f>IF(A424="","",IFERROR(IF(OR(INDEX('Bid-NoBid'!$U:$U,MATCH(A424,'Bid-NoBid'!$A:$A,0))="",LEFT(INDEX('Bid-NoBid'!$U:$U,MATCH(A424,'Bid-NoBid'!$A:$A,0)),10)="Incomplete"),"Screen: "&amp;AC424,INDEX('Bid-NoBid'!$U:$U,MATCH(A424,'Bid-NoBid'!$A:$A,0))),"Screen: "&amp;AC424))</f>
        <v/>
      </c>
      <c r="V424" s="60" t="n"/>
      <c r="W424" s="60" t="n"/>
      <c r="X424" s="60" t="n"/>
      <c r="Y424" s="60" t="n"/>
      <c r="Z424" s="60" t="n"/>
      <c r="AA424" s="65" t="n"/>
      <c r="AB424" s="66" t="n"/>
      <c r="AC424" s="66" t="n"/>
      <c r="AD424" s="66" t="n"/>
      <c r="AE424" s="67">
        <f>IF(ISNUMBER(Q424),ROUNDDOWN(Q424-NOW(),1),"")</f>
        <v/>
      </c>
      <c r="AF424" s="59">
        <f>IF(OR(A424="",AE424=""),"",IF(NOT(OR(W424="Watching",W424="Preparing")),"",IF(AE424&lt;0,"PASSED",IF(AND(AE424&lt;=7,W424&lt;&gt;"Preparing"),"RED",IF(AE424&lt;=14,"AMBER","GREEN")))))</f>
        <v/>
      </c>
      <c r="AG424" s="59">
        <f>IF(OR(A424="",NOT(OR(W424="Watching",W424="Preparing"))),"",IF(AND(ISNUMBER(M424),M424&gt;=3000000000),"YES – ≥ TZS 3bn",IF(AND(ISNUMBER(AE424),AE424&gt;=0,AE424&lt;10,V424=""),"YES – &lt;10 days","")))</f>
        <v/>
      </c>
      <c r="AH424" s="68" t="n"/>
      <c r="AI424" s="66" t="n"/>
      <c r="AJ424" s="66" t="n"/>
      <c r="AK424" s="66" t="n"/>
      <c r="AL424" s="59">
        <f>IF(AND(OR(W424="Watching",W424="Preparing"),ISNUMBER(Q424)),IF(AND(Q424&gt;='Friday Summary'!$C$4,Q424&lt;='Friday Summary'!$C$4+14),Q424+ROW()/1000000,""),"")</f>
        <v/>
      </c>
    </row>
    <row r="425" ht="15" customHeight="1" s="51">
      <c r="A425" s="59">
        <f>IF(B425="","","OP-"&amp;TEXT(ROW()-4,"000"))</f>
        <v/>
      </c>
      <c r="B425" s="60" t="n"/>
      <c r="C425" s="61" t="n"/>
      <c r="D425" s="60" t="n"/>
      <c r="E425" s="60" t="n"/>
      <c r="F425" s="60" t="n"/>
      <c r="G425" s="60" t="n"/>
      <c r="H425" s="60" t="n"/>
      <c r="I425" s="60" t="n"/>
      <c r="J425" s="60" t="n"/>
      <c r="K425" s="60" t="n"/>
      <c r="L425" s="60" t="n"/>
      <c r="M425" s="62" t="n"/>
      <c r="N425" s="60" t="n"/>
      <c r="O425" s="61" t="n"/>
      <c r="P425" s="61" t="n"/>
      <c r="Q425" s="63" t="n"/>
      <c r="R425" s="60" t="n"/>
      <c r="S425" s="60" t="n"/>
      <c r="T425" s="64">
        <f>IF(A425="","",IFERROR(INDEX('Bid-NoBid'!$T:$T,MATCH(A425,'Bid-NoBid'!$A:$A,0)),""))</f>
        <v/>
      </c>
      <c r="U425" s="59">
        <f>IF(A425="","",IFERROR(IF(OR(INDEX('Bid-NoBid'!$U:$U,MATCH(A425,'Bid-NoBid'!$A:$A,0))="",LEFT(INDEX('Bid-NoBid'!$U:$U,MATCH(A425,'Bid-NoBid'!$A:$A,0)),10)="Incomplete"),"Screen: "&amp;AC425,INDEX('Bid-NoBid'!$U:$U,MATCH(A425,'Bid-NoBid'!$A:$A,0))),"Screen: "&amp;AC425))</f>
        <v/>
      </c>
      <c r="V425" s="60" t="n"/>
      <c r="W425" s="60" t="n"/>
      <c r="X425" s="60" t="n"/>
      <c r="Y425" s="60" t="n"/>
      <c r="Z425" s="60" t="n"/>
      <c r="AA425" s="65" t="n"/>
      <c r="AB425" s="66" t="n"/>
      <c r="AC425" s="66" t="n"/>
      <c r="AD425" s="66" t="n"/>
      <c r="AE425" s="67">
        <f>IF(ISNUMBER(Q425),ROUNDDOWN(Q425-NOW(),1),"")</f>
        <v/>
      </c>
      <c r="AF425" s="59">
        <f>IF(OR(A425="",AE425=""),"",IF(NOT(OR(W425="Watching",W425="Preparing")),"",IF(AE425&lt;0,"PASSED",IF(AND(AE425&lt;=7,W425&lt;&gt;"Preparing"),"RED",IF(AE425&lt;=14,"AMBER","GREEN")))))</f>
        <v/>
      </c>
      <c r="AG425" s="59">
        <f>IF(OR(A425="",NOT(OR(W425="Watching",W425="Preparing"))),"",IF(AND(ISNUMBER(M425),M425&gt;=3000000000),"YES – ≥ TZS 3bn",IF(AND(ISNUMBER(AE425),AE425&gt;=0,AE425&lt;10,V425=""),"YES – &lt;10 days","")))</f>
        <v/>
      </c>
      <c r="AH425" s="68" t="n"/>
      <c r="AI425" s="66" t="n"/>
      <c r="AJ425" s="66" t="n"/>
      <c r="AK425" s="66" t="n"/>
      <c r="AL425" s="59">
        <f>IF(AND(OR(W425="Watching",W425="Preparing"),ISNUMBER(Q425)),IF(AND(Q425&gt;='Friday Summary'!$C$4,Q425&lt;='Friday Summary'!$C$4+14),Q425+ROW()/1000000,""),"")</f>
        <v/>
      </c>
    </row>
    <row r="426" ht="15" customHeight="1" s="51">
      <c r="A426" s="59">
        <f>IF(B426="","","OP-"&amp;TEXT(ROW()-4,"000"))</f>
        <v/>
      </c>
      <c r="B426" s="60" t="n"/>
      <c r="C426" s="61" t="n"/>
      <c r="D426" s="60" t="n"/>
      <c r="E426" s="60" t="n"/>
      <c r="F426" s="60" t="n"/>
      <c r="G426" s="60" t="n"/>
      <c r="H426" s="60" t="n"/>
      <c r="I426" s="60" t="n"/>
      <c r="J426" s="60" t="n"/>
      <c r="K426" s="60" t="n"/>
      <c r="L426" s="60" t="n"/>
      <c r="M426" s="62" t="n"/>
      <c r="N426" s="60" t="n"/>
      <c r="O426" s="61" t="n"/>
      <c r="P426" s="61" t="n"/>
      <c r="Q426" s="63" t="n"/>
      <c r="R426" s="60" t="n"/>
      <c r="S426" s="60" t="n"/>
      <c r="T426" s="64">
        <f>IF(A426="","",IFERROR(INDEX('Bid-NoBid'!$T:$T,MATCH(A426,'Bid-NoBid'!$A:$A,0)),""))</f>
        <v/>
      </c>
      <c r="U426" s="59">
        <f>IF(A426="","",IFERROR(IF(OR(INDEX('Bid-NoBid'!$U:$U,MATCH(A426,'Bid-NoBid'!$A:$A,0))="",LEFT(INDEX('Bid-NoBid'!$U:$U,MATCH(A426,'Bid-NoBid'!$A:$A,0)),10)="Incomplete"),"Screen: "&amp;AC426,INDEX('Bid-NoBid'!$U:$U,MATCH(A426,'Bid-NoBid'!$A:$A,0))),"Screen: "&amp;AC426))</f>
        <v/>
      </c>
      <c r="V426" s="60" t="n"/>
      <c r="W426" s="60" t="n"/>
      <c r="X426" s="60" t="n"/>
      <c r="Y426" s="60" t="n"/>
      <c r="Z426" s="60" t="n"/>
      <c r="AA426" s="65" t="n"/>
      <c r="AB426" s="66" t="n"/>
      <c r="AC426" s="66" t="n"/>
      <c r="AD426" s="66" t="n"/>
      <c r="AE426" s="67">
        <f>IF(ISNUMBER(Q426),ROUNDDOWN(Q426-NOW(),1),"")</f>
        <v/>
      </c>
      <c r="AF426" s="59">
        <f>IF(OR(A426="",AE426=""),"",IF(NOT(OR(W426="Watching",W426="Preparing")),"",IF(AE426&lt;0,"PASSED",IF(AND(AE426&lt;=7,W426&lt;&gt;"Preparing"),"RED",IF(AE426&lt;=14,"AMBER","GREEN")))))</f>
        <v/>
      </c>
      <c r="AG426" s="59">
        <f>IF(OR(A426="",NOT(OR(W426="Watching",W426="Preparing"))),"",IF(AND(ISNUMBER(M426),M426&gt;=3000000000),"YES – ≥ TZS 3bn",IF(AND(ISNUMBER(AE426),AE426&gt;=0,AE426&lt;10,V426=""),"YES – &lt;10 days","")))</f>
        <v/>
      </c>
      <c r="AH426" s="68" t="n"/>
      <c r="AI426" s="66" t="n"/>
      <c r="AJ426" s="66" t="n"/>
      <c r="AK426" s="66" t="n"/>
      <c r="AL426" s="59">
        <f>IF(AND(OR(W426="Watching",W426="Preparing"),ISNUMBER(Q426)),IF(AND(Q426&gt;='Friday Summary'!$C$4,Q426&lt;='Friday Summary'!$C$4+14),Q426+ROW()/1000000,""),"")</f>
        <v/>
      </c>
    </row>
    <row r="427" ht="15" customHeight="1" s="51">
      <c r="A427" s="59">
        <f>IF(B427="","","OP-"&amp;TEXT(ROW()-4,"000"))</f>
        <v/>
      </c>
      <c r="B427" s="60" t="n"/>
      <c r="C427" s="61" t="n"/>
      <c r="D427" s="60" t="n"/>
      <c r="E427" s="60" t="n"/>
      <c r="F427" s="60" t="n"/>
      <c r="G427" s="60" t="n"/>
      <c r="H427" s="60" t="n"/>
      <c r="I427" s="60" t="n"/>
      <c r="J427" s="60" t="n"/>
      <c r="K427" s="60" t="n"/>
      <c r="L427" s="60" t="n"/>
      <c r="M427" s="62" t="n"/>
      <c r="N427" s="60" t="n"/>
      <c r="O427" s="61" t="n"/>
      <c r="P427" s="61" t="n"/>
      <c r="Q427" s="63" t="n"/>
      <c r="R427" s="60" t="n"/>
      <c r="S427" s="60" t="n"/>
      <c r="T427" s="64">
        <f>IF(A427="","",IFERROR(INDEX('Bid-NoBid'!$T:$T,MATCH(A427,'Bid-NoBid'!$A:$A,0)),""))</f>
        <v/>
      </c>
      <c r="U427" s="59">
        <f>IF(A427="","",IFERROR(IF(OR(INDEX('Bid-NoBid'!$U:$U,MATCH(A427,'Bid-NoBid'!$A:$A,0))="",LEFT(INDEX('Bid-NoBid'!$U:$U,MATCH(A427,'Bid-NoBid'!$A:$A,0)),10)="Incomplete"),"Screen: "&amp;AC427,INDEX('Bid-NoBid'!$U:$U,MATCH(A427,'Bid-NoBid'!$A:$A,0))),"Screen: "&amp;AC427))</f>
        <v/>
      </c>
      <c r="V427" s="60" t="n"/>
      <c r="W427" s="60" t="n"/>
      <c r="X427" s="60" t="n"/>
      <c r="Y427" s="60" t="n"/>
      <c r="Z427" s="60" t="n"/>
      <c r="AA427" s="65" t="n"/>
      <c r="AB427" s="66" t="n"/>
      <c r="AC427" s="66" t="n"/>
      <c r="AD427" s="66" t="n"/>
      <c r="AE427" s="67">
        <f>IF(ISNUMBER(Q427),ROUNDDOWN(Q427-NOW(),1),"")</f>
        <v/>
      </c>
      <c r="AF427" s="59">
        <f>IF(OR(A427="",AE427=""),"",IF(NOT(OR(W427="Watching",W427="Preparing")),"",IF(AE427&lt;0,"PASSED",IF(AND(AE427&lt;=7,W427&lt;&gt;"Preparing"),"RED",IF(AE427&lt;=14,"AMBER","GREEN")))))</f>
        <v/>
      </c>
      <c r="AG427" s="59">
        <f>IF(OR(A427="",NOT(OR(W427="Watching",W427="Preparing"))),"",IF(AND(ISNUMBER(M427),M427&gt;=3000000000),"YES – ≥ TZS 3bn",IF(AND(ISNUMBER(AE427),AE427&gt;=0,AE427&lt;10,V427=""),"YES – &lt;10 days","")))</f>
        <v/>
      </c>
      <c r="AH427" s="68" t="n"/>
      <c r="AI427" s="66" t="n"/>
      <c r="AJ427" s="66" t="n"/>
      <c r="AK427" s="66" t="n"/>
      <c r="AL427" s="59">
        <f>IF(AND(OR(W427="Watching",W427="Preparing"),ISNUMBER(Q427)),IF(AND(Q427&gt;='Friday Summary'!$C$4,Q427&lt;='Friday Summary'!$C$4+14),Q427+ROW()/1000000,""),"")</f>
        <v/>
      </c>
    </row>
    <row r="428" ht="15" customHeight="1" s="51">
      <c r="A428" s="59">
        <f>IF(B428="","","OP-"&amp;TEXT(ROW()-4,"000"))</f>
        <v/>
      </c>
      <c r="B428" s="60" t="n"/>
      <c r="C428" s="61" t="n"/>
      <c r="D428" s="60" t="n"/>
      <c r="E428" s="60" t="n"/>
      <c r="F428" s="60" t="n"/>
      <c r="G428" s="60" t="n"/>
      <c r="H428" s="60" t="n"/>
      <c r="I428" s="60" t="n"/>
      <c r="J428" s="60" t="n"/>
      <c r="K428" s="60" t="n"/>
      <c r="L428" s="60" t="n"/>
      <c r="M428" s="62" t="n"/>
      <c r="N428" s="60" t="n"/>
      <c r="O428" s="61" t="n"/>
      <c r="P428" s="61" t="n"/>
      <c r="Q428" s="63" t="n"/>
      <c r="R428" s="60" t="n"/>
      <c r="S428" s="60" t="n"/>
      <c r="T428" s="64">
        <f>IF(A428="","",IFERROR(INDEX('Bid-NoBid'!$T:$T,MATCH(A428,'Bid-NoBid'!$A:$A,0)),""))</f>
        <v/>
      </c>
      <c r="U428" s="59">
        <f>IF(A428="","",IFERROR(IF(OR(INDEX('Bid-NoBid'!$U:$U,MATCH(A428,'Bid-NoBid'!$A:$A,0))="",LEFT(INDEX('Bid-NoBid'!$U:$U,MATCH(A428,'Bid-NoBid'!$A:$A,0)),10)="Incomplete"),"Screen: "&amp;AC428,INDEX('Bid-NoBid'!$U:$U,MATCH(A428,'Bid-NoBid'!$A:$A,0))),"Screen: "&amp;AC428))</f>
        <v/>
      </c>
      <c r="V428" s="60" t="n"/>
      <c r="W428" s="60" t="n"/>
      <c r="X428" s="60" t="n"/>
      <c r="Y428" s="60" t="n"/>
      <c r="Z428" s="60" t="n"/>
      <c r="AA428" s="65" t="n"/>
      <c r="AB428" s="66" t="n"/>
      <c r="AC428" s="66" t="n"/>
      <c r="AD428" s="66" t="n"/>
      <c r="AE428" s="67">
        <f>IF(ISNUMBER(Q428),ROUNDDOWN(Q428-NOW(),1),"")</f>
        <v/>
      </c>
      <c r="AF428" s="59">
        <f>IF(OR(A428="",AE428=""),"",IF(NOT(OR(W428="Watching",W428="Preparing")),"",IF(AE428&lt;0,"PASSED",IF(AND(AE428&lt;=7,W428&lt;&gt;"Preparing"),"RED",IF(AE428&lt;=14,"AMBER","GREEN")))))</f>
        <v/>
      </c>
      <c r="AG428" s="59">
        <f>IF(OR(A428="",NOT(OR(W428="Watching",W428="Preparing"))),"",IF(AND(ISNUMBER(M428),M428&gt;=3000000000),"YES – ≥ TZS 3bn",IF(AND(ISNUMBER(AE428),AE428&gt;=0,AE428&lt;10,V428=""),"YES – &lt;10 days","")))</f>
        <v/>
      </c>
      <c r="AH428" s="68" t="n"/>
      <c r="AI428" s="66" t="n"/>
      <c r="AJ428" s="66" t="n"/>
      <c r="AK428" s="66" t="n"/>
      <c r="AL428" s="59">
        <f>IF(AND(OR(W428="Watching",W428="Preparing"),ISNUMBER(Q428)),IF(AND(Q428&gt;='Friday Summary'!$C$4,Q428&lt;='Friday Summary'!$C$4+14),Q428+ROW()/1000000,""),"")</f>
        <v/>
      </c>
    </row>
    <row r="429" ht="15" customHeight="1" s="51">
      <c r="A429" s="59">
        <f>IF(B429="","","OP-"&amp;TEXT(ROW()-4,"000"))</f>
        <v/>
      </c>
      <c r="B429" s="60" t="n"/>
      <c r="C429" s="61" t="n"/>
      <c r="D429" s="60" t="n"/>
      <c r="E429" s="60" t="n"/>
      <c r="F429" s="60" t="n"/>
      <c r="G429" s="60" t="n"/>
      <c r="H429" s="60" t="n"/>
      <c r="I429" s="60" t="n"/>
      <c r="J429" s="60" t="n"/>
      <c r="K429" s="60" t="n"/>
      <c r="L429" s="60" t="n"/>
      <c r="M429" s="62" t="n"/>
      <c r="N429" s="60" t="n"/>
      <c r="O429" s="61" t="n"/>
      <c r="P429" s="61" t="n"/>
      <c r="Q429" s="63" t="n"/>
      <c r="R429" s="60" t="n"/>
      <c r="S429" s="60" t="n"/>
      <c r="T429" s="64">
        <f>IF(A429="","",IFERROR(INDEX('Bid-NoBid'!$T:$T,MATCH(A429,'Bid-NoBid'!$A:$A,0)),""))</f>
        <v/>
      </c>
      <c r="U429" s="59">
        <f>IF(A429="","",IFERROR(IF(OR(INDEX('Bid-NoBid'!$U:$U,MATCH(A429,'Bid-NoBid'!$A:$A,0))="",LEFT(INDEX('Bid-NoBid'!$U:$U,MATCH(A429,'Bid-NoBid'!$A:$A,0)),10)="Incomplete"),"Screen: "&amp;AC429,INDEX('Bid-NoBid'!$U:$U,MATCH(A429,'Bid-NoBid'!$A:$A,0))),"Screen: "&amp;AC429))</f>
        <v/>
      </c>
      <c r="V429" s="60" t="n"/>
      <c r="W429" s="60" t="n"/>
      <c r="X429" s="60" t="n"/>
      <c r="Y429" s="60" t="n"/>
      <c r="Z429" s="60" t="n"/>
      <c r="AA429" s="65" t="n"/>
      <c r="AB429" s="66" t="n"/>
      <c r="AC429" s="66" t="n"/>
      <c r="AD429" s="66" t="n"/>
      <c r="AE429" s="67">
        <f>IF(ISNUMBER(Q429),ROUNDDOWN(Q429-NOW(),1),"")</f>
        <v/>
      </c>
      <c r="AF429" s="59">
        <f>IF(OR(A429="",AE429=""),"",IF(NOT(OR(W429="Watching",W429="Preparing")),"",IF(AE429&lt;0,"PASSED",IF(AND(AE429&lt;=7,W429&lt;&gt;"Preparing"),"RED",IF(AE429&lt;=14,"AMBER","GREEN")))))</f>
        <v/>
      </c>
      <c r="AG429" s="59">
        <f>IF(OR(A429="",NOT(OR(W429="Watching",W429="Preparing"))),"",IF(AND(ISNUMBER(M429),M429&gt;=3000000000),"YES – ≥ TZS 3bn",IF(AND(ISNUMBER(AE429),AE429&gt;=0,AE429&lt;10,V429=""),"YES – &lt;10 days","")))</f>
        <v/>
      </c>
      <c r="AH429" s="68" t="n"/>
      <c r="AI429" s="66" t="n"/>
      <c r="AJ429" s="66" t="n"/>
      <c r="AK429" s="66" t="n"/>
      <c r="AL429" s="59">
        <f>IF(AND(OR(W429="Watching",W429="Preparing"),ISNUMBER(Q429)),IF(AND(Q429&gt;='Friday Summary'!$C$4,Q429&lt;='Friday Summary'!$C$4+14),Q429+ROW()/1000000,""),"")</f>
        <v/>
      </c>
    </row>
    <row r="430" ht="15" customHeight="1" s="51">
      <c r="A430" s="59">
        <f>IF(B430="","","OP-"&amp;TEXT(ROW()-4,"000"))</f>
        <v/>
      </c>
      <c r="B430" s="60" t="n"/>
      <c r="C430" s="61" t="n"/>
      <c r="D430" s="60" t="n"/>
      <c r="E430" s="60" t="n"/>
      <c r="F430" s="60" t="n"/>
      <c r="G430" s="60" t="n"/>
      <c r="H430" s="60" t="n"/>
      <c r="I430" s="60" t="n"/>
      <c r="J430" s="60" t="n"/>
      <c r="K430" s="60" t="n"/>
      <c r="L430" s="60" t="n"/>
      <c r="M430" s="62" t="n"/>
      <c r="N430" s="60" t="n"/>
      <c r="O430" s="61" t="n"/>
      <c r="P430" s="61" t="n"/>
      <c r="Q430" s="63" t="n"/>
      <c r="R430" s="60" t="n"/>
      <c r="S430" s="60" t="n"/>
      <c r="T430" s="64">
        <f>IF(A430="","",IFERROR(INDEX('Bid-NoBid'!$T:$T,MATCH(A430,'Bid-NoBid'!$A:$A,0)),""))</f>
        <v/>
      </c>
      <c r="U430" s="59">
        <f>IF(A430="","",IFERROR(IF(OR(INDEX('Bid-NoBid'!$U:$U,MATCH(A430,'Bid-NoBid'!$A:$A,0))="",LEFT(INDEX('Bid-NoBid'!$U:$U,MATCH(A430,'Bid-NoBid'!$A:$A,0)),10)="Incomplete"),"Screen: "&amp;AC430,INDEX('Bid-NoBid'!$U:$U,MATCH(A430,'Bid-NoBid'!$A:$A,0))),"Screen: "&amp;AC430))</f>
        <v/>
      </c>
      <c r="V430" s="60" t="n"/>
      <c r="W430" s="60" t="n"/>
      <c r="X430" s="60" t="n"/>
      <c r="Y430" s="60" t="n"/>
      <c r="Z430" s="60" t="n"/>
      <c r="AA430" s="65" t="n"/>
      <c r="AB430" s="66" t="n"/>
      <c r="AC430" s="66" t="n"/>
      <c r="AD430" s="66" t="n"/>
      <c r="AE430" s="67">
        <f>IF(ISNUMBER(Q430),ROUNDDOWN(Q430-NOW(),1),"")</f>
        <v/>
      </c>
      <c r="AF430" s="59">
        <f>IF(OR(A430="",AE430=""),"",IF(NOT(OR(W430="Watching",W430="Preparing")),"",IF(AE430&lt;0,"PASSED",IF(AND(AE430&lt;=7,W430&lt;&gt;"Preparing"),"RED",IF(AE430&lt;=14,"AMBER","GREEN")))))</f>
        <v/>
      </c>
      <c r="AG430" s="59">
        <f>IF(OR(A430="",NOT(OR(W430="Watching",W430="Preparing"))),"",IF(AND(ISNUMBER(M430),M430&gt;=3000000000),"YES – ≥ TZS 3bn",IF(AND(ISNUMBER(AE430),AE430&gt;=0,AE430&lt;10,V430=""),"YES – &lt;10 days","")))</f>
        <v/>
      </c>
      <c r="AH430" s="68" t="n"/>
      <c r="AI430" s="66" t="n"/>
      <c r="AJ430" s="66" t="n"/>
      <c r="AK430" s="66" t="n"/>
      <c r="AL430" s="59">
        <f>IF(AND(OR(W430="Watching",W430="Preparing"),ISNUMBER(Q430)),IF(AND(Q430&gt;='Friday Summary'!$C$4,Q430&lt;='Friday Summary'!$C$4+14),Q430+ROW()/1000000,""),"")</f>
        <v/>
      </c>
    </row>
    <row r="431" ht="15" customHeight="1" s="51">
      <c r="A431" s="59">
        <f>IF(B431="","","OP-"&amp;TEXT(ROW()-4,"000"))</f>
        <v/>
      </c>
      <c r="B431" s="60" t="n"/>
      <c r="C431" s="61" t="n"/>
      <c r="D431" s="60" t="n"/>
      <c r="E431" s="60" t="n"/>
      <c r="F431" s="60" t="n"/>
      <c r="G431" s="60" t="n"/>
      <c r="H431" s="60" t="n"/>
      <c r="I431" s="60" t="n"/>
      <c r="J431" s="60" t="n"/>
      <c r="K431" s="60" t="n"/>
      <c r="L431" s="60" t="n"/>
      <c r="M431" s="62" t="n"/>
      <c r="N431" s="60" t="n"/>
      <c r="O431" s="61" t="n"/>
      <c r="P431" s="61" t="n"/>
      <c r="Q431" s="63" t="n"/>
      <c r="R431" s="60" t="n"/>
      <c r="S431" s="60" t="n"/>
      <c r="T431" s="64">
        <f>IF(A431="","",IFERROR(INDEX('Bid-NoBid'!$T:$T,MATCH(A431,'Bid-NoBid'!$A:$A,0)),""))</f>
        <v/>
      </c>
      <c r="U431" s="59">
        <f>IF(A431="","",IFERROR(IF(OR(INDEX('Bid-NoBid'!$U:$U,MATCH(A431,'Bid-NoBid'!$A:$A,0))="",LEFT(INDEX('Bid-NoBid'!$U:$U,MATCH(A431,'Bid-NoBid'!$A:$A,0)),10)="Incomplete"),"Screen: "&amp;AC431,INDEX('Bid-NoBid'!$U:$U,MATCH(A431,'Bid-NoBid'!$A:$A,0))),"Screen: "&amp;AC431))</f>
        <v/>
      </c>
      <c r="V431" s="60" t="n"/>
      <c r="W431" s="60" t="n"/>
      <c r="X431" s="60" t="n"/>
      <c r="Y431" s="60" t="n"/>
      <c r="Z431" s="60" t="n"/>
      <c r="AA431" s="65" t="n"/>
      <c r="AB431" s="66" t="n"/>
      <c r="AC431" s="66" t="n"/>
      <c r="AD431" s="66" t="n"/>
      <c r="AE431" s="67">
        <f>IF(ISNUMBER(Q431),ROUNDDOWN(Q431-NOW(),1),"")</f>
        <v/>
      </c>
      <c r="AF431" s="59">
        <f>IF(OR(A431="",AE431=""),"",IF(NOT(OR(W431="Watching",W431="Preparing")),"",IF(AE431&lt;0,"PASSED",IF(AND(AE431&lt;=7,W431&lt;&gt;"Preparing"),"RED",IF(AE431&lt;=14,"AMBER","GREEN")))))</f>
        <v/>
      </c>
      <c r="AG431" s="59">
        <f>IF(OR(A431="",NOT(OR(W431="Watching",W431="Preparing"))),"",IF(AND(ISNUMBER(M431),M431&gt;=3000000000),"YES – ≥ TZS 3bn",IF(AND(ISNUMBER(AE431),AE431&gt;=0,AE431&lt;10,V431=""),"YES – &lt;10 days","")))</f>
        <v/>
      </c>
      <c r="AH431" s="68" t="n"/>
      <c r="AI431" s="66" t="n"/>
      <c r="AJ431" s="66" t="n"/>
      <c r="AK431" s="66" t="n"/>
      <c r="AL431" s="59">
        <f>IF(AND(OR(W431="Watching",W431="Preparing"),ISNUMBER(Q431)),IF(AND(Q431&gt;='Friday Summary'!$C$4,Q431&lt;='Friday Summary'!$C$4+14),Q431+ROW()/1000000,""),"")</f>
        <v/>
      </c>
    </row>
    <row r="432" ht="15" customHeight="1" s="51">
      <c r="A432" s="59">
        <f>IF(B432="","","OP-"&amp;TEXT(ROW()-4,"000"))</f>
        <v/>
      </c>
      <c r="B432" s="60" t="n"/>
      <c r="C432" s="61" t="n"/>
      <c r="D432" s="60" t="n"/>
      <c r="E432" s="60" t="n"/>
      <c r="F432" s="60" t="n"/>
      <c r="G432" s="60" t="n"/>
      <c r="H432" s="60" t="n"/>
      <c r="I432" s="60" t="n"/>
      <c r="J432" s="60" t="n"/>
      <c r="K432" s="60" t="n"/>
      <c r="L432" s="60" t="n"/>
      <c r="M432" s="62" t="n"/>
      <c r="N432" s="60" t="n"/>
      <c r="O432" s="61" t="n"/>
      <c r="P432" s="61" t="n"/>
      <c r="Q432" s="63" t="n"/>
      <c r="R432" s="60" t="n"/>
      <c r="S432" s="60" t="n"/>
      <c r="T432" s="64">
        <f>IF(A432="","",IFERROR(INDEX('Bid-NoBid'!$T:$T,MATCH(A432,'Bid-NoBid'!$A:$A,0)),""))</f>
        <v/>
      </c>
      <c r="U432" s="59">
        <f>IF(A432="","",IFERROR(IF(OR(INDEX('Bid-NoBid'!$U:$U,MATCH(A432,'Bid-NoBid'!$A:$A,0))="",LEFT(INDEX('Bid-NoBid'!$U:$U,MATCH(A432,'Bid-NoBid'!$A:$A,0)),10)="Incomplete"),"Screen: "&amp;AC432,INDEX('Bid-NoBid'!$U:$U,MATCH(A432,'Bid-NoBid'!$A:$A,0))),"Screen: "&amp;AC432))</f>
        <v/>
      </c>
      <c r="V432" s="60" t="n"/>
      <c r="W432" s="60" t="n"/>
      <c r="X432" s="60" t="n"/>
      <c r="Y432" s="60" t="n"/>
      <c r="Z432" s="60" t="n"/>
      <c r="AA432" s="65" t="n"/>
      <c r="AB432" s="66" t="n"/>
      <c r="AC432" s="66" t="n"/>
      <c r="AD432" s="66" t="n"/>
      <c r="AE432" s="67">
        <f>IF(ISNUMBER(Q432),ROUNDDOWN(Q432-NOW(),1),"")</f>
        <v/>
      </c>
      <c r="AF432" s="59">
        <f>IF(OR(A432="",AE432=""),"",IF(NOT(OR(W432="Watching",W432="Preparing")),"",IF(AE432&lt;0,"PASSED",IF(AND(AE432&lt;=7,W432&lt;&gt;"Preparing"),"RED",IF(AE432&lt;=14,"AMBER","GREEN")))))</f>
        <v/>
      </c>
      <c r="AG432" s="59">
        <f>IF(OR(A432="",NOT(OR(W432="Watching",W432="Preparing"))),"",IF(AND(ISNUMBER(M432),M432&gt;=3000000000),"YES – ≥ TZS 3bn",IF(AND(ISNUMBER(AE432),AE432&gt;=0,AE432&lt;10,V432=""),"YES – &lt;10 days","")))</f>
        <v/>
      </c>
      <c r="AH432" s="68" t="n"/>
      <c r="AI432" s="66" t="n"/>
      <c r="AJ432" s="66" t="n"/>
      <c r="AK432" s="66" t="n"/>
      <c r="AL432" s="59">
        <f>IF(AND(OR(W432="Watching",W432="Preparing"),ISNUMBER(Q432)),IF(AND(Q432&gt;='Friday Summary'!$C$4,Q432&lt;='Friday Summary'!$C$4+14),Q432+ROW()/1000000,""),"")</f>
        <v/>
      </c>
    </row>
    <row r="433" ht="15" customHeight="1" s="51">
      <c r="A433" s="59">
        <f>IF(B433="","","OP-"&amp;TEXT(ROW()-4,"000"))</f>
        <v/>
      </c>
      <c r="B433" s="60" t="n"/>
      <c r="C433" s="61" t="n"/>
      <c r="D433" s="60" t="n"/>
      <c r="E433" s="60" t="n"/>
      <c r="F433" s="60" t="n"/>
      <c r="G433" s="60" t="n"/>
      <c r="H433" s="60" t="n"/>
      <c r="I433" s="60" t="n"/>
      <c r="J433" s="60" t="n"/>
      <c r="K433" s="60" t="n"/>
      <c r="L433" s="60" t="n"/>
      <c r="M433" s="62" t="n"/>
      <c r="N433" s="60" t="n"/>
      <c r="O433" s="61" t="n"/>
      <c r="P433" s="61" t="n"/>
      <c r="Q433" s="63" t="n"/>
      <c r="R433" s="60" t="n"/>
      <c r="S433" s="60" t="n"/>
      <c r="T433" s="64">
        <f>IF(A433="","",IFERROR(INDEX('Bid-NoBid'!$T:$T,MATCH(A433,'Bid-NoBid'!$A:$A,0)),""))</f>
        <v/>
      </c>
      <c r="U433" s="59">
        <f>IF(A433="","",IFERROR(IF(OR(INDEX('Bid-NoBid'!$U:$U,MATCH(A433,'Bid-NoBid'!$A:$A,0))="",LEFT(INDEX('Bid-NoBid'!$U:$U,MATCH(A433,'Bid-NoBid'!$A:$A,0)),10)="Incomplete"),"Screen: "&amp;AC433,INDEX('Bid-NoBid'!$U:$U,MATCH(A433,'Bid-NoBid'!$A:$A,0))),"Screen: "&amp;AC433))</f>
        <v/>
      </c>
      <c r="V433" s="60" t="n"/>
      <c r="W433" s="60" t="n"/>
      <c r="X433" s="60" t="n"/>
      <c r="Y433" s="60" t="n"/>
      <c r="Z433" s="60" t="n"/>
      <c r="AA433" s="65" t="n"/>
      <c r="AB433" s="66" t="n"/>
      <c r="AC433" s="66" t="n"/>
      <c r="AD433" s="66" t="n"/>
      <c r="AE433" s="67">
        <f>IF(ISNUMBER(Q433),ROUNDDOWN(Q433-NOW(),1),"")</f>
        <v/>
      </c>
      <c r="AF433" s="59">
        <f>IF(OR(A433="",AE433=""),"",IF(NOT(OR(W433="Watching",W433="Preparing")),"",IF(AE433&lt;0,"PASSED",IF(AND(AE433&lt;=7,W433&lt;&gt;"Preparing"),"RED",IF(AE433&lt;=14,"AMBER","GREEN")))))</f>
        <v/>
      </c>
      <c r="AG433" s="59">
        <f>IF(OR(A433="",NOT(OR(W433="Watching",W433="Preparing"))),"",IF(AND(ISNUMBER(M433),M433&gt;=3000000000),"YES – ≥ TZS 3bn",IF(AND(ISNUMBER(AE433),AE433&gt;=0,AE433&lt;10,V433=""),"YES – &lt;10 days","")))</f>
        <v/>
      </c>
      <c r="AH433" s="68" t="n"/>
      <c r="AI433" s="66" t="n"/>
      <c r="AJ433" s="66" t="n"/>
      <c r="AK433" s="66" t="n"/>
      <c r="AL433" s="59">
        <f>IF(AND(OR(W433="Watching",W433="Preparing"),ISNUMBER(Q433)),IF(AND(Q433&gt;='Friday Summary'!$C$4,Q433&lt;='Friday Summary'!$C$4+14),Q433+ROW()/1000000,""),"")</f>
        <v/>
      </c>
    </row>
    <row r="434" ht="15" customHeight="1" s="51">
      <c r="A434" s="59">
        <f>IF(B434="","","OP-"&amp;TEXT(ROW()-4,"000"))</f>
        <v/>
      </c>
      <c r="B434" s="60" t="n"/>
      <c r="C434" s="61" t="n"/>
      <c r="D434" s="60" t="n"/>
      <c r="E434" s="60" t="n"/>
      <c r="F434" s="60" t="n"/>
      <c r="G434" s="60" t="n"/>
      <c r="H434" s="60" t="n"/>
      <c r="I434" s="60" t="n"/>
      <c r="J434" s="60" t="n"/>
      <c r="K434" s="60" t="n"/>
      <c r="L434" s="60" t="n"/>
      <c r="M434" s="62" t="n"/>
      <c r="N434" s="60" t="n"/>
      <c r="O434" s="61" t="n"/>
      <c r="P434" s="61" t="n"/>
      <c r="Q434" s="63" t="n"/>
      <c r="R434" s="60" t="n"/>
      <c r="S434" s="60" t="n"/>
      <c r="T434" s="64">
        <f>IF(A434="","",IFERROR(INDEX('Bid-NoBid'!$T:$T,MATCH(A434,'Bid-NoBid'!$A:$A,0)),""))</f>
        <v/>
      </c>
      <c r="U434" s="59">
        <f>IF(A434="","",IFERROR(IF(OR(INDEX('Bid-NoBid'!$U:$U,MATCH(A434,'Bid-NoBid'!$A:$A,0))="",LEFT(INDEX('Bid-NoBid'!$U:$U,MATCH(A434,'Bid-NoBid'!$A:$A,0)),10)="Incomplete"),"Screen: "&amp;AC434,INDEX('Bid-NoBid'!$U:$U,MATCH(A434,'Bid-NoBid'!$A:$A,0))),"Screen: "&amp;AC434))</f>
        <v/>
      </c>
      <c r="V434" s="60" t="n"/>
      <c r="W434" s="60" t="n"/>
      <c r="X434" s="60" t="n"/>
      <c r="Y434" s="60" t="n"/>
      <c r="Z434" s="60" t="n"/>
      <c r="AA434" s="65" t="n"/>
      <c r="AB434" s="66" t="n"/>
      <c r="AC434" s="66" t="n"/>
      <c r="AD434" s="66" t="n"/>
      <c r="AE434" s="67">
        <f>IF(ISNUMBER(Q434),ROUNDDOWN(Q434-NOW(),1),"")</f>
        <v/>
      </c>
      <c r="AF434" s="59">
        <f>IF(OR(A434="",AE434=""),"",IF(NOT(OR(W434="Watching",W434="Preparing")),"",IF(AE434&lt;0,"PASSED",IF(AND(AE434&lt;=7,W434&lt;&gt;"Preparing"),"RED",IF(AE434&lt;=14,"AMBER","GREEN")))))</f>
        <v/>
      </c>
      <c r="AG434" s="59">
        <f>IF(OR(A434="",NOT(OR(W434="Watching",W434="Preparing"))),"",IF(AND(ISNUMBER(M434),M434&gt;=3000000000),"YES – ≥ TZS 3bn",IF(AND(ISNUMBER(AE434),AE434&gt;=0,AE434&lt;10,V434=""),"YES – &lt;10 days","")))</f>
        <v/>
      </c>
      <c r="AH434" s="68" t="n"/>
      <c r="AI434" s="66" t="n"/>
      <c r="AJ434" s="66" t="n"/>
      <c r="AK434" s="66" t="n"/>
      <c r="AL434" s="59">
        <f>IF(AND(OR(W434="Watching",W434="Preparing"),ISNUMBER(Q434)),IF(AND(Q434&gt;='Friday Summary'!$C$4,Q434&lt;='Friday Summary'!$C$4+14),Q434+ROW()/1000000,""),"")</f>
        <v/>
      </c>
    </row>
    <row r="435" ht="15" customHeight="1" s="51">
      <c r="A435" s="59">
        <f>IF(B435="","","OP-"&amp;TEXT(ROW()-4,"000"))</f>
        <v/>
      </c>
      <c r="B435" s="60" t="n"/>
      <c r="C435" s="61" t="n"/>
      <c r="D435" s="60" t="n"/>
      <c r="E435" s="60" t="n"/>
      <c r="F435" s="60" t="n"/>
      <c r="G435" s="60" t="n"/>
      <c r="H435" s="60" t="n"/>
      <c r="I435" s="60" t="n"/>
      <c r="J435" s="60" t="n"/>
      <c r="K435" s="60" t="n"/>
      <c r="L435" s="60" t="n"/>
      <c r="M435" s="62" t="n"/>
      <c r="N435" s="60" t="n"/>
      <c r="O435" s="61" t="n"/>
      <c r="P435" s="61" t="n"/>
      <c r="Q435" s="63" t="n"/>
      <c r="R435" s="60" t="n"/>
      <c r="S435" s="60" t="n"/>
      <c r="T435" s="64">
        <f>IF(A435="","",IFERROR(INDEX('Bid-NoBid'!$T:$T,MATCH(A435,'Bid-NoBid'!$A:$A,0)),""))</f>
        <v/>
      </c>
      <c r="U435" s="59">
        <f>IF(A435="","",IFERROR(IF(OR(INDEX('Bid-NoBid'!$U:$U,MATCH(A435,'Bid-NoBid'!$A:$A,0))="",LEFT(INDEX('Bid-NoBid'!$U:$U,MATCH(A435,'Bid-NoBid'!$A:$A,0)),10)="Incomplete"),"Screen: "&amp;AC435,INDEX('Bid-NoBid'!$U:$U,MATCH(A435,'Bid-NoBid'!$A:$A,0))),"Screen: "&amp;AC435))</f>
        <v/>
      </c>
      <c r="V435" s="60" t="n"/>
      <c r="W435" s="60" t="n"/>
      <c r="X435" s="60" t="n"/>
      <c r="Y435" s="60" t="n"/>
      <c r="Z435" s="60" t="n"/>
      <c r="AA435" s="65" t="n"/>
      <c r="AB435" s="66" t="n"/>
      <c r="AC435" s="66" t="n"/>
      <c r="AD435" s="66" t="n"/>
      <c r="AE435" s="67">
        <f>IF(ISNUMBER(Q435),ROUNDDOWN(Q435-NOW(),1),"")</f>
        <v/>
      </c>
      <c r="AF435" s="59">
        <f>IF(OR(A435="",AE435=""),"",IF(NOT(OR(W435="Watching",W435="Preparing")),"",IF(AE435&lt;0,"PASSED",IF(AND(AE435&lt;=7,W435&lt;&gt;"Preparing"),"RED",IF(AE435&lt;=14,"AMBER","GREEN")))))</f>
        <v/>
      </c>
      <c r="AG435" s="59">
        <f>IF(OR(A435="",NOT(OR(W435="Watching",W435="Preparing"))),"",IF(AND(ISNUMBER(M435),M435&gt;=3000000000),"YES – ≥ TZS 3bn",IF(AND(ISNUMBER(AE435),AE435&gt;=0,AE435&lt;10,V435=""),"YES – &lt;10 days","")))</f>
        <v/>
      </c>
      <c r="AH435" s="68" t="n"/>
      <c r="AI435" s="66" t="n"/>
      <c r="AJ435" s="66" t="n"/>
      <c r="AK435" s="66" t="n"/>
      <c r="AL435" s="59">
        <f>IF(AND(OR(W435="Watching",W435="Preparing"),ISNUMBER(Q435)),IF(AND(Q435&gt;='Friday Summary'!$C$4,Q435&lt;='Friday Summary'!$C$4+14),Q435+ROW()/1000000,""),"")</f>
        <v/>
      </c>
    </row>
    <row r="436" ht="15" customHeight="1" s="51">
      <c r="A436" s="59">
        <f>IF(B436="","","OP-"&amp;TEXT(ROW()-4,"000"))</f>
        <v/>
      </c>
      <c r="B436" s="60" t="n"/>
      <c r="C436" s="61" t="n"/>
      <c r="D436" s="60" t="n"/>
      <c r="E436" s="60" t="n"/>
      <c r="F436" s="60" t="n"/>
      <c r="G436" s="60" t="n"/>
      <c r="H436" s="60" t="n"/>
      <c r="I436" s="60" t="n"/>
      <c r="J436" s="60" t="n"/>
      <c r="K436" s="60" t="n"/>
      <c r="L436" s="60" t="n"/>
      <c r="M436" s="62" t="n"/>
      <c r="N436" s="60" t="n"/>
      <c r="O436" s="61" t="n"/>
      <c r="P436" s="61" t="n"/>
      <c r="Q436" s="63" t="n"/>
      <c r="R436" s="60" t="n"/>
      <c r="S436" s="60" t="n"/>
      <c r="T436" s="64">
        <f>IF(A436="","",IFERROR(INDEX('Bid-NoBid'!$T:$T,MATCH(A436,'Bid-NoBid'!$A:$A,0)),""))</f>
        <v/>
      </c>
      <c r="U436" s="59">
        <f>IF(A436="","",IFERROR(IF(OR(INDEX('Bid-NoBid'!$U:$U,MATCH(A436,'Bid-NoBid'!$A:$A,0))="",LEFT(INDEX('Bid-NoBid'!$U:$U,MATCH(A436,'Bid-NoBid'!$A:$A,0)),10)="Incomplete"),"Screen: "&amp;AC436,INDEX('Bid-NoBid'!$U:$U,MATCH(A436,'Bid-NoBid'!$A:$A,0))),"Screen: "&amp;AC436))</f>
        <v/>
      </c>
      <c r="V436" s="60" t="n"/>
      <c r="W436" s="60" t="n"/>
      <c r="X436" s="60" t="n"/>
      <c r="Y436" s="60" t="n"/>
      <c r="Z436" s="60" t="n"/>
      <c r="AA436" s="65" t="n"/>
      <c r="AB436" s="66" t="n"/>
      <c r="AC436" s="66" t="n"/>
      <c r="AD436" s="66" t="n"/>
      <c r="AE436" s="67">
        <f>IF(ISNUMBER(Q436),ROUNDDOWN(Q436-NOW(),1),"")</f>
        <v/>
      </c>
      <c r="AF436" s="59">
        <f>IF(OR(A436="",AE436=""),"",IF(NOT(OR(W436="Watching",W436="Preparing")),"",IF(AE436&lt;0,"PASSED",IF(AND(AE436&lt;=7,W436&lt;&gt;"Preparing"),"RED",IF(AE436&lt;=14,"AMBER","GREEN")))))</f>
        <v/>
      </c>
      <c r="AG436" s="59">
        <f>IF(OR(A436="",NOT(OR(W436="Watching",W436="Preparing"))),"",IF(AND(ISNUMBER(M436),M436&gt;=3000000000),"YES – ≥ TZS 3bn",IF(AND(ISNUMBER(AE436),AE436&gt;=0,AE436&lt;10,V436=""),"YES – &lt;10 days","")))</f>
        <v/>
      </c>
      <c r="AH436" s="68" t="n"/>
      <c r="AI436" s="66" t="n"/>
      <c r="AJ436" s="66" t="n"/>
      <c r="AK436" s="66" t="n"/>
      <c r="AL436" s="59">
        <f>IF(AND(OR(W436="Watching",W436="Preparing"),ISNUMBER(Q436)),IF(AND(Q436&gt;='Friday Summary'!$C$4,Q436&lt;='Friday Summary'!$C$4+14),Q436+ROW()/1000000,""),"")</f>
        <v/>
      </c>
    </row>
    <row r="437" ht="15" customHeight="1" s="51">
      <c r="A437" s="59">
        <f>IF(B437="","","OP-"&amp;TEXT(ROW()-4,"000"))</f>
        <v/>
      </c>
      <c r="B437" s="60" t="n"/>
      <c r="C437" s="61" t="n"/>
      <c r="D437" s="60" t="n"/>
      <c r="E437" s="60" t="n"/>
      <c r="F437" s="60" t="n"/>
      <c r="G437" s="60" t="n"/>
      <c r="H437" s="60" t="n"/>
      <c r="I437" s="60" t="n"/>
      <c r="J437" s="60" t="n"/>
      <c r="K437" s="60" t="n"/>
      <c r="L437" s="60" t="n"/>
      <c r="M437" s="62" t="n"/>
      <c r="N437" s="60" t="n"/>
      <c r="O437" s="61" t="n"/>
      <c r="P437" s="61" t="n"/>
      <c r="Q437" s="63" t="n"/>
      <c r="R437" s="60" t="n"/>
      <c r="S437" s="60" t="n"/>
      <c r="T437" s="64">
        <f>IF(A437="","",IFERROR(INDEX('Bid-NoBid'!$T:$T,MATCH(A437,'Bid-NoBid'!$A:$A,0)),""))</f>
        <v/>
      </c>
      <c r="U437" s="59">
        <f>IF(A437="","",IFERROR(IF(OR(INDEX('Bid-NoBid'!$U:$U,MATCH(A437,'Bid-NoBid'!$A:$A,0))="",LEFT(INDEX('Bid-NoBid'!$U:$U,MATCH(A437,'Bid-NoBid'!$A:$A,0)),10)="Incomplete"),"Screen: "&amp;AC437,INDEX('Bid-NoBid'!$U:$U,MATCH(A437,'Bid-NoBid'!$A:$A,0))),"Screen: "&amp;AC437))</f>
        <v/>
      </c>
      <c r="V437" s="60" t="n"/>
      <c r="W437" s="60" t="n"/>
      <c r="X437" s="60" t="n"/>
      <c r="Y437" s="60" t="n"/>
      <c r="Z437" s="60" t="n"/>
      <c r="AA437" s="65" t="n"/>
      <c r="AB437" s="66" t="n"/>
      <c r="AC437" s="66" t="n"/>
      <c r="AD437" s="66" t="n"/>
      <c r="AE437" s="67">
        <f>IF(ISNUMBER(Q437),ROUNDDOWN(Q437-NOW(),1),"")</f>
        <v/>
      </c>
      <c r="AF437" s="59">
        <f>IF(OR(A437="",AE437=""),"",IF(NOT(OR(W437="Watching",W437="Preparing")),"",IF(AE437&lt;0,"PASSED",IF(AND(AE437&lt;=7,W437&lt;&gt;"Preparing"),"RED",IF(AE437&lt;=14,"AMBER","GREEN")))))</f>
        <v/>
      </c>
      <c r="AG437" s="59">
        <f>IF(OR(A437="",NOT(OR(W437="Watching",W437="Preparing"))),"",IF(AND(ISNUMBER(M437),M437&gt;=3000000000),"YES – ≥ TZS 3bn",IF(AND(ISNUMBER(AE437),AE437&gt;=0,AE437&lt;10,V437=""),"YES – &lt;10 days","")))</f>
        <v/>
      </c>
      <c r="AH437" s="68" t="n"/>
      <c r="AI437" s="66" t="n"/>
      <c r="AJ437" s="66" t="n"/>
      <c r="AK437" s="66" t="n"/>
      <c r="AL437" s="59">
        <f>IF(AND(OR(W437="Watching",W437="Preparing"),ISNUMBER(Q437)),IF(AND(Q437&gt;='Friday Summary'!$C$4,Q437&lt;='Friday Summary'!$C$4+14),Q437+ROW()/1000000,""),"")</f>
        <v/>
      </c>
    </row>
    <row r="438" ht="15" customHeight="1" s="51">
      <c r="A438" s="59">
        <f>IF(B438="","","OP-"&amp;TEXT(ROW()-4,"000"))</f>
        <v/>
      </c>
      <c r="B438" s="60" t="n"/>
      <c r="C438" s="61" t="n"/>
      <c r="D438" s="60" t="n"/>
      <c r="E438" s="60" t="n"/>
      <c r="F438" s="60" t="n"/>
      <c r="G438" s="60" t="n"/>
      <c r="H438" s="60" t="n"/>
      <c r="I438" s="60" t="n"/>
      <c r="J438" s="60" t="n"/>
      <c r="K438" s="60" t="n"/>
      <c r="L438" s="60" t="n"/>
      <c r="M438" s="62" t="n"/>
      <c r="N438" s="60" t="n"/>
      <c r="O438" s="61" t="n"/>
      <c r="P438" s="61" t="n"/>
      <c r="Q438" s="63" t="n"/>
      <c r="R438" s="60" t="n"/>
      <c r="S438" s="60" t="n"/>
      <c r="T438" s="64">
        <f>IF(A438="","",IFERROR(INDEX('Bid-NoBid'!$T:$T,MATCH(A438,'Bid-NoBid'!$A:$A,0)),""))</f>
        <v/>
      </c>
      <c r="U438" s="59">
        <f>IF(A438="","",IFERROR(IF(OR(INDEX('Bid-NoBid'!$U:$U,MATCH(A438,'Bid-NoBid'!$A:$A,0))="",LEFT(INDEX('Bid-NoBid'!$U:$U,MATCH(A438,'Bid-NoBid'!$A:$A,0)),10)="Incomplete"),"Screen: "&amp;AC438,INDEX('Bid-NoBid'!$U:$U,MATCH(A438,'Bid-NoBid'!$A:$A,0))),"Screen: "&amp;AC438))</f>
        <v/>
      </c>
      <c r="V438" s="60" t="n"/>
      <c r="W438" s="60" t="n"/>
      <c r="X438" s="60" t="n"/>
      <c r="Y438" s="60" t="n"/>
      <c r="Z438" s="60" t="n"/>
      <c r="AA438" s="65" t="n"/>
      <c r="AB438" s="66" t="n"/>
      <c r="AC438" s="66" t="n"/>
      <c r="AD438" s="66" t="n"/>
      <c r="AE438" s="67">
        <f>IF(ISNUMBER(Q438),ROUNDDOWN(Q438-NOW(),1),"")</f>
        <v/>
      </c>
      <c r="AF438" s="59">
        <f>IF(OR(A438="",AE438=""),"",IF(NOT(OR(W438="Watching",W438="Preparing")),"",IF(AE438&lt;0,"PASSED",IF(AND(AE438&lt;=7,W438&lt;&gt;"Preparing"),"RED",IF(AE438&lt;=14,"AMBER","GREEN")))))</f>
        <v/>
      </c>
      <c r="AG438" s="59">
        <f>IF(OR(A438="",NOT(OR(W438="Watching",W438="Preparing"))),"",IF(AND(ISNUMBER(M438),M438&gt;=3000000000),"YES – ≥ TZS 3bn",IF(AND(ISNUMBER(AE438),AE438&gt;=0,AE438&lt;10,V438=""),"YES – &lt;10 days","")))</f>
        <v/>
      </c>
      <c r="AH438" s="68" t="n"/>
      <c r="AI438" s="66" t="n"/>
      <c r="AJ438" s="66" t="n"/>
      <c r="AK438" s="66" t="n"/>
      <c r="AL438" s="59">
        <f>IF(AND(OR(W438="Watching",W438="Preparing"),ISNUMBER(Q438)),IF(AND(Q438&gt;='Friday Summary'!$C$4,Q438&lt;='Friday Summary'!$C$4+14),Q438+ROW()/1000000,""),"")</f>
        <v/>
      </c>
    </row>
    <row r="439" ht="15" customHeight="1" s="51">
      <c r="A439" s="59">
        <f>IF(B439="","","OP-"&amp;TEXT(ROW()-4,"000"))</f>
        <v/>
      </c>
      <c r="B439" s="60" t="n"/>
      <c r="C439" s="61" t="n"/>
      <c r="D439" s="60" t="n"/>
      <c r="E439" s="60" t="n"/>
      <c r="F439" s="60" t="n"/>
      <c r="G439" s="60" t="n"/>
      <c r="H439" s="60" t="n"/>
      <c r="I439" s="60" t="n"/>
      <c r="J439" s="60" t="n"/>
      <c r="K439" s="60" t="n"/>
      <c r="L439" s="60" t="n"/>
      <c r="M439" s="62" t="n"/>
      <c r="N439" s="60" t="n"/>
      <c r="O439" s="61" t="n"/>
      <c r="P439" s="61" t="n"/>
      <c r="Q439" s="63" t="n"/>
      <c r="R439" s="60" t="n"/>
      <c r="S439" s="60" t="n"/>
      <c r="T439" s="64">
        <f>IF(A439="","",IFERROR(INDEX('Bid-NoBid'!$T:$T,MATCH(A439,'Bid-NoBid'!$A:$A,0)),""))</f>
        <v/>
      </c>
      <c r="U439" s="59">
        <f>IF(A439="","",IFERROR(IF(OR(INDEX('Bid-NoBid'!$U:$U,MATCH(A439,'Bid-NoBid'!$A:$A,0))="",LEFT(INDEX('Bid-NoBid'!$U:$U,MATCH(A439,'Bid-NoBid'!$A:$A,0)),10)="Incomplete"),"Screen: "&amp;AC439,INDEX('Bid-NoBid'!$U:$U,MATCH(A439,'Bid-NoBid'!$A:$A,0))),"Screen: "&amp;AC439))</f>
        <v/>
      </c>
      <c r="V439" s="60" t="n"/>
      <c r="W439" s="60" t="n"/>
      <c r="X439" s="60" t="n"/>
      <c r="Y439" s="60" t="n"/>
      <c r="Z439" s="60" t="n"/>
      <c r="AA439" s="65" t="n"/>
      <c r="AB439" s="66" t="n"/>
      <c r="AC439" s="66" t="n"/>
      <c r="AD439" s="66" t="n"/>
      <c r="AE439" s="67">
        <f>IF(ISNUMBER(Q439),ROUNDDOWN(Q439-NOW(),1),"")</f>
        <v/>
      </c>
      <c r="AF439" s="59">
        <f>IF(OR(A439="",AE439=""),"",IF(NOT(OR(W439="Watching",W439="Preparing")),"",IF(AE439&lt;0,"PASSED",IF(AND(AE439&lt;=7,W439&lt;&gt;"Preparing"),"RED",IF(AE439&lt;=14,"AMBER","GREEN")))))</f>
        <v/>
      </c>
      <c r="AG439" s="59">
        <f>IF(OR(A439="",NOT(OR(W439="Watching",W439="Preparing"))),"",IF(AND(ISNUMBER(M439),M439&gt;=3000000000),"YES – ≥ TZS 3bn",IF(AND(ISNUMBER(AE439),AE439&gt;=0,AE439&lt;10,V439=""),"YES – &lt;10 days","")))</f>
        <v/>
      </c>
      <c r="AH439" s="68" t="n"/>
      <c r="AI439" s="66" t="n"/>
      <c r="AJ439" s="66" t="n"/>
      <c r="AK439" s="66" t="n"/>
      <c r="AL439" s="59">
        <f>IF(AND(OR(W439="Watching",W439="Preparing"),ISNUMBER(Q439)),IF(AND(Q439&gt;='Friday Summary'!$C$4,Q439&lt;='Friday Summary'!$C$4+14),Q439+ROW()/1000000,""),"")</f>
        <v/>
      </c>
    </row>
    <row r="440" ht="15" customHeight="1" s="51">
      <c r="A440" s="59">
        <f>IF(B440="","","OP-"&amp;TEXT(ROW()-4,"000"))</f>
        <v/>
      </c>
      <c r="B440" s="60" t="n"/>
      <c r="C440" s="61" t="n"/>
      <c r="D440" s="60" t="n"/>
      <c r="E440" s="60" t="n"/>
      <c r="F440" s="60" t="n"/>
      <c r="G440" s="60" t="n"/>
      <c r="H440" s="60" t="n"/>
      <c r="I440" s="60" t="n"/>
      <c r="J440" s="60" t="n"/>
      <c r="K440" s="60" t="n"/>
      <c r="L440" s="60" t="n"/>
      <c r="M440" s="62" t="n"/>
      <c r="N440" s="60" t="n"/>
      <c r="O440" s="61" t="n"/>
      <c r="P440" s="61" t="n"/>
      <c r="Q440" s="63" t="n"/>
      <c r="R440" s="60" t="n"/>
      <c r="S440" s="60" t="n"/>
      <c r="T440" s="64">
        <f>IF(A440="","",IFERROR(INDEX('Bid-NoBid'!$T:$T,MATCH(A440,'Bid-NoBid'!$A:$A,0)),""))</f>
        <v/>
      </c>
      <c r="U440" s="59">
        <f>IF(A440="","",IFERROR(IF(OR(INDEX('Bid-NoBid'!$U:$U,MATCH(A440,'Bid-NoBid'!$A:$A,0))="",LEFT(INDEX('Bid-NoBid'!$U:$U,MATCH(A440,'Bid-NoBid'!$A:$A,0)),10)="Incomplete"),"Screen: "&amp;AC440,INDEX('Bid-NoBid'!$U:$U,MATCH(A440,'Bid-NoBid'!$A:$A,0))),"Screen: "&amp;AC440))</f>
        <v/>
      </c>
      <c r="V440" s="60" t="n"/>
      <c r="W440" s="60" t="n"/>
      <c r="X440" s="60" t="n"/>
      <c r="Y440" s="60" t="n"/>
      <c r="Z440" s="60" t="n"/>
      <c r="AA440" s="65" t="n"/>
      <c r="AB440" s="66" t="n"/>
      <c r="AC440" s="66" t="n"/>
      <c r="AD440" s="66" t="n"/>
      <c r="AE440" s="67">
        <f>IF(ISNUMBER(Q440),ROUNDDOWN(Q440-NOW(),1),"")</f>
        <v/>
      </c>
      <c r="AF440" s="59">
        <f>IF(OR(A440="",AE440=""),"",IF(NOT(OR(W440="Watching",W440="Preparing")),"",IF(AE440&lt;0,"PASSED",IF(AND(AE440&lt;=7,W440&lt;&gt;"Preparing"),"RED",IF(AE440&lt;=14,"AMBER","GREEN")))))</f>
        <v/>
      </c>
      <c r="AG440" s="59">
        <f>IF(OR(A440="",NOT(OR(W440="Watching",W440="Preparing"))),"",IF(AND(ISNUMBER(M440),M440&gt;=3000000000),"YES – ≥ TZS 3bn",IF(AND(ISNUMBER(AE440),AE440&gt;=0,AE440&lt;10,V440=""),"YES – &lt;10 days","")))</f>
        <v/>
      </c>
      <c r="AH440" s="68" t="n"/>
      <c r="AI440" s="66" t="n"/>
      <c r="AJ440" s="66" t="n"/>
      <c r="AK440" s="66" t="n"/>
      <c r="AL440" s="59">
        <f>IF(AND(OR(W440="Watching",W440="Preparing"),ISNUMBER(Q440)),IF(AND(Q440&gt;='Friday Summary'!$C$4,Q440&lt;='Friday Summary'!$C$4+14),Q440+ROW()/1000000,""),"")</f>
        <v/>
      </c>
    </row>
    <row r="441" ht="15" customHeight="1" s="51">
      <c r="A441" s="59">
        <f>IF(B441="","","OP-"&amp;TEXT(ROW()-4,"000"))</f>
        <v/>
      </c>
      <c r="B441" s="60" t="n"/>
      <c r="C441" s="61" t="n"/>
      <c r="D441" s="60" t="n"/>
      <c r="E441" s="60" t="n"/>
      <c r="F441" s="60" t="n"/>
      <c r="G441" s="60" t="n"/>
      <c r="H441" s="60" t="n"/>
      <c r="I441" s="60" t="n"/>
      <c r="J441" s="60" t="n"/>
      <c r="K441" s="60" t="n"/>
      <c r="L441" s="60" t="n"/>
      <c r="M441" s="62" t="n"/>
      <c r="N441" s="60" t="n"/>
      <c r="O441" s="61" t="n"/>
      <c r="P441" s="61" t="n"/>
      <c r="Q441" s="63" t="n"/>
      <c r="R441" s="60" t="n"/>
      <c r="S441" s="60" t="n"/>
      <c r="T441" s="64">
        <f>IF(A441="","",IFERROR(INDEX('Bid-NoBid'!$T:$T,MATCH(A441,'Bid-NoBid'!$A:$A,0)),""))</f>
        <v/>
      </c>
      <c r="U441" s="59">
        <f>IF(A441="","",IFERROR(IF(OR(INDEX('Bid-NoBid'!$U:$U,MATCH(A441,'Bid-NoBid'!$A:$A,0))="",LEFT(INDEX('Bid-NoBid'!$U:$U,MATCH(A441,'Bid-NoBid'!$A:$A,0)),10)="Incomplete"),"Screen: "&amp;AC441,INDEX('Bid-NoBid'!$U:$U,MATCH(A441,'Bid-NoBid'!$A:$A,0))),"Screen: "&amp;AC441))</f>
        <v/>
      </c>
      <c r="V441" s="60" t="n"/>
      <c r="W441" s="60" t="n"/>
      <c r="X441" s="60" t="n"/>
      <c r="Y441" s="60" t="n"/>
      <c r="Z441" s="60" t="n"/>
      <c r="AA441" s="65" t="n"/>
      <c r="AB441" s="66" t="n"/>
      <c r="AC441" s="66" t="n"/>
      <c r="AD441" s="66" t="n"/>
      <c r="AE441" s="67">
        <f>IF(ISNUMBER(Q441),ROUNDDOWN(Q441-NOW(),1),"")</f>
        <v/>
      </c>
      <c r="AF441" s="59">
        <f>IF(OR(A441="",AE441=""),"",IF(NOT(OR(W441="Watching",W441="Preparing")),"",IF(AE441&lt;0,"PASSED",IF(AND(AE441&lt;=7,W441&lt;&gt;"Preparing"),"RED",IF(AE441&lt;=14,"AMBER","GREEN")))))</f>
        <v/>
      </c>
      <c r="AG441" s="59">
        <f>IF(OR(A441="",NOT(OR(W441="Watching",W441="Preparing"))),"",IF(AND(ISNUMBER(M441),M441&gt;=3000000000),"YES – ≥ TZS 3bn",IF(AND(ISNUMBER(AE441),AE441&gt;=0,AE441&lt;10,V441=""),"YES – &lt;10 days","")))</f>
        <v/>
      </c>
      <c r="AH441" s="68" t="n"/>
      <c r="AI441" s="66" t="n"/>
      <c r="AJ441" s="66" t="n"/>
      <c r="AK441" s="66" t="n"/>
      <c r="AL441" s="59">
        <f>IF(AND(OR(W441="Watching",W441="Preparing"),ISNUMBER(Q441)),IF(AND(Q441&gt;='Friday Summary'!$C$4,Q441&lt;='Friday Summary'!$C$4+14),Q441+ROW()/1000000,""),"")</f>
        <v/>
      </c>
    </row>
    <row r="442" ht="15" customHeight="1" s="51">
      <c r="A442" s="59">
        <f>IF(B442="","","OP-"&amp;TEXT(ROW()-4,"000"))</f>
        <v/>
      </c>
      <c r="B442" s="60" t="n"/>
      <c r="C442" s="61" t="n"/>
      <c r="D442" s="60" t="n"/>
      <c r="E442" s="60" t="n"/>
      <c r="F442" s="60" t="n"/>
      <c r="G442" s="60" t="n"/>
      <c r="H442" s="60" t="n"/>
      <c r="I442" s="60" t="n"/>
      <c r="J442" s="60" t="n"/>
      <c r="K442" s="60" t="n"/>
      <c r="L442" s="60" t="n"/>
      <c r="M442" s="62" t="n"/>
      <c r="N442" s="60" t="n"/>
      <c r="O442" s="61" t="n"/>
      <c r="P442" s="61" t="n"/>
      <c r="Q442" s="63" t="n"/>
      <c r="R442" s="60" t="n"/>
      <c r="S442" s="60" t="n"/>
      <c r="T442" s="64">
        <f>IF(A442="","",IFERROR(INDEX('Bid-NoBid'!$T:$T,MATCH(A442,'Bid-NoBid'!$A:$A,0)),""))</f>
        <v/>
      </c>
      <c r="U442" s="59">
        <f>IF(A442="","",IFERROR(IF(OR(INDEX('Bid-NoBid'!$U:$U,MATCH(A442,'Bid-NoBid'!$A:$A,0))="",LEFT(INDEX('Bid-NoBid'!$U:$U,MATCH(A442,'Bid-NoBid'!$A:$A,0)),10)="Incomplete"),"Screen: "&amp;AC442,INDEX('Bid-NoBid'!$U:$U,MATCH(A442,'Bid-NoBid'!$A:$A,0))),"Screen: "&amp;AC442))</f>
        <v/>
      </c>
      <c r="V442" s="60" t="n"/>
      <c r="W442" s="60" t="n"/>
      <c r="X442" s="60" t="n"/>
      <c r="Y442" s="60" t="n"/>
      <c r="Z442" s="60" t="n"/>
      <c r="AA442" s="65" t="n"/>
      <c r="AB442" s="66" t="n"/>
      <c r="AC442" s="66" t="n"/>
      <c r="AD442" s="66" t="n"/>
      <c r="AE442" s="67">
        <f>IF(ISNUMBER(Q442),ROUNDDOWN(Q442-NOW(),1),"")</f>
        <v/>
      </c>
      <c r="AF442" s="59">
        <f>IF(OR(A442="",AE442=""),"",IF(NOT(OR(W442="Watching",W442="Preparing")),"",IF(AE442&lt;0,"PASSED",IF(AND(AE442&lt;=7,W442&lt;&gt;"Preparing"),"RED",IF(AE442&lt;=14,"AMBER","GREEN")))))</f>
        <v/>
      </c>
      <c r="AG442" s="59">
        <f>IF(OR(A442="",NOT(OR(W442="Watching",W442="Preparing"))),"",IF(AND(ISNUMBER(M442),M442&gt;=3000000000),"YES – ≥ TZS 3bn",IF(AND(ISNUMBER(AE442),AE442&gt;=0,AE442&lt;10,V442=""),"YES – &lt;10 days","")))</f>
        <v/>
      </c>
      <c r="AH442" s="68" t="n"/>
      <c r="AI442" s="66" t="n"/>
      <c r="AJ442" s="66" t="n"/>
      <c r="AK442" s="66" t="n"/>
      <c r="AL442" s="59">
        <f>IF(AND(OR(W442="Watching",W442="Preparing"),ISNUMBER(Q442)),IF(AND(Q442&gt;='Friday Summary'!$C$4,Q442&lt;='Friday Summary'!$C$4+14),Q442+ROW()/1000000,""),"")</f>
        <v/>
      </c>
    </row>
    <row r="443" ht="15" customHeight="1" s="51">
      <c r="A443" s="59">
        <f>IF(B443="","","OP-"&amp;TEXT(ROW()-4,"000"))</f>
        <v/>
      </c>
      <c r="B443" s="60" t="n"/>
      <c r="C443" s="61" t="n"/>
      <c r="D443" s="60" t="n"/>
      <c r="E443" s="60" t="n"/>
      <c r="F443" s="60" t="n"/>
      <c r="G443" s="60" t="n"/>
      <c r="H443" s="60" t="n"/>
      <c r="I443" s="60" t="n"/>
      <c r="J443" s="60" t="n"/>
      <c r="K443" s="60" t="n"/>
      <c r="L443" s="60" t="n"/>
      <c r="M443" s="62" t="n"/>
      <c r="N443" s="60" t="n"/>
      <c r="O443" s="61" t="n"/>
      <c r="P443" s="61" t="n"/>
      <c r="Q443" s="63" t="n"/>
      <c r="R443" s="60" t="n"/>
      <c r="S443" s="60" t="n"/>
      <c r="T443" s="64">
        <f>IF(A443="","",IFERROR(INDEX('Bid-NoBid'!$T:$T,MATCH(A443,'Bid-NoBid'!$A:$A,0)),""))</f>
        <v/>
      </c>
      <c r="U443" s="59">
        <f>IF(A443="","",IFERROR(IF(OR(INDEX('Bid-NoBid'!$U:$U,MATCH(A443,'Bid-NoBid'!$A:$A,0))="",LEFT(INDEX('Bid-NoBid'!$U:$U,MATCH(A443,'Bid-NoBid'!$A:$A,0)),10)="Incomplete"),"Screen: "&amp;AC443,INDEX('Bid-NoBid'!$U:$U,MATCH(A443,'Bid-NoBid'!$A:$A,0))),"Screen: "&amp;AC443))</f>
        <v/>
      </c>
      <c r="V443" s="60" t="n"/>
      <c r="W443" s="60" t="n"/>
      <c r="X443" s="60" t="n"/>
      <c r="Y443" s="60" t="n"/>
      <c r="Z443" s="60" t="n"/>
      <c r="AA443" s="65" t="n"/>
      <c r="AB443" s="66" t="n"/>
      <c r="AC443" s="66" t="n"/>
      <c r="AD443" s="66" t="n"/>
      <c r="AE443" s="67">
        <f>IF(ISNUMBER(Q443),ROUNDDOWN(Q443-NOW(),1),"")</f>
        <v/>
      </c>
      <c r="AF443" s="59">
        <f>IF(OR(A443="",AE443=""),"",IF(NOT(OR(W443="Watching",W443="Preparing")),"",IF(AE443&lt;0,"PASSED",IF(AND(AE443&lt;=7,W443&lt;&gt;"Preparing"),"RED",IF(AE443&lt;=14,"AMBER","GREEN")))))</f>
        <v/>
      </c>
      <c r="AG443" s="59">
        <f>IF(OR(A443="",NOT(OR(W443="Watching",W443="Preparing"))),"",IF(AND(ISNUMBER(M443),M443&gt;=3000000000),"YES – ≥ TZS 3bn",IF(AND(ISNUMBER(AE443),AE443&gt;=0,AE443&lt;10,V443=""),"YES – &lt;10 days","")))</f>
        <v/>
      </c>
      <c r="AH443" s="68" t="n"/>
      <c r="AI443" s="66" t="n"/>
      <c r="AJ443" s="66" t="n"/>
      <c r="AK443" s="66" t="n"/>
      <c r="AL443" s="59">
        <f>IF(AND(OR(W443="Watching",W443="Preparing"),ISNUMBER(Q443)),IF(AND(Q443&gt;='Friday Summary'!$C$4,Q443&lt;='Friday Summary'!$C$4+14),Q443+ROW()/1000000,""),"")</f>
        <v/>
      </c>
    </row>
    <row r="444" ht="15" customHeight="1" s="51">
      <c r="A444" s="59">
        <f>IF(B444="","","OP-"&amp;TEXT(ROW()-4,"000"))</f>
        <v/>
      </c>
      <c r="B444" s="60" t="n"/>
      <c r="C444" s="61" t="n"/>
      <c r="D444" s="60" t="n"/>
      <c r="E444" s="60" t="n"/>
      <c r="F444" s="60" t="n"/>
      <c r="G444" s="60" t="n"/>
      <c r="H444" s="60" t="n"/>
      <c r="I444" s="60" t="n"/>
      <c r="J444" s="60" t="n"/>
      <c r="K444" s="60" t="n"/>
      <c r="L444" s="60" t="n"/>
      <c r="M444" s="62" t="n"/>
      <c r="N444" s="60" t="n"/>
      <c r="O444" s="61" t="n"/>
      <c r="P444" s="61" t="n"/>
      <c r="Q444" s="63" t="n"/>
      <c r="R444" s="60" t="n"/>
      <c r="S444" s="60" t="n"/>
      <c r="T444" s="64">
        <f>IF(A444="","",IFERROR(INDEX('Bid-NoBid'!$T:$T,MATCH(A444,'Bid-NoBid'!$A:$A,0)),""))</f>
        <v/>
      </c>
      <c r="U444" s="59">
        <f>IF(A444="","",IFERROR(IF(OR(INDEX('Bid-NoBid'!$U:$U,MATCH(A444,'Bid-NoBid'!$A:$A,0))="",LEFT(INDEX('Bid-NoBid'!$U:$U,MATCH(A444,'Bid-NoBid'!$A:$A,0)),10)="Incomplete"),"Screen: "&amp;AC444,INDEX('Bid-NoBid'!$U:$U,MATCH(A444,'Bid-NoBid'!$A:$A,0))),"Screen: "&amp;AC444))</f>
        <v/>
      </c>
      <c r="V444" s="60" t="n"/>
      <c r="W444" s="60" t="n"/>
      <c r="X444" s="60" t="n"/>
      <c r="Y444" s="60" t="n"/>
      <c r="Z444" s="60" t="n"/>
      <c r="AA444" s="65" t="n"/>
      <c r="AB444" s="66" t="n"/>
      <c r="AC444" s="66" t="n"/>
      <c r="AD444" s="66" t="n"/>
      <c r="AE444" s="67">
        <f>IF(ISNUMBER(Q444),ROUNDDOWN(Q444-NOW(),1),"")</f>
        <v/>
      </c>
      <c r="AF444" s="59">
        <f>IF(OR(A444="",AE444=""),"",IF(NOT(OR(W444="Watching",W444="Preparing")),"",IF(AE444&lt;0,"PASSED",IF(AND(AE444&lt;=7,W444&lt;&gt;"Preparing"),"RED",IF(AE444&lt;=14,"AMBER","GREEN")))))</f>
        <v/>
      </c>
      <c r="AG444" s="59">
        <f>IF(OR(A444="",NOT(OR(W444="Watching",W444="Preparing"))),"",IF(AND(ISNUMBER(M444),M444&gt;=3000000000),"YES – ≥ TZS 3bn",IF(AND(ISNUMBER(AE444),AE444&gt;=0,AE444&lt;10,V444=""),"YES – &lt;10 days","")))</f>
        <v/>
      </c>
      <c r="AH444" s="68" t="n"/>
      <c r="AI444" s="66" t="n"/>
      <c r="AJ444" s="66" t="n"/>
      <c r="AK444" s="66" t="n"/>
      <c r="AL444" s="59">
        <f>IF(AND(OR(W444="Watching",W444="Preparing"),ISNUMBER(Q444)),IF(AND(Q444&gt;='Friday Summary'!$C$4,Q444&lt;='Friday Summary'!$C$4+14),Q444+ROW()/1000000,""),"")</f>
        <v/>
      </c>
    </row>
    <row r="445" ht="15" customHeight="1" s="51">
      <c r="A445" s="59">
        <f>IF(B445="","","OP-"&amp;TEXT(ROW()-4,"000"))</f>
        <v/>
      </c>
      <c r="B445" s="60" t="n"/>
      <c r="C445" s="61" t="n"/>
      <c r="D445" s="60" t="n"/>
      <c r="E445" s="60" t="n"/>
      <c r="F445" s="60" t="n"/>
      <c r="G445" s="60" t="n"/>
      <c r="H445" s="60" t="n"/>
      <c r="I445" s="60" t="n"/>
      <c r="J445" s="60" t="n"/>
      <c r="K445" s="60" t="n"/>
      <c r="L445" s="60" t="n"/>
      <c r="M445" s="62" t="n"/>
      <c r="N445" s="60" t="n"/>
      <c r="O445" s="61" t="n"/>
      <c r="P445" s="61" t="n"/>
      <c r="Q445" s="63" t="n"/>
      <c r="R445" s="60" t="n"/>
      <c r="S445" s="60" t="n"/>
      <c r="T445" s="64">
        <f>IF(A445="","",IFERROR(INDEX('Bid-NoBid'!$T:$T,MATCH(A445,'Bid-NoBid'!$A:$A,0)),""))</f>
        <v/>
      </c>
      <c r="U445" s="59">
        <f>IF(A445="","",IFERROR(IF(OR(INDEX('Bid-NoBid'!$U:$U,MATCH(A445,'Bid-NoBid'!$A:$A,0))="",LEFT(INDEX('Bid-NoBid'!$U:$U,MATCH(A445,'Bid-NoBid'!$A:$A,0)),10)="Incomplete"),"Screen: "&amp;AC445,INDEX('Bid-NoBid'!$U:$U,MATCH(A445,'Bid-NoBid'!$A:$A,0))),"Screen: "&amp;AC445))</f>
        <v/>
      </c>
      <c r="V445" s="60" t="n"/>
      <c r="W445" s="60" t="n"/>
      <c r="X445" s="60" t="n"/>
      <c r="Y445" s="60" t="n"/>
      <c r="Z445" s="60" t="n"/>
      <c r="AA445" s="65" t="n"/>
      <c r="AB445" s="66" t="n"/>
      <c r="AC445" s="66" t="n"/>
      <c r="AD445" s="66" t="n"/>
      <c r="AE445" s="67">
        <f>IF(ISNUMBER(Q445),ROUNDDOWN(Q445-NOW(),1),"")</f>
        <v/>
      </c>
      <c r="AF445" s="59">
        <f>IF(OR(A445="",AE445=""),"",IF(NOT(OR(W445="Watching",W445="Preparing")),"",IF(AE445&lt;0,"PASSED",IF(AND(AE445&lt;=7,W445&lt;&gt;"Preparing"),"RED",IF(AE445&lt;=14,"AMBER","GREEN")))))</f>
        <v/>
      </c>
      <c r="AG445" s="59">
        <f>IF(OR(A445="",NOT(OR(W445="Watching",W445="Preparing"))),"",IF(AND(ISNUMBER(M445),M445&gt;=3000000000),"YES – ≥ TZS 3bn",IF(AND(ISNUMBER(AE445),AE445&gt;=0,AE445&lt;10,V445=""),"YES – &lt;10 days","")))</f>
        <v/>
      </c>
      <c r="AH445" s="68" t="n"/>
      <c r="AI445" s="66" t="n"/>
      <c r="AJ445" s="66" t="n"/>
      <c r="AK445" s="66" t="n"/>
      <c r="AL445" s="59">
        <f>IF(AND(OR(W445="Watching",W445="Preparing"),ISNUMBER(Q445)),IF(AND(Q445&gt;='Friday Summary'!$C$4,Q445&lt;='Friday Summary'!$C$4+14),Q445+ROW()/1000000,""),"")</f>
        <v/>
      </c>
    </row>
    <row r="446" ht="15" customHeight="1" s="51">
      <c r="A446" s="59">
        <f>IF(B446="","","OP-"&amp;TEXT(ROW()-4,"000"))</f>
        <v/>
      </c>
      <c r="B446" s="60" t="n"/>
      <c r="C446" s="61" t="n"/>
      <c r="D446" s="60" t="n"/>
      <c r="E446" s="60" t="n"/>
      <c r="F446" s="60" t="n"/>
      <c r="G446" s="60" t="n"/>
      <c r="H446" s="60" t="n"/>
      <c r="I446" s="60" t="n"/>
      <c r="J446" s="60" t="n"/>
      <c r="K446" s="60" t="n"/>
      <c r="L446" s="60" t="n"/>
      <c r="M446" s="62" t="n"/>
      <c r="N446" s="60" t="n"/>
      <c r="O446" s="61" t="n"/>
      <c r="P446" s="61" t="n"/>
      <c r="Q446" s="63" t="n"/>
      <c r="R446" s="60" t="n"/>
      <c r="S446" s="60" t="n"/>
      <c r="T446" s="64">
        <f>IF(A446="","",IFERROR(INDEX('Bid-NoBid'!$T:$T,MATCH(A446,'Bid-NoBid'!$A:$A,0)),""))</f>
        <v/>
      </c>
      <c r="U446" s="59">
        <f>IF(A446="","",IFERROR(IF(OR(INDEX('Bid-NoBid'!$U:$U,MATCH(A446,'Bid-NoBid'!$A:$A,0))="",LEFT(INDEX('Bid-NoBid'!$U:$U,MATCH(A446,'Bid-NoBid'!$A:$A,0)),10)="Incomplete"),"Screen: "&amp;AC446,INDEX('Bid-NoBid'!$U:$U,MATCH(A446,'Bid-NoBid'!$A:$A,0))),"Screen: "&amp;AC446))</f>
        <v/>
      </c>
      <c r="V446" s="60" t="n"/>
      <c r="W446" s="60" t="n"/>
      <c r="X446" s="60" t="n"/>
      <c r="Y446" s="60" t="n"/>
      <c r="Z446" s="60" t="n"/>
      <c r="AA446" s="65" t="n"/>
      <c r="AB446" s="66" t="n"/>
      <c r="AC446" s="66" t="n"/>
      <c r="AD446" s="66" t="n"/>
      <c r="AE446" s="67">
        <f>IF(ISNUMBER(Q446),ROUNDDOWN(Q446-NOW(),1),"")</f>
        <v/>
      </c>
      <c r="AF446" s="59">
        <f>IF(OR(A446="",AE446=""),"",IF(NOT(OR(W446="Watching",W446="Preparing")),"",IF(AE446&lt;0,"PASSED",IF(AND(AE446&lt;=7,W446&lt;&gt;"Preparing"),"RED",IF(AE446&lt;=14,"AMBER","GREEN")))))</f>
        <v/>
      </c>
      <c r="AG446" s="59">
        <f>IF(OR(A446="",NOT(OR(W446="Watching",W446="Preparing"))),"",IF(AND(ISNUMBER(M446),M446&gt;=3000000000),"YES – ≥ TZS 3bn",IF(AND(ISNUMBER(AE446),AE446&gt;=0,AE446&lt;10,V446=""),"YES – &lt;10 days","")))</f>
        <v/>
      </c>
      <c r="AH446" s="68" t="n"/>
      <c r="AI446" s="66" t="n"/>
      <c r="AJ446" s="66" t="n"/>
      <c r="AK446" s="66" t="n"/>
      <c r="AL446" s="59">
        <f>IF(AND(OR(W446="Watching",W446="Preparing"),ISNUMBER(Q446)),IF(AND(Q446&gt;='Friday Summary'!$C$4,Q446&lt;='Friday Summary'!$C$4+14),Q446+ROW()/1000000,""),"")</f>
        <v/>
      </c>
    </row>
    <row r="447" ht="15" customHeight="1" s="51">
      <c r="A447" s="59">
        <f>IF(B447="","","OP-"&amp;TEXT(ROW()-4,"000"))</f>
        <v/>
      </c>
      <c r="B447" s="60" t="n"/>
      <c r="C447" s="61" t="n"/>
      <c r="D447" s="60" t="n"/>
      <c r="E447" s="60" t="n"/>
      <c r="F447" s="60" t="n"/>
      <c r="G447" s="60" t="n"/>
      <c r="H447" s="60" t="n"/>
      <c r="I447" s="60" t="n"/>
      <c r="J447" s="60" t="n"/>
      <c r="K447" s="60" t="n"/>
      <c r="L447" s="60" t="n"/>
      <c r="M447" s="62" t="n"/>
      <c r="N447" s="60" t="n"/>
      <c r="O447" s="61" t="n"/>
      <c r="P447" s="61" t="n"/>
      <c r="Q447" s="63" t="n"/>
      <c r="R447" s="60" t="n"/>
      <c r="S447" s="60" t="n"/>
      <c r="T447" s="64">
        <f>IF(A447="","",IFERROR(INDEX('Bid-NoBid'!$T:$T,MATCH(A447,'Bid-NoBid'!$A:$A,0)),""))</f>
        <v/>
      </c>
      <c r="U447" s="59">
        <f>IF(A447="","",IFERROR(IF(OR(INDEX('Bid-NoBid'!$U:$U,MATCH(A447,'Bid-NoBid'!$A:$A,0))="",LEFT(INDEX('Bid-NoBid'!$U:$U,MATCH(A447,'Bid-NoBid'!$A:$A,0)),10)="Incomplete"),"Screen: "&amp;AC447,INDEX('Bid-NoBid'!$U:$U,MATCH(A447,'Bid-NoBid'!$A:$A,0))),"Screen: "&amp;AC447))</f>
        <v/>
      </c>
      <c r="V447" s="60" t="n"/>
      <c r="W447" s="60" t="n"/>
      <c r="X447" s="60" t="n"/>
      <c r="Y447" s="60" t="n"/>
      <c r="Z447" s="60" t="n"/>
      <c r="AA447" s="65" t="n"/>
      <c r="AB447" s="66" t="n"/>
      <c r="AC447" s="66" t="n"/>
      <c r="AD447" s="66" t="n"/>
      <c r="AE447" s="67">
        <f>IF(ISNUMBER(Q447),ROUNDDOWN(Q447-NOW(),1),"")</f>
        <v/>
      </c>
      <c r="AF447" s="59">
        <f>IF(OR(A447="",AE447=""),"",IF(NOT(OR(W447="Watching",W447="Preparing")),"",IF(AE447&lt;0,"PASSED",IF(AND(AE447&lt;=7,W447&lt;&gt;"Preparing"),"RED",IF(AE447&lt;=14,"AMBER","GREEN")))))</f>
        <v/>
      </c>
      <c r="AG447" s="59">
        <f>IF(OR(A447="",NOT(OR(W447="Watching",W447="Preparing"))),"",IF(AND(ISNUMBER(M447),M447&gt;=3000000000),"YES – ≥ TZS 3bn",IF(AND(ISNUMBER(AE447),AE447&gt;=0,AE447&lt;10,V447=""),"YES – &lt;10 days","")))</f>
        <v/>
      </c>
      <c r="AH447" s="68" t="n"/>
      <c r="AI447" s="66" t="n"/>
      <c r="AJ447" s="66" t="n"/>
      <c r="AK447" s="66" t="n"/>
      <c r="AL447" s="59">
        <f>IF(AND(OR(W447="Watching",W447="Preparing"),ISNUMBER(Q447)),IF(AND(Q447&gt;='Friday Summary'!$C$4,Q447&lt;='Friday Summary'!$C$4+14),Q447+ROW()/1000000,""),"")</f>
        <v/>
      </c>
    </row>
    <row r="448" ht="15" customHeight="1" s="51">
      <c r="A448" s="59">
        <f>IF(B448="","","OP-"&amp;TEXT(ROW()-4,"000"))</f>
        <v/>
      </c>
      <c r="B448" s="60" t="n"/>
      <c r="C448" s="61" t="n"/>
      <c r="D448" s="60" t="n"/>
      <c r="E448" s="60" t="n"/>
      <c r="F448" s="60" t="n"/>
      <c r="G448" s="60" t="n"/>
      <c r="H448" s="60" t="n"/>
      <c r="I448" s="60" t="n"/>
      <c r="J448" s="60" t="n"/>
      <c r="K448" s="60" t="n"/>
      <c r="L448" s="60" t="n"/>
      <c r="M448" s="62" t="n"/>
      <c r="N448" s="60" t="n"/>
      <c r="O448" s="61" t="n"/>
      <c r="P448" s="61" t="n"/>
      <c r="Q448" s="63" t="n"/>
      <c r="R448" s="60" t="n"/>
      <c r="S448" s="60" t="n"/>
      <c r="T448" s="64">
        <f>IF(A448="","",IFERROR(INDEX('Bid-NoBid'!$T:$T,MATCH(A448,'Bid-NoBid'!$A:$A,0)),""))</f>
        <v/>
      </c>
      <c r="U448" s="59">
        <f>IF(A448="","",IFERROR(IF(OR(INDEX('Bid-NoBid'!$U:$U,MATCH(A448,'Bid-NoBid'!$A:$A,0))="",LEFT(INDEX('Bid-NoBid'!$U:$U,MATCH(A448,'Bid-NoBid'!$A:$A,0)),10)="Incomplete"),"Screen: "&amp;AC448,INDEX('Bid-NoBid'!$U:$U,MATCH(A448,'Bid-NoBid'!$A:$A,0))),"Screen: "&amp;AC448))</f>
        <v/>
      </c>
      <c r="V448" s="60" t="n"/>
      <c r="W448" s="60" t="n"/>
      <c r="X448" s="60" t="n"/>
      <c r="Y448" s="60" t="n"/>
      <c r="Z448" s="60" t="n"/>
      <c r="AA448" s="65" t="n"/>
      <c r="AB448" s="66" t="n"/>
      <c r="AC448" s="66" t="n"/>
      <c r="AD448" s="66" t="n"/>
      <c r="AE448" s="67">
        <f>IF(ISNUMBER(Q448),ROUNDDOWN(Q448-NOW(),1),"")</f>
        <v/>
      </c>
      <c r="AF448" s="59">
        <f>IF(OR(A448="",AE448=""),"",IF(NOT(OR(W448="Watching",W448="Preparing")),"",IF(AE448&lt;0,"PASSED",IF(AND(AE448&lt;=7,W448&lt;&gt;"Preparing"),"RED",IF(AE448&lt;=14,"AMBER","GREEN")))))</f>
        <v/>
      </c>
      <c r="AG448" s="59">
        <f>IF(OR(A448="",NOT(OR(W448="Watching",W448="Preparing"))),"",IF(AND(ISNUMBER(M448),M448&gt;=3000000000),"YES – ≥ TZS 3bn",IF(AND(ISNUMBER(AE448),AE448&gt;=0,AE448&lt;10,V448=""),"YES – &lt;10 days","")))</f>
        <v/>
      </c>
      <c r="AH448" s="68" t="n"/>
      <c r="AI448" s="66" t="n"/>
      <c r="AJ448" s="66" t="n"/>
      <c r="AK448" s="66" t="n"/>
      <c r="AL448" s="59">
        <f>IF(AND(OR(W448="Watching",W448="Preparing"),ISNUMBER(Q448)),IF(AND(Q448&gt;='Friday Summary'!$C$4,Q448&lt;='Friday Summary'!$C$4+14),Q448+ROW()/1000000,""),"")</f>
        <v/>
      </c>
    </row>
    <row r="449" ht="15" customHeight="1" s="51">
      <c r="A449" s="59">
        <f>IF(B449="","","OP-"&amp;TEXT(ROW()-4,"000"))</f>
        <v/>
      </c>
      <c r="B449" s="60" t="n"/>
      <c r="C449" s="61" t="n"/>
      <c r="D449" s="60" t="n"/>
      <c r="E449" s="60" t="n"/>
      <c r="F449" s="60" t="n"/>
      <c r="G449" s="60" t="n"/>
      <c r="H449" s="60" t="n"/>
      <c r="I449" s="60" t="n"/>
      <c r="J449" s="60" t="n"/>
      <c r="K449" s="60" t="n"/>
      <c r="L449" s="60" t="n"/>
      <c r="M449" s="62" t="n"/>
      <c r="N449" s="60" t="n"/>
      <c r="O449" s="61" t="n"/>
      <c r="P449" s="61" t="n"/>
      <c r="Q449" s="63" t="n"/>
      <c r="R449" s="60" t="n"/>
      <c r="S449" s="60" t="n"/>
      <c r="T449" s="64">
        <f>IF(A449="","",IFERROR(INDEX('Bid-NoBid'!$T:$T,MATCH(A449,'Bid-NoBid'!$A:$A,0)),""))</f>
        <v/>
      </c>
      <c r="U449" s="59">
        <f>IF(A449="","",IFERROR(IF(OR(INDEX('Bid-NoBid'!$U:$U,MATCH(A449,'Bid-NoBid'!$A:$A,0))="",LEFT(INDEX('Bid-NoBid'!$U:$U,MATCH(A449,'Bid-NoBid'!$A:$A,0)),10)="Incomplete"),"Screen: "&amp;AC449,INDEX('Bid-NoBid'!$U:$U,MATCH(A449,'Bid-NoBid'!$A:$A,0))),"Screen: "&amp;AC449))</f>
        <v/>
      </c>
      <c r="V449" s="60" t="n"/>
      <c r="W449" s="60" t="n"/>
      <c r="X449" s="60" t="n"/>
      <c r="Y449" s="60" t="n"/>
      <c r="Z449" s="60" t="n"/>
      <c r="AA449" s="65" t="n"/>
      <c r="AB449" s="66" t="n"/>
      <c r="AC449" s="66" t="n"/>
      <c r="AD449" s="66" t="n"/>
      <c r="AE449" s="67">
        <f>IF(ISNUMBER(Q449),ROUNDDOWN(Q449-NOW(),1),"")</f>
        <v/>
      </c>
      <c r="AF449" s="59">
        <f>IF(OR(A449="",AE449=""),"",IF(NOT(OR(W449="Watching",W449="Preparing")),"",IF(AE449&lt;0,"PASSED",IF(AND(AE449&lt;=7,W449&lt;&gt;"Preparing"),"RED",IF(AE449&lt;=14,"AMBER","GREEN")))))</f>
        <v/>
      </c>
      <c r="AG449" s="59">
        <f>IF(OR(A449="",NOT(OR(W449="Watching",W449="Preparing"))),"",IF(AND(ISNUMBER(M449),M449&gt;=3000000000),"YES – ≥ TZS 3bn",IF(AND(ISNUMBER(AE449),AE449&gt;=0,AE449&lt;10,V449=""),"YES – &lt;10 days","")))</f>
        <v/>
      </c>
      <c r="AH449" s="68" t="n"/>
      <c r="AI449" s="66" t="n"/>
      <c r="AJ449" s="66" t="n"/>
      <c r="AK449" s="66" t="n"/>
      <c r="AL449" s="59">
        <f>IF(AND(OR(W449="Watching",W449="Preparing"),ISNUMBER(Q449)),IF(AND(Q449&gt;='Friday Summary'!$C$4,Q449&lt;='Friday Summary'!$C$4+14),Q449+ROW()/1000000,""),"")</f>
        <v/>
      </c>
    </row>
    <row r="450" ht="15" customHeight="1" s="51">
      <c r="A450" s="59">
        <f>IF(B450="","","OP-"&amp;TEXT(ROW()-4,"000"))</f>
        <v/>
      </c>
      <c r="B450" s="60" t="n"/>
      <c r="C450" s="61" t="n"/>
      <c r="D450" s="60" t="n"/>
      <c r="E450" s="60" t="n"/>
      <c r="F450" s="60" t="n"/>
      <c r="G450" s="60" t="n"/>
      <c r="H450" s="60" t="n"/>
      <c r="I450" s="60" t="n"/>
      <c r="J450" s="60" t="n"/>
      <c r="K450" s="60" t="n"/>
      <c r="L450" s="60" t="n"/>
      <c r="M450" s="62" t="n"/>
      <c r="N450" s="60" t="n"/>
      <c r="O450" s="61" t="n"/>
      <c r="P450" s="61" t="n"/>
      <c r="Q450" s="63" t="n"/>
      <c r="R450" s="60" t="n"/>
      <c r="S450" s="60" t="n"/>
      <c r="T450" s="64">
        <f>IF(A450="","",IFERROR(INDEX('Bid-NoBid'!$T:$T,MATCH(A450,'Bid-NoBid'!$A:$A,0)),""))</f>
        <v/>
      </c>
      <c r="U450" s="59">
        <f>IF(A450="","",IFERROR(IF(OR(INDEX('Bid-NoBid'!$U:$U,MATCH(A450,'Bid-NoBid'!$A:$A,0))="",LEFT(INDEX('Bid-NoBid'!$U:$U,MATCH(A450,'Bid-NoBid'!$A:$A,0)),10)="Incomplete"),"Screen: "&amp;AC450,INDEX('Bid-NoBid'!$U:$U,MATCH(A450,'Bid-NoBid'!$A:$A,0))),"Screen: "&amp;AC450))</f>
        <v/>
      </c>
      <c r="V450" s="60" t="n"/>
      <c r="W450" s="60" t="n"/>
      <c r="X450" s="60" t="n"/>
      <c r="Y450" s="60" t="n"/>
      <c r="Z450" s="60" t="n"/>
      <c r="AA450" s="65" t="n"/>
      <c r="AB450" s="66" t="n"/>
      <c r="AC450" s="66" t="n"/>
      <c r="AD450" s="66" t="n"/>
      <c r="AE450" s="67">
        <f>IF(ISNUMBER(Q450),ROUNDDOWN(Q450-NOW(),1),"")</f>
        <v/>
      </c>
      <c r="AF450" s="59">
        <f>IF(OR(A450="",AE450=""),"",IF(NOT(OR(W450="Watching",W450="Preparing")),"",IF(AE450&lt;0,"PASSED",IF(AND(AE450&lt;=7,W450&lt;&gt;"Preparing"),"RED",IF(AE450&lt;=14,"AMBER","GREEN")))))</f>
        <v/>
      </c>
      <c r="AG450" s="59">
        <f>IF(OR(A450="",NOT(OR(W450="Watching",W450="Preparing"))),"",IF(AND(ISNUMBER(M450),M450&gt;=3000000000),"YES – ≥ TZS 3bn",IF(AND(ISNUMBER(AE450),AE450&gt;=0,AE450&lt;10,V450=""),"YES – &lt;10 days","")))</f>
        <v/>
      </c>
      <c r="AH450" s="68" t="n"/>
      <c r="AI450" s="66" t="n"/>
      <c r="AJ450" s="66" t="n"/>
      <c r="AK450" s="66" t="n"/>
      <c r="AL450" s="59">
        <f>IF(AND(OR(W450="Watching",W450="Preparing"),ISNUMBER(Q450)),IF(AND(Q450&gt;='Friday Summary'!$C$4,Q450&lt;='Friday Summary'!$C$4+14),Q450+ROW()/1000000,""),"")</f>
        <v/>
      </c>
    </row>
    <row r="451" ht="15" customHeight="1" s="51">
      <c r="A451" s="59">
        <f>IF(B451="","","OP-"&amp;TEXT(ROW()-4,"000"))</f>
        <v/>
      </c>
      <c r="B451" s="60" t="n"/>
      <c r="C451" s="61" t="n"/>
      <c r="D451" s="60" t="n"/>
      <c r="E451" s="60" t="n"/>
      <c r="F451" s="60" t="n"/>
      <c r="G451" s="60" t="n"/>
      <c r="H451" s="60" t="n"/>
      <c r="I451" s="60" t="n"/>
      <c r="J451" s="60" t="n"/>
      <c r="K451" s="60" t="n"/>
      <c r="L451" s="60" t="n"/>
      <c r="M451" s="62" t="n"/>
      <c r="N451" s="60" t="n"/>
      <c r="O451" s="61" t="n"/>
      <c r="P451" s="61" t="n"/>
      <c r="Q451" s="63" t="n"/>
      <c r="R451" s="60" t="n"/>
      <c r="S451" s="60" t="n"/>
      <c r="T451" s="64">
        <f>IF(A451="","",IFERROR(INDEX('Bid-NoBid'!$T:$T,MATCH(A451,'Bid-NoBid'!$A:$A,0)),""))</f>
        <v/>
      </c>
      <c r="U451" s="59">
        <f>IF(A451="","",IFERROR(IF(OR(INDEX('Bid-NoBid'!$U:$U,MATCH(A451,'Bid-NoBid'!$A:$A,0))="",LEFT(INDEX('Bid-NoBid'!$U:$U,MATCH(A451,'Bid-NoBid'!$A:$A,0)),10)="Incomplete"),"Screen: "&amp;AC451,INDEX('Bid-NoBid'!$U:$U,MATCH(A451,'Bid-NoBid'!$A:$A,0))),"Screen: "&amp;AC451))</f>
        <v/>
      </c>
      <c r="V451" s="60" t="n"/>
      <c r="W451" s="60" t="n"/>
      <c r="X451" s="60" t="n"/>
      <c r="Y451" s="60" t="n"/>
      <c r="Z451" s="60" t="n"/>
      <c r="AA451" s="65" t="n"/>
      <c r="AB451" s="66" t="n"/>
      <c r="AC451" s="66" t="n"/>
      <c r="AD451" s="66" t="n"/>
      <c r="AE451" s="67">
        <f>IF(ISNUMBER(Q451),ROUNDDOWN(Q451-NOW(),1),"")</f>
        <v/>
      </c>
      <c r="AF451" s="59">
        <f>IF(OR(A451="",AE451=""),"",IF(NOT(OR(W451="Watching",W451="Preparing")),"",IF(AE451&lt;0,"PASSED",IF(AND(AE451&lt;=7,W451&lt;&gt;"Preparing"),"RED",IF(AE451&lt;=14,"AMBER","GREEN")))))</f>
        <v/>
      </c>
      <c r="AG451" s="59">
        <f>IF(OR(A451="",NOT(OR(W451="Watching",W451="Preparing"))),"",IF(AND(ISNUMBER(M451),M451&gt;=3000000000),"YES – ≥ TZS 3bn",IF(AND(ISNUMBER(AE451),AE451&gt;=0,AE451&lt;10,V451=""),"YES – &lt;10 days","")))</f>
        <v/>
      </c>
      <c r="AH451" s="68" t="n"/>
      <c r="AI451" s="66" t="n"/>
      <c r="AJ451" s="66" t="n"/>
      <c r="AK451" s="66" t="n"/>
      <c r="AL451" s="59">
        <f>IF(AND(OR(W451="Watching",W451="Preparing"),ISNUMBER(Q451)),IF(AND(Q451&gt;='Friday Summary'!$C$4,Q451&lt;='Friday Summary'!$C$4+14),Q451+ROW()/1000000,""),"")</f>
        <v/>
      </c>
    </row>
    <row r="452" ht="15" customHeight="1" s="51">
      <c r="A452" s="59">
        <f>IF(B452="","","OP-"&amp;TEXT(ROW()-4,"000"))</f>
        <v/>
      </c>
      <c r="B452" s="60" t="n"/>
      <c r="C452" s="61" t="n"/>
      <c r="D452" s="60" t="n"/>
      <c r="E452" s="60" t="n"/>
      <c r="F452" s="60" t="n"/>
      <c r="G452" s="60" t="n"/>
      <c r="H452" s="60" t="n"/>
      <c r="I452" s="60" t="n"/>
      <c r="J452" s="60" t="n"/>
      <c r="K452" s="60" t="n"/>
      <c r="L452" s="60" t="n"/>
      <c r="M452" s="62" t="n"/>
      <c r="N452" s="60" t="n"/>
      <c r="O452" s="61" t="n"/>
      <c r="P452" s="61" t="n"/>
      <c r="Q452" s="63" t="n"/>
      <c r="R452" s="60" t="n"/>
      <c r="S452" s="60" t="n"/>
      <c r="T452" s="64">
        <f>IF(A452="","",IFERROR(INDEX('Bid-NoBid'!$T:$T,MATCH(A452,'Bid-NoBid'!$A:$A,0)),""))</f>
        <v/>
      </c>
      <c r="U452" s="59">
        <f>IF(A452="","",IFERROR(IF(OR(INDEX('Bid-NoBid'!$U:$U,MATCH(A452,'Bid-NoBid'!$A:$A,0))="",LEFT(INDEX('Bid-NoBid'!$U:$U,MATCH(A452,'Bid-NoBid'!$A:$A,0)),10)="Incomplete"),"Screen: "&amp;AC452,INDEX('Bid-NoBid'!$U:$U,MATCH(A452,'Bid-NoBid'!$A:$A,0))),"Screen: "&amp;AC452))</f>
        <v/>
      </c>
      <c r="V452" s="60" t="n"/>
      <c r="W452" s="60" t="n"/>
      <c r="X452" s="60" t="n"/>
      <c r="Y452" s="60" t="n"/>
      <c r="Z452" s="60" t="n"/>
      <c r="AA452" s="65" t="n"/>
      <c r="AB452" s="66" t="n"/>
      <c r="AC452" s="66" t="n"/>
      <c r="AD452" s="66" t="n"/>
      <c r="AE452" s="67">
        <f>IF(ISNUMBER(Q452),ROUNDDOWN(Q452-NOW(),1),"")</f>
        <v/>
      </c>
      <c r="AF452" s="59">
        <f>IF(OR(A452="",AE452=""),"",IF(NOT(OR(W452="Watching",W452="Preparing")),"",IF(AE452&lt;0,"PASSED",IF(AND(AE452&lt;=7,W452&lt;&gt;"Preparing"),"RED",IF(AE452&lt;=14,"AMBER","GREEN")))))</f>
        <v/>
      </c>
      <c r="AG452" s="59">
        <f>IF(OR(A452="",NOT(OR(W452="Watching",W452="Preparing"))),"",IF(AND(ISNUMBER(M452),M452&gt;=3000000000),"YES – ≥ TZS 3bn",IF(AND(ISNUMBER(AE452),AE452&gt;=0,AE452&lt;10,V452=""),"YES – &lt;10 days","")))</f>
        <v/>
      </c>
      <c r="AH452" s="68" t="n"/>
      <c r="AI452" s="66" t="n"/>
      <c r="AJ452" s="66" t="n"/>
      <c r="AK452" s="66" t="n"/>
      <c r="AL452" s="59">
        <f>IF(AND(OR(W452="Watching",W452="Preparing"),ISNUMBER(Q452)),IF(AND(Q452&gt;='Friday Summary'!$C$4,Q452&lt;='Friday Summary'!$C$4+14),Q452+ROW()/1000000,""),"")</f>
        <v/>
      </c>
    </row>
    <row r="453" ht="15" customHeight="1" s="51">
      <c r="A453" s="59">
        <f>IF(B453="","","OP-"&amp;TEXT(ROW()-4,"000"))</f>
        <v/>
      </c>
      <c r="B453" s="60" t="n"/>
      <c r="C453" s="61" t="n"/>
      <c r="D453" s="60" t="n"/>
      <c r="E453" s="60" t="n"/>
      <c r="F453" s="60" t="n"/>
      <c r="G453" s="60" t="n"/>
      <c r="H453" s="60" t="n"/>
      <c r="I453" s="60" t="n"/>
      <c r="J453" s="60" t="n"/>
      <c r="K453" s="60" t="n"/>
      <c r="L453" s="60" t="n"/>
      <c r="M453" s="62" t="n"/>
      <c r="N453" s="60" t="n"/>
      <c r="O453" s="61" t="n"/>
      <c r="P453" s="61" t="n"/>
      <c r="Q453" s="63" t="n"/>
      <c r="R453" s="60" t="n"/>
      <c r="S453" s="60" t="n"/>
      <c r="T453" s="64">
        <f>IF(A453="","",IFERROR(INDEX('Bid-NoBid'!$T:$T,MATCH(A453,'Bid-NoBid'!$A:$A,0)),""))</f>
        <v/>
      </c>
      <c r="U453" s="59">
        <f>IF(A453="","",IFERROR(IF(OR(INDEX('Bid-NoBid'!$U:$U,MATCH(A453,'Bid-NoBid'!$A:$A,0))="",LEFT(INDEX('Bid-NoBid'!$U:$U,MATCH(A453,'Bid-NoBid'!$A:$A,0)),10)="Incomplete"),"Screen: "&amp;AC453,INDEX('Bid-NoBid'!$U:$U,MATCH(A453,'Bid-NoBid'!$A:$A,0))),"Screen: "&amp;AC453))</f>
        <v/>
      </c>
      <c r="V453" s="60" t="n"/>
      <c r="W453" s="60" t="n"/>
      <c r="X453" s="60" t="n"/>
      <c r="Y453" s="60" t="n"/>
      <c r="Z453" s="60" t="n"/>
      <c r="AA453" s="65" t="n"/>
      <c r="AB453" s="66" t="n"/>
      <c r="AC453" s="66" t="n"/>
      <c r="AD453" s="66" t="n"/>
      <c r="AE453" s="67">
        <f>IF(ISNUMBER(Q453),ROUNDDOWN(Q453-NOW(),1),"")</f>
        <v/>
      </c>
      <c r="AF453" s="59">
        <f>IF(OR(A453="",AE453=""),"",IF(NOT(OR(W453="Watching",W453="Preparing")),"",IF(AE453&lt;0,"PASSED",IF(AND(AE453&lt;=7,W453&lt;&gt;"Preparing"),"RED",IF(AE453&lt;=14,"AMBER","GREEN")))))</f>
        <v/>
      </c>
      <c r="AG453" s="59">
        <f>IF(OR(A453="",NOT(OR(W453="Watching",W453="Preparing"))),"",IF(AND(ISNUMBER(M453),M453&gt;=3000000000),"YES – ≥ TZS 3bn",IF(AND(ISNUMBER(AE453),AE453&gt;=0,AE453&lt;10,V453=""),"YES – &lt;10 days","")))</f>
        <v/>
      </c>
      <c r="AH453" s="68" t="n"/>
      <c r="AI453" s="66" t="n"/>
      <c r="AJ453" s="66" t="n"/>
      <c r="AK453" s="66" t="n"/>
      <c r="AL453" s="59">
        <f>IF(AND(OR(W453="Watching",W453="Preparing"),ISNUMBER(Q453)),IF(AND(Q453&gt;='Friday Summary'!$C$4,Q453&lt;='Friday Summary'!$C$4+14),Q453+ROW()/1000000,""),"")</f>
        <v/>
      </c>
    </row>
    <row r="454" ht="15" customHeight="1" s="51">
      <c r="A454" s="59">
        <f>IF(B454="","","OP-"&amp;TEXT(ROW()-4,"000"))</f>
        <v/>
      </c>
      <c r="B454" s="60" t="n"/>
      <c r="C454" s="61" t="n"/>
      <c r="D454" s="60" t="n"/>
      <c r="E454" s="60" t="n"/>
      <c r="F454" s="60" t="n"/>
      <c r="G454" s="60" t="n"/>
      <c r="H454" s="60" t="n"/>
      <c r="I454" s="60" t="n"/>
      <c r="J454" s="60" t="n"/>
      <c r="K454" s="60" t="n"/>
      <c r="L454" s="60" t="n"/>
      <c r="M454" s="62" t="n"/>
      <c r="N454" s="60" t="n"/>
      <c r="O454" s="61" t="n"/>
      <c r="P454" s="61" t="n"/>
      <c r="Q454" s="63" t="n"/>
      <c r="R454" s="60" t="n"/>
      <c r="S454" s="60" t="n"/>
      <c r="T454" s="64">
        <f>IF(A454="","",IFERROR(INDEX('Bid-NoBid'!$T:$T,MATCH(A454,'Bid-NoBid'!$A:$A,0)),""))</f>
        <v/>
      </c>
      <c r="U454" s="59">
        <f>IF(A454="","",IFERROR(IF(OR(INDEX('Bid-NoBid'!$U:$U,MATCH(A454,'Bid-NoBid'!$A:$A,0))="",LEFT(INDEX('Bid-NoBid'!$U:$U,MATCH(A454,'Bid-NoBid'!$A:$A,0)),10)="Incomplete"),"Screen: "&amp;AC454,INDEX('Bid-NoBid'!$U:$U,MATCH(A454,'Bid-NoBid'!$A:$A,0))),"Screen: "&amp;AC454))</f>
        <v/>
      </c>
      <c r="V454" s="60" t="n"/>
      <c r="W454" s="60" t="n"/>
      <c r="X454" s="60" t="n"/>
      <c r="Y454" s="60" t="n"/>
      <c r="Z454" s="60" t="n"/>
      <c r="AA454" s="65" t="n"/>
      <c r="AB454" s="66" t="n"/>
      <c r="AC454" s="66" t="n"/>
      <c r="AD454" s="66" t="n"/>
      <c r="AE454" s="67">
        <f>IF(ISNUMBER(Q454),ROUNDDOWN(Q454-NOW(),1),"")</f>
        <v/>
      </c>
      <c r="AF454" s="59">
        <f>IF(OR(A454="",AE454=""),"",IF(NOT(OR(W454="Watching",W454="Preparing")),"",IF(AE454&lt;0,"PASSED",IF(AND(AE454&lt;=7,W454&lt;&gt;"Preparing"),"RED",IF(AE454&lt;=14,"AMBER","GREEN")))))</f>
        <v/>
      </c>
      <c r="AG454" s="59">
        <f>IF(OR(A454="",NOT(OR(W454="Watching",W454="Preparing"))),"",IF(AND(ISNUMBER(M454),M454&gt;=3000000000),"YES – ≥ TZS 3bn",IF(AND(ISNUMBER(AE454),AE454&gt;=0,AE454&lt;10,V454=""),"YES – &lt;10 days","")))</f>
        <v/>
      </c>
      <c r="AH454" s="68" t="n"/>
      <c r="AI454" s="66" t="n"/>
      <c r="AJ454" s="66" t="n"/>
      <c r="AK454" s="66" t="n"/>
      <c r="AL454" s="59">
        <f>IF(AND(OR(W454="Watching",W454="Preparing"),ISNUMBER(Q454)),IF(AND(Q454&gt;='Friday Summary'!$C$4,Q454&lt;='Friday Summary'!$C$4+14),Q454+ROW()/1000000,""),"")</f>
        <v/>
      </c>
    </row>
    <row r="455" ht="15" customHeight="1" s="51">
      <c r="A455" s="59">
        <f>IF(B455="","","OP-"&amp;TEXT(ROW()-4,"000"))</f>
        <v/>
      </c>
      <c r="B455" s="60" t="n"/>
      <c r="C455" s="61" t="n"/>
      <c r="D455" s="60" t="n"/>
      <c r="E455" s="60" t="n"/>
      <c r="F455" s="60" t="n"/>
      <c r="G455" s="60" t="n"/>
      <c r="H455" s="60" t="n"/>
      <c r="I455" s="60" t="n"/>
      <c r="J455" s="60" t="n"/>
      <c r="K455" s="60" t="n"/>
      <c r="L455" s="60" t="n"/>
      <c r="M455" s="62" t="n"/>
      <c r="N455" s="60" t="n"/>
      <c r="O455" s="61" t="n"/>
      <c r="P455" s="61" t="n"/>
      <c r="Q455" s="63" t="n"/>
      <c r="R455" s="60" t="n"/>
      <c r="S455" s="60" t="n"/>
      <c r="T455" s="64">
        <f>IF(A455="","",IFERROR(INDEX('Bid-NoBid'!$T:$T,MATCH(A455,'Bid-NoBid'!$A:$A,0)),""))</f>
        <v/>
      </c>
      <c r="U455" s="59">
        <f>IF(A455="","",IFERROR(IF(OR(INDEX('Bid-NoBid'!$U:$U,MATCH(A455,'Bid-NoBid'!$A:$A,0))="",LEFT(INDEX('Bid-NoBid'!$U:$U,MATCH(A455,'Bid-NoBid'!$A:$A,0)),10)="Incomplete"),"Screen: "&amp;AC455,INDEX('Bid-NoBid'!$U:$U,MATCH(A455,'Bid-NoBid'!$A:$A,0))),"Screen: "&amp;AC455))</f>
        <v/>
      </c>
      <c r="V455" s="60" t="n"/>
      <c r="W455" s="60" t="n"/>
      <c r="X455" s="60" t="n"/>
      <c r="Y455" s="60" t="n"/>
      <c r="Z455" s="60" t="n"/>
      <c r="AA455" s="65" t="n"/>
      <c r="AB455" s="66" t="n"/>
      <c r="AC455" s="66" t="n"/>
      <c r="AD455" s="66" t="n"/>
      <c r="AE455" s="67">
        <f>IF(ISNUMBER(Q455),ROUNDDOWN(Q455-NOW(),1),"")</f>
        <v/>
      </c>
      <c r="AF455" s="59">
        <f>IF(OR(A455="",AE455=""),"",IF(NOT(OR(W455="Watching",W455="Preparing")),"",IF(AE455&lt;0,"PASSED",IF(AND(AE455&lt;=7,W455&lt;&gt;"Preparing"),"RED",IF(AE455&lt;=14,"AMBER","GREEN")))))</f>
        <v/>
      </c>
      <c r="AG455" s="59">
        <f>IF(OR(A455="",NOT(OR(W455="Watching",W455="Preparing"))),"",IF(AND(ISNUMBER(M455),M455&gt;=3000000000),"YES – ≥ TZS 3bn",IF(AND(ISNUMBER(AE455),AE455&gt;=0,AE455&lt;10,V455=""),"YES – &lt;10 days","")))</f>
        <v/>
      </c>
      <c r="AH455" s="68" t="n"/>
      <c r="AI455" s="66" t="n"/>
      <c r="AJ455" s="66" t="n"/>
      <c r="AK455" s="66" t="n"/>
      <c r="AL455" s="59">
        <f>IF(AND(OR(W455="Watching",W455="Preparing"),ISNUMBER(Q455)),IF(AND(Q455&gt;='Friday Summary'!$C$4,Q455&lt;='Friday Summary'!$C$4+14),Q455+ROW()/1000000,""),"")</f>
        <v/>
      </c>
    </row>
    <row r="456" ht="15" customHeight="1" s="51">
      <c r="A456" s="59">
        <f>IF(B456="","","OP-"&amp;TEXT(ROW()-4,"000"))</f>
        <v/>
      </c>
      <c r="B456" s="60" t="n"/>
      <c r="C456" s="61" t="n"/>
      <c r="D456" s="60" t="n"/>
      <c r="E456" s="60" t="n"/>
      <c r="F456" s="60" t="n"/>
      <c r="G456" s="60" t="n"/>
      <c r="H456" s="60" t="n"/>
      <c r="I456" s="60" t="n"/>
      <c r="J456" s="60" t="n"/>
      <c r="K456" s="60" t="n"/>
      <c r="L456" s="60" t="n"/>
      <c r="M456" s="62" t="n"/>
      <c r="N456" s="60" t="n"/>
      <c r="O456" s="61" t="n"/>
      <c r="P456" s="61" t="n"/>
      <c r="Q456" s="63" t="n"/>
      <c r="R456" s="60" t="n"/>
      <c r="S456" s="60" t="n"/>
      <c r="T456" s="64">
        <f>IF(A456="","",IFERROR(INDEX('Bid-NoBid'!$T:$T,MATCH(A456,'Bid-NoBid'!$A:$A,0)),""))</f>
        <v/>
      </c>
      <c r="U456" s="59">
        <f>IF(A456="","",IFERROR(IF(OR(INDEX('Bid-NoBid'!$U:$U,MATCH(A456,'Bid-NoBid'!$A:$A,0))="",LEFT(INDEX('Bid-NoBid'!$U:$U,MATCH(A456,'Bid-NoBid'!$A:$A,0)),10)="Incomplete"),"Screen: "&amp;AC456,INDEX('Bid-NoBid'!$U:$U,MATCH(A456,'Bid-NoBid'!$A:$A,0))),"Screen: "&amp;AC456))</f>
        <v/>
      </c>
      <c r="V456" s="60" t="n"/>
      <c r="W456" s="60" t="n"/>
      <c r="X456" s="60" t="n"/>
      <c r="Y456" s="60" t="n"/>
      <c r="Z456" s="60" t="n"/>
      <c r="AA456" s="65" t="n"/>
      <c r="AB456" s="66" t="n"/>
      <c r="AC456" s="66" t="n"/>
      <c r="AD456" s="66" t="n"/>
      <c r="AE456" s="67">
        <f>IF(ISNUMBER(Q456),ROUNDDOWN(Q456-NOW(),1),"")</f>
        <v/>
      </c>
      <c r="AF456" s="59">
        <f>IF(OR(A456="",AE456=""),"",IF(NOT(OR(W456="Watching",W456="Preparing")),"",IF(AE456&lt;0,"PASSED",IF(AND(AE456&lt;=7,W456&lt;&gt;"Preparing"),"RED",IF(AE456&lt;=14,"AMBER","GREEN")))))</f>
        <v/>
      </c>
      <c r="AG456" s="59">
        <f>IF(OR(A456="",NOT(OR(W456="Watching",W456="Preparing"))),"",IF(AND(ISNUMBER(M456),M456&gt;=3000000000),"YES – ≥ TZS 3bn",IF(AND(ISNUMBER(AE456),AE456&gt;=0,AE456&lt;10,V456=""),"YES – &lt;10 days","")))</f>
        <v/>
      </c>
      <c r="AH456" s="68" t="n"/>
      <c r="AI456" s="66" t="n"/>
      <c r="AJ456" s="66" t="n"/>
      <c r="AK456" s="66" t="n"/>
      <c r="AL456" s="59">
        <f>IF(AND(OR(W456="Watching",W456="Preparing"),ISNUMBER(Q456)),IF(AND(Q456&gt;='Friday Summary'!$C$4,Q456&lt;='Friday Summary'!$C$4+14),Q456+ROW()/1000000,""),"")</f>
        <v/>
      </c>
    </row>
    <row r="457" ht="15" customHeight="1" s="51">
      <c r="A457" s="59">
        <f>IF(B457="","","OP-"&amp;TEXT(ROW()-4,"000"))</f>
        <v/>
      </c>
      <c r="B457" s="60" t="n"/>
      <c r="C457" s="61" t="n"/>
      <c r="D457" s="60" t="n"/>
      <c r="E457" s="60" t="n"/>
      <c r="F457" s="60" t="n"/>
      <c r="G457" s="60" t="n"/>
      <c r="H457" s="60" t="n"/>
      <c r="I457" s="60" t="n"/>
      <c r="J457" s="60" t="n"/>
      <c r="K457" s="60" t="n"/>
      <c r="L457" s="60" t="n"/>
      <c r="M457" s="62" t="n"/>
      <c r="N457" s="60" t="n"/>
      <c r="O457" s="61" t="n"/>
      <c r="P457" s="61" t="n"/>
      <c r="Q457" s="63" t="n"/>
      <c r="R457" s="60" t="n"/>
      <c r="S457" s="60" t="n"/>
      <c r="T457" s="64">
        <f>IF(A457="","",IFERROR(INDEX('Bid-NoBid'!$T:$T,MATCH(A457,'Bid-NoBid'!$A:$A,0)),""))</f>
        <v/>
      </c>
      <c r="U457" s="59">
        <f>IF(A457="","",IFERROR(IF(OR(INDEX('Bid-NoBid'!$U:$U,MATCH(A457,'Bid-NoBid'!$A:$A,0))="",LEFT(INDEX('Bid-NoBid'!$U:$U,MATCH(A457,'Bid-NoBid'!$A:$A,0)),10)="Incomplete"),"Screen: "&amp;AC457,INDEX('Bid-NoBid'!$U:$U,MATCH(A457,'Bid-NoBid'!$A:$A,0))),"Screen: "&amp;AC457))</f>
        <v/>
      </c>
      <c r="V457" s="60" t="n"/>
      <c r="W457" s="60" t="n"/>
      <c r="X457" s="60" t="n"/>
      <c r="Y457" s="60" t="n"/>
      <c r="Z457" s="60" t="n"/>
      <c r="AA457" s="65" t="n"/>
      <c r="AB457" s="66" t="n"/>
      <c r="AC457" s="66" t="n"/>
      <c r="AD457" s="66" t="n"/>
      <c r="AE457" s="67">
        <f>IF(ISNUMBER(Q457),ROUNDDOWN(Q457-NOW(),1),"")</f>
        <v/>
      </c>
      <c r="AF457" s="59">
        <f>IF(OR(A457="",AE457=""),"",IF(NOT(OR(W457="Watching",W457="Preparing")),"",IF(AE457&lt;0,"PASSED",IF(AND(AE457&lt;=7,W457&lt;&gt;"Preparing"),"RED",IF(AE457&lt;=14,"AMBER","GREEN")))))</f>
        <v/>
      </c>
      <c r="AG457" s="59">
        <f>IF(OR(A457="",NOT(OR(W457="Watching",W457="Preparing"))),"",IF(AND(ISNUMBER(M457),M457&gt;=3000000000),"YES – ≥ TZS 3bn",IF(AND(ISNUMBER(AE457),AE457&gt;=0,AE457&lt;10,V457=""),"YES – &lt;10 days","")))</f>
        <v/>
      </c>
      <c r="AH457" s="68" t="n"/>
      <c r="AI457" s="66" t="n"/>
      <c r="AJ457" s="66" t="n"/>
      <c r="AK457" s="66" t="n"/>
      <c r="AL457" s="59">
        <f>IF(AND(OR(W457="Watching",W457="Preparing"),ISNUMBER(Q457)),IF(AND(Q457&gt;='Friday Summary'!$C$4,Q457&lt;='Friday Summary'!$C$4+14),Q457+ROW()/1000000,""),"")</f>
        <v/>
      </c>
    </row>
    <row r="458" ht="15" customHeight="1" s="51">
      <c r="A458" s="59">
        <f>IF(B458="","","OP-"&amp;TEXT(ROW()-4,"000"))</f>
        <v/>
      </c>
      <c r="B458" s="60" t="n"/>
      <c r="C458" s="61" t="n"/>
      <c r="D458" s="60" t="n"/>
      <c r="E458" s="60" t="n"/>
      <c r="F458" s="60" t="n"/>
      <c r="G458" s="60" t="n"/>
      <c r="H458" s="60" t="n"/>
      <c r="I458" s="60" t="n"/>
      <c r="J458" s="60" t="n"/>
      <c r="K458" s="60" t="n"/>
      <c r="L458" s="60" t="n"/>
      <c r="M458" s="62" t="n"/>
      <c r="N458" s="60" t="n"/>
      <c r="O458" s="61" t="n"/>
      <c r="P458" s="61" t="n"/>
      <c r="Q458" s="63" t="n"/>
      <c r="R458" s="60" t="n"/>
      <c r="S458" s="60" t="n"/>
      <c r="T458" s="64">
        <f>IF(A458="","",IFERROR(INDEX('Bid-NoBid'!$T:$T,MATCH(A458,'Bid-NoBid'!$A:$A,0)),""))</f>
        <v/>
      </c>
      <c r="U458" s="59">
        <f>IF(A458="","",IFERROR(IF(OR(INDEX('Bid-NoBid'!$U:$U,MATCH(A458,'Bid-NoBid'!$A:$A,0))="",LEFT(INDEX('Bid-NoBid'!$U:$U,MATCH(A458,'Bid-NoBid'!$A:$A,0)),10)="Incomplete"),"Screen: "&amp;AC458,INDEX('Bid-NoBid'!$U:$U,MATCH(A458,'Bid-NoBid'!$A:$A,0))),"Screen: "&amp;AC458))</f>
        <v/>
      </c>
      <c r="V458" s="60" t="n"/>
      <c r="W458" s="60" t="n"/>
      <c r="X458" s="60" t="n"/>
      <c r="Y458" s="60" t="n"/>
      <c r="Z458" s="60" t="n"/>
      <c r="AA458" s="65" t="n"/>
      <c r="AB458" s="66" t="n"/>
      <c r="AC458" s="66" t="n"/>
      <c r="AD458" s="66" t="n"/>
      <c r="AE458" s="67">
        <f>IF(ISNUMBER(Q458),ROUNDDOWN(Q458-NOW(),1),"")</f>
        <v/>
      </c>
      <c r="AF458" s="59">
        <f>IF(OR(A458="",AE458=""),"",IF(NOT(OR(W458="Watching",W458="Preparing")),"",IF(AE458&lt;0,"PASSED",IF(AND(AE458&lt;=7,W458&lt;&gt;"Preparing"),"RED",IF(AE458&lt;=14,"AMBER","GREEN")))))</f>
        <v/>
      </c>
      <c r="AG458" s="59">
        <f>IF(OR(A458="",NOT(OR(W458="Watching",W458="Preparing"))),"",IF(AND(ISNUMBER(M458),M458&gt;=3000000000),"YES – ≥ TZS 3bn",IF(AND(ISNUMBER(AE458),AE458&gt;=0,AE458&lt;10,V458=""),"YES – &lt;10 days","")))</f>
        <v/>
      </c>
      <c r="AH458" s="68" t="n"/>
      <c r="AI458" s="66" t="n"/>
      <c r="AJ458" s="66" t="n"/>
      <c r="AK458" s="66" t="n"/>
      <c r="AL458" s="59">
        <f>IF(AND(OR(W458="Watching",W458="Preparing"),ISNUMBER(Q458)),IF(AND(Q458&gt;='Friday Summary'!$C$4,Q458&lt;='Friday Summary'!$C$4+14),Q458+ROW()/1000000,""),"")</f>
        <v/>
      </c>
    </row>
    <row r="459" ht="15" customHeight="1" s="51">
      <c r="A459" s="59">
        <f>IF(B459="","","OP-"&amp;TEXT(ROW()-4,"000"))</f>
        <v/>
      </c>
      <c r="B459" s="60" t="n"/>
      <c r="C459" s="61" t="n"/>
      <c r="D459" s="60" t="n"/>
      <c r="E459" s="60" t="n"/>
      <c r="F459" s="60" t="n"/>
      <c r="G459" s="60" t="n"/>
      <c r="H459" s="60" t="n"/>
      <c r="I459" s="60" t="n"/>
      <c r="J459" s="60" t="n"/>
      <c r="K459" s="60" t="n"/>
      <c r="L459" s="60" t="n"/>
      <c r="M459" s="62" t="n"/>
      <c r="N459" s="60" t="n"/>
      <c r="O459" s="61" t="n"/>
      <c r="P459" s="61" t="n"/>
      <c r="Q459" s="63" t="n"/>
      <c r="R459" s="60" t="n"/>
      <c r="S459" s="60" t="n"/>
      <c r="T459" s="64">
        <f>IF(A459="","",IFERROR(INDEX('Bid-NoBid'!$T:$T,MATCH(A459,'Bid-NoBid'!$A:$A,0)),""))</f>
        <v/>
      </c>
      <c r="U459" s="59">
        <f>IF(A459="","",IFERROR(IF(OR(INDEX('Bid-NoBid'!$U:$U,MATCH(A459,'Bid-NoBid'!$A:$A,0))="",LEFT(INDEX('Bid-NoBid'!$U:$U,MATCH(A459,'Bid-NoBid'!$A:$A,0)),10)="Incomplete"),"Screen: "&amp;AC459,INDEX('Bid-NoBid'!$U:$U,MATCH(A459,'Bid-NoBid'!$A:$A,0))),"Screen: "&amp;AC459))</f>
        <v/>
      </c>
      <c r="V459" s="60" t="n"/>
      <c r="W459" s="60" t="n"/>
      <c r="X459" s="60" t="n"/>
      <c r="Y459" s="60" t="n"/>
      <c r="Z459" s="60" t="n"/>
      <c r="AA459" s="65" t="n"/>
      <c r="AB459" s="66" t="n"/>
      <c r="AC459" s="66" t="n"/>
      <c r="AD459" s="66" t="n"/>
      <c r="AE459" s="67">
        <f>IF(ISNUMBER(Q459),ROUNDDOWN(Q459-NOW(),1),"")</f>
        <v/>
      </c>
      <c r="AF459" s="59">
        <f>IF(OR(A459="",AE459=""),"",IF(NOT(OR(W459="Watching",W459="Preparing")),"",IF(AE459&lt;0,"PASSED",IF(AND(AE459&lt;=7,W459&lt;&gt;"Preparing"),"RED",IF(AE459&lt;=14,"AMBER","GREEN")))))</f>
        <v/>
      </c>
      <c r="AG459" s="59">
        <f>IF(OR(A459="",NOT(OR(W459="Watching",W459="Preparing"))),"",IF(AND(ISNUMBER(M459),M459&gt;=3000000000),"YES – ≥ TZS 3bn",IF(AND(ISNUMBER(AE459),AE459&gt;=0,AE459&lt;10,V459=""),"YES – &lt;10 days","")))</f>
        <v/>
      </c>
      <c r="AH459" s="68" t="n"/>
      <c r="AI459" s="66" t="n"/>
      <c r="AJ459" s="66" t="n"/>
      <c r="AK459" s="66" t="n"/>
      <c r="AL459" s="59">
        <f>IF(AND(OR(W459="Watching",W459="Preparing"),ISNUMBER(Q459)),IF(AND(Q459&gt;='Friday Summary'!$C$4,Q459&lt;='Friday Summary'!$C$4+14),Q459+ROW()/1000000,""),"")</f>
        <v/>
      </c>
    </row>
    <row r="460" ht="15" customHeight="1" s="51">
      <c r="A460" s="59">
        <f>IF(B460="","","OP-"&amp;TEXT(ROW()-4,"000"))</f>
        <v/>
      </c>
      <c r="B460" s="60" t="n"/>
      <c r="C460" s="61" t="n"/>
      <c r="D460" s="60" t="n"/>
      <c r="E460" s="60" t="n"/>
      <c r="F460" s="60" t="n"/>
      <c r="G460" s="60" t="n"/>
      <c r="H460" s="60" t="n"/>
      <c r="I460" s="60" t="n"/>
      <c r="J460" s="60" t="n"/>
      <c r="K460" s="60" t="n"/>
      <c r="L460" s="60" t="n"/>
      <c r="M460" s="62" t="n"/>
      <c r="N460" s="60" t="n"/>
      <c r="O460" s="61" t="n"/>
      <c r="P460" s="61" t="n"/>
      <c r="Q460" s="63" t="n"/>
      <c r="R460" s="60" t="n"/>
      <c r="S460" s="60" t="n"/>
      <c r="T460" s="64">
        <f>IF(A460="","",IFERROR(INDEX('Bid-NoBid'!$T:$T,MATCH(A460,'Bid-NoBid'!$A:$A,0)),""))</f>
        <v/>
      </c>
      <c r="U460" s="59">
        <f>IF(A460="","",IFERROR(IF(OR(INDEX('Bid-NoBid'!$U:$U,MATCH(A460,'Bid-NoBid'!$A:$A,0))="",LEFT(INDEX('Bid-NoBid'!$U:$U,MATCH(A460,'Bid-NoBid'!$A:$A,0)),10)="Incomplete"),"Screen: "&amp;AC460,INDEX('Bid-NoBid'!$U:$U,MATCH(A460,'Bid-NoBid'!$A:$A,0))),"Screen: "&amp;AC460))</f>
        <v/>
      </c>
      <c r="V460" s="60" t="n"/>
      <c r="W460" s="60" t="n"/>
      <c r="X460" s="60" t="n"/>
      <c r="Y460" s="60" t="n"/>
      <c r="Z460" s="60" t="n"/>
      <c r="AA460" s="65" t="n"/>
      <c r="AB460" s="66" t="n"/>
      <c r="AC460" s="66" t="n"/>
      <c r="AD460" s="66" t="n"/>
      <c r="AE460" s="67">
        <f>IF(ISNUMBER(Q460),ROUNDDOWN(Q460-NOW(),1),"")</f>
        <v/>
      </c>
      <c r="AF460" s="59">
        <f>IF(OR(A460="",AE460=""),"",IF(NOT(OR(W460="Watching",W460="Preparing")),"",IF(AE460&lt;0,"PASSED",IF(AND(AE460&lt;=7,W460&lt;&gt;"Preparing"),"RED",IF(AE460&lt;=14,"AMBER","GREEN")))))</f>
        <v/>
      </c>
      <c r="AG460" s="59">
        <f>IF(OR(A460="",NOT(OR(W460="Watching",W460="Preparing"))),"",IF(AND(ISNUMBER(M460),M460&gt;=3000000000),"YES – ≥ TZS 3bn",IF(AND(ISNUMBER(AE460),AE460&gt;=0,AE460&lt;10,V460=""),"YES – &lt;10 days","")))</f>
        <v/>
      </c>
      <c r="AH460" s="68" t="n"/>
      <c r="AI460" s="66" t="n"/>
      <c r="AJ460" s="66" t="n"/>
      <c r="AK460" s="66" t="n"/>
      <c r="AL460" s="59">
        <f>IF(AND(OR(W460="Watching",W460="Preparing"),ISNUMBER(Q460)),IF(AND(Q460&gt;='Friday Summary'!$C$4,Q460&lt;='Friday Summary'!$C$4+14),Q460+ROW()/1000000,""),"")</f>
        <v/>
      </c>
    </row>
    <row r="461" ht="15" customHeight="1" s="51">
      <c r="A461" s="59">
        <f>IF(B461="","","OP-"&amp;TEXT(ROW()-4,"000"))</f>
        <v/>
      </c>
      <c r="B461" s="60" t="n"/>
      <c r="C461" s="61" t="n"/>
      <c r="D461" s="60" t="n"/>
      <c r="E461" s="60" t="n"/>
      <c r="F461" s="60" t="n"/>
      <c r="G461" s="60" t="n"/>
      <c r="H461" s="60" t="n"/>
      <c r="I461" s="60" t="n"/>
      <c r="J461" s="60" t="n"/>
      <c r="K461" s="60" t="n"/>
      <c r="L461" s="60" t="n"/>
      <c r="M461" s="62" t="n"/>
      <c r="N461" s="60" t="n"/>
      <c r="O461" s="61" t="n"/>
      <c r="P461" s="61" t="n"/>
      <c r="Q461" s="63" t="n"/>
      <c r="R461" s="60" t="n"/>
      <c r="S461" s="60" t="n"/>
      <c r="T461" s="64">
        <f>IF(A461="","",IFERROR(INDEX('Bid-NoBid'!$T:$T,MATCH(A461,'Bid-NoBid'!$A:$A,0)),""))</f>
        <v/>
      </c>
      <c r="U461" s="59">
        <f>IF(A461="","",IFERROR(IF(OR(INDEX('Bid-NoBid'!$U:$U,MATCH(A461,'Bid-NoBid'!$A:$A,0))="",LEFT(INDEX('Bid-NoBid'!$U:$U,MATCH(A461,'Bid-NoBid'!$A:$A,0)),10)="Incomplete"),"Screen: "&amp;AC461,INDEX('Bid-NoBid'!$U:$U,MATCH(A461,'Bid-NoBid'!$A:$A,0))),"Screen: "&amp;AC461))</f>
        <v/>
      </c>
      <c r="V461" s="60" t="n"/>
      <c r="W461" s="60" t="n"/>
      <c r="X461" s="60" t="n"/>
      <c r="Y461" s="60" t="n"/>
      <c r="Z461" s="60" t="n"/>
      <c r="AA461" s="65" t="n"/>
      <c r="AB461" s="66" t="n"/>
      <c r="AC461" s="66" t="n"/>
      <c r="AD461" s="66" t="n"/>
      <c r="AE461" s="67">
        <f>IF(ISNUMBER(Q461),ROUNDDOWN(Q461-NOW(),1),"")</f>
        <v/>
      </c>
      <c r="AF461" s="59">
        <f>IF(OR(A461="",AE461=""),"",IF(NOT(OR(W461="Watching",W461="Preparing")),"",IF(AE461&lt;0,"PASSED",IF(AND(AE461&lt;=7,W461&lt;&gt;"Preparing"),"RED",IF(AE461&lt;=14,"AMBER","GREEN")))))</f>
        <v/>
      </c>
      <c r="AG461" s="59">
        <f>IF(OR(A461="",NOT(OR(W461="Watching",W461="Preparing"))),"",IF(AND(ISNUMBER(M461),M461&gt;=3000000000),"YES – ≥ TZS 3bn",IF(AND(ISNUMBER(AE461),AE461&gt;=0,AE461&lt;10,V461=""),"YES – &lt;10 days","")))</f>
        <v/>
      </c>
      <c r="AH461" s="68" t="n"/>
      <c r="AI461" s="66" t="n"/>
      <c r="AJ461" s="66" t="n"/>
      <c r="AK461" s="66" t="n"/>
      <c r="AL461" s="59">
        <f>IF(AND(OR(W461="Watching",W461="Preparing"),ISNUMBER(Q461)),IF(AND(Q461&gt;='Friday Summary'!$C$4,Q461&lt;='Friday Summary'!$C$4+14),Q461+ROW()/1000000,""),"")</f>
        <v/>
      </c>
    </row>
    <row r="462" ht="15" customHeight="1" s="51">
      <c r="A462" s="59">
        <f>IF(B462="","","OP-"&amp;TEXT(ROW()-4,"000"))</f>
        <v/>
      </c>
      <c r="B462" s="60" t="n"/>
      <c r="C462" s="61" t="n"/>
      <c r="D462" s="60" t="n"/>
      <c r="E462" s="60" t="n"/>
      <c r="F462" s="60" t="n"/>
      <c r="G462" s="60" t="n"/>
      <c r="H462" s="60" t="n"/>
      <c r="I462" s="60" t="n"/>
      <c r="J462" s="60" t="n"/>
      <c r="K462" s="60" t="n"/>
      <c r="L462" s="60" t="n"/>
      <c r="M462" s="62" t="n"/>
      <c r="N462" s="60" t="n"/>
      <c r="O462" s="61" t="n"/>
      <c r="P462" s="61" t="n"/>
      <c r="Q462" s="63" t="n"/>
      <c r="R462" s="60" t="n"/>
      <c r="S462" s="60" t="n"/>
      <c r="T462" s="64">
        <f>IF(A462="","",IFERROR(INDEX('Bid-NoBid'!$T:$T,MATCH(A462,'Bid-NoBid'!$A:$A,0)),""))</f>
        <v/>
      </c>
      <c r="U462" s="59">
        <f>IF(A462="","",IFERROR(IF(OR(INDEX('Bid-NoBid'!$U:$U,MATCH(A462,'Bid-NoBid'!$A:$A,0))="",LEFT(INDEX('Bid-NoBid'!$U:$U,MATCH(A462,'Bid-NoBid'!$A:$A,0)),10)="Incomplete"),"Screen: "&amp;AC462,INDEX('Bid-NoBid'!$U:$U,MATCH(A462,'Bid-NoBid'!$A:$A,0))),"Screen: "&amp;AC462))</f>
        <v/>
      </c>
      <c r="V462" s="60" t="n"/>
      <c r="W462" s="60" t="n"/>
      <c r="X462" s="60" t="n"/>
      <c r="Y462" s="60" t="n"/>
      <c r="Z462" s="60" t="n"/>
      <c r="AA462" s="65" t="n"/>
      <c r="AB462" s="66" t="n"/>
      <c r="AC462" s="66" t="n"/>
      <c r="AD462" s="66" t="n"/>
      <c r="AE462" s="67">
        <f>IF(ISNUMBER(Q462),ROUNDDOWN(Q462-NOW(),1),"")</f>
        <v/>
      </c>
      <c r="AF462" s="59">
        <f>IF(OR(A462="",AE462=""),"",IF(NOT(OR(W462="Watching",W462="Preparing")),"",IF(AE462&lt;0,"PASSED",IF(AND(AE462&lt;=7,W462&lt;&gt;"Preparing"),"RED",IF(AE462&lt;=14,"AMBER","GREEN")))))</f>
        <v/>
      </c>
      <c r="AG462" s="59">
        <f>IF(OR(A462="",NOT(OR(W462="Watching",W462="Preparing"))),"",IF(AND(ISNUMBER(M462),M462&gt;=3000000000),"YES – ≥ TZS 3bn",IF(AND(ISNUMBER(AE462),AE462&gt;=0,AE462&lt;10,V462=""),"YES – &lt;10 days","")))</f>
        <v/>
      </c>
      <c r="AH462" s="68" t="n"/>
      <c r="AI462" s="66" t="n"/>
      <c r="AJ462" s="66" t="n"/>
      <c r="AK462" s="66" t="n"/>
      <c r="AL462" s="59">
        <f>IF(AND(OR(W462="Watching",W462="Preparing"),ISNUMBER(Q462)),IF(AND(Q462&gt;='Friday Summary'!$C$4,Q462&lt;='Friday Summary'!$C$4+14),Q462+ROW()/1000000,""),"")</f>
        <v/>
      </c>
    </row>
    <row r="463" ht="15" customHeight="1" s="51">
      <c r="A463" s="59">
        <f>IF(B463="","","OP-"&amp;TEXT(ROW()-4,"000"))</f>
        <v/>
      </c>
      <c r="B463" s="60" t="n"/>
      <c r="C463" s="61" t="n"/>
      <c r="D463" s="60" t="n"/>
      <c r="E463" s="60" t="n"/>
      <c r="F463" s="60" t="n"/>
      <c r="G463" s="60" t="n"/>
      <c r="H463" s="60" t="n"/>
      <c r="I463" s="60" t="n"/>
      <c r="J463" s="60" t="n"/>
      <c r="K463" s="60" t="n"/>
      <c r="L463" s="60" t="n"/>
      <c r="M463" s="62" t="n"/>
      <c r="N463" s="60" t="n"/>
      <c r="O463" s="61" t="n"/>
      <c r="P463" s="61" t="n"/>
      <c r="Q463" s="63" t="n"/>
      <c r="R463" s="60" t="n"/>
      <c r="S463" s="60" t="n"/>
      <c r="T463" s="64">
        <f>IF(A463="","",IFERROR(INDEX('Bid-NoBid'!$T:$T,MATCH(A463,'Bid-NoBid'!$A:$A,0)),""))</f>
        <v/>
      </c>
      <c r="U463" s="59">
        <f>IF(A463="","",IFERROR(IF(OR(INDEX('Bid-NoBid'!$U:$U,MATCH(A463,'Bid-NoBid'!$A:$A,0))="",LEFT(INDEX('Bid-NoBid'!$U:$U,MATCH(A463,'Bid-NoBid'!$A:$A,0)),10)="Incomplete"),"Screen: "&amp;AC463,INDEX('Bid-NoBid'!$U:$U,MATCH(A463,'Bid-NoBid'!$A:$A,0))),"Screen: "&amp;AC463))</f>
        <v/>
      </c>
      <c r="V463" s="60" t="n"/>
      <c r="W463" s="60" t="n"/>
      <c r="X463" s="60" t="n"/>
      <c r="Y463" s="60" t="n"/>
      <c r="Z463" s="60" t="n"/>
      <c r="AA463" s="65" t="n"/>
      <c r="AB463" s="66" t="n"/>
      <c r="AC463" s="66" t="n"/>
      <c r="AD463" s="66" t="n"/>
      <c r="AE463" s="67">
        <f>IF(ISNUMBER(Q463),ROUNDDOWN(Q463-NOW(),1),"")</f>
        <v/>
      </c>
      <c r="AF463" s="59">
        <f>IF(OR(A463="",AE463=""),"",IF(NOT(OR(W463="Watching",W463="Preparing")),"",IF(AE463&lt;0,"PASSED",IF(AND(AE463&lt;=7,W463&lt;&gt;"Preparing"),"RED",IF(AE463&lt;=14,"AMBER","GREEN")))))</f>
        <v/>
      </c>
      <c r="AG463" s="59">
        <f>IF(OR(A463="",NOT(OR(W463="Watching",W463="Preparing"))),"",IF(AND(ISNUMBER(M463),M463&gt;=3000000000),"YES – ≥ TZS 3bn",IF(AND(ISNUMBER(AE463),AE463&gt;=0,AE463&lt;10,V463=""),"YES – &lt;10 days","")))</f>
        <v/>
      </c>
      <c r="AH463" s="68" t="n"/>
      <c r="AI463" s="66" t="n"/>
      <c r="AJ463" s="66" t="n"/>
      <c r="AK463" s="66" t="n"/>
      <c r="AL463" s="59">
        <f>IF(AND(OR(W463="Watching",W463="Preparing"),ISNUMBER(Q463)),IF(AND(Q463&gt;='Friday Summary'!$C$4,Q463&lt;='Friday Summary'!$C$4+14),Q463+ROW()/1000000,""),"")</f>
        <v/>
      </c>
    </row>
    <row r="464" ht="15" customHeight="1" s="51">
      <c r="A464" s="59">
        <f>IF(B464="","","OP-"&amp;TEXT(ROW()-4,"000"))</f>
        <v/>
      </c>
      <c r="B464" s="60" t="n"/>
      <c r="C464" s="61" t="n"/>
      <c r="D464" s="60" t="n"/>
      <c r="E464" s="60" t="n"/>
      <c r="F464" s="60" t="n"/>
      <c r="G464" s="60" t="n"/>
      <c r="H464" s="60" t="n"/>
      <c r="I464" s="60" t="n"/>
      <c r="J464" s="60" t="n"/>
      <c r="K464" s="60" t="n"/>
      <c r="L464" s="60" t="n"/>
      <c r="M464" s="62" t="n"/>
      <c r="N464" s="60" t="n"/>
      <c r="O464" s="61" t="n"/>
      <c r="P464" s="61" t="n"/>
      <c r="Q464" s="63" t="n"/>
      <c r="R464" s="60" t="n"/>
      <c r="S464" s="60" t="n"/>
      <c r="T464" s="64">
        <f>IF(A464="","",IFERROR(INDEX('Bid-NoBid'!$T:$T,MATCH(A464,'Bid-NoBid'!$A:$A,0)),""))</f>
        <v/>
      </c>
      <c r="U464" s="59">
        <f>IF(A464="","",IFERROR(IF(OR(INDEX('Bid-NoBid'!$U:$U,MATCH(A464,'Bid-NoBid'!$A:$A,0))="",LEFT(INDEX('Bid-NoBid'!$U:$U,MATCH(A464,'Bid-NoBid'!$A:$A,0)),10)="Incomplete"),"Screen: "&amp;AC464,INDEX('Bid-NoBid'!$U:$U,MATCH(A464,'Bid-NoBid'!$A:$A,0))),"Screen: "&amp;AC464))</f>
        <v/>
      </c>
      <c r="V464" s="60" t="n"/>
      <c r="W464" s="60" t="n"/>
      <c r="X464" s="60" t="n"/>
      <c r="Y464" s="60" t="n"/>
      <c r="Z464" s="60" t="n"/>
      <c r="AA464" s="65" t="n"/>
      <c r="AB464" s="66" t="n"/>
      <c r="AC464" s="66" t="n"/>
      <c r="AD464" s="66" t="n"/>
      <c r="AE464" s="67">
        <f>IF(ISNUMBER(Q464),ROUNDDOWN(Q464-NOW(),1),"")</f>
        <v/>
      </c>
      <c r="AF464" s="59">
        <f>IF(OR(A464="",AE464=""),"",IF(NOT(OR(W464="Watching",W464="Preparing")),"",IF(AE464&lt;0,"PASSED",IF(AND(AE464&lt;=7,W464&lt;&gt;"Preparing"),"RED",IF(AE464&lt;=14,"AMBER","GREEN")))))</f>
        <v/>
      </c>
      <c r="AG464" s="59">
        <f>IF(OR(A464="",NOT(OR(W464="Watching",W464="Preparing"))),"",IF(AND(ISNUMBER(M464),M464&gt;=3000000000),"YES – ≥ TZS 3bn",IF(AND(ISNUMBER(AE464),AE464&gt;=0,AE464&lt;10,V464=""),"YES – &lt;10 days","")))</f>
        <v/>
      </c>
      <c r="AH464" s="68" t="n"/>
      <c r="AI464" s="66" t="n"/>
      <c r="AJ464" s="66" t="n"/>
      <c r="AK464" s="66" t="n"/>
      <c r="AL464" s="59">
        <f>IF(AND(OR(W464="Watching",W464="Preparing"),ISNUMBER(Q464)),IF(AND(Q464&gt;='Friday Summary'!$C$4,Q464&lt;='Friday Summary'!$C$4+14),Q464+ROW()/1000000,""),"")</f>
        <v/>
      </c>
    </row>
    <row r="465" ht="15" customHeight="1" s="51">
      <c r="A465" s="59">
        <f>IF(B465="","","OP-"&amp;TEXT(ROW()-4,"000"))</f>
        <v/>
      </c>
      <c r="B465" s="60" t="n"/>
      <c r="C465" s="61" t="n"/>
      <c r="D465" s="60" t="n"/>
      <c r="E465" s="60" t="n"/>
      <c r="F465" s="60" t="n"/>
      <c r="G465" s="60" t="n"/>
      <c r="H465" s="60" t="n"/>
      <c r="I465" s="60" t="n"/>
      <c r="J465" s="60" t="n"/>
      <c r="K465" s="60" t="n"/>
      <c r="L465" s="60" t="n"/>
      <c r="M465" s="62" t="n"/>
      <c r="N465" s="60" t="n"/>
      <c r="O465" s="61" t="n"/>
      <c r="P465" s="61" t="n"/>
      <c r="Q465" s="63" t="n"/>
      <c r="R465" s="60" t="n"/>
      <c r="S465" s="60" t="n"/>
      <c r="T465" s="64">
        <f>IF(A465="","",IFERROR(INDEX('Bid-NoBid'!$T:$T,MATCH(A465,'Bid-NoBid'!$A:$A,0)),""))</f>
        <v/>
      </c>
      <c r="U465" s="59">
        <f>IF(A465="","",IFERROR(IF(OR(INDEX('Bid-NoBid'!$U:$U,MATCH(A465,'Bid-NoBid'!$A:$A,0))="",LEFT(INDEX('Bid-NoBid'!$U:$U,MATCH(A465,'Bid-NoBid'!$A:$A,0)),10)="Incomplete"),"Screen: "&amp;AC465,INDEX('Bid-NoBid'!$U:$U,MATCH(A465,'Bid-NoBid'!$A:$A,0))),"Screen: "&amp;AC465))</f>
        <v/>
      </c>
      <c r="V465" s="60" t="n"/>
      <c r="W465" s="60" t="n"/>
      <c r="X465" s="60" t="n"/>
      <c r="Y465" s="60" t="n"/>
      <c r="Z465" s="60" t="n"/>
      <c r="AA465" s="65" t="n"/>
      <c r="AB465" s="66" t="n"/>
      <c r="AC465" s="66" t="n"/>
      <c r="AD465" s="66" t="n"/>
      <c r="AE465" s="67">
        <f>IF(ISNUMBER(Q465),ROUNDDOWN(Q465-NOW(),1),"")</f>
        <v/>
      </c>
      <c r="AF465" s="59">
        <f>IF(OR(A465="",AE465=""),"",IF(NOT(OR(W465="Watching",W465="Preparing")),"",IF(AE465&lt;0,"PASSED",IF(AND(AE465&lt;=7,W465&lt;&gt;"Preparing"),"RED",IF(AE465&lt;=14,"AMBER","GREEN")))))</f>
        <v/>
      </c>
      <c r="AG465" s="59">
        <f>IF(OR(A465="",NOT(OR(W465="Watching",W465="Preparing"))),"",IF(AND(ISNUMBER(M465),M465&gt;=3000000000),"YES – ≥ TZS 3bn",IF(AND(ISNUMBER(AE465),AE465&gt;=0,AE465&lt;10,V465=""),"YES – &lt;10 days","")))</f>
        <v/>
      </c>
      <c r="AH465" s="68" t="n"/>
      <c r="AI465" s="66" t="n"/>
      <c r="AJ465" s="66" t="n"/>
      <c r="AK465" s="66" t="n"/>
      <c r="AL465" s="59">
        <f>IF(AND(OR(W465="Watching",W465="Preparing"),ISNUMBER(Q465)),IF(AND(Q465&gt;='Friday Summary'!$C$4,Q465&lt;='Friday Summary'!$C$4+14),Q465+ROW()/1000000,""),"")</f>
        <v/>
      </c>
    </row>
    <row r="466" ht="15" customHeight="1" s="51">
      <c r="A466" s="59">
        <f>IF(B466="","","OP-"&amp;TEXT(ROW()-4,"000"))</f>
        <v/>
      </c>
      <c r="B466" s="60" t="n"/>
      <c r="C466" s="61" t="n"/>
      <c r="D466" s="60" t="n"/>
      <c r="E466" s="60" t="n"/>
      <c r="F466" s="60" t="n"/>
      <c r="G466" s="60" t="n"/>
      <c r="H466" s="60" t="n"/>
      <c r="I466" s="60" t="n"/>
      <c r="J466" s="60" t="n"/>
      <c r="K466" s="60" t="n"/>
      <c r="L466" s="60" t="n"/>
      <c r="M466" s="62" t="n"/>
      <c r="N466" s="60" t="n"/>
      <c r="O466" s="61" t="n"/>
      <c r="P466" s="61" t="n"/>
      <c r="Q466" s="63" t="n"/>
      <c r="R466" s="60" t="n"/>
      <c r="S466" s="60" t="n"/>
      <c r="T466" s="64">
        <f>IF(A466="","",IFERROR(INDEX('Bid-NoBid'!$T:$T,MATCH(A466,'Bid-NoBid'!$A:$A,0)),""))</f>
        <v/>
      </c>
      <c r="U466" s="59">
        <f>IF(A466="","",IFERROR(IF(OR(INDEX('Bid-NoBid'!$U:$U,MATCH(A466,'Bid-NoBid'!$A:$A,0))="",LEFT(INDEX('Bid-NoBid'!$U:$U,MATCH(A466,'Bid-NoBid'!$A:$A,0)),10)="Incomplete"),"Screen: "&amp;AC466,INDEX('Bid-NoBid'!$U:$U,MATCH(A466,'Bid-NoBid'!$A:$A,0))),"Screen: "&amp;AC466))</f>
        <v/>
      </c>
      <c r="V466" s="60" t="n"/>
      <c r="W466" s="60" t="n"/>
      <c r="X466" s="60" t="n"/>
      <c r="Y466" s="60" t="n"/>
      <c r="Z466" s="60" t="n"/>
      <c r="AA466" s="65" t="n"/>
      <c r="AB466" s="66" t="n"/>
      <c r="AC466" s="66" t="n"/>
      <c r="AD466" s="66" t="n"/>
      <c r="AE466" s="67">
        <f>IF(ISNUMBER(Q466),ROUNDDOWN(Q466-NOW(),1),"")</f>
        <v/>
      </c>
      <c r="AF466" s="59">
        <f>IF(OR(A466="",AE466=""),"",IF(NOT(OR(W466="Watching",W466="Preparing")),"",IF(AE466&lt;0,"PASSED",IF(AND(AE466&lt;=7,W466&lt;&gt;"Preparing"),"RED",IF(AE466&lt;=14,"AMBER","GREEN")))))</f>
        <v/>
      </c>
      <c r="AG466" s="59">
        <f>IF(OR(A466="",NOT(OR(W466="Watching",W466="Preparing"))),"",IF(AND(ISNUMBER(M466),M466&gt;=3000000000),"YES – ≥ TZS 3bn",IF(AND(ISNUMBER(AE466),AE466&gt;=0,AE466&lt;10,V466=""),"YES – &lt;10 days","")))</f>
        <v/>
      </c>
      <c r="AH466" s="68" t="n"/>
      <c r="AI466" s="66" t="n"/>
      <c r="AJ466" s="66" t="n"/>
      <c r="AK466" s="66" t="n"/>
      <c r="AL466" s="59">
        <f>IF(AND(OR(W466="Watching",W466="Preparing"),ISNUMBER(Q466)),IF(AND(Q466&gt;='Friday Summary'!$C$4,Q466&lt;='Friday Summary'!$C$4+14),Q466+ROW()/1000000,""),"")</f>
        <v/>
      </c>
    </row>
    <row r="467" ht="15" customHeight="1" s="51">
      <c r="A467" s="59">
        <f>IF(B467="","","OP-"&amp;TEXT(ROW()-4,"000"))</f>
        <v/>
      </c>
      <c r="B467" s="60" t="n"/>
      <c r="C467" s="61" t="n"/>
      <c r="D467" s="60" t="n"/>
      <c r="E467" s="60" t="n"/>
      <c r="F467" s="60" t="n"/>
      <c r="G467" s="60" t="n"/>
      <c r="H467" s="60" t="n"/>
      <c r="I467" s="60" t="n"/>
      <c r="J467" s="60" t="n"/>
      <c r="K467" s="60" t="n"/>
      <c r="L467" s="60" t="n"/>
      <c r="M467" s="62" t="n"/>
      <c r="N467" s="60" t="n"/>
      <c r="O467" s="61" t="n"/>
      <c r="P467" s="61" t="n"/>
      <c r="Q467" s="63" t="n"/>
      <c r="R467" s="60" t="n"/>
      <c r="S467" s="60" t="n"/>
      <c r="T467" s="64">
        <f>IF(A467="","",IFERROR(INDEX('Bid-NoBid'!$T:$T,MATCH(A467,'Bid-NoBid'!$A:$A,0)),""))</f>
        <v/>
      </c>
      <c r="U467" s="59">
        <f>IF(A467="","",IFERROR(IF(OR(INDEX('Bid-NoBid'!$U:$U,MATCH(A467,'Bid-NoBid'!$A:$A,0))="",LEFT(INDEX('Bid-NoBid'!$U:$U,MATCH(A467,'Bid-NoBid'!$A:$A,0)),10)="Incomplete"),"Screen: "&amp;AC467,INDEX('Bid-NoBid'!$U:$U,MATCH(A467,'Bid-NoBid'!$A:$A,0))),"Screen: "&amp;AC467))</f>
        <v/>
      </c>
      <c r="V467" s="60" t="n"/>
      <c r="W467" s="60" t="n"/>
      <c r="X467" s="60" t="n"/>
      <c r="Y467" s="60" t="n"/>
      <c r="Z467" s="60" t="n"/>
      <c r="AA467" s="65" t="n"/>
      <c r="AB467" s="66" t="n"/>
      <c r="AC467" s="66" t="n"/>
      <c r="AD467" s="66" t="n"/>
      <c r="AE467" s="67">
        <f>IF(ISNUMBER(Q467),ROUNDDOWN(Q467-NOW(),1),"")</f>
        <v/>
      </c>
      <c r="AF467" s="59">
        <f>IF(OR(A467="",AE467=""),"",IF(NOT(OR(W467="Watching",W467="Preparing")),"",IF(AE467&lt;0,"PASSED",IF(AND(AE467&lt;=7,W467&lt;&gt;"Preparing"),"RED",IF(AE467&lt;=14,"AMBER","GREEN")))))</f>
        <v/>
      </c>
      <c r="AG467" s="59">
        <f>IF(OR(A467="",NOT(OR(W467="Watching",W467="Preparing"))),"",IF(AND(ISNUMBER(M467),M467&gt;=3000000000),"YES – ≥ TZS 3bn",IF(AND(ISNUMBER(AE467),AE467&gt;=0,AE467&lt;10,V467=""),"YES – &lt;10 days","")))</f>
        <v/>
      </c>
      <c r="AH467" s="68" t="n"/>
      <c r="AI467" s="66" t="n"/>
      <c r="AJ467" s="66" t="n"/>
      <c r="AK467" s="66" t="n"/>
      <c r="AL467" s="59">
        <f>IF(AND(OR(W467="Watching",W467="Preparing"),ISNUMBER(Q467)),IF(AND(Q467&gt;='Friday Summary'!$C$4,Q467&lt;='Friday Summary'!$C$4+14),Q467+ROW()/1000000,""),"")</f>
        <v/>
      </c>
    </row>
    <row r="468" ht="15" customHeight="1" s="51">
      <c r="A468" s="59">
        <f>IF(B468="","","OP-"&amp;TEXT(ROW()-4,"000"))</f>
        <v/>
      </c>
      <c r="B468" s="60" t="n"/>
      <c r="C468" s="61" t="n"/>
      <c r="D468" s="60" t="n"/>
      <c r="E468" s="60" t="n"/>
      <c r="F468" s="60" t="n"/>
      <c r="G468" s="60" t="n"/>
      <c r="H468" s="60" t="n"/>
      <c r="I468" s="60" t="n"/>
      <c r="J468" s="60" t="n"/>
      <c r="K468" s="60" t="n"/>
      <c r="L468" s="60" t="n"/>
      <c r="M468" s="62" t="n"/>
      <c r="N468" s="60" t="n"/>
      <c r="O468" s="61" t="n"/>
      <c r="P468" s="61" t="n"/>
      <c r="Q468" s="63" t="n"/>
      <c r="R468" s="60" t="n"/>
      <c r="S468" s="60" t="n"/>
      <c r="T468" s="64">
        <f>IF(A468="","",IFERROR(INDEX('Bid-NoBid'!$T:$T,MATCH(A468,'Bid-NoBid'!$A:$A,0)),""))</f>
        <v/>
      </c>
      <c r="U468" s="59">
        <f>IF(A468="","",IFERROR(IF(OR(INDEX('Bid-NoBid'!$U:$U,MATCH(A468,'Bid-NoBid'!$A:$A,0))="",LEFT(INDEX('Bid-NoBid'!$U:$U,MATCH(A468,'Bid-NoBid'!$A:$A,0)),10)="Incomplete"),"Screen: "&amp;AC468,INDEX('Bid-NoBid'!$U:$U,MATCH(A468,'Bid-NoBid'!$A:$A,0))),"Screen: "&amp;AC468))</f>
        <v/>
      </c>
      <c r="V468" s="60" t="n"/>
      <c r="W468" s="60" t="n"/>
      <c r="X468" s="60" t="n"/>
      <c r="Y468" s="60" t="n"/>
      <c r="Z468" s="60" t="n"/>
      <c r="AA468" s="65" t="n"/>
      <c r="AB468" s="66" t="n"/>
      <c r="AC468" s="66" t="n"/>
      <c r="AD468" s="66" t="n"/>
      <c r="AE468" s="67">
        <f>IF(ISNUMBER(Q468),ROUNDDOWN(Q468-NOW(),1),"")</f>
        <v/>
      </c>
      <c r="AF468" s="59">
        <f>IF(OR(A468="",AE468=""),"",IF(NOT(OR(W468="Watching",W468="Preparing")),"",IF(AE468&lt;0,"PASSED",IF(AND(AE468&lt;=7,W468&lt;&gt;"Preparing"),"RED",IF(AE468&lt;=14,"AMBER","GREEN")))))</f>
        <v/>
      </c>
      <c r="AG468" s="59">
        <f>IF(OR(A468="",NOT(OR(W468="Watching",W468="Preparing"))),"",IF(AND(ISNUMBER(M468),M468&gt;=3000000000),"YES – ≥ TZS 3bn",IF(AND(ISNUMBER(AE468),AE468&gt;=0,AE468&lt;10,V468=""),"YES – &lt;10 days","")))</f>
        <v/>
      </c>
      <c r="AH468" s="68" t="n"/>
      <c r="AI468" s="66" t="n"/>
      <c r="AJ468" s="66" t="n"/>
      <c r="AK468" s="66" t="n"/>
      <c r="AL468" s="59">
        <f>IF(AND(OR(W468="Watching",W468="Preparing"),ISNUMBER(Q468)),IF(AND(Q468&gt;='Friday Summary'!$C$4,Q468&lt;='Friday Summary'!$C$4+14),Q468+ROW()/1000000,""),"")</f>
        <v/>
      </c>
    </row>
    <row r="469" ht="15" customHeight="1" s="51">
      <c r="A469" s="59">
        <f>IF(B469="","","OP-"&amp;TEXT(ROW()-4,"000"))</f>
        <v/>
      </c>
      <c r="B469" s="60" t="n"/>
      <c r="C469" s="61" t="n"/>
      <c r="D469" s="60" t="n"/>
      <c r="E469" s="60" t="n"/>
      <c r="F469" s="60" t="n"/>
      <c r="G469" s="60" t="n"/>
      <c r="H469" s="60" t="n"/>
      <c r="I469" s="60" t="n"/>
      <c r="J469" s="60" t="n"/>
      <c r="K469" s="60" t="n"/>
      <c r="L469" s="60" t="n"/>
      <c r="M469" s="62" t="n"/>
      <c r="N469" s="60" t="n"/>
      <c r="O469" s="61" t="n"/>
      <c r="P469" s="61" t="n"/>
      <c r="Q469" s="63" t="n"/>
      <c r="R469" s="60" t="n"/>
      <c r="S469" s="60" t="n"/>
      <c r="T469" s="64">
        <f>IF(A469="","",IFERROR(INDEX('Bid-NoBid'!$T:$T,MATCH(A469,'Bid-NoBid'!$A:$A,0)),""))</f>
        <v/>
      </c>
      <c r="U469" s="59">
        <f>IF(A469="","",IFERROR(IF(OR(INDEX('Bid-NoBid'!$U:$U,MATCH(A469,'Bid-NoBid'!$A:$A,0))="",LEFT(INDEX('Bid-NoBid'!$U:$U,MATCH(A469,'Bid-NoBid'!$A:$A,0)),10)="Incomplete"),"Screen: "&amp;AC469,INDEX('Bid-NoBid'!$U:$U,MATCH(A469,'Bid-NoBid'!$A:$A,0))),"Screen: "&amp;AC469))</f>
        <v/>
      </c>
      <c r="V469" s="60" t="n"/>
      <c r="W469" s="60" t="n"/>
      <c r="X469" s="60" t="n"/>
      <c r="Y469" s="60" t="n"/>
      <c r="Z469" s="60" t="n"/>
      <c r="AA469" s="65" t="n"/>
      <c r="AB469" s="66" t="n"/>
      <c r="AC469" s="66" t="n"/>
      <c r="AD469" s="66" t="n"/>
      <c r="AE469" s="67">
        <f>IF(ISNUMBER(Q469),ROUNDDOWN(Q469-NOW(),1),"")</f>
        <v/>
      </c>
      <c r="AF469" s="59">
        <f>IF(OR(A469="",AE469=""),"",IF(NOT(OR(W469="Watching",W469="Preparing")),"",IF(AE469&lt;0,"PASSED",IF(AND(AE469&lt;=7,W469&lt;&gt;"Preparing"),"RED",IF(AE469&lt;=14,"AMBER","GREEN")))))</f>
        <v/>
      </c>
      <c r="AG469" s="59">
        <f>IF(OR(A469="",NOT(OR(W469="Watching",W469="Preparing"))),"",IF(AND(ISNUMBER(M469),M469&gt;=3000000000),"YES – ≥ TZS 3bn",IF(AND(ISNUMBER(AE469),AE469&gt;=0,AE469&lt;10,V469=""),"YES – &lt;10 days","")))</f>
        <v/>
      </c>
      <c r="AH469" s="68" t="n"/>
      <c r="AI469" s="66" t="n"/>
      <c r="AJ469" s="66" t="n"/>
      <c r="AK469" s="66" t="n"/>
      <c r="AL469" s="59">
        <f>IF(AND(OR(W469="Watching",W469="Preparing"),ISNUMBER(Q469)),IF(AND(Q469&gt;='Friday Summary'!$C$4,Q469&lt;='Friday Summary'!$C$4+14),Q469+ROW()/1000000,""),"")</f>
        <v/>
      </c>
    </row>
    <row r="470" ht="15" customHeight="1" s="51">
      <c r="A470" s="59">
        <f>IF(B470="","","OP-"&amp;TEXT(ROW()-4,"000"))</f>
        <v/>
      </c>
      <c r="B470" s="60" t="n"/>
      <c r="C470" s="61" t="n"/>
      <c r="D470" s="60" t="n"/>
      <c r="E470" s="60" t="n"/>
      <c r="F470" s="60" t="n"/>
      <c r="G470" s="60" t="n"/>
      <c r="H470" s="60" t="n"/>
      <c r="I470" s="60" t="n"/>
      <c r="J470" s="60" t="n"/>
      <c r="K470" s="60" t="n"/>
      <c r="L470" s="60" t="n"/>
      <c r="M470" s="62" t="n"/>
      <c r="N470" s="60" t="n"/>
      <c r="O470" s="61" t="n"/>
      <c r="P470" s="61" t="n"/>
      <c r="Q470" s="63" t="n"/>
      <c r="R470" s="60" t="n"/>
      <c r="S470" s="60" t="n"/>
      <c r="T470" s="64">
        <f>IF(A470="","",IFERROR(INDEX('Bid-NoBid'!$T:$T,MATCH(A470,'Bid-NoBid'!$A:$A,0)),""))</f>
        <v/>
      </c>
      <c r="U470" s="59">
        <f>IF(A470="","",IFERROR(IF(OR(INDEX('Bid-NoBid'!$U:$U,MATCH(A470,'Bid-NoBid'!$A:$A,0))="",LEFT(INDEX('Bid-NoBid'!$U:$U,MATCH(A470,'Bid-NoBid'!$A:$A,0)),10)="Incomplete"),"Screen: "&amp;AC470,INDEX('Bid-NoBid'!$U:$U,MATCH(A470,'Bid-NoBid'!$A:$A,0))),"Screen: "&amp;AC470))</f>
        <v/>
      </c>
      <c r="V470" s="60" t="n"/>
      <c r="W470" s="60" t="n"/>
      <c r="X470" s="60" t="n"/>
      <c r="Y470" s="60" t="n"/>
      <c r="Z470" s="60" t="n"/>
      <c r="AA470" s="65" t="n"/>
      <c r="AB470" s="66" t="n"/>
      <c r="AC470" s="66" t="n"/>
      <c r="AD470" s="66" t="n"/>
      <c r="AE470" s="67">
        <f>IF(ISNUMBER(Q470),ROUNDDOWN(Q470-NOW(),1),"")</f>
        <v/>
      </c>
      <c r="AF470" s="59">
        <f>IF(OR(A470="",AE470=""),"",IF(NOT(OR(W470="Watching",W470="Preparing")),"",IF(AE470&lt;0,"PASSED",IF(AND(AE470&lt;=7,W470&lt;&gt;"Preparing"),"RED",IF(AE470&lt;=14,"AMBER","GREEN")))))</f>
        <v/>
      </c>
      <c r="AG470" s="59">
        <f>IF(OR(A470="",NOT(OR(W470="Watching",W470="Preparing"))),"",IF(AND(ISNUMBER(M470),M470&gt;=3000000000),"YES – ≥ TZS 3bn",IF(AND(ISNUMBER(AE470),AE470&gt;=0,AE470&lt;10,V470=""),"YES – &lt;10 days","")))</f>
        <v/>
      </c>
      <c r="AH470" s="68" t="n"/>
      <c r="AI470" s="66" t="n"/>
      <c r="AJ470" s="66" t="n"/>
      <c r="AK470" s="66" t="n"/>
      <c r="AL470" s="59">
        <f>IF(AND(OR(W470="Watching",W470="Preparing"),ISNUMBER(Q470)),IF(AND(Q470&gt;='Friday Summary'!$C$4,Q470&lt;='Friday Summary'!$C$4+14),Q470+ROW()/1000000,""),"")</f>
        <v/>
      </c>
    </row>
    <row r="471" ht="15" customHeight="1" s="51">
      <c r="A471" s="59">
        <f>IF(B471="","","OP-"&amp;TEXT(ROW()-4,"000"))</f>
        <v/>
      </c>
      <c r="B471" s="60" t="n"/>
      <c r="C471" s="61" t="n"/>
      <c r="D471" s="60" t="n"/>
      <c r="E471" s="60" t="n"/>
      <c r="F471" s="60" t="n"/>
      <c r="G471" s="60" t="n"/>
      <c r="H471" s="60" t="n"/>
      <c r="I471" s="60" t="n"/>
      <c r="J471" s="60" t="n"/>
      <c r="K471" s="60" t="n"/>
      <c r="L471" s="60" t="n"/>
      <c r="M471" s="62" t="n"/>
      <c r="N471" s="60" t="n"/>
      <c r="O471" s="61" t="n"/>
      <c r="P471" s="61" t="n"/>
      <c r="Q471" s="63" t="n"/>
      <c r="R471" s="60" t="n"/>
      <c r="S471" s="60" t="n"/>
      <c r="T471" s="64">
        <f>IF(A471="","",IFERROR(INDEX('Bid-NoBid'!$T:$T,MATCH(A471,'Bid-NoBid'!$A:$A,0)),""))</f>
        <v/>
      </c>
      <c r="U471" s="59">
        <f>IF(A471="","",IFERROR(IF(OR(INDEX('Bid-NoBid'!$U:$U,MATCH(A471,'Bid-NoBid'!$A:$A,0))="",LEFT(INDEX('Bid-NoBid'!$U:$U,MATCH(A471,'Bid-NoBid'!$A:$A,0)),10)="Incomplete"),"Screen: "&amp;AC471,INDEX('Bid-NoBid'!$U:$U,MATCH(A471,'Bid-NoBid'!$A:$A,0))),"Screen: "&amp;AC471))</f>
        <v/>
      </c>
      <c r="V471" s="60" t="n"/>
      <c r="W471" s="60" t="n"/>
      <c r="X471" s="60" t="n"/>
      <c r="Y471" s="60" t="n"/>
      <c r="Z471" s="60" t="n"/>
      <c r="AA471" s="65" t="n"/>
      <c r="AB471" s="66" t="n"/>
      <c r="AC471" s="66" t="n"/>
      <c r="AD471" s="66" t="n"/>
      <c r="AE471" s="67">
        <f>IF(ISNUMBER(Q471),ROUNDDOWN(Q471-NOW(),1),"")</f>
        <v/>
      </c>
      <c r="AF471" s="59">
        <f>IF(OR(A471="",AE471=""),"",IF(NOT(OR(W471="Watching",W471="Preparing")),"",IF(AE471&lt;0,"PASSED",IF(AND(AE471&lt;=7,W471&lt;&gt;"Preparing"),"RED",IF(AE471&lt;=14,"AMBER","GREEN")))))</f>
        <v/>
      </c>
      <c r="AG471" s="59">
        <f>IF(OR(A471="",NOT(OR(W471="Watching",W471="Preparing"))),"",IF(AND(ISNUMBER(M471),M471&gt;=3000000000),"YES – ≥ TZS 3bn",IF(AND(ISNUMBER(AE471),AE471&gt;=0,AE471&lt;10,V471=""),"YES – &lt;10 days","")))</f>
        <v/>
      </c>
      <c r="AH471" s="68" t="n"/>
      <c r="AI471" s="66" t="n"/>
      <c r="AJ471" s="66" t="n"/>
      <c r="AK471" s="66" t="n"/>
      <c r="AL471" s="59">
        <f>IF(AND(OR(W471="Watching",W471="Preparing"),ISNUMBER(Q471)),IF(AND(Q471&gt;='Friday Summary'!$C$4,Q471&lt;='Friday Summary'!$C$4+14),Q471+ROW()/1000000,""),"")</f>
        <v/>
      </c>
    </row>
    <row r="472" ht="15" customHeight="1" s="51">
      <c r="A472" s="59">
        <f>IF(B472="","","OP-"&amp;TEXT(ROW()-4,"000"))</f>
        <v/>
      </c>
      <c r="B472" s="60" t="n"/>
      <c r="C472" s="61" t="n"/>
      <c r="D472" s="60" t="n"/>
      <c r="E472" s="60" t="n"/>
      <c r="F472" s="60" t="n"/>
      <c r="G472" s="60" t="n"/>
      <c r="H472" s="60" t="n"/>
      <c r="I472" s="60" t="n"/>
      <c r="J472" s="60" t="n"/>
      <c r="K472" s="60" t="n"/>
      <c r="L472" s="60" t="n"/>
      <c r="M472" s="62" t="n"/>
      <c r="N472" s="60" t="n"/>
      <c r="O472" s="61" t="n"/>
      <c r="P472" s="61" t="n"/>
      <c r="Q472" s="63" t="n"/>
      <c r="R472" s="60" t="n"/>
      <c r="S472" s="60" t="n"/>
      <c r="T472" s="64">
        <f>IF(A472="","",IFERROR(INDEX('Bid-NoBid'!$T:$T,MATCH(A472,'Bid-NoBid'!$A:$A,0)),""))</f>
        <v/>
      </c>
      <c r="U472" s="59">
        <f>IF(A472="","",IFERROR(IF(OR(INDEX('Bid-NoBid'!$U:$U,MATCH(A472,'Bid-NoBid'!$A:$A,0))="",LEFT(INDEX('Bid-NoBid'!$U:$U,MATCH(A472,'Bid-NoBid'!$A:$A,0)),10)="Incomplete"),"Screen: "&amp;AC472,INDEX('Bid-NoBid'!$U:$U,MATCH(A472,'Bid-NoBid'!$A:$A,0))),"Screen: "&amp;AC472))</f>
        <v/>
      </c>
      <c r="V472" s="60" t="n"/>
      <c r="W472" s="60" t="n"/>
      <c r="X472" s="60" t="n"/>
      <c r="Y472" s="60" t="n"/>
      <c r="Z472" s="60" t="n"/>
      <c r="AA472" s="65" t="n"/>
      <c r="AB472" s="66" t="n"/>
      <c r="AC472" s="66" t="n"/>
      <c r="AD472" s="66" t="n"/>
      <c r="AE472" s="67">
        <f>IF(ISNUMBER(Q472),ROUNDDOWN(Q472-NOW(),1),"")</f>
        <v/>
      </c>
      <c r="AF472" s="59">
        <f>IF(OR(A472="",AE472=""),"",IF(NOT(OR(W472="Watching",W472="Preparing")),"",IF(AE472&lt;0,"PASSED",IF(AND(AE472&lt;=7,W472&lt;&gt;"Preparing"),"RED",IF(AE472&lt;=14,"AMBER","GREEN")))))</f>
        <v/>
      </c>
      <c r="AG472" s="59">
        <f>IF(OR(A472="",NOT(OR(W472="Watching",W472="Preparing"))),"",IF(AND(ISNUMBER(M472),M472&gt;=3000000000),"YES – ≥ TZS 3bn",IF(AND(ISNUMBER(AE472),AE472&gt;=0,AE472&lt;10,V472=""),"YES – &lt;10 days","")))</f>
        <v/>
      </c>
      <c r="AH472" s="68" t="n"/>
      <c r="AI472" s="66" t="n"/>
      <c r="AJ472" s="66" t="n"/>
      <c r="AK472" s="66" t="n"/>
      <c r="AL472" s="59">
        <f>IF(AND(OR(W472="Watching",W472="Preparing"),ISNUMBER(Q472)),IF(AND(Q472&gt;='Friday Summary'!$C$4,Q472&lt;='Friday Summary'!$C$4+14),Q472+ROW()/1000000,""),"")</f>
        <v/>
      </c>
    </row>
    <row r="473" ht="15" customHeight="1" s="51">
      <c r="A473" s="59">
        <f>IF(B473="","","OP-"&amp;TEXT(ROW()-4,"000"))</f>
        <v/>
      </c>
      <c r="B473" s="60" t="n"/>
      <c r="C473" s="61" t="n"/>
      <c r="D473" s="60" t="n"/>
      <c r="E473" s="60" t="n"/>
      <c r="F473" s="60" t="n"/>
      <c r="G473" s="60" t="n"/>
      <c r="H473" s="60" t="n"/>
      <c r="I473" s="60" t="n"/>
      <c r="J473" s="60" t="n"/>
      <c r="K473" s="60" t="n"/>
      <c r="L473" s="60" t="n"/>
      <c r="M473" s="62" t="n"/>
      <c r="N473" s="60" t="n"/>
      <c r="O473" s="61" t="n"/>
      <c r="P473" s="61" t="n"/>
      <c r="Q473" s="63" t="n"/>
      <c r="R473" s="60" t="n"/>
      <c r="S473" s="60" t="n"/>
      <c r="T473" s="64">
        <f>IF(A473="","",IFERROR(INDEX('Bid-NoBid'!$T:$T,MATCH(A473,'Bid-NoBid'!$A:$A,0)),""))</f>
        <v/>
      </c>
      <c r="U473" s="59">
        <f>IF(A473="","",IFERROR(IF(OR(INDEX('Bid-NoBid'!$U:$U,MATCH(A473,'Bid-NoBid'!$A:$A,0))="",LEFT(INDEX('Bid-NoBid'!$U:$U,MATCH(A473,'Bid-NoBid'!$A:$A,0)),10)="Incomplete"),"Screen: "&amp;AC473,INDEX('Bid-NoBid'!$U:$U,MATCH(A473,'Bid-NoBid'!$A:$A,0))),"Screen: "&amp;AC473))</f>
        <v/>
      </c>
      <c r="V473" s="60" t="n"/>
      <c r="W473" s="60" t="n"/>
      <c r="X473" s="60" t="n"/>
      <c r="Y473" s="60" t="n"/>
      <c r="Z473" s="60" t="n"/>
      <c r="AA473" s="65" t="n"/>
      <c r="AB473" s="66" t="n"/>
      <c r="AC473" s="66" t="n"/>
      <c r="AD473" s="66" t="n"/>
      <c r="AE473" s="67">
        <f>IF(ISNUMBER(Q473),ROUNDDOWN(Q473-NOW(),1),"")</f>
        <v/>
      </c>
      <c r="AF473" s="59">
        <f>IF(OR(A473="",AE473=""),"",IF(NOT(OR(W473="Watching",W473="Preparing")),"",IF(AE473&lt;0,"PASSED",IF(AND(AE473&lt;=7,W473&lt;&gt;"Preparing"),"RED",IF(AE473&lt;=14,"AMBER","GREEN")))))</f>
        <v/>
      </c>
      <c r="AG473" s="59">
        <f>IF(OR(A473="",NOT(OR(W473="Watching",W473="Preparing"))),"",IF(AND(ISNUMBER(M473),M473&gt;=3000000000),"YES – ≥ TZS 3bn",IF(AND(ISNUMBER(AE473),AE473&gt;=0,AE473&lt;10,V473=""),"YES – &lt;10 days","")))</f>
        <v/>
      </c>
      <c r="AH473" s="68" t="n"/>
      <c r="AI473" s="66" t="n"/>
      <c r="AJ473" s="66" t="n"/>
      <c r="AK473" s="66" t="n"/>
      <c r="AL473" s="59">
        <f>IF(AND(OR(W473="Watching",W473="Preparing"),ISNUMBER(Q473)),IF(AND(Q473&gt;='Friday Summary'!$C$4,Q473&lt;='Friday Summary'!$C$4+14),Q473+ROW()/1000000,""),"")</f>
        <v/>
      </c>
    </row>
    <row r="474" ht="15" customHeight="1" s="51">
      <c r="A474" s="59">
        <f>IF(B474="","","OP-"&amp;TEXT(ROW()-4,"000"))</f>
        <v/>
      </c>
      <c r="B474" s="60" t="n"/>
      <c r="C474" s="61" t="n"/>
      <c r="D474" s="60" t="n"/>
      <c r="E474" s="60" t="n"/>
      <c r="F474" s="60" t="n"/>
      <c r="G474" s="60" t="n"/>
      <c r="H474" s="60" t="n"/>
      <c r="I474" s="60" t="n"/>
      <c r="J474" s="60" t="n"/>
      <c r="K474" s="60" t="n"/>
      <c r="L474" s="60" t="n"/>
      <c r="M474" s="62" t="n"/>
      <c r="N474" s="60" t="n"/>
      <c r="O474" s="61" t="n"/>
      <c r="P474" s="61" t="n"/>
      <c r="Q474" s="63" t="n"/>
      <c r="R474" s="60" t="n"/>
      <c r="S474" s="60" t="n"/>
      <c r="T474" s="64">
        <f>IF(A474="","",IFERROR(INDEX('Bid-NoBid'!$T:$T,MATCH(A474,'Bid-NoBid'!$A:$A,0)),""))</f>
        <v/>
      </c>
      <c r="U474" s="59">
        <f>IF(A474="","",IFERROR(IF(OR(INDEX('Bid-NoBid'!$U:$U,MATCH(A474,'Bid-NoBid'!$A:$A,0))="",LEFT(INDEX('Bid-NoBid'!$U:$U,MATCH(A474,'Bid-NoBid'!$A:$A,0)),10)="Incomplete"),"Screen: "&amp;AC474,INDEX('Bid-NoBid'!$U:$U,MATCH(A474,'Bid-NoBid'!$A:$A,0))),"Screen: "&amp;AC474))</f>
        <v/>
      </c>
      <c r="V474" s="60" t="n"/>
      <c r="W474" s="60" t="n"/>
      <c r="X474" s="60" t="n"/>
      <c r="Y474" s="60" t="n"/>
      <c r="Z474" s="60" t="n"/>
      <c r="AA474" s="65" t="n"/>
      <c r="AB474" s="66" t="n"/>
      <c r="AC474" s="66" t="n"/>
      <c r="AD474" s="66" t="n"/>
      <c r="AE474" s="67">
        <f>IF(ISNUMBER(Q474),ROUNDDOWN(Q474-NOW(),1),"")</f>
        <v/>
      </c>
      <c r="AF474" s="59">
        <f>IF(OR(A474="",AE474=""),"",IF(NOT(OR(W474="Watching",W474="Preparing")),"",IF(AE474&lt;0,"PASSED",IF(AND(AE474&lt;=7,W474&lt;&gt;"Preparing"),"RED",IF(AE474&lt;=14,"AMBER","GREEN")))))</f>
        <v/>
      </c>
      <c r="AG474" s="59">
        <f>IF(OR(A474="",NOT(OR(W474="Watching",W474="Preparing"))),"",IF(AND(ISNUMBER(M474),M474&gt;=3000000000),"YES – ≥ TZS 3bn",IF(AND(ISNUMBER(AE474),AE474&gt;=0,AE474&lt;10,V474=""),"YES – &lt;10 days","")))</f>
        <v/>
      </c>
      <c r="AH474" s="68" t="n"/>
      <c r="AI474" s="66" t="n"/>
      <c r="AJ474" s="66" t="n"/>
      <c r="AK474" s="66" t="n"/>
      <c r="AL474" s="59">
        <f>IF(AND(OR(W474="Watching",W474="Preparing"),ISNUMBER(Q474)),IF(AND(Q474&gt;='Friday Summary'!$C$4,Q474&lt;='Friday Summary'!$C$4+14),Q474+ROW()/1000000,""),"")</f>
        <v/>
      </c>
    </row>
    <row r="475" ht="15" customHeight="1" s="51">
      <c r="A475" s="59">
        <f>IF(B475="","","OP-"&amp;TEXT(ROW()-4,"000"))</f>
        <v/>
      </c>
      <c r="B475" s="60" t="n"/>
      <c r="C475" s="61" t="n"/>
      <c r="D475" s="60" t="n"/>
      <c r="E475" s="60" t="n"/>
      <c r="F475" s="60" t="n"/>
      <c r="G475" s="60" t="n"/>
      <c r="H475" s="60" t="n"/>
      <c r="I475" s="60" t="n"/>
      <c r="J475" s="60" t="n"/>
      <c r="K475" s="60" t="n"/>
      <c r="L475" s="60" t="n"/>
      <c r="M475" s="62" t="n"/>
      <c r="N475" s="60" t="n"/>
      <c r="O475" s="61" t="n"/>
      <c r="P475" s="61" t="n"/>
      <c r="Q475" s="63" t="n"/>
      <c r="R475" s="60" t="n"/>
      <c r="S475" s="60" t="n"/>
      <c r="T475" s="64">
        <f>IF(A475="","",IFERROR(INDEX('Bid-NoBid'!$T:$T,MATCH(A475,'Bid-NoBid'!$A:$A,0)),""))</f>
        <v/>
      </c>
      <c r="U475" s="59">
        <f>IF(A475="","",IFERROR(IF(OR(INDEX('Bid-NoBid'!$U:$U,MATCH(A475,'Bid-NoBid'!$A:$A,0))="",LEFT(INDEX('Bid-NoBid'!$U:$U,MATCH(A475,'Bid-NoBid'!$A:$A,0)),10)="Incomplete"),"Screen: "&amp;AC475,INDEX('Bid-NoBid'!$U:$U,MATCH(A475,'Bid-NoBid'!$A:$A,0))),"Screen: "&amp;AC475))</f>
        <v/>
      </c>
      <c r="V475" s="60" t="n"/>
      <c r="W475" s="60" t="n"/>
      <c r="X475" s="60" t="n"/>
      <c r="Y475" s="60" t="n"/>
      <c r="Z475" s="60" t="n"/>
      <c r="AA475" s="65" t="n"/>
      <c r="AB475" s="66" t="n"/>
      <c r="AC475" s="66" t="n"/>
      <c r="AD475" s="66" t="n"/>
      <c r="AE475" s="67">
        <f>IF(ISNUMBER(Q475),ROUNDDOWN(Q475-NOW(),1),"")</f>
        <v/>
      </c>
      <c r="AF475" s="59">
        <f>IF(OR(A475="",AE475=""),"",IF(NOT(OR(W475="Watching",W475="Preparing")),"",IF(AE475&lt;0,"PASSED",IF(AND(AE475&lt;=7,W475&lt;&gt;"Preparing"),"RED",IF(AE475&lt;=14,"AMBER","GREEN")))))</f>
        <v/>
      </c>
      <c r="AG475" s="59">
        <f>IF(OR(A475="",NOT(OR(W475="Watching",W475="Preparing"))),"",IF(AND(ISNUMBER(M475),M475&gt;=3000000000),"YES – ≥ TZS 3bn",IF(AND(ISNUMBER(AE475),AE475&gt;=0,AE475&lt;10,V475=""),"YES – &lt;10 days","")))</f>
        <v/>
      </c>
      <c r="AH475" s="68" t="n"/>
      <c r="AI475" s="66" t="n"/>
      <c r="AJ475" s="66" t="n"/>
      <c r="AK475" s="66" t="n"/>
      <c r="AL475" s="59">
        <f>IF(AND(OR(W475="Watching",W475="Preparing"),ISNUMBER(Q475)),IF(AND(Q475&gt;='Friday Summary'!$C$4,Q475&lt;='Friday Summary'!$C$4+14),Q475+ROW()/1000000,""),"")</f>
        <v/>
      </c>
    </row>
    <row r="476" ht="15" customHeight="1" s="51">
      <c r="A476" s="59">
        <f>IF(B476="","","OP-"&amp;TEXT(ROW()-4,"000"))</f>
        <v/>
      </c>
      <c r="B476" s="60" t="n"/>
      <c r="C476" s="61" t="n"/>
      <c r="D476" s="60" t="n"/>
      <c r="E476" s="60" t="n"/>
      <c r="F476" s="60" t="n"/>
      <c r="G476" s="60" t="n"/>
      <c r="H476" s="60" t="n"/>
      <c r="I476" s="60" t="n"/>
      <c r="J476" s="60" t="n"/>
      <c r="K476" s="60" t="n"/>
      <c r="L476" s="60" t="n"/>
      <c r="M476" s="62" t="n"/>
      <c r="N476" s="60" t="n"/>
      <c r="O476" s="61" t="n"/>
      <c r="P476" s="61" t="n"/>
      <c r="Q476" s="63" t="n"/>
      <c r="R476" s="60" t="n"/>
      <c r="S476" s="60" t="n"/>
      <c r="T476" s="64">
        <f>IF(A476="","",IFERROR(INDEX('Bid-NoBid'!$T:$T,MATCH(A476,'Bid-NoBid'!$A:$A,0)),""))</f>
        <v/>
      </c>
      <c r="U476" s="59">
        <f>IF(A476="","",IFERROR(IF(OR(INDEX('Bid-NoBid'!$U:$U,MATCH(A476,'Bid-NoBid'!$A:$A,0))="",LEFT(INDEX('Bid-NoBid'!$U:$U,MATCH(A476,'Bid-NoBid'!$A:$A,0)),10)="Incomplete"),"Screen: "&amp;AC476,INDEX('Bid-NoBid'!$U:$U,MATCH(A476,'Bid-NoBid'!$A:$A,0))),"Screen: "&amp;AC476))</f>
        <v/>
      </c>
      <c r="V476" s="60" t="n"/>
      <c r="W476" s="60" t="n"/>
      <c r="X476" s="60" t="n"/>
      <c r="Y476" s="60" t="n"/>
      <c r="Z476" s="60" t="n"/>
      <c r="AA476" s="65" t="n"/>
      <c r="AB476" s="66" t="n"/>
      <c r="AC476" s="66" t="n"/>
      <c r="AD476" s="66" t="n"/>
      <c r="AE476" s="67">
        <f>IF(ISNUMBER(Q476),ROUNDDOWN(Q476-NOW(),1),"")</f>
        <v/>
      </c>
      <c r="AF476" s="59">
        <f>IF(OR(A476="",AE476=""),"",IF(NOT(OR(W476="Watching",W476="Preparing")),"",IF(AE476&lt;0,"PASSED",IF(AND(AE476&lt;=7,W476&lt;&gt;"Preparing"),"RED",IF(AE476&lt;=14,"AMBER","GREEN")))))</f>
        <v/>
      </c>
      <c r="AG476" s="59">
        <f>IF(OR(A476="",NOT(OR(W476="Watching",W476="Preparing"))),"",IF(AND(ISNUMBER(M476),M476&gt;=3000000000),"YES – ≥ TZS 3bn",IF(AND(ISNUMBER(AE476),AE476&gt;=0,AE476&lt;10,V476=""),"YES – &lt;10 days","")))</f>
        <v/>
      </c>
      <c r="AH476" s="68" t="n"/>
      <c r="AI476" s="66" t="n"/>
      <c r="AJ476" s="66" t="n"/>
      <c r="AK476" s="66" t="n"/>
      <c r="AL476" s="59">
        <f>IF(AND(OR(W476="Watching",W476="Preparing"),ISNUMBER(Q476)),IF(AND(Q476&gt;='Friday Summary'!$C$4,Q476&lt;='Friday Summary'!$C$4+14),Q476+ROW()/1000000,""),"")</f>
        <v/>
      </c>
    </row>
    <row r="477" ht="15" customHeight="1" s="51">
      <c r="A477" s="59">
        <f>IF(B477="","","OP-"&amp;TEXT(ROW()-4,"000"))</f>
        <v/>
      </c>
      <c r="B477" s="60" t="n"/>
      <c r="C477" s="61" t="n"/>
      <c r="D477" s="60" t="n"/>
      <c r="E477" s="60" t="n"/>
      <c r="F477" s="60" t="n"/>
      <c r="G477" s="60" t="n"/>
      <c r="H477" s="60" t="n"/>
      <c r="I477" s="60" t="n"/>
      <c r="J477" s="60" t="n"/>
      <c r="K477" s="60" t="n"/>
      <c r="L477" s="60" t="n"/>
      <c r="M477" s="62" t="n"/>
      <c r="N477" s="60" t="n"/>
      <c r="O477" s="61" t="n"/>
      <c r="P477" s="61" t="n"/>
      <c r="Q477" s="63" t="n"/>
      <c r="R477" s="60" t="n"/>
      <c r="S477" s="60" t="n"/>
      <c r="T477" s="64">
        <f>IF(A477="","",IFERROR(INDEX('Bid-NoBid'!$T:$T,MATCH(A477,'Bid-NoBid'!$A:$A,0)),""))</f>
        <v/>
      </c>
      <c r="U477" s="59">
        <f>IF(A477="","",IFERROR(IF(OR(INDEX('Bid-NoBid'!$U:$U,MATCH(A477,'Bid-NoBid'!$A:$A,0))="",LEFT(INDEX('Bid-NoBid'!$U:$U,MATCH(A477,'Bid-NoBid'!$A:$A,0)),10)="Incomplete"),"Screen: "&amp;AC477,INDEX('Bid-NoBid'!$U:$U,MATCH(A477,'Bid-NoBid'!$A:$A,0))),"Screen: "&amp;AC477))</f>
        <v/>
      </c>
      <c r="V477" s="60" t="n"/>
      <c r="W477" s="60" t="n"/>
      <c r="X477" s="60" t="n"/>
      <c r="Y477" s="60" t="n"/>
      <c r="Z477" s="60" t="n"/>
      <c r="AA477" s="65" t="n"/>
      <c r="AB477" s="66" t="n"/>
      <c r="AC477" s="66" t="n"/>
      <c r="AD477" s="66" t="n"/>
      <c r="AE477" s="67">
        <f>IF(ISNUMBER(Q477),ROUNDDOWN(Q477-NOW(),1),"")</f>
        <v/>
      </c>
      <c r="AF477" s="59">
        <f>IF(OR(A477="",AE477=""),"",IF(NOT(OR(W477="Watching",W477="Preparing")),"",IF(AE477&lt;0,"PASSED",IF(AND(AE477&lt;=7,W477&lt;&gt;"Preparing"),"RED",IF(AE477&lt;=14,"AMBER","GREEN")))))</f>
        <v/>
      </c>
      <c r="AG477" s="59">
        <f>IF(OR(A477="",NOT(OR(W477="Watching",W477="Preparing"))),"",IF(AND(ISNUMBER(M477),M477&gt;=3000000000),"YES – ≥ TZS 3bn",IF(AND(ISNUMBER(AE477),AE477&gt;=0,AE477&lt;10,V477=""),"YES – &lt;10 days","")))</f>
        <v/>
      </c>
      <c r="AH477" s="68" t="n"/>
      <c r="AI477" s="66" t="n"/>
      <c r="AJ477" s="66" t="n"/>
      <c r="AK477" s="66" t="n"/>
      <c r="AL477" s="59">
        <f>IF(AND(OR(W477="Watching",W477="Preparing"),ISNUMBER(Q477)),IF(AND(Q477&gt;='Friday Summary'!$C$4,Q477&lt;='Friday Summary'!$C$4+14),Q477+ROW()/1000000,""),"")</f>
        <v/>
      </c>
    </row>
    <row r="478" ht="15" customHeight="1" s="51">
      <c r="A478" s="59">
        <f>IF(B478="","","OP-"&amp;TEXT(ROW()-4,"000"))</f>
        <v/>
      </c>
      <c r="B478" s="60" t="n"/>
      <c r="C478" s="61" t="n"/>
      <c r="D478" s="60" t="n"/>
      <c r="E478" s="60" t="n"/>
      <c r="F478" s="60" t="n"/>
      <c r="G478" s="60" t="n"/>
      <c r="H478" s="60" t="n"/>
      <c r="I478" s="60" t="n"/>
      <c r="J478" s="60" t="n"/>
      <c r="K478" s="60" t="n"/>
      <c r="L478" s="60" t="n"/>
      <c r="M478" s="62" t="n"/>
      <c r="N478" s="60" t="n"/>
      <c r="O478" s="61" t="n"/>
      <c r="P478" s="61" t="n"/>
      <c r="Q478" s="63" t="n"/>
      <c r="R478" s="60" t="n"/>
      <c r="S478" s="60" t="n"/>
      <c r="T478" s="64">
        <f>IF(A478="","",IFERROR(INDEX('Bid-NoBid'!$T:$T,MATCH(A478,'Bid-NoBid'!$A:$A,0)),""))</f>
        <v/>
      </c>
      <c r="U478" s="59">
        <f>IF(A478="","",IFERROR(IF(OR(INDEX('Bid-NoBid'!$U:$U,MATCH(A478,'Bid-NoBid'!$A:$A,0))="",LEFT(INDEX('Bid-NoBid'!$U:$U,MATCH(A478,'Bid-NoBid'!$A:$A,0)),10)="Incomplete"),"Screen: "&amp;AC478,INDEX('Bid-NoBid'!$U:$U,MATCH(A478,'Bid-NoBid'!$A:$A,0))),"Screen: "&amp;AC478))</f>
        <v/>
      </c>
      <c r="V478" s="60" t="n"/>
      <c r="W478" s="60" t="n"/>
      <c r="X478" s="60" t="n"/>
      <c r="Y478" s="60" t="n"/>
      <c r="Z478" s="60" t="n"/>
      <c r="AA478" s="65" t="n"/>
      <c r="AB478" s="66" t="n"/>
      <c r="AC478" s="66" t="n"/>
      <c r="AD478" s="66" t="n"/>
      <c r="AE478" s="67">
        <f>IF(ISNUMBER(Q478),ROUNDDOWN(Q478-NOW(),1),"")</f>
        <v/>
      </c>
      <c r="AF478" s="59">
        <f>IF(OR(A478="",AE478=""),"",IF(NOT(OR(W478="Watching",W478="Preparing")),"",IF(AE478&lt;0,"PASSED",IF(AND(AE478&lt;=7,W478&lt;&gt;"Preparing"),"RED",IF(AE478&lt;=14,"AMBER","GREEN")))))</f>
        <v/>
      </c>
      <c r="AG478" s="59">
        <f>IF(OR(A478="",NOT(OR(W478="Watching",W478="Preparing"))),"",IF(AND(ISNUMBER(M478),M478&gt;=3000000000),"YES – ≥ TZS 3bn",IF(AND(ISNUMBER(AE478),AE478&gt;=0,AE478&lt;10,V478=""),"YES – &lt;10 days","")))</f>
        <v/>
      </c>
      <c r="AH478" s="68" t="n"/>
      <c r="AI478" s="66" t="n"/>
      <c r="AJ478" s="66" t="n"/>
      <c r="AK478" s="66" t="n"/>
      <c r="AL478" s="59">
        <f>IF(AND(OR(W478="Watching",W478="Preparing"),ISNUMBER(Q478)),IF(AND(Q478&gt;='Friday Summary'!$C$4,Q478&lt;='Friday Summary'!$C$4+14),Q478+ROW()/1000000,""),"")</f>
        <v/>
      </c>
    </row>
    <row r="479" ht="15" customHeight="1" s="51">
      <c r="A479" s="59">
        <f>IF(B479="","","OP-"&amp;TEXT(ROW()-4,"000"))</f>
        <v/>
      </c>
      <c r="B479" s="60" t="n"/>
      <c r="C479" s="61" t="n"/>
      <c r="D479" s="60" t="n"/>
      <c r="E479" s="60" t="n"/>
      <c r="F479" s="60" t="n"/>
      <c r="G479" s="60" t="n"/>
      <c r="H479" s="60" t="n"/>
      <c r="I479" s="60" t="n"/>
      <c r="J479" s="60" t="n"/>
      <c r="K479" s="60" t="n"/>
      <c r="L479" s="60" t="n"/>
      <c r="M479" s="62" t="n"/>
      <c r="N479" s="60" t="n"/>
      <c r="O479" s="61" t="n"/>
      <c r="P479" s="61" t="n"/>
      <c r="Q479" s="63" t="n"/>
      <c r="R479" s="60" t="n"/>
      <c r="S479" s="60" t="n"/>
      <c r="T479" s="64">
        <f>IF(A479="","",IFERROR(INDEX('Bid-NoBid'!$T:$T,MATCH(A479,'Bid-NoBid'!$A:$A,0)),""))</f>
        <v/>
      </c>
      <c r="U479" s="59">
        <f>IF(A479="","",IFERROR(IF(OR(INDEX('Bid-NoBid'!$U:$U,MATCH(A479,'Bid-NoBid'!$A:$A,0))="",LEFT(INDEX('Bid-NoBid'!$U:$U,MATCH(A479,'Bid-NoBid'!$A:$A,0)),10)="Incomplete"),"Screen: "&amp;AC479,INDEX('Bid-NoBid'!$U:$U,MATCH(A479,'Bid-NoBid'!$A:$A,0))),"Screen: "&amp;AC479))</f>
        <v/>
      </c>
      <c r="V479" s="60" t="n"/>
      <c r="W479" s="60" t="n"/>
      <c r="X479" s="60" t="n"/>
      <c r="Y479" s="60" t="n"/>
      <c r="Z479" s="60" t="n"/>
      <c r="AA479" s="65" t="n"/>
      <c r="AB479" s="66" t="n"/>
      <c r="AC479" s="66" t="n"/>
      <c r="AD479" s="66" t="n"/>
      <c r="AE479" s="67">
        <f>IF(ISNUMBER(Q479),ROUNDDOWN(Q479-NOW(),1),"")</f>
        <v/>
      </c>
      <c r="AF479" s="59">
        <f>IF(OR(A479="",AE479=""),"",IF(NOT(OR(W479="Watching",W479="Preparing")),"",IF(AE479&lt;0,"PASSED",IF(AND(AE479&lt;=7,W479&lt;&gt;"Preparing"),"RED",IF(AE479&lt;=14,"AMBER","GREEN")))))</f>
        <v/>
      </c>
      <c r="AG479" s="59">
        <f>IF(OR(A479="",NOT(OR(W479="Watching",W479="Preparing"))),"",IF(AND(ISNUMBER(M479),M479&gt;=3000000000),"YES – ≥ TZS 3bn",IF(AND(ISNUMBER(AE479),AE479&gt;=0,AE479&lt;10,V479=""),"YES – &lt;10 days","")))</f>
        <v/>
      </c>
      <c r="AH479" s="68" t="n"/>
      <c r="AI479" s="66" t="n"/>
      <c r="AJ479" s="66" t="n"/>
      <c r="AK479" s="66" t="n"/>
      <c r="AL479" s="59">
        <f>IF(AND(OR(W479="Watching",W479="Preparing"),ISNUMBER(Q479)),IF(AND(Q479&gt;='Friday Summary'!$C$4,Q479&lt;='Friday Summary'!$C$4+14),Q479+ROW()/1000000,""),"")</f>
        <v/>
      </c>
    </row>
    <row r="480" ht="15" customHeight="1" s="51">
      <c r="A480" s="59">
        <f>IF(B480="","","OP-"&amp;TEXT(ROW()-4,"000"))</f>
        <v/>
      </c>
      <c r="B480" s="60" t="n"/>
      <c r="C480" s="61" t="n"/>
      <c r="D480" s="60" t="n"/>
      <c r="E480" s="60" t="n"/>
      <c r="F480" s="60" t="n"/>
      <c r="G480" s="60" t="n"/>
      <c r="H480" s="60" t="n"/>
      <c r="I480" s="60" t="n"/>
      <c r="J480" s="60" t="n"/>
      <c r="K480" s="60" t="n"/>
      <c r="L480" s="60" t="n"/>
      <c r="M480" s="62" t="n"/>
      <c r="N480" s="60" t="n"/>
      <c r="O480" s="61" t="n"/>
      <c r="P480" s="61" t="n"/>
      <c r="Q480" s="63" t="n"/>
      <c r="R480" s="60" t="n"/>
      <c r="S480" s="60" t="n"/>
      <c r="T480" s="64">
        <f>IF(A480="","",IFERROR(INDEX('Bid-NoBid'!$T:$T,MATCH(A480,'Bid-NoBid'!$A:$A,0)),""))</f>
        <v/>
      </c>
      <c r="U480" s="59">
        <f>IF(A480="","",IFERROR(IF(OR(INDEX('Bid-NoBid'!$U:$U,MATCH(A480,'Bid-NoBid'!$A:$A,0))="",LEFT(INDEX('Bid-NoBid'!$U:$U,MATCH(A480,'Bid-NoBid'!$A:$A,0)),10)="Incomplete"),"Screen: "&amp;AC480,INDEX('Bid-NoBid'!$U:$U,MATCH(A480,'Bid-NoBid'!$A:$A,0))),"Screen: "&amp;AC480))</f>
        <v/>
      </c>
      <c r="V480" s="60" t="n"/>
      <c r="W480" s="60" t="n"/>
      <c r="X480" s="60" t="n"/>
      <c r="Y480" s="60" t="n"/>
      <c r="Z480" s="60" t="n"/>
      <c r="AA480" s="65" t="n"/>
      <c r="AB480" s="66" t="n"/>
      <c r="AC480" s="66" t="n"/>
      <c r="AD480" s="66" t="n"/>
      <c r="AE480" s="67">
        <f>IF(ISNUMBER(Q480),ROUNDDOWN(Q480-NOW(),1),"")</f>
        <v/>
      </c>
      <c r="AF480" s="59">
        <f>IF(OR(A480="",AE480=""),"",IF(NOT(OR(W480="Watching",W480="Preparing")),"",IF(AE480&lt;0,"PASSED",IF(AND(AE480&lt;=7,W480&lt;&gt;"Preparing"),"RED",IF(AE480&lt;=14,"AMBER","GREEN")))))</f>
        <v/>
      </c>
      <c r="AG480" s="59">
        <f>IF(OR(A480="",NOT(OR(W480="Watching",W480="Preparing"))),"",IF(AND(ISNUMBER(M480),M480&gt;=3000000000),"YES – ≥ TZS 3bn",IF(AND(ISNUMBER(AE480),AE480&gt;=0,AE480&lt;10,V480=""),"YES – &lt;10 days","")))</f>
        <v/>
      </c>
      <c r="AH480" s="68" t="n"/>
      <c r="AI480" s="66" t="n"/>
      <c r="AJ480" s="66" t="n"/>
      <c r="AK480" s="66" t="n"/>
      <c r="AL480" s="59">
        <f>IF(AND(OR(W480="Watching",W480="Preparing"),ISNUMBER(Q480)),IF(AND(Q480&gt;='Friday Summary'!$C$4,Q480&lt;='Friday Summary'!$C$4+14),Q480+ROW()/1000000,""),"")</f>
        <v/>
      </c>
    </row>
    <row r="481" ht="15" customHeight="1" s="51">
      <c r="A481" s="59">
        <f>IF(B481="","","OP-"&amp;TEXT(ROW()-4,"000"))</f>
        <v/>
      </c>
      <c r="B481" s="60" t="n"/>
      <c r="C481" s="61" t="n"/>
      <c r="D481" s="60" t="n"/>
      <c r="E481" s="60" t="n"/>
      <c r="F481" s="60" t="n"/>
      <c r="G481" s="60" t="n"/>
      <c r="H481" s="60" t="n"/>
      <c r="I481" s="60" t="n"/>
      <c r="J481" s="60" t="n"/>
      <c r="K481" s="60" t="n"/>
      <c r="L481" s="60" t="n"/>
      <c r="M481" s="62" t="n"/>
      <c r="N481" s="60" t="n"/>
      <c r="O481" s="61" t="n"/>
      <c r="P481" s="61" t="n"/>
      <c r="Q481" s="63" t="n"/>
      <c r="R481" s="60" t="n"/>
      <c r="S481" s="60" t="n"/>
      <c r="T481" s="64">
        <f>IF(A481="","",IFERROR(INDEX('Bid-NoBid'!$T:$T,MATCH(A481,'Bid-NoBid'!$A:$A,0)),""))</f>
        <v/>
      </c>
      <c r="U481" s="59">
        <f>IF(A481="","",IFERROR(IF(OR(INDEX('Bid-NoBid'!$U:$U,MATCH(A481,'Bid-NoBid'!$A:$A,0))="",LEFT(INDEX('Bid-NoBid'!$U:$U,MATCH(A481,'Bid-NoBid'!$A:$A,0)),10)="Incomplete"),"Screen: "&amp;AC481,INDEX('Bid-NoBid'!$U:$U,MATCH(A481,'Bid-NoBid'!$A:$A,0))),"Screen: "&amp;AC481))</f>
        <v/>
      </c>
      <c r="V481" s="60" t="n"/>
      <c r="W481" s="60" t="n"/>
      <c r="X481" s="60" t="n"/>
      <c r="Y481" s="60" t="n"/>
      <c r="Z481" s="60" t="n"/>
      <c r="AA481" s="65" t="n"/>
      <c r="AB481" s="66" t="n"/>
      <c r="AC481" s="66" t="n"/>
      <c r="AD481" s="66" t="n"/>
      <c r="AE481" s="67">
        <f>IF(ISNUMBER(Q481),ROUNDDOWN(Q481-NOW(),1),"")</f>
        <v/>
      </c>
      <c r="AF481" s="59">
        <f>IF(OR(A481="",AE481=""),"",IF(NOT(OR(W481="Watching",W481="Preparing")),"",IF(AE481&lt;0,"PASSED",IF(AND(AE481&lt;=7,W481&lt;&gt;"Preparing"),"RED",IF(AE481&lt;=14,"AMBER","GREEN")))))</f>
        <v/>
      </c>
      <c r="AG481" s="59">
        <f>IF(OR(A481="",NOT(OR(W481="Watching",W481="Preparing"))),"",IF(AND(ISNUMBER(M481),M481&gt;=3000000000),"YES – ≥ TZS 3bn",IF(AND(ISNUMBER(AE481),AE481&gt;=0,AE481&lt;10,V481=""),"YES – &lt;10 days","")))</f>
        <v/>
      </c>
      <c r="AH481" s="68" t="n"/>
      <c r="AI481" s="66" t="n"/>
      <c r="AJ481" s="66" t="n"/>
      <c r="AK481" s="66" t="n"/>
      <c r="AL481" s="59">
        <f>IF(AND(OR(W481="Watching",W481="Preparing"),ISNUMBER(Q481)),IF(AND(Q481&gt;='Friday Summary'!$C$4,Q481&lt;='Friday Summary'!$C$4+14),Q481+ROW()/1000000,""),"")</f>
        <v/>
      </c>
    </row>
    <row r="482" ht="15" customHeight="1" s="51">
      <c r="A482" s="59">
        <f>IF(B482="","","OP-"&amp;TEXT(ROW()-4,"000"))</f>
        <v/>
      </c>
      <c r="B482" s="60" t="n"/>
      <c r="C482" s="61" t="n"/>
      <c r="D482" s="60" t="n"/>
      <c r="E482" s="60" t="n"/>
      <c r="F482" s="60" t="n"/>
      <c r="G482" s="60" t="n"/>
      <c r="H482" s="60" t="n"/>
      <c r="I482" s="60" t="n"/>
      <c r="J482" s="60" t="n"/>
      <c r="K482" s="60" t="n"/>
      <c r="L482" s="60" t="n"/>
      <c r="M482" s="62" t="n"/>
      <c r="N482" s="60" t="n"/>
      <c r="O482" s="61" t="n"/>
      <c r="P482" s="61" t="n"/>
      <c r="Q482" s="63" t="n"/>
      <c r="R482" s="60" t="n"/>
      <c r="S482" s="60" t="n"/>
      <c r="T482" s="64">
        <f>IF(A482="","",IFERROR(INDEX('Bid-NoBid'!$T:$T,MATCH(A482,'Bid-NoBid'!$A:$A,0)),""))</f>
        <v/>
      </c>
      <c r="U482" s="59">
        <f>IF(A482="","",IFERROR(IF(OR(INDEX('Bid-NoBid'!$U:$U,MATCH(A482,'Bid-NoBid'!$A:$A,0))="",LEFT(INDEX('Bid-NoBid'!$U:$U,MATCH(A482,'Bid-NoBid'!$A:$A,0)),10)="Incomplete"),"Screen: "&amp;AC482,INDEX('Bid-NoBid'!$U:$U,MATCH(A482,'Bid-NoBid'!$A:$A,0))),"Screen: "&amp;AC482))</f>
        <v/>
      </c>
      <c r="V482" s="60" t="n"/>
      <c r="W482" s="60" t="n"/>
      <c r="X482" s="60" t="n"/>
      <c r="Y482" s="60" t="n"/>
      <c r="Z482" s="60" t="n"/>
      <c r="AA482" s="65" t="n"/>
      <c r="AB482" s="66" t="n"/>
      <c r="AC482" s="66" t="n"/>
      <c r="AD482" s="66" t="n"/>
      <c r="AE482" s="67">
        <f>IF(ISNUMBER(Q482),ROUNDDOWN(Q482-NOW(),1),"")</f>
        <v/>
      </c>
      <c r="AF482" s="59">
        <f>IF(OR(A482="",AE482=""),"",IF(NOT(OR(W482="Watching",W482="Preparing")),"",IF(AE482&lt;0,"PASSED",IF(AND(AE482&lt;=7,W482&lt;&gt;"Preparing"),"RED",IF(AE482&lt;=14,"AMBER","GREEN")))))</f>
        <v/>
      </c>
      <c r="AG482" s="59">
        <f>IF(OR(A482="",NOT(OR(W482="Watching",W482="Preparing"))),"",IF(AND(ISNUMBER(M482),M482&gt;=3000000000),"YES – ≥ TZS 3bn",IF(AND(ISNUMBER(AE482),AE482&gt;=0,AE482&lt;10,V482=""),"YES – &lt;10 days","")))</f>
        <v/>
      </c>
      <c r="AH482" s="68" t="n"/>
      <c r="AI482" s="66" t="n"/>
      <c r="AJ482" s="66" t="n"/>
      <c r="AK482" s="66" t="n"/>
      <c r="AL482" s="59">
        <f>IF(AND(OR(W482="Watching",W482="Preparing"),ISNUMBER(Q482)),IF(AND(Q482&gt;='Friday Summary'!$C$4,Q482&lt;='Friday Summary'!$C$4+14),Q482+ROW()/1000000,""),"")</f>
        <v/>
      </c>
    </row>
    <row r="483" ht="15" customHeight="1" s="51">
      <c r="A483" s="59">
        <f>IF(B483="","","OP-"&amp;TEXT(ROW()-4,"000"))</f>
        <v/>
      </c>
      <c r="B483" s="60" t="n"/>
      <c r="C483" s="61" t="n"/>
      <c r="D483" s="60" t="n"/>
      <c r="E483" s="60" t="n"/>
      <c r="F483" s="60" t="n"/>
      <c r="G483" s="60" t="n"/>
      <c r="H483" s="60" t="n"/>
      <c r="I483" s="60" t="n"/>
      <c r="J483" s="60" t="n"/>
      <c r="K483" s="60" t="n"/>
      <c r="L483" s="60" t="n"/>
      <c r="M483" s="62" t="n"/>
      <c r="N483" s="60" t="n"/>
      <c r="O483" s="61" t="n"/>
      <c r="P483" s="61" t="n"/>
      <c r="Q483" s="63" t="n"/>
      <c r="R483" s="60" t="n"/>
      <c r="S483" s="60" t="n"/>
      <c r="T483" s="64">
        <f>IF(A483="","",IFERROR(INDEX('Bid-NoBid'!$T:$T,MATCH(A483,'Bid-NoBid'!$A:$A,0)),""))</f>
        <v/>
      </c>
      <c r="U483" s="59">
        <f>IF(A483="","",IFERROR(IF(OR(INDEX('Bid-NoBid'!$U:$U,MATCH(A483,'Bid-NoBid'!$A:$A,0))="",LEFT(INDEX('Bid-NoBid'!$U:$U,MATCH(A483,'Bid-NoBid'!$A:$A,0)),10)="Incomplete"),"Screen: "&amp;AC483,INDEX('Bid-NoBid'!$U:$U,MATCH(A483,'Bid-NoBid'!$A:$A,0))),"Screen: "&amp;AC483))</f>
        <v/>
      </c>
      <c r="V483" s="60" t="n"/>
      <c r="W483" s="60" t="n"/>
      <c r="X483" s="60" t="n"/>
      <c r="Y483" s="60" t="n"/>
      <c r="Z483" s="60" t="n"/>
      <c r="AA483" s="65" t="n"/>
      <c r="AB483" s="66" t="n"/>
      <c r="AC483" s="66" t="n"/>
      <c r="AD483" s="66" t="n"/>
      <c r="AE483" s="67">
        <f>IF(ISNUMBER(Q483),ROUNDDOWN(Q483-NOW(),1),"")</f>
        <v/>
      </c>
      <c r="AF483" s="59">
        <f>IF(OR(A483="",AE483=""),"",IF(NOT(OR(W483="Watching",W483="Preparing")),"",IF(AE483&lt;0,"PASSED",IF(AND(AE483&lt;=7,W483&lt;&gt;"Preparing"),"RED",IF(AE483&lt;=14,"AMBER","GREEN")))))</f>
        <v/>
      </c>
      <c r="AG483" s="59">
        <f>IF(OR(A483="",NOT(OR(W483="Watching",W483="Preparing"))),"",IF(AND(ISNUMBER(M483),M483&gt;=3000000000),"YES – ≥ TZS 3bn",IF(AND(ISNUMBER(AE483),AE483&gt;=0,AE483&lt;10,V483=""),"YES – &lt;10 days","")))</f>
        <v/>
      </c>
      <c r="AH483" s="68" t="n"/>
      <c r="AI483" s="66" t="n"/>
      <c r="AJ483" s="66" t="n"/>
      <c r="AK483" s="66" t="n"/>
      <c r="AL483" s="59">
        <f>IF(AND(OR(W483="Watching",W483="Preparing"),ISNUMBER(Q483)),IF(AND(Q483&gt;='Friday Summary'!$C$4,Q483&lt;='Friday Summary'!$C$4+14),Q483+ROW()/1000000,""),"")</f>
        <v/>
      </c>
    </row>
    <row r="484" ht="15" customHeight="1" s="51">
      <c r="A484" s="59">
        <f>IF(B484="","","OP-"&amp;TEXT(ROW()-4,"000"))</f>
        <v/>
      </c>
      <c r="B484" s="60" t="n"/>
      <c r="C484" s="61" t="n"/>
      <c r="D484" s="60" t="n"/>
      <c r="E484" s="60" t="n"/>
      <c r="F484" s="60" t="n"/>
      <c r="G484" s="60" t="n"/>
      <c r="H484" s="60" t="n"/>
      <c r="I484" s="60" t="n"/>
      <c r="J484" s="60" t="n"/>
      <c r="K484" s="60" t="n"/>
      <c r="L484" s="60" t="n"/>
      <c r="M484" s="62" t="n"/>
      <c r="N484" s="60" t="n"/>
      <c r="O484" s="61" t="n"/>
      <c r="P484" s="61" t="n"/>
      <c r="Q484" s="63" t="n"/>
      <c r="R484" s="60" t="n"/>
      <c r="S484" s="60" t="n"/>
      <c r="T484" s="64">
        <f>IF(A484="","",IFERROR(INDEX('Bid-NoBid'!$T:$T,MATCH(A484,'Bid-NoBid'!$A:$A,0)),""))</f>
        <v/>
      </c>
      <c r="U484" s="59">
        <f>IF(A484="","",IFERROR(IF(OR(INDEX('Bid-NoBid'!$U:$U,MATCH(A484,'Bid-NoBid'!$A:$A,0))="",LEFT(INDEX('Bid-NoBid'!$U:$U,MATCH(A484,'Bid-NoBid'!$A:$A,0)),10)="Incomplete"),"Screen: "&amp;AC484,INDEX('Bid-NoBid'!$U:$U,MATCH(A484,'Bid-NoBid'!$A:$A,0))),"Screen: "&amp;AC484))</f>
        <v/>
      </c>
      <c r="V484" s="60" t="n"/>
      <c r="W484" s="60" t="n"/>
      <c r="X484" s="60" t="n"/>
      <c r="Y484" s="60" t="n"/>
      <c r="Z484" s="60" t="n"/>
      <c r="AA484" s="65" t="n"/>
      <c r="AB484" s="66" t="n"/>
      <c r="AC484" s="66" t="n"/>
      <c r="AD484" s="66" t="n"/>
      <c r="AE484" s="67">
        <f>IF(ISNUMBER(Q484),ROUNDDOWN(Q484-NOW(),1),"")</f>
        <v/>
      </c>
      <c r="AF484" s="59">
        <f>IF(OR(A484="",AE484=""),"",IF(NOT(OR(W484="Watching",W484="Preparing")),"",IF(AE484&lt;0,"PASSED",IF(AND(AE484&lt;=7,W484&lt;&gt;"Preparing"),"RED",IF(AE484&lt;=14,"AMBER","GREEN")))))</f>
        <v/>
      </c>
      <c r="AG484" s="59">
        <f>IF(OR(A484="",NOT(OR(W484="Watching",W484="Preparing"))),"",IF(AND(ISNUMBER(M484),M484&gt;=3000000000),"YES – ≥ TZS 3bn",IF(AND(ISNUMBER(AE484),AE484&gt;=0,AE484&lt;10,V484=""),"YES – &lt;10 days","")))</f>
        <v/>
      </c>
      <c r="AH484" s="68" t="n"/>
      <c r="AI484" s="66" t="n"/>
      <c r="AJ484" s="66" t="n"/>
      <c r="AK484" s="66" t="n"/>
      <c r="AL484" s="59">
        <f>IF(AND(OR(W484="Watching",W484="Preparing"),ISNUMBER(Q484)),IF(AND(Q484&gt;='Friday Summary'!$C$4,Q484&lt;='Friday Summary'!$C$4+14),Q484+ROW()/1000000,""),"")</f>
        <v/>
      </c>
    </row>
    <row r="485" ht="15" customHeight="1" s="51">
      <c r="A485" s="59">
        <f>IF(B485="","","OP-"&amp;TEXT(ROW()-4,"000"))</f>
        <v/>
      </c>
      <c r="B485" s="60" t="n"/>
      <c r="C485" s="61" t="n"/>
      <c r="D485" s="60" t="n"/>
      <c r="E485" s="60" t="n"/>
      <c r="F485" s="60" t="n"/>
      <c r="G485" s="60" t="n"/>
      <c r="H485" s="60" t="n"/>
      <c r="I485" s="60" t="n"/>
      <c r="J485" s="60" t="n"/>
      <c r="K485" s="60" t="n"/>
      <c r="L485" s="60" t="n"/>
      <c r="M485" s="62" t="n"/>
      <c r="N485" s="60" t="n"/>
      <c r="O485" s="61" t="n"/>
      <c r="P485" s="61" t="n"/>
      <c r="Q485" s="63" t="n"/>
      <c r="R485" s="60" t="n"/>
      <c r="S485" s="60" t="n"/>
      <c r="T485" s="64">
        <f>IF(A485="","",IFERROR(INDEX('Bid-NoBid'!$T:$T,MATCH(A485,'Bid-NoBid'!$A:$A,0)),""))</f>
        <v/>
      </c>
      <c r="U485" s="59">
        <f>IF(A485="","",IFERROR(IF(OR(INDEX('Bid-NoBid'!$U:$U,MATCH(A485,'Bid-NoBid'!$A:$A,0))="",LEFT(INDEX('Bid-NoBid'!$U:$U,MATCH(A485,'Bid-NoBid'!$A:$A,0)),10)="Incomplete"),"Screen: "&amp;AC485,INDEX('Bid-NoBid'!$U:$U,MATCH(A485,'Bid-NoBid'!$A:$A,0))),"Screen: "&amp;AC485))</f>
        <v/>
      </c>
      <c r="V485" s="60" t="n"/>
      <c r="W485" s="60" t="n"/>
      <c r="X485" s="60" t="n"/>
      <c r="Y485" s="60" t="n"/>
      <c r="Z485" s="60" t="n"/>
      <c r="AA485" s="65" t="n"/>
      <c r="AB485" s="66" t="n"/>
      <c r="AC485" s="66" t="n"/>
      <c r="AD485" s="66" t="n"/>
      <c r="AE485" s="67">
        <f>IF(ISNUMBER(Q485),ROUNDDOWN(Q485-NOW(),1),"")</f>
        <v/>
      </c>
      <c r="AF485" s="59">
        <f>IF(OR(A485="",AE485=""),"",IF(NOT(OR(W485="Watching",W485="Preparing")),"",IF(AE485&lt;0,"PASSED",IF(AND(AE485&lt;=7,W485&lt;&gt;"Preparing"),"RED",IF(AE485&lt;=14,"AMBER","GREEN")))))</f>
        <v/>
      </c>
      <c r="AG485" s="59">
        <f>IF(OR(A485="",NOT(OR(W485="Watching",W485="Preparing"))),"",IF(AND(ISNUMBER(M485),M485&gt;=3000000000),"YES – ≥ TZS 3bn",IF(AND(ISNUMBER(AE485),AE485&gt;=0,AE485&lt;10,V485=""),"YES – &lt;10 days","")))</f>
        <v/>
      </c>
      <c r="AH485" s="68" t="n"/>
      <c r="AI485" s="66" t="n"/>
      <c r="AJ485" s="66" t="n"/>
      <c r="AK485" s="66" t="n"/>
      <c r="AL485" s="59">
        <f>IF(AND(OR(W485="Watching",W485="Preparing"),ISNUMBER(Q485)),IF(AND(Q485&gt;='Friday Summary'!$C$4,Q485&lt;='Friday Summary'!$C$4+14),Q485+ROW()/1000000,""),"")</f>
        <v/>
      </c>
    </row>
    <row r="486" ht="15" customHeight="1" s="51">
      <c r="A486" s="59">
        <f>IF(B486="","","OP-"&amp;TEXT(ROW()-4,"000"))</f>
        <v/>
      </c>
      <c r="B486" s="60" t="n"/>
      <c r="C486" s="61" t="n"/>
      <c r="D486" s="60" t="n"/>
      <c r="E486" s="60" t="n"/>
      <c r="F486" s="60" t="n"/>
      <c r="G486" s="60" t="n"/>
      <c r="H486" s="60" t="n"/>
      <c r="I486" s="60" t="n"/>
      <c r="J486" s="60" t="n"/>
      <c r="K486" s="60" t="n"/>
      <c r="L486" s="60" t="n"/>
      <c r="M486" s="62" t="n"/>
      <c r="N486" s="60" t="n"/>
      <c r="O486" s="61" t="n"/>
      <c r="P486" s="61" t="n"/>
      <c r="Q486" s="63" t="n"/>
      <c r="R486" s="60" t="n"/>
      <c r="S486" s="60" t="n"/>
      <c r="T486" s="64">
        <f>IF(A486="","",IFERROR(INDEX('Bid-NoBid'!$T:$T,MATCH(A486,'Bid-NoBid'!$A:$A,0)),""))</f>
        <v/>
      </c>
      <c r="U486" s="59">
        <f>IF(A486="","",IFERROR(IF(OR(INDEX('Bid-NoBid'!$U:$U,MATCH(A486,'Bid-NoBid'!$A:$A,0))="",LEFT(INDEX('Bid-NoBid'!$U:$U,MATCH(A486,'Bid-NoBid'!$A:$A,0)),10)="Incomplete"),"Screen: "&amp;AC486,INDEX('Bid-NoBid'!$U:$U,MATCH(A486,'Bid-NoBid'!$A:$A,0))),"Screen: "&amp;AC486))</f>
        <v/>
      </c>
      <c r="V486" s="60" t="n"/>
      <c r="W486" s="60" t="n"/>
      <c r="X486" s="60" t="n"/>
      <c r="Y486" s="60" t="n"/>
      <c r="Z486" s="60" t="n"/>
      <c r="AA486" s="65" t="n"/>
      <c r="AB486" s="66" t="n"/>
      <c r="AC486" s="66" t="n"/>
      <c r="AD486" s="66" t="n"/>
      <c r="AE486" s="67">
        <f>IF(ISNUMBER(Q486),ROUNDDOWN(Q486-NOW(),1),"")</f>
        <v/>
      </c>
      <c r="AF486" s="59">
        <f>IF(OR(A486="",AE486=""),"",IF(NOT(OR(W486="Watching",W486="Preparing")),"",IF(AE486&lt;0,"PASSED",IF(AND(AE486&lt;=7,W486&lt;&gt;"Preparing"),"RED",IF(AE486&lt;=14,"AMBER","GREEN")))))</f>
        <v/>
      </c>
      <c r="AG486" s="59">
        <f>IF(OR(A486="",NOT(OR(W486="Watching",W486="Preparing"))),"",IF(AND(ISNUMBER(M486),M486&gt;=3000000000),"YES – ≥ TZS 3bn",IF(AND(ISNUMBER(AE486),AE486&gt;=0,AE486&lt;10,V486=""),"YES – &lt;10 days","")))</f>
        <v/>
      </c>
      <c r="AH486" s="68" t="n"/>
      <c r="AI486" s="66" t="n"/>
      <c r="AJ486" s="66" t="n"/>
      <c r="AK486" s="66" t="n"/>
      <c r="AL486" s="59">
        <f>IF(AND(OR(W486="Watching",W486="Preparing"),ISNUMBER(Q486)),IF(AND(Q486&gt;='Friday Summary'!$C$4,Q486&lt;='Friday Summary'!$C$4+14),Q486+ROW()/1000000,""),"")</f>
        <v/>
      </c>
    </row>
    <row r="487" ht="15" customHeight="1" s="51">
      <c r="A487" s="59">
        <f>IF(B487="","","OP-"&amp;TEXT(ROW()-4,"000"))</f>
        <v/>
      </c>
      <c r="B487" s="60" t="n"/>
      <c r="C487" s="61" t="n"/>
      <c r="D487" s="60" t="n"/>
      <c r="E487" s="60" t="n"/>
      <c r="F487" s="60" t="n"/>
      <c r="G487" s="60" t="n"/>
      <c r="H487" s="60" t="n"/>
      <c r="I487" s="60" t="n"/>
      <c r="J487" s="60" t="n"/>
      <c r="K487" s="60" t="n"/>
      <c r="L487" s="60" t="n"/>
      <c r="M487" s="62" t="n"/>
      <c r="N487" s="60" t="n"/>
      <c r="O487" s="61" t="n"/>
      <c r="P487" s="61" t="n"/>
      <c r="Q487" s="63" t="n"/>
      <c r="R487" s="60" t="n"/>
      <c r="S487" s="60" t="n"/>
      <c r="T487" s="64">
        <f>IF(A487="","",IFERROR(INDEX('Bid-NoBid'!$T:$T,MATCH(A487,'Bid-NoBid'!$A:$A,0)),""))</f>
        <v/>
      </c>
      <c r="U487" s="59">
        <f>IF(A487="","",IFERROR(IF(OR(INDEX('Bid-NoBid'!$U:$U,MATCH(A487,'Bid-NoBid'!$A:$A,0))="",LEFT(INDEX('Bid-NoBid'!$U:$U,MATCH(A487,'Bid-NoBid'!$A:$A,0)),10)="Incomplete"),"Screen: "&amp;AC487,INDEX('Bid-NoBid'!$U:$U,MATCH(A487,'Bid-NoBid'!$A:$A,0))),"Screen: "&amp;AC487))</f>
        <v/>
      </c>
      <c r="V487" s="60" t="n"/>
      <c r="W487" s="60" t="n"/>
      <c r="X487" s="60" t="n"/>
      <c r="Y487" s="60" t="n"/>
      <c r="Z487" s="60" t="n"/>
      <c r="AA487" s="65" t="n"/>
      <c r="AB487" s="66" t="n"/>
      <c r="AC487" s="66" t="n"/>
      <c r="AD487" s="66" t="n"/>
      <c r="AE487" s="67">
        <f>IF(ISNUMBER(Q487),ROUNDDOWN(Q487-NOW(),1),"")</f>
        <v/>
      </c>
      <c r="AF487" s="59">
        <f>IF(OR(A487="",AE487=""),"",IF(NOT(OR(W487="Watching",W487="Preparing")),"",IF(AE487&lt;0,"PASSED",IF(AND(AE487&lt;=7,W487&lt;&gt;"Preparing"),"RED",IF(AE487&lt;=14,"AMBER","GREEN")))))</f>
        <v/>
      </c>
      <c r="AG487" s="59">
        <f>IF(OR(A487="",NOT(OR(W487="Watching",W487="Preparing"))),"",IF(AND(ISNUMBER(M487),M487&gt;=3000000000),"YES – ≥ TZS 3bn",IF(AND(ISNUMBER(AE487),AE487&gt;=0,AE487&lt;10,V487=""),"YES – &lt;10 days","")))</f>
        <v/>
      </c>
      <c r="AH487" s="68" t="n"/>
      <c r="AI487" s="66" t="n"/>
      <c r="AJ487" s="66" t="n"/>
      <c r="AK487" s="66" t="n"/>
      <c r="AL487" s="59">
        <f>IF(AND(OR(W487="Watching",W487="Preparing"),ISNUMBER(Q487)),IF(AND(Q487&gt;='Friday Summary'!$C$4,Q487&lt;='Friday Summary'!$C$4+14),Q487+ROW()/1000000,""),"")</f>
        <v/>
      </c>
    </row>
    <row r="488" ht="15" customHeight="1" s="51">
      <c r="A488" s="59">
        <f>IF(B488="","","OP-"&amp;TEXT(ROW()-4,"000"))</f>
        <v/>
      </c>
      <c r="B488" s="60" t="n"/>
      <c r="C488" s="61" t="n"/>
      <c r="D488" s="60" t="n"/>
      <c r="E488" s="60" t="n"/>
      <c r="F488" s="60" t="n"/>
      <c r="G488" s="60" t="n"/>
      <c r="H488" s="60" t="n"/>
      <c r="I488" s="60" t="n"/>
      <c r="J488" s="60" t="n"/>
      <c r="K488" s="60" t="n"/>
      <c r="L488" s="60" t="n"/>
      <c r="M488" s="62" t="n"/>
      <c r="N488" s="60" t="n"/>
      <c r="O488" s="61" t="n"/>
      <c r="P488" s="61" t="n"/>
      <c r="Q488" s="63" t="n"/>
      <c r="R488" s="60" t="n"/>
      <c r="S488" s="60" t="n"/>
      <c r="T488" s="64">
        <f>IF(A488="","",IFERROR(INDEX('Bid-NoBid'!$T:$T,MATCH(A488,'Bid-NoBid'!$A:$A,0)),""))</f>
        <v/>
      </c>
      <c r="U488" s="59">
        <f>IF(A488="","",IFERROR(IF(OR(INDEX('Bid-NoBid'!$U:$U,MATCH(A488,'Bid-NoBid'!$A:$A,0))="",LEFT(INDEX('Bid-NoBid'!$U:$U,MATCH(A488,'Bid-NoBid'!$A:$A,0)),10)="Incomplete"),"Screen: "&amp;AC488,INDEX('Bid-NoBid'!$U:$U,MATCH(A488,'Bid-NoBid'!$A:$A,0))),"Screen: "&amp;AC488))</f>
        <v/>
      </c>
      <c r="V488" s="60" t="n"/>
      <c r="W488" s="60" t="n"/>
      <c r="X488" s="60" t="n"/>
      <c r="Y488" s="60" t="n"/>
      <c r="Z488" s="60" t="n"/>
      <c r="AA488" s="65" t="n"/>
      <c r="AB488" s="66" t="n"/>
      <c r="AC488" s="66" t="n"/>
      <c r="AD488" s="66" t="n"/>
      <c r="AE488" s="67">
        <f>IF(ISNUMBER(Q488),ROUNDDOWN(Q488-NOW(),1),"")</f>
        <v/>
      </c>
      <c r="AF488" s="59">
        <f>IF(OR(A488="",AE488=""),"",IF(NOT(OR(W488="Watching",W488="Preparing")),"",IF(AE488&lt;0,"PASSED",IF(AND(AE488&lt;=7,W488&lt;&gt;"Preparing"),"RED",IF(AE488&lt;=14,"AMBER","GREEN")))))</f>
        <v/>
      </c>
      <c r="AG488" s="59">
        <f>IF(OR(A488="",NOT(OR(W488="Watching",W488="Preparing"))),"",IF(AND(ISNUMBER(M488),M488&gt;=3000000000),"YES – ≥ TZS 3bn",IF(AND(ISNUMBER(AE488),AE488&gt;=0,AE488&lt;10,V488=""),"YES – &lt;10 days","")))</f>
        <v/>
      </c>
      <c r="AH488" s="68" t="n"/>
      <c r="AI488" s="66" t="n"/>
      <c r="AJ488" s="66" t="n"/>
      <c r="AK488" s="66" t="n"/>
      <c r="AL488" s="59">
        <f>IF(AND(OR(W488="Watching",W488="Preparing"),ISNUMBER(Q488)),IF(AND(Q488&gt;='Friday Summary'!$C$4,Q488&lt;='Friday Summary'!$C$4+14),Q488+ROW()/1000000,""),"")</f>
        <v/>
      </c>
    </row>
    <row r="489" ht="15" customHeight="1" s="51">
      <c r="A489" s="59">
        <f>IF(B489="","","OP-"&amp;TEXT(ROW()-4,"000"))</f>
        <v/>
      </c>
      <c r="B489" s="60" t="n"/>
      <c r="C489" s="61" t="n"/>
      <c r="D489" s="60" t="n"/>
      <c r="E489" s="60" t="n"/>
      <c r="F489" s="60" t="n"/>
      <c r="G489" s="60" t="n"/>
      <c r="H489" s="60" t="n"/>
      <c r="I489" s="60" t="n"/>
      <c r="J489" s="60" t="n"/>
      <c r="K489" s="60" t="n"/>
      <c r="L489" s="60" t="n"/>
      <c r="M489" s="62" t="n"/>
      <c r="N489" s="60" t="n"/>
      <c r="O489" s="61" t="n"/>
      <c r="P489" s="61" t="n"/>
      <c r="Q489" s="63" t="n"/>
      <c r="R489" s="60" t="n"/>
      <c r="S489" s="60" t="n"/>
      <c r="T489" s="64">
        <f>IF(A489="","",IFERROR(INDEX('Bid-NoBid'!$T:$T,MATCH(A489,'Bid-NoBid'!$A:$A,0)),""))</f>
        <v/>
      </c>
      <c r="U489" s="59">
        <f>IF(A489="","",IFERROR(IF(OR(INDEX('Bid-NoBid'!$U:$U,MATCH(A489,'Bid-NoBid'!$A:$A,0))="",LEFT(INDEX('Bid-NoBid'!$U:$U,MATCH(A489,'Bid-NoBid'!$A:$A,0)),10)="Incomplete"),"Screen: "&amp;AC489,INDEX('Bid-NoBid'!$U:$U,MATCH(A489,'Bid-NoBid'!$A:$A,0))),"Screen: "&amp;AC489))</f>
        <v/>
      </c>
      <c r="V489" s="60" t="n"/>
      <c r="W489" s="60" t="n"/>
      <c r="X489" s="60" t="n"/>
      <c r="Y489" s="60" t="n"/>
      <c r="Z489" s="60" t="n"/>
      <c r="AA489" s="65" t="n"/>
      <c r="AB489" s="66" t="n"/>
      <c r="AC489" s="66" t="n"/>
      <c r="AD489" s="66" t="n"/>
      <c r="AE489" s="67">
        <f>IF(ISNUMBER(Q489),ROUNDDOWN(Q489-NOW(),1),"")</f>
        <v/>
      </c>
      <c r="AF489" s="59">
        <f>IF(OR(A489="",AE489=""),"",IF(NOT(OR(W489="Watching",W489="Preparing")),"",IF(AE489&lt;0,"PASSED",IF(AND(AE489&lt;=7,W489&lt;&gt;"Preparing"),"RED",IF(AE489&lt;=14,"AMBER","GREEN")))))</f>
        <v/>
      </c>
      <c r="AG489" s="59">
        <f>IF(OR(A489="",NOT(OR(W489="Watching",W489="Preparing"))),"",IF(AND(ISNUMBER(M489),M489&gt;=3000000000),"YES – ≥ TZS 3bn",IF(AND(ISNUMBER(AE489),AE489&gt;=0,AE489&lt;10,V489=""),"YES – &lt;10 days","")))</f>
        <v/>
      </c>
      <c r="AH489" s="68" t="n"/>
      <c r="AI489" s="66" t="n"/>
      <c r="AJ489" s="66" t="n"/>
      <c r="AK489" s="66" t="n"/>
      <c r="AL489" s="59">
        <f>IF(AND(OR(W489="Watching",W489="Preparing"),ISNUMBER(Q489)),IF(AND(Q489&gt;='Friday Summary'!$C$4,Q489&lt;='Friday Summary'!$C$4+14),Q489+ROW()/1000000,""),"")</f>
        <v/>
      </c>
    </row>
    <row r="490" ht="15" customHeight="1" s="51">
      <c r="A490" s="59">
        <f>IF(B490="","","OP-"&amp;TEXT(ROW()-4,"000"))</f>
        <v/>
      </c>
      <c r="B490" s="60" t="n"/>
      <c r="C490" s="61" t="n"/>
      <c r="D490" s="60" t="n"/>
      <c r="E490" s="60" t="n"/>
      <c r="F490" s="60" t="n"/>
      <c r="G490" s="60" t="n"/>
      <c r="H490" s="60" t="n"/>
      <c r="I490" s="60" t="n"/>
      <c r="J490" s="60" t="n"/>
      <c r="K490" s="60" t="n"/>
      <c r="L490" s="60" t="n"/>
      <c r="M490" s="62" t="n"/>
      <c r="N490" s="60" t="n"/>
      <c r="O490" s="61" t="n"/>
      <c r="P490" s="61" t="n"/>
      <c r="Q490" s="63" t="n"/>
      <c r="R490" s="60" t="n"/>
      <c r="S490" s="60" t="n"/>
      <c r="T490" s="64">
        <f>IF(A490="","",IFERROR(INDEX('Bid-NoBid'!$T:$T,MATCH(A490,'Bid-NoBid'!$A:$A,0)),""))</f>
        <v/>
      </c>
      <c r="U490" s="59">
        <f>IF(A490="","",IFERROR(IF(OR(INDEX('Bid-NoBid'!$U:$U,MATCH(A490,'Bid-NoBid'!$A:$A,0))="",LEFT(INDEX('Bid-NoBid'!$U:$U,MATCH(A490,'Bid-NoBid'!$A:$A,0)),10)="Incomplete"),"Screen: "&amp;AC490,INDEX('Bid-NoBid'!$U:$U,MATCH(A490,'Bid-NoBid'!$A:$A,0))),"Screen: "&amp;AC490))</f>
        <v/>
      </c>
      <c r="V490" s="60" t="n"/>
      <c r="W490" s="60" t="n"/>
      <c r="X490" s="60" t="n"/>
      <c r="Y490" s="60" t="n"/>
      <c r="Z490" s="60" t="n"/>
      <c r="AA490" s="65" t="n"/>
      <c r="AB490" s="66" t="n"/>
      <c r="AC490" s="66" t="n"/>
      <c r="AD490" s="66" t="n"/>
      <c r="AE490" s="67">
        <f>IF(ISNUMBER(Q490),ROUNDDOWN(Q490-NOW(),1),"")</f>
        <v/>
      </c>
      <c r="AF490" s="59">
        <f>IF(OR(A490="",AE490=""),"",IF(NOT(OR(W490="Watching",W490="Preparing")),"",IF(AE490&lt;0,"PASSED",IF(AND(AE490&lt;=7,W490&lt;&gt;"Preparing"),"RED",IF(AE490&lt;=14,"AMBER","GREEN")))))</f>
        <v/>
      </c>
      <c r="AG490" s="59">
        <f>IF(OR(A490="",NOT(OR(W490="Watching",W490="Preparing"))),"",IF(AND(ISNUMBER(M490),M490&gt;=3000000000),"YES – ≥ TZS 3bn",IF(AND(ISNUMBER(AE490),AE490&gt;=0,AE490&lt;10,V490=""),"YES – &lt;10 days","")))</f>
        <v/>
      </c>
      <c r="AH490" s="68" t="n"/>
      <c r="AI490" s="66" t="n"/>
      <c r="AJ490" s="66" t="n"/>
      <c r="AK490" s="66" t="n"/>
      <c r="AL490" s="59">
        <f>IF(AND(OR(W490="Watching",W490="Preparing"),ISNUMBER(Q490)),IF(AND(Q490&gt;='Friday Summary'!$C$4,Q490&lt;='Friday Summary'!$C$4+14),Q490+ROW()/1000000,""),"")</f>
        <v/>
      </c>
    </row>
    <row r="491" ht="15" customHeight="1" s="51">
      <c r="A491" s="59">
        <f>IF(B491="","","OP-"&amp;TEXT(ROW()-4,"000"))</f>
        <v/>
      </c>
      <c r="B491" s="60" t="n"/>
      <c r="C491" s="61" t="n"/>
      <c r="D491" s="60" t="n"/>
      <c r="E491" s="60" t="n"/>
      <c r="F491" s="60" t="n"/>
      <c r="G491" s="60" t="n"/>
      <c r="H491" s="60" t="n"/>
      <c r="I491" s="60" t="n"/>
      <c r="J491" s="60" t="n"/>
      <c r="K491" s="60" t="n"/>
      <c r="L491" s="60" t="n"/>
      <c r="M491" s="62" t="n"/>
      <c r="N491" s="60" t="n"/>
      <c r="O491" s="61" t="n"/>
      <c r="P491" s="61" t="n"/>
      <c r="Q491" s="63" t="n"/>
      <c r="R491" s="60" t="n"/>
      <c r="S491" s="60" t="n"/>
      <c r="T491" s="64">
        <f>IF(A491="","",IFERROR(INDEX('Bid-NoBid'!$T:$T,MATCH(A491,'Bid-NoBid'!$A:$A,0)),""))</f>
        <v/>
      </c>
      <c r="U491" s="59">
        <f>IF(A491="","",IFERROR(IF(OR(INDEX('Bid-NoBid'!$U:$U,MATCH(A491,'Bid-NoBid'!$A:$A,0))="",LEFT(INDEX('Bid-NoBid'!$U:$U,MATCH(A491,'Bid-NoBid'!$A:$A,0)),10)="Incomplete"),"Screen: "&amp;AC491,INDEX('Bid-NoBid'!$U:$U,MATCH(A491,'Bid-NoBid'!$A:$A,0))),"Screen: "&amp;AC491))</f>
        <v/>
      </c>
      <c r="V491" s="60" t="n"/>
      <c r="W491" s="60" t="n"/>
      <c r="X491" s="60" t="n"/>
      <c r="Y491" s="60" t="n"/>
      <c r="Z491" s="60" t="n"/>
      <c r="AA491" s="65" t="n"/>
      <c r="AB491" s="66" t="n"/>
      <c r="AC491" s="66" t="n"/>
      <c r="AD491" s="66" t="n"/>
      <c r="AE491" s="67">
        <f>IF(ISNUMBER(Q491),ROUNDDOWN(Q491-NOW(),1),"")</f>
        <v/>
      </c>
      <c r="AF491" s="59">
        <f>IF(OR(A491="",AE491=""),"",IF(NOT(OR(W491="Watching",W491="Preparing")),"",IF(AE491&lt;0,"PASSED",IF(AND(AE491&lt;=7,W491&lt;&gt;"Preparing"),"RED",IF(AE491&lt;=14,"AMBER","GREEN")))))</f>
        <v/>
      </c>
      <c r="AG491" s="59">
        <f>IF(OR(A491="",NOT(OR(W491="Watching",W491="Preparing"))),"",IF(AND(ISNUMBER(M491),M491&gt;=3000000000),"YES – ≥ TZS 3bn",IF(AND(ISNUMBER(AE491),AE491&gt;=0,AE491&lt;10,V491=""),"YES – &lt;10 days","")))</f>
        <v/>
      </c>
      <c r="AH491" s="68" t="n"/>
      <c r="AI491" s="66" t="n"/>
      <c r="AJ491" s="66" t="n"/>
      <c r="AK491" s="66" t="n"/>
      <c r="AL491" s="59">
        <f>IF(AND(OR(W491="Watching",W491="Preparing"),ISNUMBER(Q491)),IF(AND(Q491&gt;='Friday Summary'!$C$4,Q491&lt;='Friday Summary'!$C$4+14),Q491+ROW()/1000000,""),"")</f>
        <v/>
      </c>
    </row>
    <row r="492" ht="15" customHeight="1" s="51">
      <c r="A492" s="59">
        <f>IF(B492="","","OP-"&amp;TEXT(ROW()-4,"000"))</f>
        <v/>
      </c>
      <c r="B492" s="60" t="n"/>
      <c r="C492" s="61" t="n"/>
      <c r="D492" s="60" t="n"/>
      <c r="E492" s="60" t="n"/>
      <c r="F492" s="60" t="n"/>
      <c r="G492" s="60" t="n"/>
      <c r="H492" s="60" t="n"/>
      <c r="I492" s="60" t="n"/>
      <c r="J492" s="60" t="n"/>
      <c r="K492" s="60" t="n"/>
      <c r="L492" s="60" t="n"/>
      <c r="M492" s="62" t="n"/>
      <c r="N492" s="60" t="n"/>
      <c r="O492" s="61" t="n"/>
      <c r="P492" s="61" t="n"/>
      <c r="Q492" s="63" t="n"/>
      <c r="R492" s="60" t="n"/>
      <c r="S492" s="60" t="n"/>
      <c r="T492" s="64">
        <f>IF(A492="","",IFERROR(INDEX('Bid-NoBid'!$T:$T,MATCH(A492,'Bid-NoBid'!$A:$A,0)),""))</f>
        <v/>
      </c>
      <c r="U492" s="59">
        <f>IF(A492="","",IFERROR(IF(OR(INDEX('Bid-NoBid'!$U:$U,MATCH(A492,'Bid-NoBid'!$A:$A,0))="",LEFT(INDEX('Bid-NoBid'!$U:$U,MATCH(A492,'Bid-NoBid'!$A:$A,0)),10)="Incomplete"),"Screen: "&amp;AC492,INDEX('Bid-NoBid'!$U:$U,MATCH(A492,'Bid-NoBid'!$A:$A,0))),"Screen: "&amp;AC492))</f>
        <v/>
      </c>
      <c r="V492" s="60" t="n"/>
      <c r="W492" s="60" t="n"/>
      <c r="X492" s="60" t="n"/>
      <c r="Y492" s="60" t="n"/>
      <c r="Z492" s="60" t="n"/>
      <c r="AA492" s="65" t="n"/>
      <c r="AB492" s="66" t="n"/>
      <c r="AC492" s="66" t="n"/>
      <c r="AD492" s="66" t="n"/>
      <c r="AE492" s="67">
        <f>IF(ISNUMBER(Q492),ROUNDDOWN(Q492-NOW(),1),"")</f>
        <v/>
      </c>
      <c r="AF492" s="59">
        <f>IF(OR(A492="",AE492=""),"",IF(NOT(OR(W492="Watching",W492="Preparing")),"",IF(AE492&lt;0,"PASSED",IF(AND(AE492&lt;=7,W492&lt;&gt;"Preparing"),"RED",IF(AE492&lt;=14,"AMBER","GREEN")))))</f>
        <v/>
      </c>
      <c r="AG492" s="59">
        <f>IF(OR(A492="",NOT(OR(W492="Watching",W492="Preparing"))),"",IF(AND(ISNUMBER(M492),M492&gt;=3000000000),"YES – ≥ TZS 3bn",IF(AND(ISNUMBER(AE492),AE492&gt;=0,AE492&lt;10,V492=""),"YES – &lt;10 days","")))</f>
        <v/>
      </c>
      <c r="AH492" s="68" t="n"/>
      <c r="AI492" s="66" t="n"/>
      <c r="AJ492" s="66" t="n"/>
      <c r="AK492" s="66" t="n"/>
      <c r="AL492" s="59">
        <f>IF(AND(OR(W492="Watching",W492="Preparing"),ISNUMBER(Q492)),IF(AND(Q492&gt;='Friday Summary'!$C$4,Q492&lt;='Friday Summary'!$C$4+14),Q492+ROW()/1000000,""),"")</f>
        <v/>
      </c>
    </row>
    <row r="493" ht="15" customHeight="1" s="51">
      <c r="A493" s="59">
        <f>IF(B493="","","OP-"&amp;TEXT(ROW()-4,"000"))</f>
        <v/>
      </c>
      <c r="B493" s="60" t="n"/>
      <c r="C493" s="61" t="n"/>
      <c r="D493" s="60" t="n"/>
      <c r="E493" s="60" t="n"/>
      <c r="F493" s="60" t="n"/>
      <c r="G493" s="60" t="n"/>
      <c r="H493" s="60" t="n"/>
      <c r="I493" s="60" t="n"/>
      <c r="J493" s="60" t="n"/>
      <c r="K493" s="60" t="n"/>
      <c r="L493" s="60" t="n"/>
      <c r="M493" s="62" t="n"/>
      <c r="N493" s="60" t="n"/>
      <c r="O493" s="61" t="n"/>
      <c r="P493" s="61" t="n"/>
      <c r="Q493" s="63" t="n"/>
      <c r="R493" s="60" t="n"/>
      <c r="S493" s="60" t="n"/>
      <c r="T493" s="64">
        <f>IF(A493="","",IFERROR(INDEX('Bid-NoBid'!$T:$T,MATCH(A493,'Bid-NoBid'!$A:$A,0)),""))</f>
        <v/>
      </c>
      <c r="U493" s="59">
        <f>IF(A493="","",IFERROR(IF(OR(INDEX('Bid-NoBid'!$U:$U,MATCH(A493,'Bid-NoBid'!$A:$A,0))="",LEFT(INDEX('Bid-NoBid'!$U:$U,MATCH(A493,'Bid-NoBid'!$A:$A,0)),10)="Incomplete"),"Screen: "&amp;AC493,INDEX('Bid-NoBid'!$U:$U,MATCH(A493,'Bid-NoBid'!$A:$A,0))),"Screen: "&amp;AC493))</f>
        <v/>
      </c>
      <c r="V493" s="60" t="n"/>
      <c r="W493" s="60" t="n"/>
      <c r="X493" s="60" t="n"/>
      <c r="Y493" s="60" t="n"/>
      <c r="Z493" s="60" t="n"/>
      <c r="AA493" s="65" t="n"/>
      <c r="AB493" s="66" t="n"/>
      <c r="AC493" s="66" t="n"/>
      <c r="AD493" s="66" t="n"/>
      <c r="AE493" s="67">
        <f>IF(ISNUMBER(Q493),ROUNDDOWN(Q493-NOW(),1),"")</f>
        <v/>
      </c>
      <c r="AF493" s="59">
        <f>IF(OR(A493="",AE493=""),"",IF(NOT(OR(W493="Watching",W493="Preparing")),"",IF(AE493&lt;0,"PASSED",IF(AND(AE493&lt;=7,W493&lt;&gt;"Preparing"),"RED",IF(AE493&lt;=14,"AMBER","GREEN")))))</f>
        <v/>
      </c>
      <c r="AG493" s="59">
        <f>IF(OR(A493="",NOT(OR(W493="Watching",W493="Preparing"))),"",IF(AND(ISNUMBER(M493),M493&gt;=3000000000),"YES – ≥ TZS 3bn",IF(AND(ISNUMBER(AE493),AE493&gt;=0,AE493&lt;10,V493=""),"YES – &lt;10 days","")))</f>
        <v/>
      </c>
      <c r="AH493" s="68" t="n"/>
      <c r="AI493" s="66" t="n"/>
      <c r="AJ493" s="66" t="n"/>
      <c r="AK493" s="66" t="n"/>
      <c r="AL493" s="59">
        <f>IF(AND(OR(W493="Watching",W493="Preparing"),ISNUMBER(Q493)),IF(AND(Q493&gt;='Friday Summary'!$C$4,Q493&lt;='Friday Summary'!$C$4+14),Q493+ROW()/1000000,""),"")</f>
        <v/>
      </c>
    </row>
    <row r="494" ht="15" customHeight="1" s="51">
      <c r="A494" s="59">
        <f>IF(B494="","","OP-"&amp;TEXT(ROW()-4,"000"))</f>
        <v/>
      </c>
      <c r="B494" s="60" t="n"/>
      <c r="C494" s="61" t="n"/>
      <c r="D494" s="60" t="n"/>
      <c r="E494" s="60" t="n"/>
      <c r="F494" s="60" t="n"/>
      <c r="G494" s="60" t="n"/>
      <c r="H494" s="60" t="n"/>
      <c r="I494" s="60" t="n"/>
      <c r="J494" s="60" t="n"/>
      <c r="K494" s="60" t="n"/>
      <c r="L494" s="60" t="n"/>
      <c r="M494" s="62" t="n"/>
      <c r="N494" s="60" t="n"/>
      <c r="O494" s="61" t="n"/>
      <c r="P494" s="61" t="n"/>
      <c r="Q494" s="63" t="n"/>
      <c r="R494" s="60" t="n"/>
      <c r="S494" s="60" t="n"/>
      <c r="T494" s="64">
        <f>IF(A494="","",IFERROR(INDEX('Bid-NoBid'!$T:$T,MATCH(A494,'Bid-NoBid'!$A:$A,0)),""))</f>
        <v/>
      </c>
      <c r="U494" s="59">
        <f>IF(A494="","",IFERROR(IF(OR(INDEX('Bid-NoBid'!$U:$U,MATCH(A494,'Bid-NoBid'!$A:$A,0))="",LEFT(INDEX('Bid-NoBid'!$U:$U,MATCH(A494,'Bid-NoBid'!$A:$A,0)),10)="Incomplete"),"Screen: "&amp;AC494,INDEX('Bid-NoBid'!$U:$U,MATCH(A494,'Bid-NoBid'!$A:$A,0))),"Screen: "&amp;AC494))</f>
        <v/>
      </c>
      <c r="V494" s="60" t="n"/>
      <c r="W494" s="60" t="n"/>
      <c r="X494" s="60" t="n"/>
      <c r="Y494" s="60" t="n"/>
      <c r="Z494" s="60" t="n"/>
      <c r="AA494" s="65" t="n"/>
      <c r="AB494" s="66" t="n"/>
      <c r="AC494" s="66" t="n"/>
      <c r="AD494" s="66" t="n"/>
      <c r="AE494" s="67">
        <f>IF(ISNUMBER(Q494),ROUNDDOWN(Q494-NOW(),1),"")</f>
        <v/>
      </c>
      <c r="AF494" s="59">
        <f>IF(OR(A494="",AE494=""),"",IF(NOT(OR(W494="Watching",W494="Preparing")),"",IF(AE494&lt;0,"PASSED",IF(AND(AE494&lt;=7,W494&lt;&gt;"Preparing"),"RED",IF(AE494&lt;=14,"AMBER","GREEN")))))</f>
        <v/>
      </c>
      <c r="AG494" s="59">
        <f>IF(OR(A494="",NOT(OR(W494="Watching",W494="Preparing"))),"",IF(AND(ISNUMBER(M494),M494&gt;=3000000000),"YES – ≥ TZS 3bn",IF(AND(ISNUMBER(AE494),AE494&gt;=0,AE494&lt;10,V494=""),"YES – &lt;10 days","")))</f>
        <v/>
      </c>
      <c r="AH494" s="68" t="n"/>
      <c r="AI494" s="66" t="n"/>
      <c r="AJ494" s="66" t="n"/>
      <c r="AK494" s="66" t="n"/>
      <c r="AL494" s="59">
        <f>IF(AND(OR(W494="Watching",W494="Preparing"),ISNUMBER(Q494)),IF(AND(Q494&gt;='Friday Summary'!$C$4,Q494&lt;='Friday Summary'!$C$4+14),Q494+ROW()/1000000,""),"")</f>
        <v/>
      </c>
    </row>
    <row r="495" ht="15" customHeight="1" s="51">
      <c r="A495" s="59">
        <f>IF(B495="","","OP-"&amp;TEXT(ROW()-4,"000"))</f>
        <v/>
      </c>
      <c r="B495" s="60" t="n"/>
      <c r="C495" s="61" t="n"/>
      <c r="D495" s="60" t="n"/>
      <c r="E495" s="60" t="n"/>
      <c r="F495" s="60" t="n"/>
      <c r="G495" s="60" t="n"/>
      <c r="H495" s="60" t="n"/>
      <c r="I495" s="60" t="n"/>
      <c r="J495" s="60" t="n"/>
      <c r="K495" s="60" t="n"/>
      <c r="L495" s="60" t="n"/>
      <c r="M495" s="62" t="n"/>
      <c r="N495" s="60" t="n"/>
      <c r="O495" s="61" t="n"/>
      <c r="P495" s="61" t="n"/>
      <c r="Q495" s="63" t="n"/>
      <c r="R495" s="60" t="n"/>
      <c r="S495" s="60" t="n"/>
      <c r="T495" s="64">
        <f>IF(A495="","",IFERROR(INDEX('Bid-NoBid'!$T:$T,MATCH(A495,'Bid-NoBid'!$A:$A,0)),""))</f>
        <v/>
      </c>
      <c r="U495" s="59">
        <f>IF(A495="","",IFERROR(IF(OR(INDEX('Bid-NoBid'!$U:$U,MATCH(A495,'Bid-NoBid'!$A:$A,0))="",LEFT(INDEX('Bid-NoBid'!$U:$U,MATCH(A495,'Bid-NoBid'!$A:$A,0)),10)="Incomplete"),"Screen: "&amp;AC495,INDEX('Bid-NoBid'!$U:$U,MATCH(A495,'Bid-NoBid'!$A:$A,0))),"Screen: "&amp;AC495))</f>
        <v/>
      </c>
      <c r="V495" s="60" t="n"/>
      <c r="W495" s="60" t="n"/>
      <c r="X495" s="60" t="n"/>
      <c r="Y495" s="60" t="n"/>
      <c r="Z495" s="60" t="n"/>
      <c r="AA495" s="65" t="n"/>
      <c r="AB495" s="66" t="n"/>
      <c r="AC495" s="66" t="n"/>
      <c r="AD495" s="66" t="n"/>
      <c r="AE495" s="67">
        <f>IF(ISNUMBER(Q495),ROUNDDOWN(Q495-NOW(),1),"")</f>
        <v/>
      </c>
      <c r="AF495" s="59">
        <f>IF(OR(A495="",AE495=""),"",IF(NOT(OR(W495="Watching",W495="Preparing")),"",IF(AE495&lt;0,"PASSED",IF(AND(AE495&lt;=7,W495&lt;&gt;"Preparing"),"RED",IF(AE495&lt;=14,"AMBER","GREEN")))))</f>
        <v/>
      </c>
      <c r="AG495" s="59">
        <f>IF(OR(A495="",NOT(OR(W495="Watching",W495="Preparing"))),"",IF(AND(ISNUMBER(M495),M495&gt;=3000000000),"YES – ≥ TZS 3bn",IF(AND(ISNUMBER(AE495),AE495&gt;=0,AE495&lt;10,V495=""),"YES – &lt;10 days","")))</f>
        <v/>
      </c>
      <c r="AH495" s="68" t="n"/>
      <c r="AI495" s="66" t="n"/>
      <c r="AJ495" s="66" t="n"/>
      <c r="AK495" s="66" t="n"/>
      <c r="AL495" s="59">
        <f>IF(AND(OR(W495="Watching",W495="Preparing"),ISNUMBER(Q495)),IF(AND(Q495&gt;='Friday Summary'!$C$4,Q495&lt;='Friday Summary'!$C$4+14),Q495+ROW()/1000000,""),"")</f>
        <v/>
      </c>
    </row>
    <row r="496" ht="15" customHeight="1" s="51">
      <c r="A496" s="59">
        <f>IF(B496="","","OP-"&amp;TEXT(ROW()-4,"000"))</f>
        <v/>
      </c>
      <c r="B496" s="60" t="n"/>
      <c r="C496" s="61" t="n"/>
      <c r="D496" s="60" t="n"/>
      <c r="E496" s="60" t="n"/>
      <c r="F496" s="60" t="n"/>
      <c r="G496" s="60" t="n"/>
      <c r="H496" s="60" t="n"/>
      <c r="I496" s="60" t="n"/>
      <c r="J496" s="60" t="n"/>
      <c r="K496" s="60" t="n"/>
      <c r="L496" s="60" t="n"/>
      <c r="M496" s="62" t="n"/>
      <c r="N496" s="60" t="n"/>
      <c r="O496" s="61" t="n"/>
      <c r="P496" s="61" t="n"/>
      <c r="Q496" s="63" t="n"/>
      <c r="R496" s="60" t="n"/>
      <c r="S496" s="60" t="n"/>
      <c r="T496" s="64">
        <f>IF(A496="","",IFERROR(INDEX('Bid-NoBid'!$T:$T,MATCH(A496,'Bid-NoBid'!$A:$A,0)),""))</f>
        <v/>
      </c>
      <c r="U496" s="59">
        <f>IF(A496="","",IFERROR(IF(OR(INDEX('Bid-NoBid'!$U:$U,MATCH(A496,'Bid-NoBid'!$A:$A,0))="",LEFT(INDEX('Bid-NoBid'!$U:$U,MATCH(A496,'Bid-NoBid'!$A:$A,0)),10)="Incomplete"),"Screen: "&amp;AC496,INDEX('Bid-NoBid'!$U:$U,MATCH(A496,'Bid-NoBid'!$A:$A,0))),"Screen: "&amp;AC496))</f>
        <v/>
      </c>
      <c r="V496" s="60" t="n"/>
      <c r="W496" s="60" t="n"/>
      <c r="X496" s="60" t="n"/>
      <c r="Y496" s="60" t="n"/>
      <c r="Z496" s="60" t="n"/>
      <c r="AA496" s="65" t="n"/>
      <c r="AB496" s="66" t="n"/>
      <c r="AC496" s="66" t="n"/>
      <c r="AD496" s="66" t="n"/>
      <c r="AE496" s="67">
        <f>IF(ISNUMBER(Q496),ROUNDDOWN(Q496-NOW(),1),"")</f>
        <v/>
      </c>
      <c r="AF496" s="59">
        <f>IF(OR(A496="",AE496=""),"",IF(NOT(OR(W496="Watching",W496="Preparing")),"",IF(AE496&lt;0,"PASSED",IF(AND(AE496&lt;=7,W496&lt;&gt;"Preparing"),"RED",IF(AE496&lt;=14,"AMBER","GREEN")))))</f>
        <v/>
      </c>
      <c r="AG496" s="59">
        <f>IF(OR(A496="",NOT(OR(W496="Watching",W496="Preparing"))),"",IF(AND(ISNUMBER(M496),M496&gt;=3000000000),"YES – ≥ TZS 3bn",IF(AND(ISNUMBER(AE496),AE496&gt;=0,AE496&lt;10,V496=""),"YES – &lt;10 days","")))</f>
        <v/>
      </c>
      <c r="AH496" s="68" t="n"/>
      <c r="AI496" s="66" t="n"/>
      <c r="AJ496" s="66" t="n"/>
      <c r="AK496" s="66" t="n"/>
      <c r="AL496" s="59">
        <f>IF(AND(OR(W496="Watching",W496="Preparing"),ISNUMBER(Q496)),IF(AND(Q496&gt;='Friday Summary'!$C$4,Q496&lt;='Friday Summary'!$C$4+14),Q496+ROW()/1000000,""),"")</f>
        <v/>
      </c>
    </row>
    <row r="497" ht="15" customHeight="1" s="51">
      <c r="A497" s="59">
        <f>IF(B497="","","OP-"&amp;TEXT(ROW()-4,"000"))</f>
        <v/>
      </c>
      <c r="B497" s="60" t="n"/>
      <c r="C497" s="61" t="n"/>
      <c r="D497" s="60" t="n"/>
      <c r="E497" s="60" t="n"/>
      <c r="F497" s="60" t="n"/>
      <c r="G497" s="60" t="n"/>
      <c r="H497" s="60" t="n"/>
      <c r="I497" s="60" t="n"/>
      <c r="J497" s="60" t="n"/>
      <c r="K497" s="60" t="n"/>
      <c r="L497" s="60" t="n"/>
      <c r="M497" s="62" t="n"/>
      <c r="N497" s="60" t="n"/>
      <c r="O497" s="61" t="n"/>
      <c r="P497" s="61" t="n"/>
      <c r="Q497" s="63" t="n"/>
      <c r="R497" s="60" t="n"/>
      <c r="S497" s="60" t="n"/>
      <c r="T497" s="64">
        <f>IF(A497="","",IFERROR(INDEX('Bid-NoBid'!$T:$T,MATCH(A497,'Bid-NoBid'!$A:$A,0)),""))</f>
        <v/>
      </c>
      <c r="U497" s="59">
        <f>IF(A497="","",IFERROR(IF(OR(INDEX('Bid-NoBid'!$U:$U,MATCH(A497,'Bid-NoBid'!$A:$A,0))="",LEFT(INDEX('Bid-NoBid'!$U:$U,MATCH(A497,'Bid-NoBid'!$A:$A,0)),10)="Incomplete"),"Screen: "&amp;AC497,INDEX('Bid-NoBid'!$U:$U,MATCH(A497,'Bid-NoBid'!$A:$A,0))),"Screen: "&amp;AC497))</f>
        <v/>
      </c>
      <c r="V497" s="60" t="n"/>
      <c r="W497" s="60" t="n"/>
      <c r="X497" s="60" t="n"/>
      <c r="Y497" s="60" t="n"/>
      <c r="Z497" s="60" t="n"/>
      <c r="AA497" s="65" t="n"/>
      <c r="AB497" s="66" t="n"/>
      <c r="AC497" s="66" t="n"/>
      <c r="AD497" s="66" t="n"/>
      <c r="AE497" s="67">
        <f>IF(ISNUMBER(Q497),ROUNDDOWN(Q497-NOW(),1),"")</f>
        <v/>
      </c>
      <c r="AF497" s="59">
        <f>IF(OR(A497="",AE497=""),"",IF(NOT(OR(W497="Watching",W497="Preparing")),"",IF(AE497&lt;0,"PASSED",IF(AND(AE497&lt;=7,W497&lt;&gt;"Preparing"),"RED",IF(AE497&lt;=14,"AMBER","GREEN")))))</f>
        <v/>
      </c>
      <c r="AG497" s="59">
        <f>IF(OR(A497="",NOT(OR(W497="Watching",W497="Preparing"))),"",IF(AND(ISNUMBER(M497),M497&gt;=3000000000),"YES – ≥ TZS 3bn",IF(AND(ISNUMBER(AE497),AE497&gt;=0,AE497&lt;10,V497=""),"YES – &lt;10 days","")))</f>
        <v/>
      </c>
      <c r="AH497" s="68" t="n"/>
      <c r="AI497" s="66" t="n"/>
      <c r="AJ497" s="66" t="n"/>
      <c r="AK497" s="66" t="n"/>
      <c r="AL497" s="59">
        <f>IF(AND(OR(W497="Watching",W497="Preparing"),ISNUMBER(Q497)),IF(AND(Q497&gt;='Friday Summary'!$C$4,Q497&lt;='Friday Summary'!$C$4+14),Q497+ROW()/1000000,""),"")</f>
        <v/>
      </c>
    </row>
    <row r="498" ht="15" customHeight="1" s="51">
      <c r="A498" s="59">
        <f>IF(B498="","","OP-"&amp;TEXT(ROW()-4,"000"))</f>
        <v/>
      </c>
      <c r="B498" s="60" t="n"/>
      <c r="C498" s="61" t="n"/>
      <c r="D498" s="60" t="n"/>
      <c r="E498" s="60" t="n"/>
      <c r="F498" s="60" t="n"/>
      <c r="G498" s="60" t="n"/>
      <c r="H498" s="60" t="n"/>
      <c r="I498" s="60" t="n"/>
      <c r="J498" s="60" t="n"/>
      <c r="K498" s="60" t="n"/>
      <c r="L498" s="60" t="n"/>
      <c r="M498" s="62" t="n"/>
      <c r="N498" s="60" t="n"/>
      <c r="O498" s="61" t="n"/>
      <c r="P498" s="61" t="n"/>
      <c r="Q498" s="63" t="n"/>
      <c r="R498" s="60" t="n"/>
      <c r="S498" s="60" t="n"/>
      <c r="T498" s="64">
        <f>IF(A498="","",IFERROR(INDEX('Bid-NoBid'!$T:$T,MATCH(A498,'Bid-NoBid'!$A:$A,0)),""))</f>
        <v/>
      </c>
      <c r="U498" s="59">
        <f>IF(A498="","",IFERROR(IF(OR(INDEX('Bid-NoBid'!$U:$U,MATCH(A498,'Bid-NoBid'!$A:$A,0))="",LEFT(INDEX('Bid-NoBid'!$U:$U,MATCH(A498,'Bid-NoBid'!$A:$A,0)),10)="Incomplete"),"Screen: "&amp;AC498,INDEX('Bid-NoBid'!$U:$U,MATCH(A498,'Bid-NoBid'!$A:$A,0))),"Screen: "&amp;AC498))</f>
        <v/>
      </c>
      <c r="V498" s="60" t="n"/>
      <c r="W498" s="60" t="n"/>
      <c r="X498" s="60" t="n"/>
      <c r="Y498" s="60" t="n"/>
      <c r="Z498" s="60" t="n"/>
      <c r="AA498" s="65" t="n"/>
      <c r="AB498" s="66" t="n"/>
      <c r="AC498" s="66" t="n"/>
      <c r="AD498" s="66" t="n"/>
      <c r="AE498" s="67">
        <f>IF(ISNUMBER(Q498),ROUNDDOWN(Q498-NOW(),1),"")</f>
        <v/>
      </c>
      <c r="AF498" s="59">
        <f>IF(OR(A498="",AE498=""),"",IF(NOT(OR(W498="Watching",W498="Preparing")),"",IF(AE498&lt;0,"PASSED",IF(AND(AE498&lt;=7,W498&lt;&gt;"Preparing"),"RED",IF(AE498&lt;=14,"AMBER","GREEN")))))</f>
        <v/>
      </c>
      <c r="AG498" s="59">
        <f>IF(OR(A498="",NOT(OR(W498="Watching",W498="Preparing"))),"",IF(AND(ISNUMBER(M498),M498&gt;=3000000000),"YES – ≥ TZS 3bn",IF(AND(ISNUMBER(AE498),AE498&gt;=0,AE498&lt;10,V498=""),"YES – &lt;10 days","")))</f>
        <v/>
      </c>
      <c r="AH498" s="68" t="n"/>
      <c r="AI498" s="66" t="n"/>
      <c r="AJ498" s="66" t="n"/>
      <c r="AK498" s="66" t="n"/>
      <c r="AL498" s="59">
        <f>IF(AND(OR(W498="Watching",W498="Preparing"),ISNUMBER(Q498)),IF(AND(Q498&gt;='Friday Summary'!$C$4,Q498&lt;='Friday Summary'!$C$4+14),Q498+ROW()/1000000,""),"")</f>
        <v/>
      </c>
    </row>
    <row r="499" ht="15" customHeight="1" s="51">
      <c r="A499" s="59">
        <f>IF(B499="","","OP-"&amp;TEXT(ROW()-4,"000"))</f>
        <v/>
      </c>
      <c r="B499" s="60" t="n"/>
      <c r="C499" s="61" t="n"/>
      <c r="D499" s="60" t="n"/>
      <c r="E499" s="60" t="n"/>
      <c r="F499" s="60" t="n"/>
      <c r="G499" s="60" t="n"/>
      <c r="H499" s="60" t="n"/>
      <c r="I499" s="60" t="n"/>
      <c r="J499" s="60" t="n"/>
      <c r="K499" s="60" t="n"/>
      <c r="L499" s="60" t="n"/>
      <c r="M499" s="62" t="n"/>
      <c r="N499" s="60" t="n"/>
      <c r="O499" s="61" t="n"/>
      <c r="P499" s="61" t="n"/>
      <c r="Q499" s="63" t="n"/>
      <c r="R499" s="60" t="n"/>
      <c r="S499" s="60" t="n"/>
      <c r="T499" s="64">
        <f>IF(A499="","",IFERROR(INDEX('Bid-NoBid'!$T:$T,MATCH(A499,'Bid-NoBid'!$A:$A,0)),""))</f>
        <v/>
      </c>
      <c r="U499" s="59">
        <f>IF(A499="","",IFERROR(IF(OR(INDEX('Bid-NoBid'!$U:$U,MATCH(A499,'Bid-NoBid'!$A:$A,0))="",LEFT(INDEX('Bid-NoBid'!$U:$U,MATCH(A499,'Bid-NoBid'!$A:$A,0)),10)="Incomplete"),"Screen: "&amp;AC499,INDEX('Bid-NoBid'!$U:$U,MATCH(A499,'Bid-NoBid'!$A:$A,0))),"Screen: "&amp;AC499))</f>
        <v/>
      </c>
      <c r="V499" s="60" t="n"/>
      <c r="W499" s="60" t="n"/>
      <c r="X499" s="60" t="n"/>
      <c r="Y499" s="60" t="n"/>
      <c r="Z499" s="60" t="n"/>
      <c r="AA499" s="65" t="n"/>
      <c r="AB499" s="66" t="n"/>
      <c r="AC499" s="66" t="n"/>
      <c r="AD499" s="66" t="n"/>
      <c r="AE499" s="67">
        <f>IF(ISNUMBER(Q499),ROUNDDOWN(Q499-NOW(),1),"")</f>
        <v/>
      </c>
      <c r="AF499" s="59">
        <f>IF(OR(A499="",AE499=""),"",IF(NOT(OR(W499="Watching",W499="Preparing")),"",IF(AE499&lt;0,"PASSED",IF(AND(AE499&lt;=7,W499&lt;&gt;"Preparing"),"RED",IF(AE499&lt;=14,"AMBER","GREEN")))))</f>
        <v/>
      </c>
      <c r="AG499" s="59">
        <f>IF(OR(A499="",NOT(OR(W499="Watching",W499="Preparing"))),"",IF(AND(ISNUMBER(M499),M499&gt;=3000000000),"YES – ≥ TZS 3bn",IF(AND(ISNUMBER(AE499),AE499&gt;=0,AE499&lt;10,V499=""),"YES – &lt;10 days","")))</f>
        <v/>
      </c>
      <c r="AH499" s="68" t="n"/>
      <c r="AI499" s="66" t="n"/>
      <c r="AJ499" s="66" t="n"/>
      <c r="AK499" s="66" t="n"/>
      <c r="AL499" s="59">
        <f>IF(AND(OR(W499="Watching",W499="Preparing"),ISNUMBER(Q499)),IF(AND(Q499&gt;='Friday Summary'!$C$4,Q499&lt;='Friday Summary'!$C$4+14),Q499+ROW()/1000000,""),"")</f>
        <v/>
      </c>
    </row>
    <row r="500" ht="15" customHeight="1" s="51">
      <c r="A500" s="59">
        <f>IF(B500="","","OP-"&amp;TEXT(ROW()-4,"000"))</f>
        <v/>
      </c>
      <c r="B500" s="60" t="n"/>
      <c r="C500" s="61" t="n"/>
      <c r="D500" s="60" t="n"/>
      <c r="E500" s="60" t="n"/>
      <c r="F500" s="60" t="n"/>
      <c r="G500" s="60" t="n"/>
      <c r="H500" s="60" t="n"/>
      <c r="I500" s="60" t="n"/>
      <c r="J500" s="60" t="n"/>
      <c r="K500" s="60" t="n"/>
      <c r="L500" s="60" t="n"/>
      <c r="M500" s="62" t="n"/>
      <c r="N500" s="60" t="n"/>
      <c r="O500" s="61" t="n"/>
      <c r="P500" s="61" t="n"/>
      <c r="Q500" s="63" t="n"/>
      <c r="R500" s="60" t="n"/>
      <c r="S500" s="60" t="n"/>
      <c r="T500" s="64">
        <f>IF(A500="","",IFERROR(INDEX('Bid-NoBid'!$T:$T,MATCH(A500,'Bid-NoBid'!$A:$A,0)),""))</f>
        <v/>
      </c>
      <c r="U500" s="59">
        <f>IF(A500="","",IFERROR(IF(OR(INDEX('Bid-NoBid'!$U:$U,MATCH(A500,'Bid-NoBid'!$A:$A,0))="",LEFT(INDEX('Bid-NoBid'!$U:$U,MATCH(A500,'Bid-NoBid'!$A:$A,0)),10)="Incomplete"),"Screen: "&amp;AC500,INDEX('Bid-NoBid'!$U:$U,MATCH(A500,'Bid-NoBid'!$A:$A,0))),"Screen: "&amp;AC500))</f>
        <v/>
      </c>
      <c r="V500" s="60" t="n"/>
      <c r="W500" s="60" t="n"/>
      <c r="X500" s="60" t="n"/>
      <c r="Y500" s="60" t="n"/>
      <c r="Z500" s="60" t="n"/>
      <c r="AA500" s="65" t="n"/>
      <c r="AB500" s="66" t="n"/>
      <c r="AC500" s="66" t="n"/>
      <c r="AD500" s="66" t="n"/>
      <c r="AE500" s="67">
        <f>IF(ISNUMBER(Q500),ROUNDDOWN(Q500-NOW(),1),"")</f>
        <v/>
      </c>
      <c r="AF500" s="59">
        <f>IF(OR(A500="",AE500=""),"",IF(NOT(OR(W500="Watching",W500="Preparing")),"",IF(AE500&lt;0,"PASSED",IF(AND(AE500&lt;=7,W500&lt;&gt;"Preparing"),"RED",IF(AE500&lt;=14,"AMBER","GREEN")))))</f>
        <v/>
      </c>
      <c r="AG500" s="59">
        <f>IF(OR(A500="",NOT(OR(W500="Watching",W500="Preparing"))),"",IF(AND(ISNUMBER(M500),M500&gt;=3000000000),"YES – ≥ TZS 3bn",IF(AND(ISNUMBER(AE500),AE500&gt;=0,AE500&lt;10,V500=""),"YES – &lt;10 days","")))</f>
        <v/>
      </c>
      <c r="AH500" s="68" t="n"/>
      <c r="AI500" s="66" t="n"/>
      <c r="AJ500" s="66" t="n"/>
      <c r="AK500" s="66" t="n"/>
      <c r="AL500" s="59">
        <f>IF(AND(OR(W500="Watching",W500="Preparing"),ISNUMBER(Q500)),IF(AND(Q500&gt;='Friday Summary'!$C$4,Q500&lt;='Friday Summary'!$C$4+14),Q500+ROW()/1000000,""),"")</f>
        <v/>
      </c>
    </row>
    <row r="501" ht="15" customHeight="1" s="51">
      <c r="A501" s="59">
        <f>IF(B501="","","OP-"&amp;TEXT(ROW()-4,"000"))</f>
        <v/>
      </c>
      <c r="B501" s="60" t="n"/>
      <c r="C501" s="61" t="n"/>
      <c r="D501" s="60" t="n"/>
      <c r="E501" s="60" t="n"/>
      <c r="F501" s="60" t="n"/>
      <c r="G501" s="60" t="n"/>
      <c r="H501" s="60" t="n"/>
      <c r="I501" s="60" t="n"/>
      <c r="J501" s="60" t="n"/>
      <c r="K501" s="60" t="n"/>
      <c r="L501" s="60" t="n"/>
      <c r="M501" s="62" t="n"/>
      <c r="N501" s="60" t="n"/>
      <c r="O501" s="61" t="n"/>
      <c r="P501" s="61" t="n"/>
      <c r="Q501" s="63" t="n"/>
      <c r="R501" s="60" t="n"/>
      <c r="S501" s="60" t="n"/>
      <c r="T501" s="64">
        <f>IF(A501="","",IFERROR(INDEX('Bid-NoBid'!$T:$T,MATCH(A501,'Bid-NoBid'!$A:$A,0)),""))</f>
        <v/>
      </c>
      <c r="U501" s="59">
        <f>IF(A501="","",IFERROR(IF(OR(INDEX('Bid-NoBid'!$U:$U,MATCH(A501,'Bid-NoBid'!$A:$A,0))="",LEFT(INDEX('Bid-NoBid'!$U:$U,MATCH(A501,'Bid-NoBid'!$A:$A,0)),10)="Incomplete"),"Screen: "&amp;AC501,INDEX('Bid-NoBid'!$U:$U,MATCH(A501,'Bid-NoBid'!$A:$A,0))),"Screen: "&amp;AC501))</f>
        <v/>
      </c>
      <c r="V501" s="60" t="n"/>
      <c r="W501" s="60" t="n"/>
      <c r="X501" s="60" t="n"/>
      <c r="Y501" s="60" t="n"/>
      <c r="Z501" s="60" t="n"/>
      <c r="AA501" s="65" t="n"/>
      <c r="AB501" s="66" t="n"/>
      <c r="AC501" s="66" t="n"/>
      <c r="AD501" s="66" t="n"/>
      <c r="AE501" s="67">
        <f>IF(ISNUMBER(Q501),ROUNDDOWN(Q501-NOW(),1),"")</f>
        <v/>
      </c>
      <c r="AF501" s="59">
        <f>IF(OR(A501="",AE501=""),"",IF(NOT(OR(W501="Watching",W501="Preparing")),"",IF(AE501&lt;0,"PASSED",IF(AND(AE501&lt;=7,W501&lt;&gt;"Preparing"),"RED",IF(AE501&lt;=14,"AMBER","GREEN")))))</f>
        <v/>
      </c>
      <c r="AG501" s="59">
        <f>IF(OR(A501="",NOT(OR(W501="Watching",W501="Preparing"))),"",IF(AND(ISNUMBER(M501),M501&gt;=3000000000),"YES – ≥ TZS 3bn",IF(AND(ISNUMBER(AE501),AE501&gt;=0,AE501&lt;10,V501=""),"YES – &lt;10 days","")))</f>
        <v/>
      </c>
      <c r="AH501" s="68" t="n"/>
      <c r="AI501" s="66" t="n"/>
      <c r="AJ501" s="66" t="n"/>
      <c r="AK501" s="66" t="n"/>
      <c r="AL501" s="59">
        <f>IF(AND(OR(W501="Watching",W501="Preparing"),ISNUMBER(Q501)),IF(AND(Q501&gt;='Friday Summary'!$C$4,Q501&lt;='Friday Summary'!$C$4+14),Q501+ROW()/1000000,""),"")</f>
        <v/>
      </c>
    </row>
    <row r="502" ht="15" customHeight="1" s="51">
      <c r="A502" s="59">
        <f>IF(B502="","","OP-"&amp;TEXT(ROW()-4,"000"))</f>
        <v/>
      </c>
      <c r="B502" s="60" t="n"/>
      <c r="C502" s="61" t="n"/>
      <c r="D502" s="60" t="n"/>
      <c r="E502" s="60" t="n"/>
      <c r="F502" s="60" t="n"/>
      <c r="G502" s="60" t="n"/>
      <c r="H502" s="60" t="n"/>
      <c r="I502" s="60" t="n"/>
      <c r="J502" s="60" t="n"/>
      <c r="K502" s="60" t="n"/>
      <c r="L502" s="60" t="n"/>
      <c r="M502" s="62" t="n"/>
      <c r="N502" s="60" t="n"/>
      <c r="O502" s="61" t="n"/>
      <c r="P502" s="61" t="n"/>
      <c r="Q502" s="63" t="n"/>
      <c r="R502" s="60" t="n"/>
      <c r="S502" s="60" t="n"/>
      <c r="T502" s="64">
        <f>IF(A502="","",IFERROR(INDEX('Bid-NoBid'!$T:$T,MATCH(A502,'Bid-NoBid'!$A:$A,0)),""))</f>
        <v/>
      </c>
      <c r="U502" s="59">
        <f>IF(A502="","",IFERROR(IF(OR(INDEX('Bid-NoBid'!$U:$U,MATCH(A502,'Bid-NoBid'!$A:$A,0))="",LEFT(INDEX('Bid-NoBid'!$U:$U,MATCH(A502,'Bid-NoBid'!$A:$A,0)),10)="Incomplete"),"Screen: "&amp;AC502,INDEX('Bid-NoBid'!$U:$U,MATCH(A502,'Bid-NoBid'!$A:$A,0))),"Screen: "&amp;AC502))</f>
        <v/>
      </c>
      <c r="V502" s="60" t="n"/>
      <c r="W502" s="60" t="n"/>
      <c r="X502" s="60" t="n"/>
      <c r="Y502" s="60" t="n"/>
      <c r="Z502" s="60" t="n"/>
      <c r="AA502" s="65" t="n"/>
      <c r="AB502" s="66" t="n"/>
      <c r="AC502" s="66" t="n"/>
      <c r="AD502" s="66" t="n"/>
      <c r="AE502" s="67">
        <f>IF(ISNUMBER(Q502),ROUNDDOWN(Q502-NOW(),1),"")</f>
        <v/>
      </c>
      <c r="AF502" s="59">
        <f>IF(OR(A502="",AE502=""),"",IF(NOT(OR(W502="Watching",W502="Preparing")),"",IF(AE502&lt;0,"PASSED",IF(AND(AE502&lt;=7,W502&lt;&gt;"Preparing"),"RED",IF(AE502&lt;=14,"AMBER","GREEN")))))</f>
        <v/>
      </c>
      <c r="AG502" s="59">
        <f>IF(OR(A502="",NOT(OR(W502="Watching",W502="Preparing"))),"",IF(AND(ISNUMBER(M502),M502&gt;=3000000000),"YES – ≥ TZS 3bn",IF(AND(ISNUMBER(AE502),AE502&gt;=0,AE502&lt;10,V502=""),"YES – &lt;10 days","")))</f>
        <v/>
      </c>
      <c r="AH502" s="68" t="n"/>
      <c r="AI502" s="66" t="n"/>
      <c r="AJ502" s="66" t="n"/>
      <c r="AK502" s="66" t="n"/>
      <c r="AL502" s="59">
        <f>IF(AND(OR(W502="Watching",W502="Preparing"),ISNUMBER(Q502)),IF(AND(Q502&gt;='Friday Summary'!$C$4,Q502&lt;='Friday Summary'!$C$4+14),Q502+ROW()/1000000,""),"")</f>
        <v/>
      </c>
    </row>
    <row r="503" ht="15" customHeight="1" s="51">
      <c r="A503" s="59">
        <f>IF(B503="","","OP-"&amp;TEXT(ROW()-4,"000"))</f>
        <v/>
      </c>
      <c r="B503" s="60" t="n"/>
      <c r="C503" s="61" t="n"/>
      <c r="D503" s="60" t="n"/>
      <c r="E503" s="60" t="n"/>
      <c r="F503" s="60" t="n"/>
      <c r="G503" s="60" t="n"/>
      <c r="H503" s="60" t="n"/>
      <c r="I503" s="60" t="n"/>
      <c r="J503" s="60" t="n"/>
      <c r="K503" s="60" t="n"/>
      <c r="L503" s="60" t="n"/>
      <c r="M503" s="62" t="n"/>
      <c r="N503" s="60" t="n"/>
      <c r="O503" s="61" t="n"/>
      <c r="P503" s="61" t="n"/>
      <c r="Q503" s="63" t="n"/>
      <c r="R503" s="60" t="n"/>
      <c r="S503" s="60" t="n"/>
      <c r="T503" s="64">
        <f>IF(A503="","",IFERROR(INDEX('Bid-NoBid'!$T:$T,MATCH(A503,'Bid-NoBid'!$A:$A,0)),""))</f>
        <v/>
      </c>
      <c r="U503" s="59">
        <f>IF(A503="","",IFERROR(IF(OR(INDEX('Bid-NoBid'!$U:$U,MATCH(A503,'Bid-NoBid'!$A:$A,0))="",LEFT(INDEX('Bid-NoBid'!$U:$U,MATCH(A503,'Bid-NoBid'!$A:$A,0)),10)="Incomplete"),"Screen: "&amp;AC503,INDEX('Bid-NoBid'!$U:$U,MATCH(A503,'Bid-NoBid'!$A:$A,0))),"Screen: "&amp;AC503))</f>
        <v/>
      </c>
      <c r="V503" s="60" t="n"/>
      <c r="W503" s="60" t="n"/>
      <c r="X503" s="60" t="n"/>
      <c r="Y503" s="60" t="n"/>
      <c r="Z503" s="60" t="n"/>
      <c r="AA503" s="65" t="n"/>
      <c r="AB503" s="66" t="n"/>
      <c r="AC503" s="66" t="n"/>
      <c r="AD503" s="66" t="n"/>
      <c r="AE503" s="67">
        <f>IF(ISNUMBER(Q503),ROUNDDOWN(Q503-NOW(),1),"")</f>
        <v/>
      </c>
      <c r="AF503" s="59">
        <f>IF(OR(A503="",AE503=""),"",IF(NOT(OR(W503="Watching",W503="Preparing")),"",IF(AE503&lt;0,"PASSED",IF(AND(AE503&lt;=7,W503&lt;&gt;"Preparing"),"RED",IF(AE503&lt;=14,"AMBER","GREEN")))))</f>
        <v/>
      </c>
      <c r="AG503" s="59">
        <f>IF(OR(A503="",NOT(OR(W503="Watching",W503="Preparing"))),"",IF(AND(ISNUMBER(M503),M503&gt;=3000000000),"YES – ≥ TZS 3bn",IF(AND(ISNUMBER(AE503),AE503&gt;=0,AE503&lt;10,V503=""),"YES – &lt;10 days","")))</f>
        <v/>
      </c>
      <c r="AH503" s="68" t="n"/>
      <c r="AI503" s="66" t="n"/>
      <c r="AJ503" s="66" t="n"/>
      <c r="AK503" s="66" t="n"/>
      <c r="AL503" s="59">
        <f>IF(AND(OR(W503="Watching",W503="Preparing"),ISNUMBER(Q503)),IF(AND(Q503&gt;='Friday Summary'!$C$4,Q503&lt;='Friday Summary'!$C$4+14),Q503+ROW()/1000000,""),"")</f>
        <v/>
      </c>
    </row>
    <row r="504" ht="15" customHeight="1" s="51">
      <c r="A504" s="59">
        <f>IF(B504="","","OP-"&amp;TEXT(ROW()-4,"000"))</f>
        <v/>
      </c>
      <c r="B504" s="60" t="n"/>
      <c r="C504" s="61" t="n"/>
      <c r="D504" s="60" t="n"/>
      <c r="E504" s="60" t="n"/>
      <c r="F504" s="60" t="n"/>
      <c r="G504" s="60" t="n"/>
      <c r="H504" s="60" t="n"/>
      <c r="I504" s="60" t="n"/>
      <c r="J504" s="60" t="n"/>
      <c r="K504" s="60" t="n"/>
      <c r="L504" s="60" t="n"/>
      <c r="M504" s="62" t="n"/>
      <c r="N504" s="60" t="n"/>
      <c r="O504" s="61" t="n"/>
      <c r="P504" s="61" t="n"/>
      <c r="Q504" s="63" t="n"/>
      <c r="R504" s="60" t="n"/>
      <c r="S504" s="60" t="n"/>
      <c r="T504" s="64">
        <f>IF(A504="","",IFERROR(INDEX('Bid-NoBid'!$T:$T,MATCH(A504,'Bid-NoBid'!$A:$A,0)),""))</f>
        <v/>
      </c>
      <c r="U504" s="59">
        <f>IF(A504="","",IFERROR(IF(OR(INDEX('Bid-NoBid'!$U:$U,MATCH(A504,'Bid-NoBid'!$A:$A,0))="",LEFT(INDEX('Bid-NoBid'!$U:$U,MATCH(A504,'Bid-NoBid'!$A:$A,0)),10)="Incomplete"),"Screen: "&amp;AC504,INDEX('Bid-NoBid'!$U:$U,MATCH(A504,'Bid-NoBid'!$A:$A,0))),"Screen: "&amp;AC504))</f>
        <v/>
      </c>
      <c r="V504" s="60" t="n"/>
      <c r="W504" s="60" t="n"/>
      <c r="X504" s="60" t="n"/>
      <c r="Y504" s="60" t="n"/>
      <c r="Z504" s="60" t="n"/>
      <c r="AA504" s="65" t="n"/>
      <c r="AB504" s="66" t="n"/>
      <c r="AC504" s="66" t="n"/>
      <c r="AD504" s="66" t="n"/>
      <c r="AE504" s="67">
        <f>IF(ISNUMBER(Q504),ROUNDDOWN(Q504-NOW(),1),"")</f>
        <v/>
      </c>
      <c r="AF504" s="59">
        <f>IF(OR(A504="",AE504=""),"",IF(NOT(OR(W504="Watching",W504="Preparing")),"",IF(AE504&lt;0,"PASSED",IF(AND(AE504&lt;=7,W504&lt;&gt;"Preparing"),"RED",IF(AE504&lt;=14,"AMBER","GREEN")))))</f>
        <v/>
      </c>
      <c r="AG504" s="59">
        <f>IF(OR(A504="",NOT(OR(W504="Watching",W504="Preparing"))),"",IF(AND(ISNUMBER(M504),M504&gt;=3000000000),"YES – ≥ TZS 3bn",IF(AND(ISNUMBER(AE504),AE504&gt;=0,AE504&lt;10,V504=""),"YES – &lt;10 days","")))</f>
        <v/>
      </c>
      <c r="AH504" s="68" t="n"/>
      <c r="AI504" s="66" t="n"/>
      <c r="AJ504" s="66" t="n"/>
      <c r="AK504" s="66" t="n"/>
      <c r="AL504" s="59">
        <f>IF(AND(OR(W504="Watching",W504="Preparing"),ISNUMBER(Q504)),IF(AND(Q504&gt;='Friday Summary'!$C$4,Q504&lt;='Friday Summary'!$C$4+14),Q504+ROW()/1000000,""),"")</f>
        <v/>
      </c>
    </row>
  </sheetData>
  <autoFilter ref="A4:AL504"/>
  <conditionalFormatting sqref="AF5:AF504">
    <cfRule type="cellIs" rank="0" priority="2" equalAverage="0" operator="equal" aboveAverage="0" dxfId="12" text="" percent="0" bottom="0">
      <formula>"RED"</formula>
    </cfRule>
    <cfRule type="cellIs" rank="0" priority="3" equalAverage="0" operator="equal" aboveAverage="0" dxfId="13" text="" percent="0" bottom="0">
      <formula>"AMBER"</formula>
    </cfRule>
    <cfRule type="cellIs" rank="0" priority="4" equalAverage="0" operator="equal" aboveAverage="0" dxfId="14" text="" percent="0" bottom="0">
      <formula>"GREEN"</formula>
    </cfRule>
    <cfRule type="cellIs" rank="0" priority="5" equalAverage="0" operator="equal" aboveAverage="0" dxfId="15" text="" percent="0" bottom="0">
      <formula>"PASSED"</formula>
    </cfRule>
  </conditionalFormatting>
  <conditionalFormatting sqref="AG5:AG504">
    <cfRule type="expression" rank="0" priority="6" equalAverage="0" aboveAverage="0" dxfId="16" text="" percent="0" bottom="0">
      <formula>LEFT(AG5,3)="YES"</formula>
    </cfRule>
  </conditionalFormatting>
  <conditionalFormatting sqref="AC5:AC504">
    <cfRule type="cellIs" rank="0" priority="7" equalAverage="0" operator="equal" aboveAverage="0" dxfId="17" text="" percent="0" bottom="0">
      <formula>"Pursue"</formula>
    </cfRule>
    <cfRule type="cellIs" rank="0" priority="8" equalAverage="0" operator="equal" aboveAverage="0" dxfId="18" text="" percent="0" bottom="0">
      <formula>"Check"</formula>
    </cfRule>
    <cfRule type="cellIs" rank="0" priority="9" equalAverage="0" operator="equal" aboveAverage="0" dxfId="19" text="" percent="0" bottom="0">
      <formula>"Drop"</formula>
    </cfRule>
  </conditionalFormatting>
  <dataValidations count="8">
    <dataValidation sqref="D5:D504" showDropDown="0" showInputMessage="0" showErrorMessage="0" allowBlank="1" type="list" errorStyle="stop" operator="between">
      <formula1>Lists!$A$5:$A$10</formula1>
      <formula2>0</formula2>
    </dataValidation>
    <dataValidation sqref="G5:G504" showDropDown="0" showInputMessage="0" showErrorMessage="0" allowBlank="1" type="list" errorStyle="stop" operator="between">
      <formula1>Lists!$B$5:$B$11</formula1>
      <formula2>0</formula2>
    </dataValidation>
    <dataValidation sqref="K5:K504" showDropDown="0" showInputMessage="0" showErrorMessage="0" allowBlank="1" type="list" errorStyle="stop" operator="between">
      <formula1>Lists!$C$5:$C$9</formula1>
      <formula2>0</formula2>
    </dataValidation>
    <dataValidation sqref="N5:N504" showDropDown="0" showInputMessage="0" showErrorMessage="0" allowBlank="1" type="list" errorStyle="stop" operator="between">
      <formula1>Lists!$D$5:$D$7</formula1>
      <formula2>0</formula2>
    </dataValidation>
    <dataValidation sqref="W5:W504" showDropDown="0" showInputMessage="0" showErrorMessage="0" allowBlank="1" type="list" errorStyle="stop" operator="between">
      <formula1>Lists!$E$5:$E$12</formula1>
      <formula2>0</formula2>
    </dataValidation>
    <dataValidation sqref="V5:V504" showDropDown="0" showInputMessage="0" showErrorMessage="0" allowBlank="1" type="list" errorStyle="stop" operator="between">
      <formula1>Lists!$F$5:$F$8</formula1>
      <formula2>0</formula2>
    </dataValidation>
    <dataValidation sqref="AC5:AC504" showDropDown="0" showInputMessage="0" showErrorMessage="0" allowBlank="1" type="list" errorStyle="stop" operator="between">
      <formula1>Lists!$G$5:$G$7</formula1>
      <formula2>0</formula2>
    </dataValidation>
    <dataValidation sqref="Y5:Y504" showDropDown="0" showInputMessage="0" showErrorMessage="0" allowBlank="1" type="list" errorStyle="stop" operator="between">
      <formula1>Lists!$J$5:$J$8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Y5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50" min="1" max="1"/>
    <col width="40" customWidth="1" style="50" min="2" max="2"/>
    <col width="9" customWidth="1" style="50" min="3" max="3"/>
    <col width="11" customWidth="1" style="50" min="4" max="4"/>
    <col width="12" customWidth="1" style="50" min="5" max="5"/>
    <col width="11" customWidth="1" style="50" min="6" max="6"/>
    <col width="9" customWidth="1" style="50" min="7" max="20"/>
    <col width="20" customWidth="1" style="50" min="21" max="21"/>
    <col width="10" customWidth="1" style="50" min="22" max="23"/>
    <col width="11" customWidth="1" style="50" min="24" max="24"/>
    <col width="40" customWidth="1" style="50" min="25" max="25"/>
  </cols>
  <sheetData>
    <row r="1" ht="17.35" customHeight="1" s="51">
      <c r="A1" s="52" t="inlineStr">
        <is>
          <t>Bid / No-Bid scoring sheet (F-02 · Appendix A)</t>
        </is>
      </c>
    </row>
    <row r="2" ht="15" customHeight="1" s="51">
      <c r="A2" s="53" t="inlineStr">
        <is>
          <t>One row per opportunity ID. Gates: Pass/Fail/TBC. Scores 0–5 (see Scoring Guide). Result appears when all 12 are scored. Criterion 8 pre-filled from the notice location – confirm.</t>
        </is>
      </c>
    </row>
    <row r="3" ht="15" customHeight="1" s="51">
      <c r="B3" s="75" t="inlineStr">
        <is>
          <t>Weight →</t>
        </is>
      </c>
      <c r="G3" s="76">
        <f>'Scoring Guide'!C11</f>
        <v/>
      </c>
      <c r="H3" s="76">
        <f>'Scoring Guide'!C12</f>
        <v/>
      </c>
      <c r="I3" s="76">
        <f>'Scoring Guide'!C13</f>
        <v/>
      </c>
      <c r="J3" s="76">
        <f>'Scoring Guide'!C14</f>
        <v/>
      </c>
      <c r="K3" s="76">
        <f>'Scoring Guide'!C15</f>
        <v/>
      </c>
      <c r="L3" s="76">
        <f>'Scoring Guide'!C16</f>
        <v/>
      </c>
      <c r="M3" s="76">
        <f>'Scoring Guide'!C17</f>
        <v/>
      </c>
      <c r="N3" s="76">
        <f>'Scoring Guide'!C18</f>
        <v/>
      </c>
      <c r="O3" s="76">
        <f>'Scoring Guide'!C19</f>
        <v/>
      </c>
      <c r="P3" s="76">
        <f>'Scoring Guide'!C20</f>
        <v/>
      </c>
      <c r="Q3" s="76">
        <f>'Scoring Guide'!C21</f>
        <v/>
      </c>
      <c r="R3" s="76">
        <f>'Scoring Guide'!C22</f>
        <v/>
      </c>
    </row>
    <row r="4" ht="91.5" customHeight="1" s="51">
      <c r="A4" s="57" t="inlineStr">
        <is>
          <t>ID</t>
        </is>
      </c>
      <c r="B4" s="57" t="inlineStr">
        <is>
          <t>Tender title</t>
        </is>
      </c>
      <c r="C4" s="57" t="inlineStr">
        <is>
          <t>G1 CRB class</t>
        </is>
      </c>
      <c r="D4" s="57" t="inlineStr">
        <is>
          <t>G2 Turnover / experience</t>
        </is>
      </c>
      <c r="E4" s="57" t="inlineStr">
        <is>
          <t>G3 Securities within bank limits</t>
        </is>
      </c>
      <c r="F4" s="57" t="inlineStr">
        <is>
          <t>G4 Deadline achievable</t>
        </is>
      </c>
      <c r="G4" s="57" t="inlineStr">
        <is>
          <t>1. Client payment record and funding confirmed</t>
        </is>
      </c>
      <c r="H4" s="57" t="inlineStr">
        <is>
          <t>2. Relationship / access to decision-maker</t>
        </is>
      </c>
      <c r="I4" s="57" t="inlineStr">
        <is>
          <t>3. Client type strategic value (bank, oil &amp; gas, donor, government)</t>
        </is>
      </c>
      <c r="J4" s="57" t="inlineStr">
        <is>
          <t>4. Expected number and strength of competitors</t>
        </is>
      </c>
      <c r="K4" s="57" t="inlineStr">
        <is>
          <t>5. Evaluation basis favours us (technical weight, past performance)</t>
        </is>
      </c>
      <c r="L4" s="57" t="inlineStr">
        <is>
          <t>6. Margin potential at market rates (from rate library)</t>
        </is>
      </c>
      <c r="M4" s="57" t="inlineStr">
        <is>
          <t>7. Key staff and equipment available in the period</t>
        </is>
      </c>
      <c r="N4" s="57" t="inlineStr">
        <is>
          <t>8. Location and logistics (distance from base, site conditions)</t>
        </is>
      </c>
      <c r="O4" s="57" t="inlineStr">
        <is>
          <t>9. Advance payment / payment terms / retention</t>
        </is>
      </c>
      <c r="P4" s="57" t="inlineStr">
        <is>
          <t>10. Risk profile: design responsibility, LDs, unusual conditions</t>
        </is>
      </c>
      <c r="Q4" s="57" t="inlineStr">
        <is>
          <t>11. Strategic fit: new sector entry, reference value, repeat work</t>
        </is>
      </c>
      <c r="R4" s="57" t="inlineStr">
        <is>
          <t>12. Cost of bidding (site visit, design, bid bond) vs value</t>
        </is>
      </c>
      <c r="S4" s="57" t="inlineStr">
        <is>
          <t>Criteria scored</t>
        </is>
      </c>
      <c r="T4" s="57" t="inlineStr">
        <is>
          <t>Weighted score</t>
        </is>
      </c>
      <c r="U4" s="57" t="inlineStr">
        <is>
          <t>Result</t>
        </is>
      </c>
      <c r="V4" s="57" t="inlineStr">
        <is>
          <t>Scored by</t>
        </is>
      </c>
      <c r="W4" s="57" t="inlineStr">
        <is>
          <t>Date scored</t>
        </is>
      </c>
      <c r="X4" s="57" t="inlineStr">
        <is>
          <t>MD decision</t>
        </is>
      </c>
      <c r="Y4" s="57" t="inlineStr">
        <is>
          <t>Evidence / notes</t>
        </is>
      </c>
    </row>
    <row r="5" ht="23.85" customHeight="1" s="51">
      <c r="A5" s="77">
        <f>IF(Pipeline!A5="","",Pipeline!A5)</f>
        <v/>
      </c>
      <c r="B5" s="78">
        <f>IF(A5="","",INDEX(Pipeline!$H:$H,MATCH(A5,Pipeline!$A:$A,0)))</f>
        <v/>
      </c>
      <c r="C5" s="79" t="n"/>
      <c r="D5" s="79" t="n"/>
      <c r="E5" s="79" t="n"/>
      <c r="F5" s="79" t="n"/>
      <c r="G5" s="79" t="n"/>
      <c r="H5" s="79" t="n"/>
      <c r="I5" s="79" t="n"/>
      <c r="J5" s="79" t="n"/>
      <c r="K5" s="79" t="n"/>
      <c r="L5" s="79" t="n"/>
      <c r="M5" s="79" t="n"/>
      <c r="N5" s="79" t="n">
        <v>4</v>
      </c>
      <c r="O5" s="79" t="n"/>
      <c r="P5" s="79" t="n"/>
      <c r="Q5" s="79" t="n"/>
      <c r="R5" s="79" t="n"/>
      <c r="S5" s="80">
        <f>IF(A5="","",COUNT(G5:R5))</f>
        <v/>
      </c>
      <c r="T5" s="81">
        <f>IF(OR(A5="",S5&lt;12),"",SUMPRODUCT($G$3:$R$3,G5:R5)/5)</f>
        <v/>
      </c>
      <c r="U5" s="82">
        <f>IF(A5="","",IF(COUNTIF(C5:F5,"Fail")&gt;0,"No-Bid (gate failed)",IF(S5&lt;12,"Incomplete ("&amp;S5&amp;"/12)",IF(T5&gt;='Scoring Guide'!$C$26,"Bid",IF(T5&gt;='Scoring Guide'!$C$27,"Conditional (MD)","No-Bid")))))</f>
        <v/>
      </c>
      <c r="V5" s="79" t="n"/>
      <c r="W5" s="83" t="n"/>
      <c r="X5" s="79" t="n"/>
      <c r="Y5" s="79" t="n"/>
    </row>
    <row r="6" ht="23.85" customHeight="1" s="51">
      <c r="A6" s="77">
        <f>IF(Pipeline!A6="","",Pipeline!A6)</f>
        <v/>
      </c>
      <c r="B6" s="78">
        <f>IF(A6="","",INDEX(Pipeline!$H:$H,MATCH(A6,Pipeline!$A:$A,0)))</f>
        <v/>
      </c>
      <c r="C6" s="79" t="n"/>
      <c r="D6" s="79" t="n"/>
      <c r="E6" s="79" t="n"/>
      <c r="F6" s="79" t="n"/>
      <c r="G6" s="79" t="n"/>
      <c r="H6" s="79" t="n"/>
      <c r="I6" s="79" t="n"/>
      <c r="J6" s="79" t="n"/>
      <c r="K6" s="79" t="n"/>
      <c r="L6" s="79" t="n"/>
      <c r="M6" s="79" t="n"/>
      <c r="N6" s="79" t="n">
        <v>4</v>
      </c>
      <c r="O6" s="79" t="n"/>
      <c r="P6" s="79" t="n"/>
      <c r="Q6" s="79" t="n"/>
      <c r="R6" s="79" t="n"/>
      <c r="S6" s="80">
        <f>IF(A6="","",COUNT(G6:R6))</f>
        <v/>
      </c>
      <c r="T6" s="81">
        <f>IF(OR(A6="",S6&lt;12),"",SUMPRODUCT($G$3:$R$3,G6:R6)/5)</f>
        <v/>
      </c>
      <c r="U6" s="82">
        <f>IF(A6="","",IF(COUNTIF(C6:F6,"Fail")&gt;0,"No-Bid (gate failed)",IF(S6&lt;12,"Incomplete ("&amp;S6&amp;"/12)",IF(T6&gt;='Scoring Guide'!$C$26,"Bid",IF(T6&gt;='Scoring Guide'!$C$27,"Conditional (MD)","No-Bid")))))</f>
        <v/>
      </c>
      <c r="V6" s="79" t="n"/>
      <c r="W6" s="83" t="n"/>
      <c r="X6" s="79" t="n"/>
      <c r="Y6" s="79" t="n"/>
    </row>
    <row r="7" ht="23.85" customHeight="1" s="51">
      <c r="A7" s="77">
        <f>IF(Pipeline!A7="","",Pipeline!A7)</f>
        <v/>
      </c>
      <c r="B7" s="78">
        <f>IF(A7="","",INDEX(Pipeline!$H:$H,MATCH(A7,Pipeline!$A:$A,0)))</f>
        <v/>
      </c>
      <c r="C7" s="79" t="n"/>
      <c r="D7" s="79" t="n"/>
      <c r="E7" s="79" t="n"/>
      <c r="F7" s="79" t="n"/>
      <c r="G7" s="79" t="n"/>
      <c r="H7" s="79" t="n"/>
      <c r="I7" s="79" t="n"/>
      <c r="J7" s="79" t="n"/>
      <c r="K7" s="79" t="n"/>
      <c r="L7" s="79" t="n"/>
      <c r="M7" s="79" t="n"/>
      <c r="N7" s="79" t="n"/>
      <c r="O7" s="79" t="n"/>
      <c r="P7" s="79" t="n"/>
      <c r="Q7" s="79" t="n"/>
      <c r="R7" s="79" t="n"/>
      <c r="S7" s="80">
        <f>IF(A7="","",COUNT(G7:R7))</f>
        <v/>
      </c>
      <c r="T7" s="81">
        <f>IF(OR(A7="",S7&lt;12),"",SUMPRODUCT($G$3:$R$3,G7:R7)/5)</f>
        <v/>
      </c>
      <c r="U7" s="82">
        <f>IF(A7="","",IF(COUNTIF(C7:F7,"Fail")&gt;0,"No-Bid (gate failed)",IF(S7&lt;12,"Incomplete ("&amp;S7&amp;"/12)",IF(T7&gt;='Scoring Guide'!$C$26,"Bid",IF(T7&gt;='Scoring Guide'!$C$27,"Conditional (MD)","No-Bid")))))</f>
        <v/>
      </c>
      <c r="V7" s="79" t="n"/>
      <c r="W7" s="83" t="n"/>
      <c r="X7" s="79" t="n"/>
      <c r="Y7" s="79" t="n"/>
    </row>
    <row r="8" ht="35.05" customHeight="1" s="51">
      <c r="A8" s="77">
        <f>IF(Pipeline!A8="","",Pipeline!A8)</f>
        <v/>
      </c>
      <c r="B8" s="78">
        <f>IF(A8="","",INDEX(Pipeline!$H:$H,MATCH(A8,Pipeline!$A:$A,0)))</f>
        <v/>
      </c>
      <c r="C8" s="79" t="n"/>
      <c r="D8" s="79" t="n"/>
      <c r="E8" s="79" t="n"/>
      <c r="F8" s="79" t="n"/>
      <c r="G8" s="79" t="n"/>
      <c r="H8" s="79" t="n"/>
      <c r="I8" s="79" t="n"/>
      <c r="J8" s="79" t="n"/>
      <c r="K8" s="79" t="n"/>
      <c r="L8" s="79" t="n"/>
      <c r="M8" s="79" t="n"/>
      <c r="N8" s="79" t="n">
        <v>5</v>
      </c>
      <c r="O8" s="79" t="n"/>
      <c r="P8" s="79" t="n"/>
      <c r="Q8" s="79" t="n"/>
      <c r="R8" s="79" t="n"/>
      <c r="S8" s="80">
        <f>IF(A8="","",COUNT(G8:R8))</f>
        <v/>
      </c>
      <c r="T8" s="81">
        <f>IF(OR(A8="",S8&lt;12),"",SUMPRODUCT($G$3:$R$3,G8:R8)/5)</f>
        <v/>
      </c>
      <c r="U8" s="82">
        <f>IF(A8="","",IF(COUNTIF(C8:F8,"Fail")&gt;0,"No-Bid (gate failed)",IF(S8&lt;12,"Incomplete ("&amp;S8&amp;"/12)",IF(T8&gt;='Scoring Guide'!$C$26,"Bid",IF(T8&gt;='Scoring Guide'!$C$27,"Conditional (MD)","No-Bid")))))</f>
        <v/>
      </c>
      <c r="V8" s="79" t="n"/>
      <c r="W8" s="83" t="n"/>
      <c r="X8" s="79" t="n"/>
      <c r="Y8" s="79" t="n"/>
    </row>
    <row r="9" ht="23.85" customHeight="1" s="51">
      <c r="A9" s="77">
        <f>IF(Pipeline!A9="","",Pipeline!A9)</f>
        <v/>
      </c>
      <c r="B9" s="78">
        <f>IF(A9="","",INDEX(Pipeline!$H:$H,MATCH(A9,Pipeline!$A:$A,0)))</f>
        <v/>
      </c>
      <c r="C9" s="79" t="n"/>
      <c r="D9" s="79" t="n"/>
      <c r="E9" s="79" t="n"/>
      <c r="F9" s="79" t="n"/>
      <c r="G9" s="79" t="n"/>
      <c r="H9" s="79" t="n"/>
      <c r="I9" s="79" t="n"/>
      <c r="J9" s="79" t="n"/>
      <c r="K9" s="79" t="n"/>
      <c r="L9" s="79" t="n"/>
      <c r="M9" s="79" t="n"/>
      <c r="N9" s="79" t="n">
        <v>5</v>
      </c>
      <c r="O9" s="79" t="n"/>
      <c r="P9" s="79" t="n"/>
      <c r="Q9" s="79" t="n"/>
      <c r="R9" s="79" t="n"/>
      <c r="S9" s="80">
        <f>IF(A9="","",COUNT(G9:R9))</f>
        <v/>
      </c>
      <c r="T9" s="81">
        <f>IF(OR(A9="",S9&lt;12),"",SUMPRODUCT($G$3:$R$3,G9:R9)/5)</f>
        <v/>
      </c>
      <c r="U9" s="82">
        <f>IF(A9="","",IF(COUNTIF(C9:F9,"Fail")&gt;0,"No-Bid (gate failed)",IF(S9&lt;12,"Incomplete ("&amp;S9&amp;"/12)",IF(T9&gt;='Scoring Guide'!$C$26,"Bid",IF(T9&gt;='Scoring Guide'!$C$27,"Conditional (MD)","No-Bid")))))</f>
        <v/>
      </c>
      <c r="V9" s="79" t="n"/>
      <c r="W9" s="83" t="n"/>
      <c r="X9" s="79" t="n"/>
      <c r="Y9" s="79" t="n"/>
    </row>
    <row r="10" ht="15" customHeight="1" s="51">
      <c r="A10" s="77">
        <f>IF(Pipeline!A10="","",Pipeline!A10)</f>
        <v/>
      </c>
      <c r="B10" s="78">
        <f>IF(A10="","",INDEX(Pipeline!$H:$H,MATCH(A10,Pipeline!$A:$A,0)))</f>
        <v/>
      </c>
      <c r="C10" s="79" t="n"/>
      <c r="D10" s="79" t="n"/>
      <c r="E10" s="79" t="n"/>
      <c r="F10" s="79" t="n"/>
      <c r="G10" s="79" t="n"/>
      <c r="H10" s="79" t="n"/>
      <c r="I10" s="79" t="n"/>
      <c r="J10" s="79" t="n"/>
      <c r="K10" s="79" t="n"/>
      <c r="L10" s="79" t="n"/>
      <c r="M10" s="79" t="n"/>
      <c r="N10" s="79" t="n"/>
      <c r="O10" s="79" t="n"/>
      <c r="P10" s="79" t="n"/>
      <c r="Q10" s="79" t="n"/>
      <c r="R10" s="79" t="n"/>
      <c r="S10" s="80">
        <f>IF(A10="","",COUNT(G10:R10))</f>
        <v/>
      </c>
      <c r="T10" s="81">
        <f>IF(OR(A10="",S10&lt;12),"",SUMPRODUCT($G$3:$R$3,G10:R10)/5)</f>
        <v/>
      </c>
      <c r="U10" s="82">
        <f>IF(A10="","",IF(COUNTIF(C10:F10,"Fail")&gt;0,"No-Bid (gate failed)",IF(S10&lt;12,"Incomplete ("&amp;S10&amp;"/12)",IF(T10&gt;='Scoring Guide'!$C$26,"Bid",IF(T10&gt;='Scoring Guide'!$C$27,"Conditional (MD)","No-Bid")))))</f>
        <v/>
      </c>
      <c r="V10" s="79" t="n"/>
      <c r="W10" s="83" t="n"/>
      <c r="X10" s="79" t="n"/>
      <c r="Y10" s="79" t="n"/>
    </row>
    <row r="11" ht="35.05" customHeight="1" s="51">
      <c r="A11" s="77">
        <f>IF(Pipeline!A11="","",Pipeline!A11)</f>
        <v/>
      </c>
      <c r="B11" s="78">
        <f>IF(A11="","",INDEX(Pipeline!$H:$H,MATCH(A11,Pipeline!$A:$A,0)))</f>
        <v/>
      </c>
      <c r="C11" s="79" t="n"/>
      <c r="D11" s="79" t="n"/>
      <c r="E11" s="79" t="n"/>
      <c r="F11" s="79" t="n"/>
      <c r="G11" s="79" t="n"/>
      <c r="H11" s="79" t="n"/>
      <c r="I11" s="79" t="n"/>
      <c r="J11" s="79" t="n"/>
      <c r="K11" s="79" t="n"/>
      <c r="L11" s="79" t="n"/>
      <c r="M11" s="79" t="n"/>
      <c r="N11" s="79" t="n">
        <v>5</v>
      </c>
      <c r="O11" s="79" t="n"/>
      <c r="P11" s="79" t="n"/>
      <c r="Q11" s="79" t="n"/>
      <c r="R11" s="79" t="n"/>
      <c r="S11" s="80">
        <f>IF(A11="","",COUNT(G11:R11))</f>
        <v/>
      </c>
      <c r="T11" s="81">
        <f>IF(OR(A11="",S11&lt;12),"",SUMPRODUCT($G$3:$R$3,G11:R11)/5)</f>
        <v/>
      </c>
      <c r="U11" s="82">
        <f>IF(A11="","",IF(COUNTIF(C11:F11,"Fail")&gt;0,"No-Bid (gate failed)",IF(S11&lt;12,"Incomplete ("&amp;S11&amp;"/12)",IF(T11&gt;='Scoring Guide'!$C$26,"Bid",IF(T11&gt;='Scoring Guide'!$C$27,"Conditional (MD)","No-Bid")))))</f>
        <v/>
      </c>
      <c r="V11" s="79" t="n"/>
      <c r="W11" s="83" t="n"/>
      <c r="X11" s="79" t="n"/>
      <c r="Y11" s="79" t="n"/>
    </row>
    <row r="12" ht="15" customHeight="1" s="51">
      <c r="A12" s="77">
        <f>IF(Pipeline!A12="","",Pipeline!A12)</f>
        <v/>
      </c>
      <c r="B12" s="78">
        <f>IF(A12="","",INDEX(Pipeline!$H:$H,MATCH(A12,Pipeline!$A:$A,0)))</f>
        <v/>
      </c>
      <c r="C12" s="79" t="n"/>
      <c r="D12" s="79" t="n"/>
      <c r="E12" s="79" t="n"/>
      <c r="F12" s="79" t="n"/>
      <c r="G12" s="79" t="n"/>
      <c r="H12" s="79" t="n"/>
      <c r="I12" s="79" t="n"/>
      <c r="J12" s="79" t="n"/>
      <c r="K12" s="79" t="n"/>
      <c r="L12" s="79" t="n"/>
      <c r="M12" s="79" t="n"/>
      <c r="N12" s="79" t="n">
        <v>5</v>
      </c>
      <c r="O12" s="79" t="n"/>
      <c r="P12" s="79" t="n"/>
      <c r="Q12" s="79" t="n"/>
      <c r="R12" s="79" t="n"/>
      <c r="S12" s="80">
        <f>IF(A12="","",COUNT(G12:R12))</f>
        <v/>
      </c>
      <c r="T12" s="81">
        <f>IF(OR(A12="",S12&lt;12),"",SUMPRODUCT($G$3:$R$3,G12:R12)/5)</f>
        <v/>
      </c>
      <c r="U12" s="82">
        <f>IF(A12="","",IF(COUNTIF(C12:F12,"Fail")&gt;0,"No-Bid (gate failed)",IF(S12&lt;12,"Incomplete ("&amp;S12&amp;"/12)",IF(T12&gt;='Scoring Guide'!$C$26,"Bid",IF(T12&gt;='Scoring Guide'!$C$27,"Conditional (MD)","No-Bid")))))</f>
        <v/>
      </c>
      <c r="V12" s="79" t="n"/>
      <c r="W12" s="83" t="n"/>
      <c r="X12" s="79" t="n"/>
      <c r="Y12" s="79" t="n"/>
    </row>
    <row r="13" ht="35.05" customHeight="1" s="51">
      <c r="A13" s="77">
        <f>IF(Pipeline!A13="","",Pipeline!A13)</f>
        <v/>
      </c>
      <c r="B13" s="78">
        <f>IF(A13="","",INDEX(Pipeline!$H:$H,MATCH(A13,Pipeline!$A:$A,0)))</f>
        <v/>
      </c>
      <c r="C13" s="79" t="n"/>
      <c r="D13" s="79" t="n"/>
      <c r="E13" s="79" t="n"/>
      <c r="F13" s="79" t="n"/>
      <c r="G13" s="79" t="n"/>
      <c r="H13" s="79" t="n"/>
      <c r="I13" s="79" t="n"/>
      <c r="J13" s="79" t="n"/>
      <c r="K13" s="79" t="n"/>
      <c r="L13" s="79" t="n"/>
      <c r="M13" s="79" t="n"/>
      <c r="N13" s="79" t="n">
        <v>1</v>
      </c>
      <c r="O13" s="79" t="n"/>
      <c r="P13" s="79" t="n"/>
      <c r="Q13" s="79" t="n"/>
      <c r="R13" s="79" t="n"/>
      <c r="S13" s="80">
        <f>IF(A13="","",COUNT(G13:R13))</f>
        <v/>
      </c>
      <c r="T13" s="81">
        <f>IF(OR(A13="",S13&lt;12),"",SUMPRODUCT($G$3:$R$3,G13:R13)/5)</f>
        <v/>
      </c>
      <c r="U13" s="82">
        <f>IF(A13="","",IF(COUNTIF(C13:F13,"Fail")&gt;0,"No-Bid (gate failed)",IF(S13&lt;12,"Incomplete ("&amp;S13&amp;"/12)",IF(T13&gt;='Scoring Guide'!$C$26,"Bid",IF(T13&gt;='Scoring Guide'!$C$27,"Conditional (MD)","No-Bid")))))</f>
        <v/>
      </c>
      <c r="V13" s="79" t="n"/>
      <c r="W13" s="83" t="n"/>
      <c r="X13" s="79" t="n"/>
      <c r="Y13" s="79" t="n"/>
    </row>
    <row r="14" ht="35.05" customHeight="1" s="51">
      <c r="A14" s="77">
        <f>IF(Pipeline!A14="","",Pipeline!A14)</f>
        <v/>
      </c>
      <c r="B14" s="78">
        <f>IF(A14="","",INDEX(Pipeline!$H:$H,MATCH(A14,Pipeline!$A:$A,0)))</f>
        <v/>
      </c>
      <c r="C14" s="79" t="n"/>
      <c r="D14" s="79" t="n"/>
      <c r="E14" s="79" t="n"/>
      <c r="F14" s="79" t="n"/>
      <c r="G14" s="79" t="n"/>
      <c r="H14" s="79" t="n"/>
      <c r="I14" s="79" t="n"/>
      <c r="J14" s="79" t="n"/>
      <c r="K14" s="79" t="n"/>
      <c r="L14" s="79" t="n"/>
      <c r="M14" s="79" t="n"/>
      <c r="N14" s="79" t="n">
        <v>2</v>
      </c>
      <c r="O14" s="79" t="n"/>
      <c r="P14" s="79" t="n"/>
      <c r="Q14" s="79" t="n"/>
      <c r="R14" s="79" t="n"/>
      <c r="S14" s="80">
        <f>IF(A14="","",COUNT(G14:R14))</f>
        <v/>
      </c>
      <c r="T14" s="81">
        <f>IF(OR(A14="",S14&lt;12),"",SUMPRODUCT($G$3:$R$3,G14:R14)/5)</f>
        <v/>
      </c>
      <c r="U14" s="82">
        <f>IF(A14="","",IF(COUNTIF(C14:F14,"Fail")&gt;0,"No-Bid (gate failed)",IF(S14&lt;12,"Incomplete ("&amp;S14&amp;"/12)",IF(T14&gt;='Scoring Guide'!$C$26,"Bid",IF(T14&gt;='Scoring Guide'!$C$27,"Conditional (MD)","No-Bid")))))</f>
        <v/>
      </c>
      <c r="V14" s="79" t="n"/>
      <c r="W14" s="83" t="n"/>
      <c r="X14" s="79" t="n"/>
      <c r="Y14" s="79" t="n"/>
    </row>
    <row r="15" ht="23.85" customHeight="1" s="51">
      <c r="A15" s="77">
        <f>IF(Pipeline!A15="","",Pipeline!A15)</f>
        <v/>
      </c>
      <c r="B15" s="78">
        <f>IF(A15="","",INDEX(Pipeline!$H:$H,MATCH(A15,Pipeline!$A:$A,0)))</f>
        <v/>
      </c>
      <c r="C15" s="79" t="n"/>
      <c r="D15" s="79" t="n"/>
      <c r="E15" s="79" t="n"/>
      <c r="F15" s="79" t="n"/>
      <c r="G15" s="79" t="n"/>
      <c r="H15" s="79" t="n"/>
      <c r="I15" s="79" t="n"/>
      <c r="J15" s="79" t="n"/>
      <c r="K15" s="79" t="n"/>
      <c r="L15" s="79" t="n"/>
      <c r="M15" s="79" t="n"/>
      <c r="N15" s="79" t="n">
        <v>2</v>
      </c>
      <c r="O15" s="79" t="n"/>
      <c r="P15" s="79" t="n"/>
      <c r="Q15" s="79" t="n"/>
      <c r="R15" s="79" t="n"/>
      <c r="S15" s="80">
        <f>IF(A15="","",COUNT(G15:R15))</f>
        <v/>
      </c>
      <c r="T15" s="81">
        <f>IF(OR(A15="",S15&lt;12),"",SUMPRODUCT($G$3:$R$3,G15:R15)/5)</f>
        <v/>
      </c>
      <c r="U15" s="82">
        <f>IF(A15="","",IF(COUNTIF(C15:F15,"Fail")&gt;0,"No-Bid (gate failed)",IF(S15&lt;12,"Incomplete ("&amp;S15&amp;"/12)",IF(T15&gt;='Scoring Guide'!$C$26,"Bid",IF(T15&gt;='Scoring Guide'!$C$27,"Conditional (MD)","No-Bid")))))</f>
        <v/>
      </c>
      <c r="V15" s="79" t="n"/>
      <c r="W15" s="83" t="n"/>
      <c r="X15" s="79" t="n"/>
      <c r="Y15" s="79" t="n"/>
    </row>
    <row r="16" ht="23.85" customHeight="1" s="51">
      <c r="A16" s="77">
        <f>IF(Pipeline!A16="","",Pipeline!A16)</f>
        <v/>
      </c>
      <c r="B16" s="78">
        <f>IF(A16="","",INDEX(Pipeline!$H:$H,MATCH(A16,Pipeline!$A:$A,0)))</f>
        <v/>
      </c>
      <c r="C16" s="79" t="n"/>
      <c r="D16" s="79" t="n"/>
      <c r="E16" s="79" t="n"/>
      <c r="F16" s="79" t="n"/>
      <c r="G16" s="79" t="n"/>
      <c r="H16" s="79" t="n"/>
      <c r="I16" s="79" t="n"/>
      <c r="J16" s="79" t="n"/>
      <c r="K16" s="79" t="n"/>
      <c r="L16" s="79" t="n"/>
      <c r="M16" s="79" t="n"/>
      <c r="N16" s="79" t="n">
        <v>2</v>
      </c>
      <c r="O16" s="79" t="n"/>
      <c r="P16" s="79" t="n"/>
      <c r="Q16" s="79" t="n"/>
      <c r="R16" s="79" t="n"/>
      <c r="S16" s="80">
        <f>IF(A16="","",COUNT(G16:R16))</f>
        <v/>
      </c>
      <c r="T16" s="81">
        <f>IF(OR(A16="",S16&lt;12),"",SUMPRODUCT($G$3:$R$3,G16:R16)/5)</f>
        <v/>
      </c>
      <c r="U16" s="82">
        <f>IF(A16="","",IF(COUNTIF(C16:F16,"Fail")&gt;0,"No-Bid (gate failed)",IF(S16&lt;12,"Incomplete ("&amp;S16&amp;"/12)",IF(T16&gt;='Scoring Guide'!$C$26,"Bid",IF(T16&gt;='Scoring Guide'!$C$27,"Conditional (MD)","No-Bid")))))</f>
        <v/>
      </c>
      <c r="V16" s="79" t="n"/>
      <c r="W16" s="83" t="n"/>
      <c r="X16" s="79" t="n"/>
      <c r="Y16" s="79" t="n"/>
    </row>
    <row r="17" ht="23.85" customHeight="1" s="51">
      <c r="A17" s="77">
        <f>IF(Pipeline!A17="","",Pipeline!A17)</f>
        <v/>
      </c>
      <c r="B17" s="78">
        <f>IF(A17="","",INDEX(Pipeline!$H:$H,MATCH(A17,Pipeline!$A:$A,0)))</f>
        <v/>
      </c>
      <c r="C17" s="79" t="n"/>
      <c r="D17" s="79" t="n"/>
      <c r="E17" s="79" t="n"/>
      <c r="F17" s="79" t="n"/>
      <c r="G17" s="79" t="n"/>
      <c r="H17" s="79" t="n"/>
      <c r="I17" s="79" t="n"/>
      <c r="J17" s="79" t="n"/>
      <c r="K17" s="79" t="n"/>
      <c r="L17" s="79" t="n"/>
      <c r="M17" s="79" t="n"/>
      <c r="N17" s="79" t="n">
        <v>1</v>
      </c>
      <c r="O17" s="79" t="n"/>
      <c r="P17" s="79" t="n"/>
      <c r="Q17" s="79" t="n"/>
      <c r="R17" s="79" t="n"/>
      <c r="S17" s="80">
        <f>IF(A17="","",COUNT(G17:R17))</f>
        <v/>
      </c>
      <c r="T17" s="81">
        <f>IF(OR(A17="",S17&lt;12),"",SUMPRODUCT($G$3:$R$3,G17:R17)/5)</f>
        <v/>
      </c>
      <c r="U17" s="82">
        <f>IF(A17="","",IF(COUNTIF(C17:F17,"Fail")&gt;0,"No-Bid (gate failed)",IF(S17&lt;12,"Incomplete ("&amp;S17&amp;"/12)",IF(T17&gt;='Scoring Guide'!$C$26,"Bid",IF(T17&gt;='Scoring Guide'!$C$27,"Conditional (MD)","No-Bid")))))</f>
        <v/>
      </c>
      <c r="V17" s="79" t="n"/>
      <c r="W17" s="83" t="n"/>
      <c r="X17" s="79" t="n"/>
      <c r="Y17" s="79" t="n"/>
    </row>
    <row r="18" ht="15" customHeight="1" s="51">
      <c r="A18" s="77">
        <f>IF(Pipeline!A18="","",Pipeline!A18)</f>
        <v/>
      </c>
      <c r="B18" s="78">
        <f>IF(A18="","",INDEX(Pipeline!$H:$H,MATCH(A18,Pipeline!$A:$A,0)))</f>
        <v/>
      </c>
      <c r="C18" s="79" t="n"/>
      <c r="D18" s="79" t="n"/>
      <c r="E18" s="79" t="n"/>
      <c r="F18" s="79" t="n"/>
      <c r="G18" s="79" t="n"/>
      <c r="H18" s="79" t="n"/>
      <c r="I18" s="79" t="n"/>
      <c r="J18" s="79" t="n"/>
      <c r="K18" s="79" t="n"/>
      <c r="L18" s="79" t="n"/>
      <c r="M18" s="79" t="n"/>
      <c r="N18" s="79" t="n">
        <v>1</v>
      </c>
      <c r="O18" s="79" t="n"/>
      <c r="P18" s="79" t="n"/>
      <c r="Q18" s="79" t="n"/>
      <c r="R18" s="79" t="n"/>
      <c r="S18" s="80">
        <f>IF(A18="","",COUNT(G18:R18))</f>
        <v/>
      </c>
      <c r="T18" s="81">
        <f>IF(OR(A18="",S18&lt;12),"",SUMPRODUCT($G$3:$R$3,G18:R18)/5)</f>
        <v/>
      </c>
      <c r="U18" s="82">
        <f>IF(A18="","",IF(COUNTIF(C18:F18,"Fail")&gt;0,"No-Bid (gate failed)",IF(S18&lt;12,"Incomplete ("&amp;S18&amp;"/12)",IF(T18&gt;='Scoring Guide'!$C$26,"Bid",IF(T18&gt;='Scoring Guide'!$C$27,"Conditional (MD)","No-Bid")))))</f>
        <v/>
      </c>
      <c r="V18" s="79" t="n"/>
      <c r="W18" s="83" t="n"/>
      <c r="X18" s="79" t="n"/>
      <c r="Y18" s="79" t="n"/>
    </row>
    <row r="19" ht="23.85" customHeight="1" s="51">
      <c r="A19" s="77">
        <f>IF(Pipeline!A19="","",Pipeline!A19)</f>
        <v/>
      </c>
      <c r="B19" s="78">
        <f>IF(A19="","",INDEX(Pipeline!$H:$H,MATCH(A19,Pipeline!$A:$A,0)))</f>
        <v/>
      </c>
      <c r="C19" s="79" t="n"/>
      <c r="D19" s="79" t="n"/>
      <c r="E19" s="79" t="n"/>
      <c r="F19" s="79" t="n"/>
      <c r="G19" s="79" t="n"/>
      <c r="H19" s="79" t="n"/>
      <c r="I19" s="79" t="n"/>
      <c r="J19" s="79" t="n"/>
      <c r="K19" s="79" t="n"/>
      <c r="L19" s="79" t="n"/>
      <c r="M19" s="79" t="n"/>
      <c r="N19" s="79" t="n">
        <v>1</v>
      </c>
      <c r="O19" s="79" t="n"/>
      <c r="P19" s="79" t="n"/>
      <c r="Q19" s="79" t="n"/>
      <c r="R19" s="79" t="n"/>
      <c r="S19" s="80">
        <f>IF(A19="","",COUNT(G19:R19))</f>
        <v/>
      </c>
      <c r="T19" s="81">
        <f>IF(OR(A19="",S19&lt;12),"",SUMPRODUCT($G$3:$R$3,G19:R19)/5)</f>
        <v/>
      </c>
      <c r="U19" s="82">
        <f>IF(A19="","",IF(COUNTIF(C19:F19,"Fail")&gt;0,"No-Bid (gate failed)",IF(S19&lt;12,"Incomplete ("&amp;S19&amp;"/12)",IF(T19&gt;='Scoring Guide'!$C$26,"Bid",IF(T19&gt;='Scoring Guide'!$C$27,"Conditional (MD)","No-Bid")))))</f>
        <v/>
      </c>
      <c r="V19" s="79" t="n"/>
      <c r="W19" s="83" t="n"/>
      <c r="X19" s="79" t="n"/>
      <c r="Y19" s="79" t="n"/>
    </row>
    <row r="20" ht="23.85" customHeight="1" s="51">
      <c r="A20" s="77">
        <f>IF(Pipeline!A20="","",Pipeline!A20)</f>
        <v/>
      </c>
      <c r="B20" s="78">
        <f>IF(A20="","",INDEX(Pipeline!$H:$H,MATCH(A20,Pipeline!$A:$A,0)))</f>
        <v/>
      </c>
      <c r="C20" s="79" t="n"/>
      <c r="D20" s="79" t="n"/>
      <c r="E20" s="79" t="n"/>
      <c r="F20" s="79" t="n"/>
      <c r="G20" s="79" t="n"/>
      <c r="H20" s="79" t="n"/>
      <c r="I20" s="79" t="n"/>
      <c r="J20" s="79" t="n"/>
      <c r="K20" s="79" t="n"/>
      <c r="L20" s="79" t="n"/>
      <c r="M20" s="79" t="n"/>
      <c r="N20" s="79" t="n">
        <v>1</v>
      </c>
      <c r="O20" s="79" t="n"/>
      <c r="P20" s="79" t="n"/>
      <c r="Q20" s="79" t="n"/>
      <c r="R20" s="79" t="n"/>
      <c r="S20" s="80">
        <f>IF(A20="","",COUNT(G20:R20))</f>
        <v/>
      </c>
      <c r="T20" s="81">
        <f>IF(OR(A20="",S20&lt;12),"",SUMPRODUCT($G$3:$R$3,G20:R20)/5)</f>
        <v/>
      </c>
      <c r="U20" s="82">
        <f>IF(A20="","",IF(COUNTIF(C20:F20,"Fail")&gt;0,"No-Bid (gate failed)",IF(S20&lt;12,"Incomplete ("&amp;S20&amp;"/12)",IF(T20&gt;='Scoring Guide'!$C$26,"Bid",IF(T20&gt;='Scoring Guide'!$C$27,"Conditional (MD)","No-Bid")))))</f>
        <v/>
      </c>
      <c r="V20" s="79" t="n"/>
      <c r="W20" s="83" t="n"/>
      <c r="X20" s="79" t="n"/>
      <c r="Y20" s="79" t="n"/>
    </row>
    <row r="21" ht="23.85" customHeight="1" s="51">
      <c r="A21" s="77">
        <f>IF(Pipeline!A21="","",Pipeline!A21)</f>
        <v/>
      </c>
      <c r="B21" s="78">
        <f>IF(A21="","",INDEX(Pipeline!$H:$H,MATCH(A21,Pipeline!$A:$A,0)))</f>
        <v/>
      </c>
      <c r="C21" s="79" t="n"/>
      <c r="D21" s="79" t="n"/>
      <c r="E21" s="79" t="n"/>
      <c r="F21" s="79" t="n"/>
      <c r="G21" s="79" t="n"/>
      <c r="H21" s="79" t="n"/>
      <c r="I21" s="79" t="n"/>
      <c r="J21" s="79" t="n"/>
      <c r="K21" s="79" t="n"/>
      <c r="L21" s="79" t="n"/>
      <c r="M21" s="79" t="n"/>
      <c r="N21" s="79" t="n">
        <v>1</v>
      </c>
      <c r="O21" s="79" t="n"/>
      <c r="P21" s="79" t="n"/>
      <c r="Q21" s="79" t="n"/>
      <c r="R21" s="79" t="n"/>
      <c r="S21" s="80">
        <f>IF(A21="","",COUNT(G21:R21))</f>
        <v/>
      </c>
      <c r="T21" s="81">
        <f>IF(OR(A21="",S21&lt;12),"",SUMPRODUCT($G$3:$R$3,G21:R21)/5)</f>
        <v/>
      </c>
      <c r="U21" s="82">
        <f>IF(A21="","",IF(COUNTIF(C21:F21,"Fail")&gt;0,"No-Bid (gate failed)",IF(S21&lt;12,"Incomplete ("&amp;S21&amp;"/12)",IF(T21&gt;='Scoring Guide'!$C$26,"Bid",IF(T21&gt;='Scoring Guide'!$C$27,"Conditional (MD)","No-Bid")))))</f>
        <v/>
      </c>
      <c r="V21" s="79" t="n"/>
      <c r="W21" s="83" t="n"/>
      <c r="X21" s="79" t="n"/>
      <c r="Y21" s="79" t="n"/>
    </row>
    <row r="22" ht="23.85" customHeight="1" s="51">
      <c r="A22" s="77">
        <f>IF(Pipeline!A22="","",Pipeline!A22)</f>
        <v/>
      </c>
      <c r="B22" s="78">
        <f>IF(A22="","",INDEX(Pipeline!$H:$H,MATCH(A22,Pipeline!$A:$A,0)))</f>
        <v/>
      </c>
      <c r="C22" s="79" t="n"/>
      <c r="D22" s="79" t="n"/>
      <c r="E22" s="79" t="n"/>
      <c r="F22" s="79" t="n"/>
      <c r="G22" s="79" t="n"/>
      <c r="H22" s="79" t="n"/>
      <c r="I22" s="79" t="n"/>
      <c r="J22" s="79" t="n"/>
      <c r="K22" s="79" t="n"/>
      <c r="L22" s="79" t="n"/>
      <c r="M22" s="79" t="n"/>
      <c r="N22" s="79" t="n">
        <v>0</v>
      </c>
      <c r="O22" s="79" t="n"/>
      <c r="P22" s="79" t="n"/>
      <c r="Q22" s="79" t="n"/>
      <c r="R22" s="79" t="n"/>
      <c r="S22" s="80">
        <f>IF(A22="","",COUNT(G22:R22))</f>
        <v/>
      </c>
      <c r="T22" s="81">
        <f>IF(OR(A22="",S22&lt;12),"",SUMPRODUCT($G$3:$R$3,G22:R22)/5)</f>
        <v/>
      </c>
      <c r="U22" s="82">
        <f>IF(A22="","",IF(COUNTIF(C22:F22,"Fail")&gt;0,"No-Bid (gate failed)",IF(S22&lt;12,"Incomplete ("&amp;S22&amp;"/12)",IF(T22&gt;='Scoring Guide'!$C$26,"Bid",IF(T22&gt;='Scoring Guide'!$C$27,"Conditional (MD)","No-Bid")))))</f>
        <v/>
      </c>
      <c r="V22" s="79" t="n"/>
      <c r="W22" s="83" t="n"/>
      <c r="X22" s="79" t="n"/>
      <c r="Y22" s="79" t="n"/>
    </row>
    <row r="23" ht="23.85" customHeight="1" s="51">
      <c r="A23" s="77">
        <f>IF(Pipeline!A23="","",Pipeline!A23)</f>
        <v/>
      </c>
      <c r="B23" s="78">
        <f>IF(A23="","",INDEX(Pipeline!$H:$H,MATCH(A23,Pipeline!$A:$A,0)))</f>
        <v/>
      </c>
      <c r="C23" s="79" t="n"/>
      <c r="D23" s="79" t="n"/>
      <c r="E23" s="79" t="n"/>
      <c r="F23" s="79" t="n"/>
      <c r="G23" s="79" t="n"/>
      <c r="H23" s="79" t="n"/>
      <c r="I23" s="79" t="n"/>
      <c r="J23" s="79" t="n"/>
      <c r="K23" s="79" t="n"/>
      <c r="L23" s="79" t="n"/>
      <c r="M23" s="79" t="n"/>
      <c r="N23" s="79" t="n">
        <v>0</v>
      </c>
      <c r="O23" s="79" t="n"/>
      <c r="P23" s="79" t="n"/>
      <c r="Q23" s="79" t="n"/>
      <c r="R23" s="79" t="n"/>
      <c r="S23" s="80">
        <f>IF(A23="","",COUNT(G23:R23))</f>
        <v/>
      </c>
      <c r="T23" s="81">
        <f>IF(OR(A23="",S23&lt;12),"",SUMPRODUCT($G$3:$R$3,G23:R23)/5)</f>
        <v/>
      </c>
      <c r="U23" s="82">
        <f>IF(A23="","",IF(COUNTIF(C23:F23,"Fail")&gt;0,"No-Bid (gate failed)",IF(S23&lt;12,"Incomplete ("&amp;S23&amp;"/12)",IF(T23&gt;='Scoring Guide'!$C$26,"Bid",IF(T23&gt;='Scoring Guide'!$C$27,"Conditional (MD)","No-Bid")))))</f>
        <v/>
      </c>
      <c r="V23" s="79" t="n"/>
      <c r="W23" s="83" t="n"/>
      <c r="X23" s="79" t="n"/>
      <c r="Y23" s="79" t="n"/>
    </row>
    <row r="24" ht="23.85" customHeight="1" s="51">
      <c r="A24" s="77">
        <f>IF(Pipeline!A24="","",Pipeline!A24)</f>
        <v/>
      </c>
      <c r="B24" s="78">
        <f>IF(A24="","",INDEX(Pipeline!$H:$H,MATCH(A24,Pipeline!$A:$A,0)))</f>
        <v/>
      </c>
      <c r="C24" s="79" t="n"/>
      <c r="D24" s="79" t="n"/>
      <c r="E24" s="79" t="n"/>
      <c r="F24" s="79" t="n"/>
      <c r="G24" s="79" t="n"/>
      <c r="H24" s="79" t="n"/>
      <c r="I24" s="79" t="n"/>
      <c r="J24" s="79" t="n"/>
      <c r="K24" s="79" t="n"/>
      <c r="L24" s="79" t="n"/>
      <c r="M24" s="79" t="n"/>
      <c r="N24" s="79" t="n">
        <v>0</v>
      </c>
      <c r="O24" s="79" t="n"/>
      <c r="P24" s="79" t="n"/>
      <c r="Q24" s="79" t="n"/>
      <c r="R24" s="79" t="n"/>
      <c r="S24" s="80">
        <f>IF(A24="","",COUNT(G24:R24))</f>
        <v/>
      </c>
      <c r="T24" s="81">
        <f>IF(OR(A24="",S24&lt;12),"",SUMPRODUCT($G$3:$R$3,G24:R24)/5)</f>
        <v/>
      </c>
      <c r="U24" s="82">
        <f>IF(A24="","",IF(COUNTIF(C24:F24,"Fail")&gt;0,"No-Bid (gate failed)",IF(S24&lt;12,"Incomplete ("&amp;S24&amp;"/12)",IF(T24&gt;='Scoring Guide'!$C$26,"Bid",IF(T24&gt;='Scoring Guide'!$C$27,"Conditional (MD)","No-Bid")))))</f>
        <v/>
      </c>
      <c r="V24" s="79" t="n"/>
      <c r="W24" s="83" t="n"/>
      <c r="X24" s="79" t="n"/>
      <c r="Y24" s="79" t="n"/>
    </row>
    <row r="25" ht="35.05" customHeight="1" s="51">
      <c r="A25" s="77">
        <f>IF(Pipeline!A25="","",Pipeline!A25)</f>
        <v/>
      </c>
      <c r="B25" s="78">
        <f>IF(A25="","",INDEX(Pipeline!$H:$H,MATCH(A25,Pipeline!$A:$A,0)))</f>
        <v/>
      </c>
      <c r="C25" s="79" t="n"/>
      <c r="D25" s="79" t="n"/>
      <c r="E25" s="79" t="n"/>
      <c r="F25" s="79" t="n"/>
      <c r="G25" s="79" t="n"/>
      <c r="H25" s="79" t="n"/>
      <c r="I25" s="79" t="n"/>
      <c r="J25" s="79" t="n"/>
      <c r="K25" s="79" t="n"/>
      <c r="L25" s="79" t="n"/>
      <c r="M25" s="79" t="n"/>
      <c r="N25" s="79" t="n">
        <v>1</v>
      </c>
      <c r="O25" s="79" t="n"/>
      <c r="P25" s="79" t="n"/>
      <c r="Q25" s="79" t="n"/>
      <c r="R25" s="79" t="n"/>
      <c r="S25" s="80">
        <f>IF(A25="","",COUNT(G25:R25))</f>
        <v/>
      </c>
      <c r="T25" s="81">
        <f>IF(OR(A25="",S25&lt;12),"",SUMPRODUCT($G$3:$R$3,G25:R25)/5)</f>
        <v/>
      </c>
      <c r="U25" s="82">
        <f>IF(A25="","",IF(COUNTIF(C25:F25,"Fail")&gt;0,"No-Bid (gate failed)",IF(S25&lt;12,"Incomplete ("&amp;S25&amp;"/12)",IF(T25&gt;='Scoring Guide'!$C$26,"Bid",IF(T25&gt;='Scoring Guide'!$C$27,"Conditional (MD)","No-Bid")))))</f>
        <v/>
      </c>
      <c r="V25" s="79" t="n"/>
      <c r="W25" s="83" t="n"/>
      <c r="X25" s="79" t="n"/>
      <c r="Y25" s="79" t="n"/>
    </row>
    <row r="26" ht="35.05" customHeight="1" s="51">
      <c r="A26" s="77">
        <f>IF(Pipeline!A26="","",Pipeline!A26)</f>
        <v/>
      </c>
      <c r="B26" s="78">
        <f>IF(A26="","",INDEX(Pipeline!$H:$H,MATCH(A26,Pipeline!$A:$A,0)))</f>
        <v/>
      </c>
      <c r="C26" s="79" t="n"/>
      <c r="D26" s="79" t="n"/>
      <c r="E26" s="79" t="n"/>
      <c r="F26" s="79" t="n"/>
      <c r="G26" s="79" t="n"/>
      <c r="H26" s="79" t="n"/>
      <c r="I26" s="79" t="n"/>
      <c r="J26" s="79" t="n"/>
      <c r="K26" s="79" t="n"/>
      <c r="L26" s="79" t="n"/>
      <c r="M26" s="79" t="n"/>
      <c r="N26" s="79" t="n">
        <v>5</v>
      </c>
      <c r="O26" s="79" t="n"/>
      <c r="P26" s="79" t="n"/>
      <c r="Q26" s="79" t="n"/>
      <c r="R26" s="79" t="n"/>
      <c r="S26" s="80">
        <f>IF(A26="","",COUNT(G26:R26))</f>
        <v/>
      </c>
      <c r="T26" s="81">
        <f>IF(OR(A26="",S26&lt;12),"",SUMPRODUCT($G$3:$R$3,G26:R26)/5)</f>
        <v/>
      </c>
      <c r="U26" s="82">
        <f>IF(A26="","",IF(COUNTIF(C26:F26,"Fail")&gt;0,"No-Bid (gate failed)",IF(S26&lt;12,"Incomplete ("&amp;S26&amp;"/12)",IF(T26&gt;='Scoring Guide'!$C$26,"Bid",IF(T26&gt;='Scoring Guide'!$C$27,"Conditional (MD)","No-Bid")))))</f>
        <v/>
      </c>
      <c r="V26" s="79" t="n"/>
      <c r="W26" s="83" t="n"/>
      <c r="X26" s="79" t="n"/>
      <c r="Y26" s="79" t="n"/>
    </row>
    <row r="27" ht="35.05" customHeight="1" s="51">
      <c r="A27" s="77">
        <f>IF(Pipeline!A27="","",Pipeline!A27)</f>
        <v/>
      </c>
      <c r="B27" s="78">
        <f>IF(A27="","",INDEX(Pipeline!$H:$H,MATCH(A27,Pipeline!$A:$A,0)))</f>
        <v/>
      </c>
      <c r="C27" s="79" t="n"/>
      <c r="D27" s="79" t="n"/>
      <c r="E27" s="79" t="n"/>
      <c r="F27" s="79" t="n"/>
      <c r="G27" s="79" t="n"/>
      <c r="H27" s="79" t="n"/>
      <c r="I27" s="79" t="n"/>
      <c r="J27" s="79" t="n"/>
      <c r="K27" s="79" t="n"/>
      <c r="L27" s="79" t="n"/>
      <c r="M27" s="79" t="n"/>
      <c r="N27" s="79" t="n"/>
      <c r="O27" s="79" t="n"/>
      <c r="P27" s="79" t="n"/>
      <c r="Q27" s="79" t="n"/>
      <c r="R27" s="79" t="n"/>
      <c r="S27" s="80">
        <f>IF(A27="","",COUNT(G27:R27))</f>
        <v/>
      </c>
      <c r="T27" s="81">
        <f>IF(OR(A27="",S27&lt;12),"",SUMPRODUCT($G$3:$R$3,G27:R27)/5)</f>
        <v/>
      </c>
      <c r="U27" s="82">
        <f>IF(A27="","",IF(COUNTIF(C27:F27,"Fail")&gt;0,"No-Bid (gate failed)",IF(S27&lt;12,"Incomplete ("&amp;S27&amp;"/12)",IF(T27&gt;='Scoring Guide'!$C$26,"Bid",IF(T27&gt;='Scoring Guide'!$C$27,"Conditional (MD)","No-Bid")))))</f>
        <v/>
      </c>
      <c r="V27" s="79" t="n"/>
      <c r="W27" s="83" t="n"/>
      <c r="X27" s="79" t="n"/>
      <c r="Y27" s="79" t="n"/>
    </row>
    <row r="28" ht="35.05" customHeight="1" s="51">
      <c r="A28" s="77">
        <f>IF(Pipeline!A28="","",Pipeline!A28)</f>
        <v/>
      </c>
      <c r="B28" s="78">
        <f>IF(A28="","",INDEX(Pipeline!$H:$H,MATCH(A28,Pipeline!$A:$A,0)))</f>
        <v/>
      </c>
      <c r="C28" s="79" t="n"/>
      <c r="D28" s="79" t="n"/>
      <c r="E28" s="79" t="n"/>
      <c r="F28" s="79" t="n"/>
      <c r="G28" s="79" t="n"/>
      <c r="H28" s="79" t="n"/>
      <c r="I28" s="79" t="n"/>
      <c r="J28" s="79" t="n"/>
      <c r="K28" s="79" t="n"/>
      <c r="L28" s="79" t="n"/>
      <c r="M28" s="79" t="n"/>
      <c r="N28" s="79" t="n">
        <v>5</v>
      </c>
      <c r="O28" s="79" t="n"/>
      <c r="P28" s="79" t="n"/>
      <c r="Q28" s="79" t="n"/>
      <c r="R28" s="79" t="n"/>
      <c r="S28" s="80">
        <f>IF(A28="","",COUNT(G28:R28))</f>
        <v/>
      </c>
      <c r="T28" s="81">
        <f>IF(OR(A28="",S28&lt;12),"",SUMPRODUCT($G$3:$R$3,G28:R28)/5)</f>
        <v/>
      </c>
      <c r="U28" s="82">
        <f>IF(A28="","",IF(COUNTIF(C28:F28,"Fail")&gt;0,"No-Bid (gate failed)",IF(S28&lt;12,"Incomplete ("&amp;S28&amp;"/12)",IF(T28&gt;='Scoring Guide'!$C$26,"Bid",IF(T28&gt;='Scoring Guide'!$C$27,"Conditional (MD)","No-Bid")))))</f>
        <v/>
      </c>
      <c r="V28" s="79" t="n"/>
      <c r="W28" s="83" t="n"/>
      <c r="X28" s="79" t="n"/>
      <c r="Y28" s="79" t="n"/>
    </row>
    <row r="29" ht="46.25" customHeight="1" s="51">
      <c r="A29" s="77">
        <f>IF(Pipeline!A29="","",Pipeline!A29)</f>
        <v/>
      </c>
      <c r="B29" s="78">
        <f>IF(A29="","",INDEX(Pipeline!$H:$H,MATCH(A29,Pipeline!$A:$A,0)))</f>
        <v/>
      </c>
      <c r="C29" s="79" t="n"/>
      <c r="D29" s="79" t="n"/>
      <c r="E29" s="79" t="n"/>
      <c r="F29" s="79" t="n"/>
      <c r="G29" s="79" t="n"/>
      <c r="H29" s="79" t="n"/>
      <c r="I29" s="79" t="n"/>
      <c r="J29" s="79" t="n"/>
      <c r="K29" s="79" t="n"/>
      <c r="L29" s="79" t="n"/>
      <c r="M29" s="79" t="n"/>
      <c r="N29" s="79" t="n">
        <v>5</v>
      </c>
      <c r="O29" s="79" t="n"/>
      <c r="P29" s="79" t="n"/>
      <c r="Q29" s="79" t="n"/>
      <c r="R29" s="79" t="n"/>
      <c r="S29" s="80">
        <f>IF(A29="","",COUNT(G29:R29))</f>
        <v/>
      </c>
      <c r="T29" s="81">
        <f>IF(OR(A29="",S29&lt;12),"",SUMPRODUCT($G$3:$R$3,G29:R29)/5)</f>
        <v/>
      </c>
      <c r="U29" s="82">
        <f>IF(A29="","",IF(COUNTIF(C29:F29,"Fail")&gt;0,"No-Bid (gate failed)",IF(S29&lt;12,"Incomplete ("&amp;S29&amp;"/12)",IF(T29&gt;='Scoring Guide'!$C$26,"Bid",IF(T29&gt;='Scoring Guide'!$C$27,"Conditional (MD)","No-Bid")))))</f>
        <v/>
      </c>
      <c r="V29" s="79" t="n"/>
      <c r="W29" s="83" t="n"/>
      <c r="X29" s="79" t="n"/>
      <c r="Y29" s="79" t="n"/>
    </row>
    <row r="30" ht="35.05" customHeight="1" s="51">
      <c r="A30" s="77">
        <f>IF(Pipeline!A30="","",Pipeline!A30)</f>
        <v/>
      </c>
      <c r="B30" s="78">
        <f>IF(A30="","",INDEX(Pipeline!$H:$H,MATCH(A30,Pipeline!$A:$A,0)))</f>
        <v/>
      </c>
      <c r="C30" s="79" t="n"/>
      <c r="D30" s="79" t="n"/>
      <c r="E30" s="79" t="n"/>
      <c r="F30" s="79" t="n"/>
      <c r="G30" s="79" t="n"/>
      <c r="H30" s="79" t="n"/>
      <c r="I30" s="79" t="n"/>
      <c r="J30" s="79" t="n"/>
      <c r="K30" s="79" t="n"/>
      <c r="L30" s="79" t="n"/>
      <c r="M30" s="79" t="n"/>
      <c r="N30" s="79" t="n">
        <v>5</v>
      </c>
      <c r="O30" s="79" t="n"/>
      <c r="P30" s="79" t="n"/>
      <c r="Q30" s="79" t="n"/>
      <c r="R30" s="79" t="n"/>
      <c r="S30" s="80">
        <f>IF(A30="","",COUNT(G30:R30))</f>
        <v/>
      </c>
      <c r="T30" s="81">
        <f>IF(OR(A30="",S30&lt;12),"",SUMPRODUCT($G$3:$R$3,G30:R30)/5)</f>
        <v/>
      </c>
      <c r="U30" s="82">
        <f>IF(A30="","",IF(COUNTIF(C30:F30,"Fail")&gt;0,"No-Bid (gate failed)",IF(S30&lt;12,"Incomplete ("&amp;S30&amp;"/12)",IF(T30&gt;='Scoring Guide'!$C$26,"Bid",IF(T30&gt;='Scoring Guide'!$C$27,"Conditional (MD)","No-Bid")))))</f>
        <v/>
      </c>
      <c r="V30" s="79" t="n"/>
      <c r="W30" s="83" t="n"/>
      <c r="X30" s="79" t="n"/>
      <c r="Y30" s="79" t="n"/>
    </row>
    <row r="31" ht="46.25" customHeight="1" s="51">
      <c r="A31" s="77">
        <f>IF(Pipeline!A31="","",Pipeline!A31)</f>
        <v/>
      </c>
      <c r="B31" s="78">
        <f>IF(A31="","",INDEX(Pipeline!$H:$H,MATCH(A31,Pipeline!$A:$A,0)))</f>
        <v/>
      </c>
      <c r="C31" s="79" t="n"/>
      <c r="D31" s="79" t="n"/>
      <c r="E31" s="79" t="n"/>
      <c r="F31" s="79" t="n"/>
      <c r="G31" s="79" t="n"/>
      <c r="H31" s="79" t="n"/>
      <c r="I31" s="79" t="n"/>
      <c r="J31" s="79" t="n"/>
      <c r="K31" s="79" t="n"/>
      <c r="L31" s="79" t="n"/>
      <c r="M31" s="79" t="n"/>
      <c r="N31" s="79" t="n">
        <v>5</v>
      </c>
      <c r="O31" s="79" t="n"/>
      <c r="P31" s="79" t="n"/>
      <c r="Q31" s="79" t="n"/>
      <c r="R31" s="79" t="n"/>
      <c r="S31" s="80">
        <f>IF(A31="","",COUNT(G31:R31))</f>
        <v/>
      </c>
      <c r="T31" s="81">
        <f>IF(OR(A31="",S31&lt;12),"",SUMPRODUCT($G$3:$R$3,G31:R31)/5)</f>
        <v/>
      </c>
      <c r="U31" s="82">
        <f>IF(A31="","",IF(COUNTIF(C31:F31,"Fail")&gt;0,"No-Bid (gate failed)",IF(S31&lt;12,"Incomplete ("&amp;S31&amp;"/12)",IF(T31&gt;='Scoring Guide'!$C$26,"Bid",IF(T31&gt;='Scoring Guide'!$C$27,"Conditional (MD)","No-Bid")))))</f>
        <v/>
      </c>
      <c r="V31" s="79" t="n"/>
      <c r="W31" s="83" t="n"/>
      <c r="X31" s="79" t="n"/>
      <c r="Y31" s="79" t="n"/>
    </row>
    <row r="32" ht="23.85" customHeight="1" s="51">
      <c r="A32" s="77">
        <f>IF(Pipeline!A32="","",Pipeline!A32)</f>
        <v/>
      </c>
      <c r="B32" s="78">
        <f>IF(A32="","",INDEX(Pipeline!$H:$H,MATCH(A32,Pipeline!$A:$A,0)))</f>
        <v/>
      </c>
      <c r="C32" s="79" t="n"/>
      <c r="D32" s="79" t="n"/>
      <c r="E32" s="79" t="n"/>
      <c r="F32" s="79" t="n"/>
      <c r="G32" s="79" t="n"/>
      <c r="H32" s="79" t="n"/>
      <c r="I32" s="79" t="n"/>
      <c r="J32" s="79" t="n"/>
      <c r="K32" s="79" t="n"/>
      <c r="L32" s="79" t="n"/>
      <c r="M32" s="79" t="n"/>
      <c r="N32" s="79" t="n">
        <v>1</v>
      </c>
      <c r="O32" s="79" t="n"/>
      <c r="P32" s="79" t="n"/>
      <c r="Q32" s="79" t="n"/>
      <c r="R32" s="79" t="n"/>
      <c r="S32" s="80">
        <f>IF(A32="","",COUNT(G32:R32))</f>
        <v/>
      </c>
      <c r="T32" s="81">
        <f>IF(OR(A32="",S32&lt;12),"",SUMPRODUCT($G$3:$R$3,G32:R32)/5)</f>
        <v/>
      </c>
      <c r="U32" s="82">
        <f>IF(A32="","",IF(COUNTIF(C32:F32,"Fail")&gt;0,"No-Bid (gate failed)",IF(S32&lt;12,"Incomplete ("&amp;S32&amp;"/12)",IF(T32&gt;='Scoring Guide'!$C$26,"Bid",IF(T32&gt;='Scoring Guide'!$C$27,"Conditional (MD)","No-Bid")))))</f>
        <v/>
      </c>
      <c r="V32" s="79" t="n"/>
      <c r="W32" s="83" t="n"/>
      <c r="X32" s="79" t="n"/>
      <c r="Y32" s="79" t="n"/>
    </row>
    <row r="33" ht="35.05" customHeight="1" s="51">
      <c r="A33" s="77">
        <f>IF(Pipeline!A33="","",Pipeline!A33)</f>
        <v/>
      </c>
      <c r="B33" s="78">
        <f>IF(A33="","",INDEX(Pipeline!$H:$H,MATCH(A33,Pipeline!$A:$A,0)))</f>
        <v/>
      </c>
      <c r="C33" s="79" t="n"/>
      <c r="D33" s="79" t="n"/>
      <c r="E33" s="79" t="n"/>
      <c r="F33" s="79" t="n"/>
      <c r="G33" s="79" t="n"/>
      <c r="H33" s="79" t="n"/>
      <c r="I33" s="79" t="n"/>
      <c r="J33" s="79" t="n"/>
      <c r="K33" s="79" t="n"/>
      <c r="L33" s="79" t="n"/>
      <c r="M33" s="79" t="n"/>
      <c r="N33" s="79" t="n">
        <v>3</v>
      </c>
      <c r="O33" s="79" t="n"/>
      <c r="P33" s="79" t="n"/>
      <c r="Q33" s="79" t="n"/>
      <c r="R33" s="79" t="n"/>
      <c r="S33" s="80">
        <f>IF(A33="","",COUNT(G33:R33))</f>
        <v/>
      </c>
      <c r="T33" s="81">
        <f>IF(OR(A33="",S33&lt;12),"",SUMPRODUCT($G$3:$R$3,G33:R33)/5)</f>
        <v/>
      </c>
      <c r="U33" s="82">
        <f>IF(A33="","",IF(COUNTIF(C33:F33,"Fail")&gt;0,"No-Bid (gate failed)",IF(S33&lt;12,"Incomplete ("&amp;S33&amp;"/12)",IF(T33&gt;='Scoring Guide'!$C$26,"Bid",IF(T33&gt;='Scoring Guide'!$C$27,"Conditional (MD)","No-Bid")))))</f>
        <v/>
      </c>
      <c r="V33" s="79" t="n"/>
      <c r="W33" s="83" t="n"/>
      <c r="X33" s="79" t="n"/>
      <c r="Y33" s="79" t="n"/>
    </row>
    <row r="34" ht="35.05" customHeight="1" s="51">
      <c r="A34" s="77">
        <f>IF(Pipeline!A34="","",Pipeline!A34)</f>
        <v/>
      </c>
      <c r="B34" s="78">
        <f>IF(A34="","",INDEX(Pipeline!$H:$H,MATCH(A34,Pipeline!$A:$A,0)))</f>
        <v/>
      </c>
      <c r="C34" s="79" t="n"/>
      <c r="D34" s="79" t="n"/>
      <c r="E34" s="79" t="n"/>
      <c r="F34" s="79" t="n"/>
      <c r="G34" s="79" t="n"/>
      <c r="H34" s="79" t="n"/>
      <c r="I34" s="79" t="n"/>
      <c r="J34" s="79" t="n"/>
      <c r="K34" s="79" t="n"/>
      <c r="L34" s="79" t="n"/>
      <c r="M34" s="79" t="n"/>
      <c r="N34" s="79" t="n">
        <v>1</v>
      </c>
      <c r="O34" s="79" t="n"/>
      <c r="P34" s="79" t="n"/>
      <c r="Q34" s="79" t="n"/>
      <c r="R34" s="79" t="n"/>
      <c r="S34" s="80">
        <f>IF(A34="","",COUNT(G34:R34))</f>
        <v/>
      </c>
      <c r="T34" s="81">
        <f>IF(OR(A34="",S34&lt;12),"",SUMPRODUCT($G$3:$R$3,G34:R34)/5)</f>
        <v/>
      </c>
      <c r="U34" s="82">
        <f>IF(A34="","",IF(COUNTIF(C34:F34,"Fail")&gt;0,"No-Bid (gate failed)",IF(S34&lt;12,"Incomplete ("&amp;S34&amp;"/12)",IF(T34&gt;='Scoring Guide'!$C$26,"Bid",IF(T34&gt;='Scoring Guide'!$C$27,"Conditional (MD)","No-Bid")))))</f>
        <v/>
      </c>
      <c r="V34" s="79" t="n"/>
      <c r="W34" s="83" t="n"/>
      <c r="X34" s="79" t="n"/>
      <c r="Y34" s="79" t="n"/>
    </row>
    <row r="35" ht="23.85" customHeight="1" s="51">
      <c r="A35" s="77">
        <f>IF(Pipeline!A35="","",Pipeline!A35)</f>
        <v/>
      </c>
      <c r="B35" s="78">
        <f>IF(A35="","",INDEX(Pipeline!$H:$H,MATCH(A35,Pipeline!$A:$A,0)))</f>
        <v/>
      </c>
      <c r="C35" s="79" t="n"/>
      <c r="D35" s="79" t="n"/>
      <c r="E35" s="79" t="n"/>
      <c r="F35" s="79" t="n"/>
      <c r="G35" s="79" t="n"/>
      <c r="H35" s="79" t="n"/>
      <c r="I35" s="79" t="n"/>
      <c r="J35" s="79" t="n"/>
      <c r="K35" s="79" t="n"/>
      <c r="L35" s="79" t="n"/>
      <c r="M35" s="79" t="n"/>
      <c r="N35" s="79" t="n">
        <v>4</v>
      </c>
      <c r="O35" s="79" t="n"/>
      <c r="P35" s="79" t="n"/>
      <c r="Q35" s="79" t="n"/>
      <c r="R35" s="79" t="n"/>
      <c r="S35" s="80">
        <f>IF(A35="","",COUNT(G35:R35))</f>
        <v/>
      </c>
      <c r="T35" s="81">
        <f>IF(OR(A35="",S35&lt;12),"",SUMPRODUCT($G$3:$R$3,G35:R35)/5)</f>
        <v/>
      </c>
      <c r="U35" s="82">
        <f>IF(A35="","",IF(COUNTIF(C35:F35,"Fail")&gt;0,"No-Bid (gate failed)",IF(S35&lt;12,"Incomplete ("&amp;S35&amp;"/12)",IF(T35&gt;='Scoring Guide'!$C$26,"Bid",IF(T35&gt;='Scoring Guide'!$C$27,"Conditional (MD)","No-Bid")))))</f>
        <v/>
      </c>
      <c r="V35" s="79" t="n"/>
      <c r="W35" s="83" t="n"/>
      <c r="X35" s="79" t="n"/>
      <c r="Y35" s="79" t="n"/>
    </row>
    <row r="36" ht="15" customHeight="1" s="51">
      <c r="A36" s="77">
        <f>IF(Pipeline!A36="","",Pipeline!A36)</f>
        <v/>
      </c>
      <c r="B36" s="78">
        <f>IF(A36="","",INDEX(Pipeline!$H:$H,MATCH(A36,Pipeline!$A:$A,0)))</f>
        <v/>
      </c>
      <c r="C36" s="79" t="n"/>
      <c r="D36" s="79" t="n"/>
      <c r="E36" s="79" t="n"/>
      <c r="F36" s="79" t="n"/>
      <c r="G36" s="79" t="n"/>
      <c r="H36" s="79" t="n"/>
      <c r="I36" s="79" t="n"/>
      <c r="J36" s="79" t="n"/>
      <c r="K36" s="79" t="n"/>
      <c r="L36" s="79" t="n"/>
      <c r="M36" s="79" t="n"/>
      <c r="N36" s="79" t="n">
        <v>5</v>
      </c>
      <c r="O36" s="79" t="n"/>
      <c r="P36" s="79" t="n"/>
      <c r="Q36" s="79" t="n"/>
      <c r="R36" s="79" t="n"/>
      <c r="S36" s="80">
        <f>IF(A36="","",COUNT(G36:R36))</f>
        <v/>
      </c>
      <c r="T36" s="81">
        <f>IF(OR(A36="",S36&lt;12),"",SUMPRODUCT($G$3:$R$3,G36:R36)/5)</f>
        <v/>
      </c>
      <c r="U36" s="82">
        <f>IF(A36="","",IF(COUNTIF(C36:F36,"Fail")&gt;0,"No-Bid (gate failed)",IF(S36&lt;12,"Incomplete ("&amp;S36&amp;"/12)",IF(T36&gt;='Scoring Guide'!$C$26,"Bid",IF(T36&gt;='Scoring Guide'!$C$27,"Conditional (MD)","No-Bid")))))</f>
        <v/>
      </c>
      <c r="V36" s="79" t="n"/>
      <c r="W36" s="83" t="n"/>
      <c r="X36" s="79" t="n"/>
      <c r="Y36" s="79" t="n"/>
    </row>
    <row r="37" ht="15" customHeight="1" s="51">
      <c r="A37" s="77">
        <f>IF(Pipeline!A37="","",Pipeline!A37)</f>
        <v/>
      </c>
      <c r="B37" s="78">
        <f>IF(A37="","",INDEX(Pipeline!$H:$H,MATCH(A37,Pipeline!$A:$A,0)))</f>
        <v/>
      </c>
      <c r="C37" s="79" t="n"/>
      <c r="D37" s="79" t="n"/>
      <c r="E37" s="79" t="n"/>
      <c r="F37" s="79" t="n"/>
      <c r="G37" s="79" t="n"/>
      <c r="H37" s="79" t="n"/>
      <c r="I37" s="79" t="n"/>
      <c r="J37" s="79" t="n"/>
      <c r="K37" s="79" t="n"/>
      <c r="L37" s="79" t="n"/>
      <c r="M37" s="79" t="n"/>
      <c r="N37" s="79" t="n">
        <v>1</v>
      </c>
      <c r="O37" s="79" t="n"/>
      <c r="P37" s="79" t="n"/>
      <c r="Q37" s="79" t="n"/>
      <c r="R37" s="79" t="n"/>
      <c r="S37" s="80">
        <f>IF(A37="","",COUNT(G37:R37))</f>
        <v/>
      </c>
      <c r="T37" s="81">
        <f>IF(OR(A37="",S37&lt;12),"",SUMPRODUCT($G$3:$R$3,G37:R37)/5)</f>
        <v/>
      </c>
      <c r="U37" s="82">
        <f>IF(A37="","",IF(COUNTIF(C37:F37,"Fail")&gt;0,"No-Bid (gate failed)",IF(S37&lt;12,"Incomplete ("&amp;S37&amp;"/12)",IF(T37&gt;='Scoring Guide'!$C$26,"Bid",IF(T37&gt;='Scoring Guide'!$C$27,"Conditional (MD)","No-Bid")))))</f>
        <v/>
      </c>
      <c r="V37" s="79" t="n"/>
      <c r="W37" s="83" t="n"/>
      <c r="X37" s="79" t="n"/>
      <c r="Y37" s="79" t="n"/>
    </row>
    <row r="38" ht="15" customHeight="1" s="51">
      <c r="A38" s="77">
        <f>IF(Pipeline!A38="","",Pipeline!A38)</f>
        <v/>
      </c>
      <c r="B38" s="78">
        <f>IF(A38="","",INDEX(Pipeline!$H:$H,MATCH(A38,Pipeline!$A:$A,0)))</f>
        <v/>
      </c>
      <c r="C38" s="79" t="n"/>
      <c r="D38" s="79" t="n"/>
      <c r="E38" s="79" t="n"/>
      <c r="F38" s="79" t="n"/>
      <c r="G38" s="79" t="n"/>
      <c r="H38" s="79" t="n"/>
      <c r="I38" s="79" t="n"/>
      <c r="J38" s="79" t="n"/>
      <c r="K38" s="79" t="n"/>
      <c r="L38" s="79" t="n"/>
      <c r="M38" s="79" t="n"/>
      <c r="N38" s="79" t="n">
        <v>5</v>
      </c>
      <c r="O38" s="79" t="n"/>
      <c r="P38" s="79" t="n"/>
      <c r="Q38" s="79" t="n"/>
      <c r="R38" s="79" t="n"/>
      <c r="S38" s="80">
        <f>IF(A38="","",COUNT(G38:R38))</f>
        <v/>
      </c>
      <c r="T38" s="81">
        <f>IF(OR(A38="",S38&lt;12),"",SUMPRODUCT($G$3:$R$3,G38:R38)/5)</f>
        <v/>
      </c>
      <c r="U38" s="82">
        <f>IF(A38="","",IF(COUNTIF(C38:F38,"Fail")&gt;0,"No-Bid (gate failed)",IF(S38&lt;12,"Incomplete ("&amp;S38&amp;"/12)",IF(T38&gt;='Scoring Guide'!$C$26,"Bid",IF(T38&gt;='Scoring Guide'!$C$27,"Conditional (MD)","No-Bid")))))</f>
        <v/>
      </c>
      <c r="V38" s="79" t="n"/>
      <c r="W38" s="83" t="n"/>
      <c r="X38" s="79" t="n"/>
      <c r="Y38" s="79" t="n"/>
    </row>
    <row r="39" ht="15" customHeight="1" s="51">
      <c r="A39" s="77">
        <f>IF(Pipeline!A39="","",Pipeline!A39)</f>
        <v/>
      </c>
      <c r="B39" s="78">
        <f>IF(A39="","",INDEX(Pipeline!$H:$H,MATCH(A39,Pipeline!$A:$A,0)))</f>
        <v/>
      </c>
      <c r="C39" s="79" t="n"/>
      <c r="D39" s="79" t="n"/>
      <c r="E39" s="79" t="n"/>
      <c r="F39" s="79" t="n"/>
      <c r="G39" s="79" t="n"/>
      <c r="H39" s="79" t="n"/>
      <c r="I39" s="79" t="n"/>
      <c r="J39" s="79" t="n"/>
      <c r="K39" s="79" t="n"/>
      <c r="L39" s="79" t="n"/>
      <c r="M39" s="79" t="n"/>
      <c r="N39" s="79" t="n">
        <v>5</v>
      </c>
      <c r="O39" s="79" t="n"/>
      <c r="P39" s="79" t="n"/>
      <c r="Q39" s="79" t="n"/>
      <c r="R39" s="79" t="n"/>
      <c r="S39" s="80">
        <f>IF(A39="","",COUNT(G39:R39))</f>
        <v/>
      </c>
      <c r="T39" s="81">
        <f>IF(OR(A39="",S39&lt;12),"",SUMPRODUCT($G$3:$R$3,G39:R39)/5)</f>
        <v/>
      </c>
      <c r="U39" s="82">
        <f>IF(A39="","",IF(COUNTIF(C39:F39,"Fail")&gt;0,"No-Bid (gate failed)",IF(S39&lt;12,"Incomplete ("&amp;S39&amp;"/12)",IF(T39&gt;='Scoring Guide'!$C$26,"Bid",IF(T39&gt;='Scoring Guide'!$C$27,"Conditional (MD)","No-Bid")))))</f>
        <v/>
      </c>
      <c r="V39" s="79" t="n"/>
      <c r="W39" s="83" t="n"/>
      <c r="X39" s="79" t="n"/>
      <c r="Y39" s="79" t="n"/>
    </row>
    <row r="40" ht="15" customHeight="1" s="51">
      <c r="A40" s="77">
        <f>IF(Pipeline!A40="","",Pipeline!A40)</f>
        <v/>
      </c>
      <c r="B40" s="78">
        <f>IF(A40="","",INDEX(Pipeline!$H:$H,MATCH(A40,Pipeline!$A:$A,0)))</f>
        <v/>
      </c>
      <c r="C40" s="79" t="n"/>
      <c r="D40" s="79" t="n"/>
      <c r="E40" s="79" t="n"/>
      <c r="F40" s="79" t="n"/>
      <c r="G40" s="79" t="n"/>
      <c r="H40" s="79" t="n"/>
      <c r="I40" s="79" t="n"/>
      <c r="J40" s="79" t="n"/>
      <c r="K40" s="79" t="n"/>
      <c r="L40" s="79" t="n"/>
      <c r="M40" s="79" t="n"/>
      <c r="N40" s="79" t="n">
        <v>5</v>
      </c>
      <c r="O40" s="79" t="n"/>
      <c r="P40" s="79" t="n"/>
      <c r="Q40" s="79" t="n"/>
      <c r="R40" s="79" t="n"/>
      <c r="S40" s="80">
        <f>IF(A40="","",COUNT(G40:R40))</f>
        <v/>
      </c>
      <c r="T40" s="81">
        <f>IF(OR(A40="",S40&lt;12),"",SUMPRODUCT($G$3:$R$3,G40:R40)/5)</f>
        <v/>
      </c>
      <c r="U40" s="82">
        <f>IF(A40="","",IF(COUNTIF(C40:F40,"Fail")&gt;0,"No-Bid (gate failed)",IF(S40&lt;12,"Incomplete ("&amp;S40&amp;"/12)",IF(T40&gt;='Scoring Guide'!$C$26,"Bid",IF(T40&gt;='Scoring Guide'!$C$27,"Conditional (MD)","No-Bid")))))</f>
        <v/>
      </c>
      <c r="V40" s="79" t="n"/>
      <c r="W40" s="83" t="n"/>
      <c r="X40" s="79" t="n"/>
      <c r="Y40" s="79" t="n"/>
    </row>
    <row r="41" ht="15" customHeight="1" s="51">
      <c r="A41" s="77">
        <f>IF(Pipeline!A41="","",Pipeline!A41)</f>
        <v/>
      </c>
      <c r="B41" s="78">
        <f>IF(A41="","",INDEX(Pipeline!$H:$H,MATCH(A41,Pipeline!$A:$A,0)))</f>
        <v/>
      </c>
      <c r="C41" s="79" t="n"/>
      <c r="D41" s="79" t="n"/>
      <c r="E41" s="79" t="n"/>
      <c r="F41" s="79" t="n"/>
      <c r="G41" s="79" t="n"/>
      <c r="H41" s="79" t="n"/>
      <c r="I41" s="79" t="n"/>
      <c r="J41" s="79" t="n"/>
      <c r="K41" s="79" t="n"/>
      <c r="L41" s="79" t="n"/>
      <c r="M41" s="79" t="n"/>
      <c r="N41" s="79" t="n">
        <v>5</v>
      </c>
      <c r="O41" s="79" t="n"/>
      <c r="P41" s="79" t="n"/>
      <c r="Q41" s="79" t="n"/>
      <c r="R41" s="79" t="n"/>
      <c r="S41" s="80">
        <f>IF(A41="","",COUNT(G41:R41))</f>
        <v/>
      </c>
      <c r="T41" s="81">
        <f>IF(OR(A41="",S41&lt;12),"",SUMPRODUCT($G$3:$R$3,G41:R41)/5)</f>
        <v/>
      </c>
      <c r="U41" s="82">
        <f>IF(A41="","",IF(COUNTIF(C41:F41,"Fail")&gt;0,"No-Bid (gate failed)",IF(S41&lt;12,"Incomplete ("&amp;S41&amp;"/12)",IF(T41&gt;='Scoring Guide'!$C$26,"Bid",IF(T41&gt;='Scoring Guide'!$C$27,"Conditional (MD)","No-Bid")))))</f>
        <v/>
      </c>
      <c r="V41" s="79" t="n"/>
      <c r="W41" s="83" t="n"/>
      <c r="X41" s="79" t="n"/>
      <c r="Y41" s="79" t="n"/>
    </row>
    <row r="42" ht="15" customHeight="1" s="51">
      <c r="A42" s="77">
        <f>IF(Pipeline!A42="","",Pipeline!A42)</f>
        <v/>
      </c>
      <c r="B42" s="78">
        <f>IF(A42="","",INDEX(Pipeline!$H:$H,MATCH(A42,Pipeline!$A:$A,0)))</f>
        <v/>
      </c>
      <c r="C42" s="79" t="n"/>
      <c r="D42" s="79" t="n"/>
      <c r="E42" s="79" t="n"/>
      <c r="F42" s="79" t="n"/>
      <c r="G42" s="79" t="n"/>
      <c r="H42" s="79" t="n"/>
      <c r="I42" s="79" t="n"/>
      <c r="J42" s="79" t="n"/>
      <c r="K42" s="79" t="n"/>
      <c r="L42" s="79" t="n"/>
      <c r="M42" s="79" t="n"/>
      <c r="N42" s="79" t="n">
        <v>5</v>
      </c>
      <c r="O42" s="79" t="n"/>
      <c r="P42" s="79" t="n"/>
      <c r="Q42" s="79" t="n"/>
      <c r="R42" s="79" t="n"/>
      <c r="S42" s="80">
        <f>IF(A42="","",COUNT(G42:R42))</f>
        <v/>
      </c>
      <c r="T42" s="81">
        <f>IF(OR(A42="",S42&lt;12),"",SUMPRODUCT($G$3:$R$3,G42:R42)/5)</f>
        <v/>
      </c>
      <c r="U42" s="82">
        <f>IF(A42="","",IF(COUNTIF(C42:F42,"Fail")&gt;0,"No-Bid (gate failed)",IF(S42&lt;12,"Incomplete ("&amp;S42&amp;"/12)",IF(T42&gt;='Scoring Guide'!$C$26,"Bid",IF(T42&gt;='Scoring Guide'!$C$27,"Conditional (MD)","No-Bid")))))</f>
        <v/>
      </c>
      <c r="V42" s="79" t="n"/>
      <c r="W42" s="83" t="n"/>
      <c r="X42" s="79" t="n"/>
      <c r="Y42" s="79" t="n"/>
    </row>
    <row r="43" ht="15" customHeight="1" s="51">
      <c r="A43" s="77">
        <f>IF(Pipeline!A43="","",Pipeline!A43)</f>
        <v/>
      </c>
      <c r="B43" s="78">
        <f>IF(A43="","",INDEX(Pipeline!$H:$H,MATCH(A43,Pipeline!$A:$A,0)))</f>
        <v/>
      </c>
      <c r="C43" s="79" t="n"/>
      <c r="D43" s="79" t="n"/>
      <c r="E43" s="79" t="n"/>
      <c r="F43" s="79" t="n"/>
      <c r="G43" s="79" t="n"/>
      <c r="H43" s="79" t="n"/>
      <c r="I43" s="79" t="n"/>
      <c r="J43" s="79" t="n"/>
      <c r="K43" s="79" t="n"/>
      <c r="L43" s="79" t="n"/>
      <c r="M43" s="79" t="n"/>
      <c r="N43" s="79" t="n">
        <v>1</v>
      </c>
      <c r="O43" s="79" t="n"/>
      <c r="P43" s="79" t="n"/>
      <c r="Q43" s="79" t="n"/>
      <c r="R43" s="79" t="n"/>
      <c r="S43" s="80">
        <f>IF(A43="","",COUNT(G43:R43))</f>
        <v/>
      </c>
      <c r="T43" s="81">
        <f>IF(OR(A43="",S43&lt;12),"",SUMPRODUCT($G$3:$R$3,G43:R43)/5)</f>
        <v/>
      </c>
      <c r="U43" s="82">
        <f>IF(A43="","",IF(COUNTIF(C43:F43,"Fail")&gt;0,"No-Bid (gate failed)",IF(S43&lt;12,"Incomplete ("&amp;S43&amp;"/12)",IF(T43&gt;='Scoring Guide'!$C$26,"Bid",IF(T43&gt;='Scoring Guide'!$C$27,"Conditional (MD)","No-Bid")))))</f>
        <v/>
      </c>
      <c r="V43" s="79" t="n"/>
      <c r="W43" s="83" t="n"/>
      <c r="X43" s="79" t="n"/>
      <c r="Y43" s="79" t="n"/>
    </row>
    <row r="44" ht="15" customHeight="1" s="51">
      <c r="A44" s="77">
        <f>IF(Pipeline!A44="","",Pipeline!A44)</f>
        <v/>
      </c>
      <c r="B44" s="78">
        <f>IF(A44="","",INDEX(Pipeline!$H:$H,MATCH(A44,Pipeline!$A:$A,0)))</f>
        <v/>
      </c>
      <c r="C44" s="79" t="n"/>
      <c r="D44" s="79" t="n"/>
      <c r="E44" s="79" t="n"/>
      <c r="F44" s="79" t="n"/>
      <c r="G44" s="79" t="n"/>
      <c r="H44" s="79" t="n"/>
      <c r="I44" s="79" t="n"/>
      <c r="J44" s="79" t="n"/>
      <c r="K44" s="79" t="n"/>
      <c r="L44" s="79" t="n"/>
      <c r="M44" s="79" t="n"/>
      <c r="N44" s="79" t="n">
        <v>1</v>
      </c>
      <c r="O44" s="79" t="n"/>
      <c r="P44" s="79" t="n"/>
      <c r="Q44" s="79" t="n"/>
      <c r="R44" s="79" t="n"/>
      <c r="S44" s="80">
        <f>IF(A44="","",COUNT(G44:R44))</f>
        <v/>
      </c>
      <c r="T44" s="81">
        <f>IF(OR(A44="",S44&lt;12),"",SUMPRODUCT($G$3:$R$3,G44:R44)/5)</f>
        <v/>
      </c>
      <c r="U44" s="82">
        <f>IF(A44="","",IF(COUNTIF(C44:F44,"Fail")&gt;0,"No-Bid (gate failed)",IF(S44&lt;12,"Incomplete ("&amp;S44&amp;"/12)",IF(T44&gt;='Scoring Guide'!$C$26,"Bid",IF(T44&gt;='Scoring Guide'!$C$27,"Conditional (MD)","No-Bid")))))</f>
        <v/>
      </c>
      <c r="V44" s="79" t="n"/>
      <c r="W44" s="83" t="n"/>
      <c r="X44" s="79" t="n"/>
      <c r="Y44" s="79" t="n"/>
    </row>
    <row r="45" ht="15" customHeight="1" s="51">
      <c r="A45" s="77">
        <f>IF(Pipeline!A45="","",Pipeline!A45)</f>
        <v/>
      </c>
      <c r="B45" s="78">
        <f>IF(A45="","",INDEX(Pipeline!$H:$H,MATCH(A45,Pipeline!$A:$A,0)))</f>
        <v/>
      </c>
      <c r="C45" s="79" t="n"/>
      <c r="D45" s="79" t="n"/>
      <c r="E45" s="79" t="n"/>
      <c r="F45" s="79" t="n"/>
      <c r="G45" s="79" t="n"/>
      <c r="H45" s="79" t="n"/>
      <c r="I45" s="79" t="n"/>
      <c r="J45" s="79" t="n"/>
      <c r="K45" s="79" t="n"/>
      <c r="L45" s="79" t="n"/>
      <c r="M45" s="79" t="n"/>
      <c r="N45" s="79" t="n">
        <v>1</v>
      </c>
      <c r="O45" s="79" t="n"/>
      <c r="P45" s="79" t="n"/>
      <c r="Q45" s="79" t="n"/>
      <c r="R45" s="79" t="n"/>
      <c r="S45" s="80">
        <f>IF(A45="","",COUNT(G45:R45))</f>
        <v/>
      </c>
      <c r="T45" s="81">
        <f>IF(OR(A45="",S45&lt;12),"",SUMPRODUCT($G$3:$R$3,G45:R45)/5)</f>
        <v/>
      </c>
      <c r="U45" s="82">
        <f>IF(A45="","",IF(COUNTIF(C45:F45,"Fail")&gt;0,"No-Bid (gate failed)",IF(S45&lt;12,"Incomplete ("&amp;S45&amp;"/12)",IF(T45&gt;='Scoring Guide'!$C$26,"Bid",IF(T45&gt;='Scoring Guide'!$C$27,"Conditional (MD)","No-Bid")))))</f>
        <v/>
      </c>
      <c r="V45" s="79" t="n"/>
      <c r="W45" s="83" t="n"/>
      <c r="X45" s="79" t="n"/>
      <c r="Y45" s="79" t="n"/>
    </row>
    <row r="46" ht="15" customHeight="1" s="51">
      <c r="A46" s="77">
        <f>IF(Pipeline!A46="","",Pipeline!A46)</f>
        <v/>
      </c>
      <c r="B46" s="78">
        <f>IF(A46="","",INDEX(Pipeline!$H:$H,MATCH(A46,Pipeline!$A:$A,0)))</f>
        <v/>
      </c>
      <c r="C46" s="79" t="n"/>
      <c r="D46" s="79" t="n"/>
      <c r="E46" s="79" t="n"/>
      <c r="F46" s="79" t="n"/>
      <c r="G46" s="79" t="n"/>
      <c r="H46" s="79" t="n"/>
      <c r="I46" s="79" t="n"/>
      <c r="J46" s="79" t="n"/>
      <c r="K46" s="79" t="n"/>
      <c r="L46" s="79" t="n"/>
      <c r="M46" s="79" t="n"/>
      <c r="N46" s="79" t="n">
        <v>1</v>
      </c>
      <c r="O46" s="79" t="n"/>
      <c r="P46" s="79" t="n"/>
      <c r="Q46" s="79" t="n"/>
      <c r="R46" s="79" t="n"/>
      <c r="S46" s="80">
        <f>IF(A46="","",COUNT(G46:R46))</f>
        <v/>
      </c>
      <c r="T46" s="81">
        <f>IF(OR(A46="",S46&lt;12),"",SUMPRODUCT($G$3:$R$3,G46:R46)/5)</f>
        <v/>
      </c>
      <c r="U46" s="82">
        <f>IF(A46="","",IF(COUNTIF(C46:F46,"Fail")&gt;0,"No-Bid (gate failed)",IF(S46&lt;12,"Incomplete ("&amp;S46&amp;"/12)",IF(T46&gt;='Scoring Guide'!$C$26,"Bid",IF(T46&gt;='Scoring Guide'!$C$27,"Conditional (MD)","No-Bid")))))</f>
        <v/>
      </c>
      <c r="V46" s="79" t="n"/>
      <c r="W46" s="83" t="n"/>
      <c r="X46" s="79" t="n"/>
      <c r="Y46" s="79" t="n"/>
    </row>
    <row r="47" ht="15" customHeight="1" s="51">
      <c r="A47" s="77">
        <f>IF(Pipeline!A47="","",Pipeline!A47)</f>
        <v/>
      </c>
      <c r="B47" s="78">
        <f>IF(A47="","",INDEX(Pipeline!$H:$H,MATCH(A47,Pipeline!$A:$A,0)))</f>
        <v/>
      </c>
      <c r="C47" s="79" t="n"/>
      <c r="D47" s="79" t="n"/>
      <c r="E47" s="79" t="n"/>
      <c r="F47" s="79" t="n"/>
      <c r="G47" s="79" t="n"/>
      <c r="H47" s="79" t="n"/>
      <c r="I47" s="79" t="n"/>
      <c r="J47" s="79" t="n"/>
      <c r="K47" s="79" t="n"/>
      <c r="L47" s="79" t="n"/>
      <c r="M47" s="79" t="n"/>
      <c r="N47" s="79" t="n">
        <v>1</v>
      </c>
      <c r="O47" s="79" t="n"/>
      <c r="P47" s="79" t="n"/>
      <c r="Q47" s="79" t="n"/>
      <c r="R47" s="79" t="n"/>
      <c r="S47" s="80">
        <f>IF(A47="","",COUNT(G47:R47))</f>
        <v/>
      </c>
      <c r="T47" s="81">
        <f>IF(OR(A47="",S47&lt;12),"",SUMPRODUCT($G$3:$R$3,G47:R47)/5)</f>
        <v/>
      </c>
      <c r="U47" s="82">
        <f>IF(A47="","",IF(COUNTIF(C47:F47,"Fail")&gt;0,"No-Bid (gate failed)",IF(S47&lt;12,"Incomplete ("&amp;S47&amp;"/12)",IF(T47&gt;='Scoring Guide'!$C$26,"Bid",IF(T47&gt;='Scoring Guide'!$C$27,"Conditional (MD)","No-Bid")))))</f>
        <v/>
      </c>
      <c r="V47" s="79" t="n"/>
      <c r="W47" s="83" t="n"/>
      <c r="X47" s="79" t="n"/>
      <c r="Y47" s="79" t="n"/>
    </row>
    <row r="48" ht="15" customHeight="1" s="51">
      <c r="A48" s="77">
        <f>IF(Pipeline!A48="","",Pipeline!A48)</f>
        <v/>
      </c>
      <c r="B48" s="78">
        <f>IF(A48="","",INDEX(Pipeline!$H:$H,MATCH(A48,Pipeline!$A:$A,0)))</f>
        <v/>
      </c>
      <c r="C48" s="79" t="n"/>
      <c r="D48" s="79" t="n"/>
      <c r="E48" s="79" t="n"/>
      <c r="F48" s="79" t="n"/>
      <c r="G48" s="79" t="n"/>
      <c r="H48" s="79" t="n"/>
      <c r="I48" s="79" t="n"/>
      <c r="J48" s="79" t="n"/>
      <c r="K48" s="79" t="n"/>
      <c r="L48" s="79" t="n"/>
      <c r="M48" s="79" t="n"/>
      <c r="N48" s="79" t="n">
        <v>1</v>
      </c>
      <c r="O48" s="79" t="n"/>
      <c r="P48" s="79" t="n"/>
      <c r="Q48" s="79" t="n"/>
      <c r="R48" s="79" t="n"/>
      <c r="S48" s="80">
        <f>IF(A48="","",COUNT(G48:R48))</f>
        <v/>
      </c>
      <c r="T48" s="81">
        <f>IF(OR(A48="",S48&lt;12),"",SUMPRODUCT($G$3:$R$3,G48:R48)/5)</f>
        <v/>
      </c>
      <c r="U48" s="82">
        <f>IF(A48="","",IF(COUNTIF(C48:F48,"Fail")&gt;0,"No-Bid (gate failed)",IF(S48&lt;12,"Incomplete ("&amp;S48&amp;"/12)",IF(T48&gt;='Scoring Guide'!$C$26,"Bid",IF(T48&gt;='Scoring Guide'!$C$27,"Conditional (MD)","No-Bid")))))</f>
        <v/>
      </c>
      <c r="V48" s="79" t="n"/>
      <c r="W48" s="83" t="n"/>
      <c r="X48" s="79" t="n"/>
      <c r="Y48" s="79" t="n"/>
    </row>
    <row r="49" ht="15" customHeight="1" s="51">
      <c r="A49" s="77">
        <f>IF(Pipeline!A49="","",Pipeline!A49)</f>
        <v/>
      </c>
      <c r="B49" s="78">
        <f>IF(A49="","",INDEX(Pipeline!$H:$H,MATCH(A49,Pipeline!$A:$A,0)))</f>
        <v/>
      </c>
      <c r="C49" s="79" t="n"/>
      <c r="D49" s="79" t="n"/>
      <c r="E49" s="79" t="n"/>
      <c r="F49" s="79" t="n"/>
      <c r="G49" s="79" t="n"/>
      <c r="H49" s="79" t="n"/>
      <c r="I49" s="79" t="n"/>
      <c r="J49" s="79" t="n"/>
      <c r="K49" s="79" t="n"/>
      <c r="L49" s="79" t="n"/>
      <c r="M49" s="79" t="n"/>
      <c r="N49" s="79" t="n">
        <v>4</v>
      </c>
      <c r="O49" s="79" t="n"/>
      <c r="P49" s="79" t="n"/>
      <c r="Q49" s="79" t="n"/>
      <c r="R49" s="79" t="n"/>
      <c r="S49" s="80">
        <f>IF(A49="","",COUNT(G49:R49))</f>
        <v/>
      </c>
      <c r="T49" s="81">
        <f>IF(OR(A49="",S49&lt;12),"",SUMPRODUCT($G$3:$R$3,G49:R49)/5)</f>
        <v/>
      </c>
      <c r="U49" s="82">
        <f>IF(A49="","",IF(COUNTIF(C49:F49,"Fail")&gt;0,"No-Bid (gate failed)",IF(S49&lt;12,"Incomplete ("&amp;S49&amp;"/12)",IF(T49&gt;='Scoring Guide'!$C$26,"Bid",IF(T49&gt;='Scoring Guide'!$C$27,"Conditional (MD)","No-Bid")))))</f>
        <v/>
      </c>
      <c r="V49" s="79" t="n"/>
      <c r="W49" s="83" t="n"/>
      <c r="X49" s="79" t="n"/>
      <c r="Y49" s="79" t="n"/>
    </row>
    <row r="50" ht="15" customHeight="1" s="51">
      <c r="A50" s="77">
        <f>IF(Pipeline!A50="","",Pipeline!A50)</f>
        <v/>
      </c>
      <c r="B50" s="78">
        <f>IF(A50="","",INDEX(Pipeline!$H:$H,MATCH(A50,Pipeline!$A:$A,0)))</f>
        <v/>
      </c>
      <c r="C50" s="79" t="n"/>
      <c r="D50" s="79" t="n"/>
      <c r="E50" s="79" t="n"/>
      <c r="F50" s="79" t="n"/>
      <c r="G50" s="79" t="n"/>
      <c r="H50" s="79" t="n"/>
      <c r="I50" s="79" t="n"/>
      <c r="J50" s="79" t="n"/>
      <c r="K50" s="79" t="n"/>
      <c r="L50" s="79" t="n"/>
      <c r="M50" s="79" t="n"/>
      <c r="N50" s="79" t="n">
        <v>5</v>
      </c>
      <c r="O50" s="79" t="n"/>
      <c r="P50" s="79" t="n"/>
      <c r="Q50" s="79" t="n"/>
      <c r="R50" s="79" t="n"/>
      <c r="S50" s="80">
        <f>IF(A50="","",COUNT(G50:R50))</f>
        <v/>
      </c>
      <c r="T50" s="81">
        <f>IF(OR(A50="",S50&lt;12),"",SUMPRODUCT($G$3:$R$3,G50:R50)/5)</f>
        <v/>
      </c>
      <c r="U50" s="82">
        <f>IF(A50="","",IF(COUNTIF(C50:F50,"Fail")&gt;0,"No-Bid (gate failed)",IF(S50&lt;12,"Incomplete ("&amp;S50&amp;"/12)",IF(T50&gt;='Scoring Guide'!$C$26,"Bid",IF(T50&gt;='Scoring Guide'!$C$27,"Conditional (MD)","No-Bid")))))</f>
        <v/>
      </c>
      <c r="V50" s="79" t="n"/>
      <c r="W50" s="83" t="n"/>
      <c r="X50" s="79" t="n"/>
      <c r="Y50" s="79" t="n"/>
    </row>
    <row r="51" ht="15" customHeight="1" s="51">
      <c r="A51" s="77">
        <f>IF(Pipeline!A51="","",Pipeline!A51)</f>
        <v/>
      </c>
      <c r="B51" s="78">
        <f>IF(A51="","",INDEX(Pipeline!$H:$H,MATCH(A51,Pipeline!$A:$A,0)))</f>
        <v/>
      </c>
      <c r="C51" s="79" t="n"/>
      <c r="D51" s="79" t="n"/>
      <c r="E51" s="79" t="n"/>
      <c r="F51" s="79" t="n"/>
      <c r="G51" s="79" t="n"/>
      <c r="H51" s="79" t="n"/>
      <c r="I51" s="79" t="n"/>
      <c r="J51" s="79" t="n"/>
      <c r="K51" s="79" t="n"/>
      <c r="L51" s="79" t="n"/>
      <c r="M51" s="79" t="n"/>
      <c r="N51" s="79" t="n">
        <v>5</v>
      </c>
      <c r="O51" s="79" t="n"/>
      <c r="P51" s="79" t="n"/>
      <c r="Q51" s="79" t="n"/>
      <c r="R51" s="79" t="n"/>
      <c r="S51" s="80">
        <f>IF(A51="","",COUNT(G51:R51))</f>
        <v/>
      </c>
      <c r="T51" s="81">
        <f>IF(OR(A51="",S51&lt;12),"",SUMPRODUCT($G$3:$R$3,G51:R51)/5)</f>
        <v/>
      </c>
      <c r="U51" s="82">
        <f>IF(A51="","",IF(COUNTIF(C51:F51,"Fail")&gt;0,"No-Bid (gate failed)",IF(S51&lt;12,"Incomplete ("&amp;S51&amp;"/12)",IF(T51&gt;='Scoring Guide'!$C$26,"Bid",IF(T51&gt;='Scoring Guide'!$C$27,"Conditional (MD)","No-Bid")))))</f>
        <v/>
      </c>
      <c r="V51" s="79" t="n"/>
      <c r="W51" s="83" t="n"/>
      <c r="X51" s="79" t="n"/>
      <c r="Y51" s="79" t="n"/>
    </row>
    <row r="52" ht="15" customHeight="1" s="51">
      <c r="A52" s="77">
        <f>IF(Pipeline!A52="","",Pipeline!A52)</f>
        <v/>
      </c>
      <c r="B52" s="78">
        <f>IF(A52="","",INDEX(Pipeline!$H:$H,MATCH(A52,Pipeline!$A:$A,0)))</f>
        <v/>
      </c>
      <c r="C52" s="79" t="n"/>
      <c r="D52" s="79" t="n"/>
      <c r="E52" s="79" t="n"/>
      <c r="F52" s="79" t="n"/>
      <c r="G52" s="79" t="n"/>
      <c r="H52" s="79" t="n"/>
      <c r="I52" s="79" t="n"/>
      <c r="J52" s="79" t="n"/>
      <c r="K52" s="79" t="n"/>
      <c r="L52" s="79" t="n"/>
      <c r="M52" s="79" t="n"/>
      <c r="N52" s="79" t="n">
        <v>5</v>
      </c>
      <c r="O52" s="79" t="n"/>
      <c r="P52" s="79" t="n"/>
      <c r="Q52" s="79" t="n"/>
      <c r="R52" s="79" t="n"/>
      <c r="S52" s="80">
        <f>IF(A52="","",COUNT(G52:R52))</f>
        <v/>
      </c>
      <c r="T52" s="81">
        <f>IF(OR(A52="",S52&lt;12),"",SUMPRODUCT($G$3:$R$3,G52:R52)/5)</f>
        <v/>
      </c>
      <c r="U52" s="82">
        <f>IF(A52="","",IF(COUNTIF(C52:F52,"Fail")&gt;0,"No-Bid (gate failed)",IF(S52&lt;12,"Incomplete ("&amp;S52&amp;"/12)",IF(T52&gt;='Scoring Guide'!$C$26,"Bid",IF(T52&gt;='Scoring Guide'!$C$27,"Conditional (MD)","No-Bid")))))</f>
        <v/>
      </c>
      <c r="V52" s="79" t="n"/>
      <c r="W52" s="83" t="n"/>
      <c r="X52" s="79" t="n"/>
      <c r="Y52" s="79" t="n"/>
    </row>
    <row r="53" ht="15" customHeight="1" s="51">
      <c r="A53" s="77">
        <f>IF(Pipeline!A53="","",Pipeline!A53)</f>
        <v/>
      </c>
      <c r="B53" s="78">
        <f>IF(A53="","",INDEX(Pipeline!$H:$H,MATCH(A53,Pipeline!$A:$A,0)))</f>
        <v/>
      </c>
      <c r="C53" s="79" t="n"/>
      <c r="D53" s="79" t="n"/>
      <c r="E53" s="79" t="n"/>
      <c r="F53" s="79" t="n"/>
      <c r="G53" s="79" t="n"/>
      <c r="H53" s="79" t="n"/>
      <c r="I53" s="79" t="n"/>
      <c r="J53" s="79" t="n"/>
      <c r="K53" s="79" t="n"/>
      <c r="L53" s="79" t="n"/>
      <c r="M53" s="79" t="n"/>
      <c r="N53" s="79" t="n">
        <v>1</v>
      </c>
      <c r="O53" s="79" t="n"/>
      <c r="P53" s="79" t="n"/>
      <c r="Q53" s="79" t="n"/>
      <c r="R53" s="79" t="n"/>
      <c r="S53" s="80">
        <f>IF(A53="","",COUNT(G53:R53))</f>
        <v/>
      </c>
      <c r="T53" s="81">
        <f>IF(OR(A53="",S53&lt;12),"",SUMPRODUCT($G$3:$R$3,G53:R53)/5)</f>
        <v/>
      </c>
      <c r="U53" s="82">
        <f>IF(A53="","",IF(COUNTIF(C53:F53,"Fail")&gt;0,"No-Bid (gate failed)",IF(S53&lt;12,"Incomplete ("&amp;S53&amp;"/12)",IF(T53&gt;='Scoring Guide'!$C$26,"Bid",IF(T53&gt;='Scoring Guide'!$C$27,"Conditional (MD)","No-Bid")))))</f>
        <v/>
      </c>
      <c r="V53" s="79" t="n"/>
      <c r="W53" s="83" t="n"/>
      <c r="X53" s="79" t="n"/>
      <c r="Y53" s="79" t="n"/>
    </row>
    <row r="54" ht="15" customHeight="1" s="51">
      <c r="A54" s="77">
        <f>IF(Pipeline!A54="","",Pipeline!A54)</f>
        <v/>
      </c>
      <c r="B54" s="78">
        <f>IF(A54="","",INDEX(Pipeline!$H:$H,MATCH(A54,Pipeline!$A:$A,0)))</f>
        <v/>
      </c>
      <c r="C54" s="79" t="n"/>
      <c r="D54" s="79" t="n"/>
      <c r="E54" s="79" t="n"/>
      <c r="F54" s="79" t="n"/>
      <c r="G54" s="79" t="n"/>
      <c r="H54" s="79" t="n"/>
      <c r="I54" s="79" t="n"/>
      <c r="J54" s="79" t="n"/>
      <c r="K54" s="79" t="n"/>
      <c r="L54" s="79" t="n"/>
      <c r="M54" s="79" t="n"/>
      <c r="N54" s="79" t="n">
        <v>5</v>
      </c>
      <c r="O54" s="79" t="n"/>
      <c r="P54" s="79" t="n"/>
      <c r="Q54" s="79" t="n"/>
      <c r="R54" s="79" t="n"/>
      <c r="S54" s="80">
        <f>IF(A54="","",COUNT(G54:R54))</f>
        <v/>
      </c>
      <c r="T54" s="81">
        <f>IF(OR(A54="",S54&lt;12),"",SUMPRODUCT($G$3:$R$3,G54:R54)/5)</f>
        <v/>
      </c>
      <c r="U54" s="82">
        <f>IF(A54="","",IF(COUNTIF(C54:F54,"Fail")&gt;0,"No-Bid (gate failed)",IF(S54&lt;12,"Incomplete ("&amp;S54&amp;"/12)",IF(T54&gt;='Scoring Guide'!$C$26,"Bid",IF(T54&gt;='Scoring Guide'!$C$27,"Conditional (MD)","No-Bid")))))</f>
        <v/>
      </c>
      <c r="V54" s="79" t="n"/>
      <c r="W54" s="83" t="n"/>
      <c r="X54" s="79" t="n"/>
      <c r="Y54" s="79" t="n"/>
    </row>
    <row r="55" ht="15" customHeight="1" s="51">
      <c r="A55" s="77">
        <f>IF(Pipeline!A55="","",Pipeline!A55)</f>
        <v/>
      </c>
      <c r="B55" s="78">
        <f>IF(A55="","",INDEX(Pipeline!$H:$H,MATCH(A55,Pipeline!$A:$A,0)))</f>
        <v/>
      </c>
      <c r="C55" s="79" t="n"/>
      <c r="D55" s="79" t="n"/>
      <c r="E55" s="79" t="n"/>
      <c r="F55" s="79" t="n"/>
      <c r="G55" s="79" t="n"/>
      <c r="H55" s="79" t="n"/>
      <c r="I55" s="79" t="n"/>
      <c r="J55" s="79" t="n"/>
      <c r="K55" s="79" t="n"/>
      <c r="L55" s="79" t="n"/>
      <c r="M55" s="79" t="n"/>
      <c r="N55" s="79" t="n">
        <v>4</v>
      </c>
      <c r="O55" s="79" t="n"/>
      <c r="P55" s="79" t="n"/>
      <c r="Q55" s="79" t="n"/>
      <c r="R55" s="79" t="n"/>
      <c r="S55" s="80">
        <f>IF(A55="","",COUNT(G55:R55))</f>
        <v/>
      </c>
      <c r="T55" s="81">
        <f>IF(OR(A55="",S55&lt;12),"",SUMPRODUCT($G$3:$R$3,G55:R55)/5)</f>
        <v/>
      </c>
      <c r="U55" s="82">
        <f>IF(A55="","",IF(COUNTIF(C55:F55,"Fail")&gt;0,"No-Bid (gate failed)",IF(S55&lt;12,"Incomplete ("&amp;S55&amp;"/12)",IF(T55&gt;='Scoring Guide'!$C$26,"Bid",IF(T55&gt;='Scoring Guide'!$C$27,"Conditional (MD)","No-Bid")))))</f>
        <v/>
      </c>
      <c r="V55" s="79" t="n"/>
      <c r="W55" s="83" t="n"/>
      <c r="X55" s="79" t="n"/>
      <c r="Y55" s="79" t="n"/>
    </row>
    <row r="56" ht="15" customHeight="1" s="51">
      <c r="A56" s="77">
        <f>IF(Pipeline!A56="","",Pipeline!A56)</f>
        <v/>
      </c>
      <c r="B56" s="78">
        <f>IF(A56="","",INDEX(Pipeline!$H:$H,MATCH(A56,Pipeline!$A:$A,0)))</f>
        <v/>
      </c>
      <c r="C56" s="79" t="n"/>
      <c r="D56" s="79" t="n"/>
      <c r="E56" s="79" t="n"/>
      <c r="F56" s="79" t="n"/>
      <c r="G56" s="79" t="n"/>
      <c r="H56" s="79" t="n"/>
      <c r="I56" s="79" t="n"/>
      <c r="J56" s="79" t="n"/>
      <c r="K56" s="79" t="n"/>
      <c r="L56" s="79" t="n"/>
      <c r="M56" s="79" t="n"/>
      <c r="N56" s="79" t="n">
        <v>3</v>
      </c>
      <c r="O56" s="79" t="n"/>
      <c r="P56" s="79" t="n"/>
      <c r="Q56" s="79" t="n"/>
      <c r="R56" s="79" t="n"/>
      <c r="S56" s="80">
        <f>IF(A56="","",COUNT(G56:R56))</f>
        <v/>
      </c>
      <c r="T56" s="81">
        <f>IF(OR(A56="",S56&lt;12),"",SUMPRODUCT($G$3:$R$3,G56:R56)/5)</f>
        <v/>
      </c>
      <c r="U56" s="82">
        <f>IF(A56="","",IF(COUNTIF(C56:F56,"Fail")&gt;0,"No-Bid (gate failed)",IF(S56&lt;12,"Incomplete ("&amp;S56&amp;"/12)",IF(T56&gt;='Scoring Guide'!$C$26,"Bid",IF(T56&gt;='Scoring Guide'!$C$27,"Conditional (MD)","No-Bid")))))</f>
        <v/>
      </c>
      <c r="V56" s="79" t="n"/>
      <c r="W56" s="83" t="n"/>
      <c r="X56" s="79" t="n"/>
      <c r="Y56" s="79" t="n"/>
    </row>
    <row r="57" ht="15" customHeight="1" s="51">
      <c r="A57" s="77">
        <f>IF(Pipeline!A57="","",Pipeline!A57)</f>
        <v/>
      </c>
      <c r="B57" s="78">
        <f>IF(A57="","",INDEX(Pipeline!$H:$H,MATCH(A57,Pipeline!$A:$A,0)))</f>
        <v/>
      </c>
      <c r="C57" s="79" t="n"/>
      <c r="D57" s="79" t="n"/>
      <c r="E57" s="79" t="n"/>
      <c r="F57" s="79" t="n"/>
      <c r="G57" s="79" t="n"/>
      <c r="H57" s="79" t="n"/>
      <c r="I57" s="79" t="n"/>
      <c r="J57" s="79" t="n"/>
      <c r="K57" s="79" t="n"/>
      <c r="L57" s="79" t="n"/>
      <c r="M57" s="79" t="n"/>
      <c r="N57" s="79" t="n">
        <v>4</v>
      </c>
      <c r="O57" s="79" t="n"/>
      <c r="P57" s="79" t="n"/>
      <c r="Q57" s="79" t="n"/>
      <c r="R57" s="79" t="n"/>
      <c r="S57" s="80">
        <f>IF(A57="","",COUNT(G57:R57))</f>
        <v/>
      </c>
      <c r="T57" s="81">
        <f>IF(OR(A57="",S57&lt;12),"",SUMPRODUCT($G$3:$R$3,G57:R57)/5)</f>
        <v/>
      </c>
      <c r="U57" s="82">
        <f>IF(A57="","",IF(COUNTIF(C57:F57,"Fail")&gt;0,"No-Bid (gate failed)",IF(S57&lt;12,"Incomplete ("&amp;S57&amp;"/12)",IF(T57&gt;='Scoring Guide'!$C$26,"Bid",IF(T57&gt;='Scoring Guide'!$C$27,"Conditional (MD)","No-Bid")))))</f>
        <v/>
      </c>
      <c r="V57" s="79" t="n"/>
      <c r="W57" s="83" t="n"/>
      <c r="X57" s="79" t="n"/>
      <c r="Y57" s="79" t="n"/>
    </row>
    <row r="58" ht="15" customHeight="1" s="51">
      <c r="A58" s="77">
        <f>IF(Pipeline!A58="","",Pipeline!A58)</f>
        <v/>
      </c>
      <c r="B58" s="78">
        <f>IF(A58="","",INDEX(Pipeline!$H:$H,MATCH(A58,Pipeline!$A:$A,0)))</f>
        <v/>
      </c>
      <c r="C58" s="79" t="n"/>
      <c r="D58" s="79" t="n"/>
      <c r="E58" s="79" t="n"/>
      <c r="F58" s="79" t="n"/>
      <c r="G58" s="79" t="n"/>
      <c r="H58" s="79" t="n"/>
      <c r="I58" s="79" t="n"/>
      <c r="J58" s="79" t="n"/>
      <c r="K58" s="79" t="n"/>
      <c r="L58" s="79" t="n"/>
      <c r="M58" s="79" t="n"/>
      <c r="N58" s="79" t="n">
        <v>1</v>
      </c>
      <c r="O58" s="79" t="n"/>
      <c r="P58" s="79" t="n"/>
      <c r="Q58" s="79" t="n"/>
      <c r="R58" s="79" t="n"/>
      <c r="S58" s="80">
        <f>IF(A58="","",COUNT(G58:R58))</f>
        <v/>
      </c>
      <c r="T58" s="81">
        <f>IF(OR(A58="",S58&lt;12),"",SUMPRODUCT($G$3:$R$3,G58:R58)/5)</f>
        <v/>
      </c>
      <c r="U58" s="82">
        <f>IF(A58="","",IF(COUNTIF(C58:F58,"Fail")&gt;0,"No-Bid (gate failed)",IF(S58&lt;12,"Incomplete ("&amp;S58&amp;"/12)",IF(T58&gt;='Scoring Guide'!$C$26,"Bid",IF(T58&gt;='Scoring Guide'!$C$27,"Conditional (MD)","No-Bid")))))</f>
        <v/>
      </c>
      <c r="V58" s="79" t="n"/>
      <c r="W58" s="83" t="n"/>
      <c r="X58" s="79" t="n"/>
      <c r="Y58" s="79" t="n"/>
    </row>
    <row r="59" ht="15" customHeight="1" s="51">
      <c r="A59" s="77">
        <f>IF(Pipeline!A59="","",Pipeline!A59)</f>
        <v/>
      </c>
      <c r="B59" s="78">
        <f>IF(A59="","",INDEX(Pipeline!$H:$H,MATCH(A59,Pipeline!$A:$A,0)))</f>
        <v/>
      </c>
      <c r="C59" s="79" t="n"/>
      <c r="D59" s="79" t="n"/>
      <c r="E59" s="79" t="n"/>
      <c r="F59" s="79" t="n"/>
      <c r="G59" s="79" t="n"/>
      <c r="H59" s="79" t="n"/>
      <c r="I59" s="79" t="n"/>
      <c r="J59" s="79" t="n"/>
      <c r="K59" s="79" t="n"/>
      <c r="L59" s="79" t="n"/>
      <c r="M59" s="79" t="n"/>
      <c r="N59" s="79" t="n">
        <v>1</v>
      </c>
      <c r="O59" s="79" t="n"/>
      <c r="P59" s="79" t="n"/>
      <c r="Q59" s="79" t="n"/>
      <c r="R59" s="79" t="n"/>
      <c r="S59" s="80">
        <f>IF(A59="","",COUNT(G59:R59))</f>
        <v/>
      </c>
      <c r="T59" s="81">
        <f>IF(OR(A59="",S59&lt;12),"",SUMPRODUCT($G$3:$R$3,G59:R59)/5)</f>
        <v/>
      </c>
      <c r="U59" s="82">
        <f>IF(A59="","",IF(COUNTIF(C59:F59,"Fail")&gt;0,"No-Bid (gate failed)",IF(S59&lt;12,"Incomplete ("&amp;S59&amp;"/12)",IF(T59&gt;='Scoring Guide'!$C$26,"Bid",IF(T59&gt;='Scoring Guide'!$C$27,"Conditional (MD)","No-Bid")))))</f>
        <v/>
      </c>
      <c r="V59" s="79" t="n"/>
      <c r="W59" s="83" t="n"/>
      <c r="X59" s="79" t="n"/>
      <c r="Y59" s="79" t="n"/>
    </row>
    <row r="60" ht="15" customHeight="1" s="51">
      <c r="A60" s="77">
        <f>IF(Pipeline!A60="","",Pipeline!A60)</f>
        <v/>
      </c>
      <c r="B60" s="78">
        <f>IF(A60="","",INDEX(Pipeline!$H:$H,MATCH(A60,Pipeline!$A:$A,0)))</f>
        <v/>
      </c>
      <c r="C60" s="79" t="n"/>
      <c r="D60" s="79" t="n"/>
      <c r="E60" s="79" t="n"/>
      <c r="F60" s="79" t="n"/>
      <c r="G60" s="79" t="n"/>
      <c r="H60" s="79" t="n"/>
      <c r="I60" s="79" t="n"/>
      <c r="J60" s="79" t="n"/>
      <c r="K60" s="79" t="n"/>
      <c r="L60" s="79" t="n"/>
      <c r="M60" s="79" t="n"/>
      <c r="N60" s="79" t="n"/>
      <c r="O60" s="79" t="n"/>
      <c r="P60" s="79" t="n"/>
      <c r="Q60" s="79" t="n"/>
      <c r="R60" s="79" t="n"/>
      <c r="S60" s="80">
        <f>IF(A60="","",COUNT(G60:R60))</f>
        <v/>
      </c>
      <c r="T60" s="81">
        <f>IF(OR(A60="",S60&lt;12),"",SUMPRODUCT($G$3:$R$3,G60:R60)/5)</f>
        <v/>
      </c>
      <c r="U60" s="82">
        <f>IF(A60="","",IF(COUNTIF(C60:F60,"Fail")&gt;0,"No-Bid (gate failed)",IF(S60&lt;12,"Incomplete ("&amp;S60&amp;"/12)",IF(T60&gt;='Scoring Guide'!$C$26,"Bid",IF(T60&gt;='Scoring Guide'!$C$27,"Conditional (MD)","No-Bid")))))</f>
        <v/>
      </c>
      <c r="V60" s="79" t="n"/>
      <c r="W60" s="83" t="n"/>
      <c r="X60" s="79" t="n"/>
      <c r="Y60" s="79" t="n"/>
    </row>
    <row r="61" ht="15" customHeight="1" s="51">
      <c r="A61" s="77">
        <f>IF(Pipeline!A61="","",Pipeline!A61)</f>
        <v/>
      </c>
      <c r="B61" s="78">
        <f>IF(A61="","",INDEX(Pipeline!$H:$H,MATCH(A61,Pipeline!$A:$A,0)))</f>
        <v/>
      </c>
      <c r="C61" s="79" t="n"/>
      <c r="D61" s="79" t="n"/>
      <c r="E61" s="79" t="n"/>
      <c r="F61" s="79" t="n"/>
      <c r="G61" s="79" t="n"/>
      <c r="H61" s="79" t="n"/>
      <c r="I61" s="79" t="n"/>
      <c r="J61" s="79" t="n"/>
      <c r="K61" s="79" t="n"/>
      <c r="L61" s="79" t="n"/>
      <c r="M61" s="79" t="n"/>
      <c r="N61" s="79" t="n"/>
      <c r="O61" s="79" t="n"/>
      <c r="P61" s="79" t="n"/>
      <c r="Q61" s="79" t="n"/>
      <c r="R61" s="79" t="n"/>
      <c r="S61" s="80">
        <f>IF(A61="","",COUNT(G61:R61))</f>
        <v/>
      </c>
      <c r="T61" s="81">
        <f>IF(OR(A61="",S61&lt;12),"",SUMPRODUCT($G$3:$R$3,G61:R61)/5)</f>
        <v/>
      </c>
      <c r="U61" s="82">
        <f>IF(A61="","",IF(COUNTIF(C61:F61,"Fail")&gt;0,"No-Bid (gate failed)",IF(S61&lt;12,"Incomplete ("&amp;S61&amp;"/12)",IF(T61&gt;='Scoring Guide'!$C$26,"Bid",IF(T61&gt;='Scoring Guide'!$C$27,"Conditional (MD)","No-Bid")))))</f>
        <v/>
      </c>
      <c r="V61" s="79" t="n"/>
      <c r="W61" s="83" t="n"/>
      <c r="X61" s="79" t="n"/>
      <c r="Y61" s="79" t="n"/>
    </row>
    <row r="62" ht="15" customHeight="1" s="51">
      <c r="A62" s="77">
        <f>IF(Pipeline!A62="","",Pipeline!A62)</f>
        <v/>
      </c>
      <c r="B62" s="78">
        <f>IF(A62="","",INDEX(Pipeline!$H:$H,MATCH(A62,Pipeline!$A:$A,0)))</f>
        <v/>
      </c>
      <c r="C62" s="79" t="n"/>
      <c r="D62" s="79" t="n"/>
      <c r="E62" s="79" t="n"/>
      <c r="F62" s="79" t="n"/>
      <c r="G62" s="79" t="n"/>
      <c r="H62" s="79" t="n"/>
      <c r="I62" s="79" t="n"/>
      <c r="J62" s="79" t="n"/>
      <c r="K62" s="79" t="n"/>
      <c r="L62" s="79" t="n"/>
      <c r="M62" s="79" t="n"/>
      <c r="N62" s="79" t="n">
        <v>3</v>
      </c>
      <c r="O62" s="79" t="n"/>
      <c r="P62" s="79" t="n"/>
      <c r="Q62" s="79" t="n"/>
      <c r="R62" s="79" t="n"/>
      <c r="S62" s="80">
        <f>IF(A62="","",COUNT(G62:R62))</f>
        <v/>
      </c>
      <c r="T62" s="81">
        <f>IF(OR(A62="",S62&lt;12),"",SUMPRODUCT($G$3:$R$3,G62:R62)/5)</f>
        <v/>
      </c>
      <c r="U62" s="82">
        <f>IF(A62="","",IF(COUNTIF(C62:F62,"Fail")&gt;0,"No-Bid (gate failed)",IF(S62&lt;12,"Incomplete ("&amp;S62&amp;"/12)",IF(T62&gt;='Scoring Guide'!$C$26,"Bid",IF(T62&gt;='Scoring Guide'!$C$27,"Conditional (MD)","No-Bid")))))</f>
        <v/>
      </c>
      <c r="V62" s="79" t="n"/>
      <c r="W62" s="83" t="n"/>
      <c r="X62" s="79" t="n"/>
      <c r="Y62" s="79" t="n"/>
    </row>
    <row r="63" ht="15" customHeight="1" s="51">
      <c r="A63" s="77">
        <f>IF(Pipeline!A63="","",Pipeline!A63)</f>
        <v/>
      </c>
      <c r="B63" s="78">
        <f>IF(A63="","",INDEX(Pipeline!$H:$H,MATCH(A63,Pipeline!$A:$A,0)))</f>
        <v/>
      </c>
      <c r="C63" s="79" t="n"/>
      <c r="D63" s="79" t="n"/>
      <c r="E63" s="79" t="n"/>
      <c r="F63" s="79" t="n"/>
      <c r="G63" s="79" t="n"/>
      <c r="H63" s="79" t="n"/>
      <c r="I63" s="79" t="n"/>
      <c r="J63" s="79" t="n"/>
      <c r="K63" s="79" t="n"/>
      <c r="L63" s="79" t="n"/>
      <c r="M63" s="79" t="n"/>
      <c r="N63" s="79" t="n">
        <v>4</v>
      </c>
      <c r="O63" s="79" t="n"/>
      <c r="P63" s="79" t="n"/>
      <c r="Q63" s="79" t="n"/>
      <c r="R63" s="79" t="n"/>
      <c r="S63" s="80">
        <f>IF(A63="","",COUNT(G63:R63))</f>
        <v/>
      </c>
      <c r="T63" s="81">
        <f>IF(OR(A63="",S63&lt;12),"",SUMPRODUCT($G$3:$R$3,G63:R63)/5)</f>
        <v/>
      </c>
      <c r="U63" s="82">
        <f>IF(A63="","",IF(COUNTIF(C63:F63,"Fail")&gt;0,"No-Bid (gate failed)",IF(S63&lt;12,"Incomplete ("&amp;S63&amp;"/12)",IF(T63&gt;='Scoring Guide'!$C$26,"Bid",IF(T63&gt;='Scoring Guide'!$C$27,"Conditional (MD)","No-Bid")))))</f>
        <v/>
      </c>
      <c r="V63" s="79" t="n"/>
      <c r="W63" s="83" t="n"/>
      <c r="X63" s="79" t="n"/>
      <c r="Y63" s="79" t="n"/>
    </row>
    <row r="64" ht="15" customHeight="1" s="51">
      <c r="A64" s="77">
        <f>IF(Pipeline!A64="","",Pipeline!A64)</f>
        <v/>
      </c>
      <c r="B64" s="78">
        <f>IF(A64="","",INDEX(Pipeline!$H:$H,MATCH(A64,Pipeline!$A:$A,0)))</f>
        <v/>
      </c>
      <c r="C64" s="79" t="n"/>
      <c r="D64" s="79" t="n"/>
      <c r="E64" s="79" t="n"/>
      <c r="F64" s="79" t="n"/>
      <c r="G64" s="79" t="n"/>
      <c r="H64" s="79" t="n"/>
      <c r="I64" s="79" t="n"/>
      <c r="J64" s="79" t="n"/>
      <c r="K64" s="79" t="n"/>
      <c r="L64" s="79" t="n"/>
      <c r="M64" s="79" t="n"/>
      <c r="N64" s="79" t="n">
        <v>4</v>
      </c>
      <c r="O64" s="79" t="n"/>
      <c r="P64" s="79" t="n"/>
      <c r="Q64" s="79" t="n"/>
      <c r="R64" s="79" t="n"/>
      <c r="S64" s="80">
        <f>IF(A64="","",COUNT(G64:R64))</f>
        <v/>
      </c>
      <c r="T64" s="81">
        <f>IF(OR(A64="",S64&lt;12),"",SUMPRODUCT($G$3:$R$3,G64:R64)/5)</f>
        <v/>
      </c>
      <c r="U64" s="82">
        <f>IF(A64="","",IF(COUNTIF(C64:F64,"Fail")&gt;0,"No-Bid (gate failed)",IF(S64&lt;12,"Incomplete ("&amp;S64&amp;"/12)",IF(T64&gt;='Scoring Guide'!$C$26,"Bid",IF(T64&gt;='Scoring Guide'!$C$27,"Conditional (MD)","No-Bid")))))</f>
        <v/>
      </c>
      <c r="V64" s="79" t="n"/>
      <c r="W64" s="83" t="n"/>
      <c r="X64" s="79" t="n"/>
      <c r="Y64" s="79" t="n"/>
    </row>
    <row r="65" ht="15" customHeight="1" s="51">
      <c r="A65" s="77">
        <f>IF(Pipeline!A65="","",Pipeline!A65)</f>
        <v/>
      </c>
      <c r="B65" s="78">
        <f>IF(A65="","",INDEX(Pipeline!$H:$H,MATCH(A65,Pipeline!$A:$A,0)))</f>
        <v/>
      </c>
      <c r="C65" s="79" t="n"/>
      <c r="D65" s="79" t="n"/>
      <c r="E65" s="79" t="n"/>
      <c r="F65" s="79" t="n"/>
      <c r="G65" s="79" t="n"/>
      <c r="H65" s="79" t="n"/>
      <c r="I65" s="79" t="n"/>
      <c r="J65" s="79" t="n"/>
      <c r="K65" s="79" t="n"/>
      <c r="L65" s="79" t="n"/>
      <c r="M65" s="79" t="n"/>
      <c r="N65" s="79" t="n">
        <v>4</v>
      </c>
      <c r="O65" s="79" t="n"/>
      <c r="P65" s="79" t="n"/>
      <c r="Q65" s="79" t="n"/>
      <c r="R65" s="79" t="n"/>
      <c r="S65" s="80">
        <f>IF(A65="","",COUNT(G65:R65))</f>
        <v/>
      </c>
      <c r="T65" s="81">
        <f>IF(OR(A65="",S65&lt;12),"",SUMPRODUCT($G$3:$R$3,G65:R65)/5)</f>
        <v/>
      </c>
      <c r="U65" s="82">
        <f>IF(A65="","",IF(COUNTIF(C65:F65,"Fail")&gt;0,"No-Bid (gate failed)",IF(S65&lt;12,"Incomplete ("&amp;S65&amp;"/12)",IF(T65&gt;='Scoring Guide'!$C$26,"Bid",IF(T65&gt;='Scoring Guide'!$C$27,"Conditional (MD)","No-Bid")))))</f>
        <v/>
      </c>
      <c r="V65" s="79" t="n"/>
      <c r="W65" s="83" t="n"/>
      <c r="X65" s="79" t="n"/>
      <c r="Y65" s="79" t="n"/>
    </row>
    <row r="66" ht="15" customHeight="1" s="51">
      <c r="A66" s="77">
        <f>IF(Pipeline!A66="","",Pipeline!A66)</f>
        <v/>
      </c>
      <c r="B66" s="78">
        <f>IF(A66="","",INDEX(Pipeline!$H:$H,MATCH(A66,Pipeline!$A:$A,0)))</f>
        <v/>
      </c>
      <c r="C66" s="79" t="n"/>
      <c r="D66" s="79" t="n"/>
      <c r="E66" s="79" t="n"/>
      <c r="F66" s="79" t="n"/>
      <c r="G66" s="79" t="n"/>
      <c r="H66" s="79" t="n"/>
      <c r="I66" s="79" t="n"/>
      <c r="J66" s="79" t="n"/>
      <c r="K66" s="79" t="n"/>
      <c r="L66" s="79" t="n"/>
      <c r="M66" s="79" t="n"/>
      <c r="N66" s="79" t="n"/>
      <c r="O66" s="79" t="n"/>
      <c r="P66" s="79" t="n"/>
      <c r="Q66" s="79" t="n"/>
      <c r="R66" s="79" t="n"/>
      <c r="S66" s="80">
        <f>IF(A66="","",COUNT(G66:R66))</f>
        <v/>
      </c>
      <c r="T66" s="81">
        <f>IF(OR(A66="",S66&lt;12),"",SUMPRODUCT($G$3:$R$3,G66:R66)/5)</f>
        <v/>
      </c>
      <c r="U66" s="82">
        <f>IF(A66="","",IF(COUNTIF(C66:F66,"Fail")&gt;0,"No-Bid (gate failed)",IF(S66&lt;12,"Incomplete ("&amp;S66&amp;"/12)",IF(T66&gt;='Scoring Guide'!$C$26,"Bid",IF(T66&gt;='Scoring Guide'!$C$27,"Conditional (MD)","No-Bid")))))</f>
        <v/>
      </c>
      <c r="V66" s="79" t="n"/>
      <c r="W66" s="83" t="n"/>
      <c r="X66" s="79" t="n"/>
      <c r="Y66" s="79" t="n"/>
    </row>
    <row r="67" ht="15" customHeight="1" s="51">
      <c r="A67" s="77">
        <f>IF(Pipeline!A67="","",Pipeline!A67)</f>
        <v/>
      </c>
      <c r="B67" s="78">
        <f>IF(A67="","",INDEX(Pipeline!$H:$H,MATCH(A67,Pipeline!$A:$A,0)))</f>
        <v/>
      </c>
      <c r="C67" s="79" t="n"/>
      <c r="D67" s="79" t="n"/>
      <c r="E67" s="79" t="n"/>
      <c r="F67" s="79" t="n"/>
      <c r="G67" s="79" t="n"/>
      <c r="H67" s="79" t="n"/>
      <c r="I67" s="79" t="n"/>
      <c r="J67" s="79" t="n"/>
      <c r="K67" s="79" t="n"/>
      <c r="L67" s="79" t="n"/>
      <c r="M67" s="79" t="n"/>
      <c r="N67" s="79" t="n"/>
      <c r="O67" s="79" t="n"/>
      <c r="P67" s="79" t="n"/>
      <c r="Q67" s="79" t="n"/>
      <c r="R67" s="79" t="n"/>
      <c r="S67" s="80">
        <f>IF(A67="","",COUNT(G67:R67))</f>
        <v/>
      </c>
      <c r="T67" s="81">
        <f>IF(OR(A67="",S67&lt;12),"",SUMPRODUCT($G$3:$R$3,G67:R67)/5)</f>
        <v/>
      </c>
      <c r="U67" s="82">
        <f>IF(A67="","",IF(COUNTIF(C67:F67,"Fail")&gt;0,"No-Bid (gate failed)",IF(S67&lt;12,"Incomplete ("&amp;S67&amp;"/12)",IF(T67&gt;='Scoring Guide'!$C$26,"Bid",IF(T67&gt;='Scoring Guide'!$C$27,"Conditional (MD)","No-Bid")))))</f>
        <v/>
      </c>
      <c r="V67" s="79" t="n"/>
      <c r="W67" s="83" t="n"/>
      <c r="X67" s="79" t="n"/>
      <c r="Y67" s="79" t="n"/>
    </row>
    <row r="68" ht="15" customHeight="1" s="51">
      <c r="A68" s="77">
        <f>IF(Pipeline!A68="","",Pipeline!A68)</f>
        <v/>
      </c>
      <c r="B68" s="78">
        <f>IF(A68="","",INDEX(Pipeline!$H:$H,MATCH(A68,Pipeline!$A:$A,0)))</f>
        <v/>
      </c>
      <c r="C68" s="79" t="n"/>
      <c r="D68" s="79" t="n"/>
      <c r="E68" s="79" t="n"/>
      <c r="F68" s="79" t="n"/>
      <c r="G68" s="79" t="n"/>
      <c r="H68" s="79" t="n"/>
      <c r="I68" s="79" t="n"/>
      <c r="J68" s="79" t="n"/>
      <c r="K68" s="79" t="n"/>
      <c r="L68" s="79" t="n"/>
      <c r="M68" s="79" t="n"/>
      <c r="N68" s="79" t="n">
        <v>4</v>
      </c>
      <c r="O68" s="79" t="n"/>
      <c r="P68" s="79" t="n"/>
      <c r="Q68" s="79" t="n"/>
      <c r="R68" s="79" t="n"/>
      <c r="S68" s="80">
        <f>IF(A68="","",COUNT(G68:R68))</f>
        <v/>
      </c>
      <c r="T68" s="81">
        <f>IF(OR(A68="",S68&lt;12),"",SUMPRODUCT($G$3:$R$3,G68:R68)/5)</f>
        <v/>
      </c>
      <c r="U68" s="82">
        <f>IF(A68="","",IF(COUNTIF(C68:F68,"Fail")&gt;0,"No-Bid (gate failed)",IF(S68&lt;12,"Incomplete ("&amp;S68&amp;"/12)",IF(T68&gt;='Scoring Guide'!$C$26,"Bid",IF(T68&gt;='Scoring Guide'!$C$27,"Conditional (MD)","No-Bid")))))</f>
        <v/>
      </c>
      <c r="V68" s="79" t="n"/>
      <c r="W68" s="83" t="n"/>
      <c r="X68" s="79" t="n"/>
      <c r="Y68" s="79" t="n"/>
    </row>
    <row r="69" ht="15" customHeight="1" s="51">
      <c r="A69" s="77">
        <f>IF(Pipeline!A69="","",Pipeline!A69)</f>
        <v/>
      </c>
      <c r="B69" s="78">
        <f>IF(A69="","",INDEX(Pipeline!$H:$H,MATCH(A69,Pipeline!$A:$A,0)))</f>
        <v/>
      </c>
      <c r="C69" s="79" t="n"/>
      <c r="D69" s="79" t="n"/>
      <c r="E69" s="79" t="n"/>
      <c r="F69" s="79" t="n"/>
      <c r="G69" s="79" t="n"/>
      <c r="H69" s="79" t="n"/>
      <c r="I69" s="79" t="n"/>
      <c r="J69" s="79" t="n"/>
      <c r="K69" s="79" t="n"/>
      <c r="L69" s="79" t="n"/>
      <c r="M69" s="79" t="n"/>
      <c r="N69" s="79" t="n"/>
      <c r="O69" s="79" t="n"/>
      <c r="P69" s="79" t="n"/>
      <c r="Q69" s="79" t="n"/>
      <c r="R69" s="79" t="n"/>
      <c r="S69" s="80">
        <f>IF(A69="","",COUNT(G69:R69))</f>
        <v/>
      </c>
      <c r="T69" s="81">
        <f>IF(OR(A69="",S69&lt;12),"",SUMPRODUCT($G$3:$R$3,G69:R69)/5)</f>
        <v/>
      </c>
      <c r="U69" s="82">
        <f>IF(A69="","",IF(COUNTIF(C69:F69,"Fail")&gt;0,"No-Bid (gate failed)",IF(S69&lt;12,"Incomplete ("&amp;S69&amp;"/12)",IF(T69&gt;='Scoring Guide'!$C$26,"Bid",IF(T69&gt;='Scoring Guide'!$C$27,"Conditional (MD)","No-Bid")))))</f>
        <v/>
      </c>
      <c r="V69" s="79" t="n"/>
      <c r="W69" s="83" t="n"/>
      <c r="X69" s="79" t="n"/>
      <c r="Y69" s="79" t="n"/>
    </row>
    <row r="70" ht="15" customHeight="1" s="51">
      <c r="A70" s="77">
        <f>IF(Pipeline!A70="","",Pipeline!A70)</f>
        <v/>
      </c>
      <c r="B70" s="78">
        <f>IF(A70="","",INDEX(Pipeline!$H:$H,MATCH(A70,Pipeline!$A:$A,0)))</f>
        <v/>
      </c>
      <c r="C70" s="79" t="n"/>
      <c r="D70" s="79" t="n"/>
      <c r="E70" s="79" t="n"/>
      <c r="F70" s="79" t="n"/>
      <c r="G70" s="79" t="n"/>
      <c r="H70" s="79" t="n"/>
      <c r="I70" s="79" t="n"/>
      <c r="J70" s="79" t="n"/>
      <c r="K70" s="79" t="n"/>
      <c r="L70" s="79" t="n"/>
      <c r="M70" s="79" t="n"/>
      <c r="N70" s="79" t="n"/>
      <c r="O70" s="79" t="n"/>
      <c r="P70" s="79" t="n"/>
      <c r="Q70" s="79" t="n"/>
      <c r="R70" s="79" t="n"/>
      <c r="S70" s="80">
        <f>IF(A70="","",COUNT(G70:R70))</f>
        <v/>
      </c>
      <c r="T70" s="81">
        <f>IF(OR(A70="",S70&lt;12),"",SUMPRODUCT($G$3:$R$3,G70:R70)/5)</f>
        <v/>
      </c>
      <c r="U70" s="82">
        <f>IF(A70="","",IF(COUNTIF(C70:F70,"Fail")&gt;0,"No-Bid (gate failed)",IF(S70&lt;12,"Incomplete ("&amp;S70&amp;"/12)",IF(T70&gt;='Scoring Guide'!$C$26,"Bid",IF(T70&gt;='Scoring Guide'!$C$27,"Conditional (MD)","No-Bid")))))</f>
        <v/>
      </c>
      <c r="V70" s="79" t="n"/>
      <c r="W70" s="83" t="n"/>
      <c r="X70" s="79" t="n"/>
      <c r="Y70" s="79" t="n"/>
    </row>
    <row r="71" ht="15" customHeight="1" s="51">
      <c r="A71" s="77">
        <f>IF(Pipeline!A71="","",Pipeline!A71)</f>
        <v/>
      </c>
      <c r="B71" s="78">
        <f>IF(A71="","",INDEX(Pipeline!$H:$H,MATCH(A71,Pipeline!$A:$A,0)))</f>
        <v/>
      </c>
      <c r="C71" s="79" t="n"/>
      <c r="D71" s="79" t="n"/>
      <c r="E71" s="79" t="n"/>
      <c r="F71" s="79" t="n"/>
      <c r="G71" s="79" t="n"/>
      <c r="H71" s="79" t="n"/>
      <c r="I71" s="79" t="n"/>
      <c r="J71" s="79" t="n"/>
      <c r="K71" s="79" t="n"/>
      <c r="L71" s="79" t="n"/>
      <c r="M71" s="79" t="n"/>
      <c r="N71" s="79" t="n"/>
      <c r="O71" s="79" t="n"/>
      <c r="P71" s="79" t="n"/>
      <c r="Q71" s="79" t="n"/>
      <c r="R71" s="79" t="n"/>
      <c r="S71" s="80">
        <f>IF(A71="","",COUNT(G71:R71))</f>
        <v/>
      </c>
      <c r="T71" s="81">
        <f>IF(OR(A71="",S71&lt;12),"",SUMPRODUCT($G$3:$R$3,G71:R71)/5)</f>
        <v/>
      </c>
      <c r="U71" s="82">
        <f>IF(A71="","",IF(COUNTIF(C71:F71,"Fail")&gt;0,"No-Bid (gate failed)",IF(S71&lt;12,"Incomplete ("&amp;S71&amp;"/12)",IF(T71&gt;='Scoring Guide'!$C$26,"Bid",IF(T71&gt;='Scoring Guide'!$C$27,"Conditional (MD)","No-Bid")))))</f>
        <v/>
      </c>
      <c r="V71" s="79" t="n"/>
      <c r="W71" s="83" t="n"/>
      <c r="X71" s="79" t="n"/>
      <c r="Y71" s="79" t="n"/>
    </row>
    <row r="72" ht="15" customHeight="1" s="51">
      <c r="A72" s="77">
        <f>IF(Pipeline!A72="","",Pipeline!A72)</f>
        <v/>
      </c>
      <c r="B72" s="78">
        <f>IF(A72="","",INDEX(Pipeline!$H:$H,MATCH(A72,Pipeline!$A:$A,0)))</f>
        <v/>
      </c>
      <c r="C72" s="79" t="n"/>
      <c r="D72" s="79" t="n"/>
      <c r="E72" s="79" t="n"/>
      <c r="F72" s="79" t="n"/>
      <c r="G72" s="79" t="n"/>
      <c r="H72" s="79" t="n"/>
      <c r="I72" s="79" t="n"/>
      <c r="J72" s="79" t="n"/>
      <c r="K72" s="79" t="n"/>
      <c r="L72" s="79" t="n"/>
      <c r="M72" s="79" t="n"/>
      <c r="N72" s="79" t="n">
        <v>1</v>
      </c>
      <c r="O72" s="79" t="n"/>
      <c r="P72" s="79" t="n"/>
      <c r="Q72" s="79" t="n"/>
      <c r="R72" s="79" t="n"/>
      <c r="S72" s="80">
        <f>IF(A72="","",COUNT(G72:R72))</f>
        <v/>
      </c>
      <c r="T72" s="81">
        <f>IF(OR(A72="",S72&lt;12),"",SUMPRODUCT($G$3:$R$3,G72:R72)/5)</f>
        <v/>
      </c>
      <c r="U72" s="82">
        <f>IF(A72="","",IF(COUNTIF(C72:F72,"Fail")&gt;0,"No-Bid (gate failed)",IF(S72&lt;12,"Incomplete ("&amp;S72&amp;"/12)",IF(T72&gt;='Scoring Guide'!$C$26,"Bid",IF(T72&gt;='Scoring Guide'!$C$27,"Conditional (MD)","No-Bid")))))</f>
        <v/>
      </c>
      <c r="V72" s="79" t="n"/>
      <c r="W72" s="83" t="n"/>
      <c r="X72" s="79" t="n"/>
      <c r="Y72" s="79" t="n"/>
    </row>
    <row r="73" ht="15" customHeight="1" s="51">
      <c r="A73" s="77">
        <f>IF(Pipeline!A73="","",Pipeline!A73)</f>
        <v/>
      </c>
      <c r="B73" s="78">
        <f>IF(A73="","",INDEX(Pipeline!$H:$H,MATCH(A73,Pipeline!$A:$A,0)))</f>
        <v/>
      </c>
      <c r="C73" s="79" t="n"/>
      <c r="D73" s="79" t="n"/>
      <c r="E73" s="79" t="n"/>
      <c r="F73" s="79" t="n"/>
      <c r="G73" s="79" t="n"/>
      <c r="H73" s="79" t="n"/>
      <c r="I73" s="79" t="n"/>
      <c r="J73" s="79" t="n"/>
      <c r="K73" s="79" t="n"/>
      <c r="L73" s="79" t="n"/>
      <c r="M73" s="79" t="n"/>
      <c r="N73" s="79" t="n">
        <v>1</v>
      </c>
      <c r="O73" s="79" t="n"/>
      <c r="P73" s="79" t="n"/>
      <c r="Q73" s="79" t="n"/>
      <c r="R73" s="79" t="n"/>
      <c r="S73" s="80">
        <f>IF(A73="","",COUNT(G73:R73))</f>
        <v/>
      </c>
      <c r="T73" s="81">
        <f>IF(OR(A73="",S73&lt;12),"",SUMPRODUCT($G$3:$R$3,G73:R73)/5)</f>
        <v/>
      </c>
      <c r="U73" s="82">
        <f>IF(A73="","",IF(COUNTIF(C73:F73,"Fail")&gt;0,"No-Bid (gate failed)",IF(S73&lt;12,"Incomplete ("&amp;S73&amp;"/12)",IF(T73&gt;='Scoring Guide'!$C$26,"Bid",IF(T73&gt;='Scoring Guide'!$C$27,"Conditional (MD)","No-Bid")))))</f>
        <v/>
      </c>
      <c r="V73" s="79" t="n"/>
      <c r="W73" s="83" t="n"/>
      <c r="X73" s="79" t="n"/>
      <c r="Y73" s="79" t="n"/>
    </row>
    <row r="74" ht="15" customHeight="1" s="51">
      <c r="A74" s="77">
        <f>IF(Pipeline!A74="","",Pipeline!A74)</f>
        <v/>
      </c>
      <c r="B74" s="78">
        <f>IF(A74="","",INDEX(Pipeline!$H:$H,MATCH(A74,Pipeline!$A:$A,0)))</f>
        <v/>
      </c>
      <c r="C74" s="79" t="n"/>
      <c r="D74" s="79" t="n"/>
      <c r="E74" s="79" t="n"/>
      <c r="F74" s="79" t="n"/>
      <c r="G74" s="79" t="n"/>
      <c r="H74" s="79" t="n"/>
      <c r="I74" s="79" t="n"/>
      <c r="J74" s="79" t="n"/>
      <c r="K74" s="79" t="n"/>
      <c r="L74" s="79" t="n"/>
      <c r="M74" s="79" t="n"/>
      <c r="N74" s="79" t="n">
        <v>1</v>
      </c>
      <c r="O74" s="79" t="n"/>
      <c r="P74" s="79" t="n"/>
      <c r="Q74" s="79" t="n"/>
      <c r="R74" s="79" t="n"/>
      <c r="S74" s="80">
        <f>IF(A74="","",COUNT(G74:R74))</f>
        <v/>
      </c>
      <c r="T74" s="81">
        <f>IF(OR(A74="",S74&lt;12),"",SUMPRODUCT($G$3:$R$3,G74:R74)/5)</f>
        <v/>
      </c>
      <c r="U74" s="82">
        <f>IF(A74="","",IF(COUNTIF(C74:F74,"Fail")&gt;0,"No-Bid (gate failed)",IF(S74&lt;12,"Incomplete ("&amp;S74&amp;"/12)",IF(T74&gt;='Scoring Guide'!$C$26,"Bid",IF(T74&gt;='Scoring Guide'!$C$27,"Conditional (MD)","No-Bid")))))</f>
        <v/>
      </c>
      <c r="V74" s="79" t="n"/>
      <c r="W74" s="83" t="n"/>
      <c r="X74" s="79" t="n"/>
      <c r="Y74" s="79" t="n"/>
    </row>
    <row r="75" ht="15" customHeight="1" s="51">
      <c r="A75" s="77">
        <f>IF(Pipeline!A75="","",Pipeline!A75)</f>
        <v/>
      </c>
      <c r="B75" s="78">
        <f>IF(A75="","",INDEX(Pipeline!$H:$H,MATCH(A75,Pipeline!$A:$A,0)))</f>
        <v/>
      </c>
      <c r="C75" s="79" t="n"/>
      <c r="D75" s="79" t="n"/>
      <c r="E75" s="79" t="n"/>
      <c r="F75" s="79" t="n"/>
      <c r="G75" s="79" t="n"/>
      <c r="H75" s="79" t="n"/>
      <c r="I75" s="79" t="n"/>
      <c r="J75" s="79" t="n"/>
      <c r="K75" s="79" t="n"/>
      <c r="L75" s="79" t="n"/>
      <c r="M75" s="79" t="n"/>
      <c r="N75" s="79" t="n">
        <v>4</v>
      </c>
      <c r="O75" s="79" t="n"/>
      <c r="P75" s="79" t="n"/>
      <c r="Q75" s="79" t="n"/>
      <c r="R75" s="79" t="n"/>
      <c r="S75" s="80">
        <f>IF(A75="","",COUNT(G75:R75))</f>
        <v/>
      </c>
      <c r="T75" s="81">
        <f>IF(OR(A75="",S75&lt;12),"",SUMPRODUCT($G$3:$R$3,G75:R75)/5)</f>
        <v/>
      </c>
      <c r="U75" s="82">
        <f>IF(A75="","",IF(COUNTIF(C75:F75,"Fail")&gt;0,"No-Bid (gate failed)",IF(S75&lt;12,"Incomplete ("&amp;S75&amp;"/12)",IF(T75&gt;='Scoring Guide'!$C$26,"Bid",IF(T75&gt;='Scoring Guide'!$C$27,"Conditional (MD)","No-Bid")))))</f>
        <v/>
      </c>
      <c r="V75" s="79" t="n"/>
      <c r="W75" s="83" t="n"/>
      <c r="X75" s="79" t="n"/>
      <c r="Y75" s="79" t="n"/>
    </row>
    <row r="76" ht="15" customHeight="1" s="51">
      <c r="A76" s="77">
        <f>IF(Pipeline!A76="","",Pipeline!A76)</f>
        <v/>
      </c>
      <c r="B76" s="78">
        <f>IF(A76="","",INDEX(Pipeline!$H:$H,MATCH(A76,Pipeline!$A:$A,0)))</f>
        <v/>
      </c>
      <c r="C76" s="79" t="n"/>
      <c r="D76" s="79" t="n"/>
      <c r="E76" s="79" t="n"/>
      <c r="F76" s="79" t="n"/>
      <c r="G76" s="79" t="n"/>
      <c r="H76" s="79" t="n"/>
      <c r="I76" s="79" t="n"/>
      <c r="J76" s="79" t="n"/>
      <c r="K76" s="79" t="n"/>
      <c r="L76" s="79" t="n"/>
      <c r="M76" s="79" t="n"/>
      <c r="N76" s="79" t="n">
        <v>1</v>
      </c>
      <c r="O76" s="79" t="n"/>
      <c r="P76" s="79" t="n"/>
      <c r="Q76" s="79" t="n"/>
      <c r="R76" s="79" t="n"/>
      <c r="S76" s="80">
        <f>IF(A76="","",COUNT(G76:R76))</f>
        <v/>
      </c>
      <c r="T76" s="81">
        <f>IF(OR(A76="",S76&lt;12),"",SUMPRODUCT($G$3:$R$3,G76:R76)/5)</f>
        <v/>
      </c>
      <c r="U76" s="82">
        <f>IF(A76="","",IF(COUNTIF(C76:F76,"Fail")&gt;0,"No-Bid (gate failed)",IF(S76&lt;12,"Incomplete ("&amp;S76&amp;"/12)",IF(T76&gt;='Scoring Guide'!$C$26,"Bid",IF(T76&gt;='Scoring Guide'!$C$27,"Conditional (MD)","No-Bid")))))</f>
        <v/>
      </c>
      <c r="V76" s="79" t="n"/>
      <c r="W76" s="83" t="n"/>
      <c r="X76" s="79" t="n"/>
      <c r="Y76" s="79" t="n"/>
    </row>
    <row r="77" ht="15" customHeight="1" s="51">
      <c r="A77" s="77">
        <f>IF(Pipeline!A77="","",Pipeline!A77)</f>
        <v/>
      </c>
      <c r="B77" s="78">
        <f>IF(A77="","",INDEX(Pipeline!$H:$H,MATCH(A77,Pipeline!$A:$A,0)))</f>
        <v/>
      </c>
      <c r="C77" s="79" t="n"/>
      <c r="D77" s="79" t="n"/>
      <c r="E77" s="79" t="n"/>
      <c r="F77" s="79" t="n"/>
      <c r="G77" s="79" t="n"/>
      <c r="H77" s="79" t="n"/>
      <c r="I77" s="79" t="n"/>
      <c r="J77" s="79" t="n"/>
      <c r="K77" s="79" t="n"/>
      <c r="L77" s="79" t="n"/>
      <c r="M77" s="79" t="n"/>
      <c r="N77" s="79" t="n">
        <v>1</v>
      </c>
      <c r="O77" s="79" t="n"/>
      <c r="P77" s="79" t="n"/>
      <c r="Q77" s="79" t="n"/>
      <c r="R77" s="79" t="n"/>
      <c r="S77" s="80">
        <f>IF(A77="","",COUNT(G77:R77))</f>
        <v/>
      </c>
      <c r="T77" s="81">
        <f>IF(OR(A77="",S77&lt;12),"",SUMPRODUCT($G$3:$R$3,G77:R77)/5)</f>
        <v/>
      </c>
      <c r="U77" s="82">
        <f>IF(A77="","",IF(COUNTIF(C77:F77,"Fail")&gt;0,"No-Bid (gate failed)",IF(S77&lt;12,"Incomplete ("&amp;S77&amp;"/12)",IF(T77&gt;='Scoring Guide'!$C$26,"Bid",IF(T77&gt;='Scoring Guide'!$C$27,"Conditional (MD)","No-Bid")))))</f>
        <v/>
      </c>
      <c r="V77" s="79" t="n"/>
      <c r="W77" s="83" t="n"/>
      <c r="X77" s="79" t="n"/>
      <c r="Y77" s="79" t="n"/>
    </row>
    <row r="78" ht="15" customHeight="1" s="51">
      <c r="A78" s="77">
        <f>IF(Pipeline!A78="","",Pipeline!A78)</f>
        <v/>
      </c>
      <c r="B78" s="78">
        <f>IF(A78="","",INDEX(Pipeline!$H:$H,MATCH(A78,Pipeline!$A:$A,0)))</f>
        <v/>
      </c>
      <c r="C78" s="79" t="n"/>
      <c r="D78" s="79" t="n"/>
      <c r="E78" s="79" t="n"/>
      <c r="F78" s="79" t="n"/>
      <c r="G78" s="79" t="n"/>
      <c r="H78" s="79" t="n"/>
      <c r="I78" s="79" t="n"/>
      <c r="J78" s="79" t="n"/>
      <c r="K78" s="79" t="n"/>
      <c r="L78" s="79" t="n"/>
      <c r="M78" s="79" t="n"/>
      <c r="N78" s="79" t="n">
        <v>1</v>
      </c>
      <c r="O78" s="79" t="n"/>
      <c r="P78" s="79" t="n"/>
      <c r="Q78" s="79" t="n"/>
      <c r="R78" s="79" t="n"/>
      <c r="S78" s="80">
        <f>IF(A78="","",COUNT(G78:R78))</f>
        <v/>
      </c>
      <c r="T78" s="81">
        <f>IF(OR(A78="",S78&lt;12),"",SUMPRODUCT($G$3:$R$3,G78:R78)/5)</f>
        <v/>
      </c>
      <c r="U78" s="82">
        <f>IF(A78="","",IF(COUNTIF(C78:F78,"Fail")&gt;0,"No-Bid (gate failed)",IF(S78&lt;12,"Incomplete ("&amp;S78&amp;"/12)",IF(T78&gt;='Scoring Guide'!$C$26,"Bid",IF(T78&gt;='Scoring Guide'!$C$27,"Conditional (MD)","No-Bid")))))</f>
        <v/>
      </c>
      <c r="V78" s="79" t="n"/>
      <c r="W78" s="83" t="n"/>
      <c r="X78" s="79" t="n"/>
      <c r="Y78" s="79" t="n"/>
    </row>
    <row r="79" ht="15" customHeight="1" s="51">
      <c r="A79" s="77">
        <f>IF(Pipeline!A79="","",Pipeline!A79)</f>
        <v/>
      </c>
      <c r="B79" s="78">
        <f>IF(A79="","",INDEX(Pipeline!$H:$H,MATCH(A79,Pipeline!$A:$A,0)))</f>
        <v/>
      </c>
      <c r="C79" s="79" t="n"/>
      <c r="D79" s="79" t="n"/>
      <c r="E79" s="79" t="n"/>
      <c r="F79" s="79" t="n"/>
      <c r="G79" s="79" t="n"/>
      <c r="H79" s="79" t="n"/>
      <c r="I79" s="79" t="n"/>
      <c r="J79" s="79" t="n"/>
      <c r="K79" s="79" t="n"/>
      <c r="L79" s="79" t="n"/>
      <c r="M79" s="79" t="n"/>
      <c r="N79" s="79" t="n">
        <v>1</v>
      </c>
      <c r="O79" s="79" t="n"/>
      <c r="P79" s="79" t="n"/>
      <c r="Q79" s="79" t="n"/>
      <c r="R79" s="79" t="n"/>
      <c r="S79" s="80">
        <f>IF(A79="","",COUNT(G79:R79))</f>
        <v/>
      </c>
      <c r="T79" s="81">
        <f>IF(OR(A79="",S79&lt;12),"",SUMPRODUCT($G$3:$R$3,G79:R79)/5)</f>
        <v/>
      </c>
      <c r="U79" s="82">
        <f>IF(A79="","",IF(COUNTIF(C79:F79,"Fail")&gt;0,"No-Bid (gate failed)",IF(S79&lt;12,"Incomplete ("&amp;S79&amp;"/12)",IF(T79&gt;='Scoring Guide'!$C$26,"Bid",IF(T79&gt;='Scoring Guide'!$C$27,"Conditional (MD)","No-Bid")))))</f>
        <v/>
      </c>
      <c r="V79" s="79" t="n"/>
      <c r="W79" s="83" t="n"/>
      <c r="X79" s="79" t="n"/>
      <c r="Y79" s="79" t="n"/>
    </row>
    <row r="80" ht="15" customHeight="1" s="51">
      <c r="A80" s="77">
        <f>IF(Pipeline!A80="","",Pipeline!A80)</f>
        <v/>
      </c>
      <c r="B80" s="78">
        <f>IF(A80="","",INDEX(Pipeline!$H:$H,MATCH(A80,Pipeline!$A:$A,0)))</f>
        <v/>
      </c>
      <c r="C80" s="79" t="n"/>
      <c r="D80" s="79" t="n"/>
      <c r="E80" s="79" t="n"/>
      <c r="F80" s="79" t="n"/>
      <c r="G80" s="79" t="n"/>
      <c r="H80" s="79" t="n"/>
      <c r="I80" s="79" t="n"/>
      <c r="J80" s="79" t="n"/>
      <c r="K80" s="79" t="n"/>
      <c r="L80" s="79" t="n"/>
      <c r="M80" s="79" t="n"/>
      <c r="N80" s="79" t="n">
        <v>1</v>
      </c>
      <c r="O80" s="79" t="n"/>
      <c r="P80" s="79" t="n"/>
      <c r="Q80" s="79" t="n"/>
      <c r="R80" s="79" t="n"/>
      <c r="S80" s="80">
        <f>IF(A80="","",COUNT(G80:R80))</f>
        <v/>
      </c>
      <c r="T80" s="81">
        <f>IF(OR(A80="",S80&lt;12),"",SUMPRODUCT($G$3:$R$3,G80:R80)/5)</f>
        <v/>
      </c>
      <c r="U80" s="82">
        <f>IF(A80="","",IF(COUNTIF(C80:F80,"Fail")&gt;0,"No-Bid (gate failed)",IF(S80&lt;12,"Incomplete ("&amp;S80&amp;"/12)",IF(T80&gt;='Scoring Guide'!$C$26,"Bid",IF(T80&gt;='Scoring Guide'!$C$27,"Conditional (MD)","No-Bid")))))</f>
        <v/>
      </c>
      <c r="V80" s="79" t="n"/>
      <c r="W80" s="83" t="n"/>
      <c r="X80" s="79" t="n"/>
      <c r="Y80" s="79" t="n"/>
    </row>
    <row r="81" ht="15" customHeight="1" s="51">
      <c r="A81" s="77">
        <f>IF(Pipeline!A81="","",Pipeline!A81)</f>
        <v/>
      </c>
      <c r="B81" s="78">
        <f>IF(A81="","",INDEX(Pipeline!$H:$H,MATCH(A81,Pipeline!$A:$A,0)))</f>
        <v/>
      </c>
      <c r="C81" s="79" t="n"/>
      <c r="D81" s="79" t="n"/>
      <c r="E81" s="79" t="n"/>
      <c r="F81" s="79" t="n"/>
      <c r="G81" s="79" t="n"/>
      <c r="H81" s="79" t="n"/>
      <c r="I81" s="79" t="n"/>
      <c r="J81" s="79" t="n"/>
      <c r="K81" s="79" t="n"/>
      <c r="L81" s="79" t="n"/>
      <c r="M81" s="79" t="n"/>
      <c r="N81" s="79" t="n">
        <v>5</v>
      </c>
      <c r="O81" s="79" t="n"/>
      <c r="P81" s="79" t="n"/>
      <c r="Q81" s="79" t="n"/>
      <c r="R81" s="79" t="n"/>
      <c r="S81" s="80">
        <f>IF(A81="","",COUNT(G81:R81))</f>
        <v/>
      </c>
      <c r="T81" s="81">
        <f>IF(OR(A81="",S81&lt;12),"",SUMPRODUCT($G$3:$R$3,G81:R81)/5)</f>
        <v/>
      </c>
      <c r="U81" s="82">
        <f>IF(A81="","",IF(COUNTIF(C81:F81,"Fail")&gt;0,"No-Bid (gate failed)",IF(S81&lt;12,"Incomplete ("&amp;S81&amp;"/12)",IF(T81&gt;='Scoring Guide'!$C$26,"Bid",IF(T81&gt;='Scoring Guide'!$C$27,"Conditional (MD)","No-Bid")))))</f>
        <v/>
      </c>
      <c r="V81" s="79" t="n"/>
      <c r="W81" s="83" t="n"/>
      <c r="X81" s="79" t="n"/>
      <c r="Y81" s="79" t="n"/>
    </row>
    <row r="82" ht="15" customHeight="1" s="51">
      <c r="A82" s="77">
        <f>IF(Pipeline!A82="","",Pipeline!A82)</f>
        <v/>
      </c>
      <c r="B82" s="78">
        <f>IF(A82="","",INDEX(Pipeline!$H:$H,MATCH(A82,Pipeline!$A:$A,0)))</f>
        <v/>
      </c>
      <c r="C82" s="79" t="n"/>
      <c r="D82" s="79" t="n"/>
      <c r="E82" s="79" t="n"/>
      <c r="F82" s="79" t="n"/>
      <c r="G82" s="79" t="n"/>
      <c r="H82" s="79" t="n"/>
      <c r="I82" s="79" t="n"/>
      <c r="J82" s="79" t="n"/>
      <c r="K82" s="79" t="n"/>
      <c r="L82" s="79" t="n"/>
      <c r="M82" s="79" t="n"/>
      <c r="N82" s="79" t="n">
        <v>5</v>
      </c>
      <c r="O82" s="79" t="n"/>
      <c r="P82" s="79" t="n"/>
      <c r="Q82" s="79" t="n"/>
      <c r="R82" s="79" t="n"/>
      <c r="S82" s="80">
        <f>IF(A82="","",COUNT(G82:R82))</f>
        <v/>
      </c>
      <c r="T82" s="81">
        <f>IF(OR(A82="",S82&lt;12),"",SUMPRODUCT($G$3:$R$3,G82:R82)/5)</f>
        <v/>
      </c>
      <c r="U82" s="82">
        <f>IF(A82="","",IF(COUNTIF(C82:F82,"Fail")&gt;0,"No-Bid (gate failed)",IF(S82&lt;12,"Incomplete ("&amp;S82&amp;"/12)",IF(T82&gt;='Scoring Guide'!$C$26,"Bid",IF(T82&gt;='Scoring Guide'!$C$27,"Conditional (MD)","No-Bid")))))</f>
        <v/>
      </c>
      <c r="V82" s="79" t="n"/>
      <c r="W82" s="83" t="n"/>
      <c r="X82" s="79" t="n"/>
      <c r="Y82" s="79" t="n"/>
    </row>
    <row r="83" ht="15" customHeight="1" s="51">
      <c r="A83" s="77">
        <f>IF(Pipeline!A83="","",Pipeline!A83)</f>
        <v/>
      </c>
      <c r="B83" s="78">
        <f>IF(A83="","",INDEX(Pipeline!$H:$H,MATCH(A83,Pipeline!$A:$A,0)))</f>
        <v/>
      </c>
      <c r="C83" s="79" t="n"/>
      <c r="D83" s="79" t="n"/>
      <c r="E83" s="79" t="n"/>
      <c r="F83" s="79" t="n"/>
      <c r="G83" s="79" t="n"/>
      <c r="H83" s="79" t="n"/>
      <c r="I83" s="79" t="n"/>
      <c r="J83" s="79" t="n"/>
      <c r="K83" s="79" t="n"/>
      <c r="L83" s="79" t="n"/>
      <c r="M83" s="79" t="n"/>
      <c r="N83" s="79" t="n">
        <v>1</v>
      </c>
      <c r="O83" s="79" t="n"/>
      <c r="P83" s="79" t="n"/>
      <c r="Q83" s="79" t="n"/>
      <c r="R83" s="79" t="n"/>
      <c r="S83" s="80">
        <f>IF(A83="","",COUNT(G83:R83))</f>
        <v/>
      </c>
      <c r="T83" s="81">
        <f>IF(OR(A83="",S83&lt;12),"",SUMPRODUCT($G$3:$R$3,G83:R83)/5)</f>
        <v/>
      </c>
      <c r="U83" s="82">
        <f>IF(A83="","",IF(COUNTIF(C83:F83,"Fail")&gt;0,"No-Bid (gate failed)",IF(S83&lt;12,"Incomplete ("&amp;S83&amp;"/12)",IF(T83&gt;='Scoring Guide'!$C$26,"Bid",IF(T83&gt;='Scoring Guide'!$C$27,"Conditional (MD)","No-Bid")))))</f>
        <v/>
      </c>
      <c r="V83" s="79" t="n"/>
      <c r="W83" s="83" t="n"/>
      <c r="X83" s="79" t="n"/>
      <c r="Y83" s="79" t="n"/>
    </row>
    <row r="84" ht="15" customHeight="1" s="51">
      <c r="A84" s="77">
        <f>IF(Pipeline!A84="","",Pipeline!A84)</f>
        <v/>
      </c>
      <c r="B84" s="78">
        <f>IF(A84="","",INDEX(Pipeline!$H:$H,MATCH(A84,Pipeline!$A:$A,0)))</f>
        <v/>
      </c>
      <c r="C84" s="79" t="n"/>
      <c r="D84" s="79" t="n"/>
      <c r="E84" s="79" t="n"/>
      <c r="F84" s="79" t="n"/>
      <c r="G84" s="79" t="n"/>
      <c r="H84" s="79" t="n"/>
      <c r="I84" s="79" t="n"/>
      <c r="J84" s="79" t="n"/>
      <c r="K84" s="79" t="n"/>
      <c r="L84" s="79" t="n"/>
      <c r="M84" s="79" t="n"/>
      <c r="N84" s="79" t="n">
        <v>4</v>
      </c>
      <c r="O84" s="79" t="n"/>
      <c r="P84" s="79" t="n"/>
      <c r="Q84" s="79" t="n"/>
      <c r="R84" s="79" t="n"/>
      <c r="S84" s="80">
        <f>IF(A84="","",COUNT(G84:R84))</f>
        <v/>
      </c>
      <c r="T84" s="81">
        <f>IF(OR(A84="",S84&lt;12),"",SUMPRODUCT($G$3:$R$3,G84:R84)/5)</f>
        <v/>
      </c>
      <c r="U84" s="82">
        <f>IF(A84="","",IF(COUNTIF(C84:F84,"Fail")&gt;0,"No-Bid (gate failed)",IF(S84&lt;12,"Incomplete ("&amp;S84&amp;"/12)",IF(T84&gt;='Scoring Guide'!$C$26,"Bid",IF(T84&gt;='Scoring Guide'!$C$27,"Conditional (MD)","No-Bid")))))</f>
        <v/>
      </c>
      <c r="V84" s="79" t="n"/>
      <c r="W84" s="83" t="n"/>
      <c r="X84" s="79" t="n"/>
      <c r="Y84" s="79" t="n"/>
    </row>
    <row r="85" ht="15" customHeight="1" s="51">
      <c r="A85" s="77">
        <f>IF(Pipeline!A85="","",Pipeline!A85)</f>
        <v/>
      </c>
      <c r="B85" s="78">
        <f>IF(A85="","",INDEX(Pipeline!$H:$H,MATCH(A85,Pipeline!$A:$A,0)))</f>
        <v/>
      </c>
      <c r="C85" s="79" t="n"/>
      <c r="D85" s="79" t="n"/>
      <c r="E85" s="79" t="n"/>
      <c r="F85" s="79" t="n"/>
      <c r="G85" s="79" t="n"/>
      <c r="H85" s="79" t="n"/>
      <c r="I85" s="79" t="n"/>
      <c r="J85" s="79" t="n"/>
      <c r="K85" s="79" t="n"/>
      <c r="L85" s="79" t="n"/>
      <c r="M85" s="79" t="n"/>
      <c r="N85" s="79" t="n">
        <v>1</v>
      </c>
      <c r="O85" s="79" t="n"/>
      <c r="P85" s="79" t="n"/>
      <c r="Q85" s="79" t="n"/>
      <c r="R85" s="79" t="n"/>
      <c r="S85" s="80">
        <f>IF(A85="","",COUNT(G85:R85))</f>
        <v/>
      </c>
      <c r="T85" s="81">
        <f>IF(OR(A85="",S85&lt;12),"",SUMPRODUCT($G$3:$R$3,G85:R85)/5)</f>
        <v/>
      </c>
      <c r="U85" s="82">
        <f>IF(A85="","",IF(COUNTIF(C85:F85,"Fail")&gt;0,"No-Bid (gate failed)",IF(S85&lt;12,"Incomplete ("&amp;S85&amp;"/12)",IF(T85&gt;='Scoring Guide'!$C$26,"Bid",IF(T85&gt;='Scoring Guide'!$C$27,"Conditional (MD)","No-Bid")))))</f>
        <v/>
      </c>
      <c r="V85" s="79" t="n"/>
      <c r="W85" s="83" t="n"/>
      <c r="X85" s="79" t="n"/>
      <c r="Y85" s="79" t="n"/>
    </row>
    <row r="86" ht="15" customHeight="1" s="51">
      <c r="A86" s="77">
        <f>IF(Pipeline!A86="","",Pipeline!A86)</f>
        <v/>
      </c>
      <c r="B86" s="78">
        <f>IF(A86="","",INDEX(Pipeline!$H:$H,MATCH(A86,Pipeline!$A:$A,0)))</f>
        <v/>
      </c>
      <c r="C86" s="79" t="n"/>
      <c r="D86" s="79" t="n"/>
      <c r="E86" s="79" t="n"/>
      <c r="F86" s="79" t="n"/>
      <c r="G86" s="79" t="n"/>
      <c r="H86" s="79" t="n"/>
      <c r="I86" s="79" t="n"/>
      <c r="J86" s="79" t="n"/>
      <c r="K86" s="79" t="n"/>
      <c r="L86" s="79" t="n"/>
      <c r="M86" s="79" t="n"/>
      <c r="N86" s="79" t="n">
        <v>1</v>
      </c>
      <c r="O86" s="79" t="n"/>
      <c r="P86" s="79" t="n"/>
      <c r="Q86" s="79" t="n"/>
      <c r="R86" s="79" t="n"/>
      <c r="S86" s="80">
        <f>IF(A86="","",COUNT(G86:R86))</f>
        <v/>
      </c>
      <c r="T86" s="81">
        <f>IF(OR(A86="",S86&lt;12),"",SUMPRODUCT($G$3:$R$3,G86:R86)/5)</f>
        <v/>
      </c>
      <c r="U86" s="82">
        <f>IF(A86="","",IF(COUNTIF(C86:F86,"Fail")&gt;0,"No-Bid (gate failed)",IF(S86&lt;12,"Incomplete ("&amp;S86&amp;"/12)",IF(T86&gt;='Scoring Guide'!$C$26,"Bid",IF(T86&gt;='Scoring Guide'!$C$27,"Conditional (MD)","No-Bid")))))</f>
        <v/>
      </c>
      <c r="V86" s="79" t="n"/>
      <c r="W86" s="83" t="n"/>
      <c r="X86" s="79" t="n"/>
      <c r="Y86" s="79" t="n"/>
    </row>
    <row r="87" ht="15" customHeight="1" s="51">
      <c r="A87" s="77">
        <f>IF(Pipeline!A87="","",Pipeline!A87)</f>
        <v/>
      </c>
      <c r="B87" s="78">
        <f>IF(A87="","",INDEX(Pipeline!$H:$H,MATCH(A87,Pipeline!$A:$A,0)))</f>
        <v/>
      </c>
      <c r="C87" s="79" t="n"/>
      <c r="D87" s="79" t="n"/>
      <c r="E87" s="79" t="n"/>
      <c r="F87" s="79" t="n"/>
      <c r="G87" s="79" t="n"/>
      <c r="H87" s="79" t="n"/>
      <c r="I87" s="79" t="n"/>
      <c r="J87" s="79" t="n"/>
      <c r="K87" s="79" t="n"/>
      <c r="L87" s="79" t="n"/>
      <c r="M87" s="79" t="n"/>
      <c r="N87" s="79" t="n">
        <v>1</v>
      </c>
      <c r="O87" s="79" t="n"/>
      <c r="P87" s="79" t="n"/>
      <c r="Q87" s="79" t="n"/>
      <c r="R87" s="79" t="n"/>
      <c r="S87" s="80">
        <f>IF(A87="","",COUNT(G87:R87))</f>
        <v/>
      </c>
      <c r="T87" s="81">
        <f>IF(OR(A87="",S87&lt;12),"",SUMPRODUCT($G$3:$R$3,G87:R87)/5)</f>
        <v/>
      </c>
      <c r="U87" s="82">
        <f>IF(A87="","",IF(COUNTIF(C87:F87,"Fail")&gt;0,"No-Bid (gate failed)",IF(S87&lt;12,"Incomplete ("&amp;S87&amp;"/12)",IF(T87&gt;='Scoring Guide'!$C$26,"Bid",IF(T87&gt;='Scoring Guide'!$C$27,"Conditional (MD)","No-Bid")))))</f>
        <v/>
      </c>
      <c r="V87" s="79" t="n"/>
      <c r="W87" s="83" t="n"/>
      <c r="X87" s="79" t="n"/>
      <c r="Y87" s="79" t="n"/>
    </row>
    <row r="88" ht="15" customHeight="1" s="51">
      <c r="A88" s="77">
        <f>IF(Pipeline!A88="","",Pipeline!A88)</f>
        <v/>
      </c>
      <c r="B88" s="78">
        <f>IF(A88="","",INDEX(Pipeline!$H:$H,MATCH(A88,Pipeline!$A:$A,0)))</f>
        <v/>
      </c>
      <c r="C88" s="79" t="n"/>
      <c r="D88" s="79" t="n"/>
      <c r="E88" s="79" t="n"/>
      <c r="F88" s="79" t="n"/>
      <c r="G88" s="79" t="n"/>
      <c r="H88" s="79" t="n"/>
      <c r="I88" s="79" t="n"/>
      <c r="J88" s="79" t="n"/>
      <c r="K88" s="79" t="n"/>
      <c r="L88" s="79" t="n"/>
      <c r="M88" s="79" t="n"/>
      <c r="N88" s="79" t="n">
        <v>5</v>
      </c>
      <c r="O88" s="79" t="n"/>
      <c r="P88" s="79" t="n"/>
      <c r="Q88" s="79" t="n"/>
      <c r="R88" s="79" t="n"/>
      <c r="S88" s="80">
        <f>IF(A88="","",COUNT(G88:R88))</f>
        <v/>
      </c>
      <c r="T88" s="81">
        <f>IF(OR(A88="",S88&lt;12),"",SUMPRODUCT($G$3:$R$3,G88:R88)/5)</f>
        <v/>
      </c>
      <c r="U88" s="82">
        <f>IF(A88="","",IF(COUNTIF(C88:F88,"Fail")&gt;0,"No-Bid (gate failed)",IF(S88&lt;12,"Incomplete ("&amp;S88&amp;"/12)",IF(T88&gt;='Scoring Guide'!$C$26,"Bid",IF(T88&gt;='Scoring Guide'!$C$27,"Conditional (MD)","No-Bid")))))</f>
        <v/>
      </c>
      <c r="V88" s="79" t="n"/>
      <c r="W88" s="83" t="n"/>
      <c r="X88" s="79" t="n"/>
      <c r="Y88" s="79" t="n"/>
    </row>
    <row r="89" ht="15" customHeight="1" s="51">
      <c r="A89" s="77">
        <f>IF(Pipeline!A89="","",Pipeline!A89)</f>
        <v/>
      </c>
      <c r="B89" s="78">
        <f>IF(A89="","",INDEX(Pipeline!$H:$H,MATCH(A89,Pipeline!$A:$A,0)))</f>
        <v/>
      </c>
      <c r="C89" s="79" t="n"/>
      <c r="D89" s="79" t="n"/>
      <c r="E89" s="79" t="n"/>
      <c r="F89" s="79" t="n"/>
      <c r="G89" s="79" t="n"/>
      <c r="H89" s="79" t="n"/>
      <c r="I89" s="79" t="n"/>
      <c r="J89" s="79" t="n"/>
      <c r="K89" s="79" t="n"/>
      <c r="L89" s="79" t="n"/>
      <c r="M89" s="79" t="n"/>
      <c r="N89" s="79" t="n">
        <v>1</v>
      </c>
      <c r="O89" s="79" t="n"/>
      <c r="P89" s="79" t="n"/>
      <c r="Q89" s="79" t="n"/>
      <c r="R89" s="79" t="n"/>
      <c r="S89" s="80">
        <f>IF(A89="","",COUNT(G89:R89))</f>
        <v/>
      </c>
      <c r="T89" s="81">
        <f>IF(OR(A89="",S89&lt;12),"",SUMPRODUCT($G$3:$R$3,G89:R89)/5)</f>
        <v/>
      </c>
      <c r="U89" s="82">
        <f>IF(A89="","",IF(COUNTIF(C89:F89,"Fail")&gt;0,"No-Bid (gate failed)",IF(S89&lt;12,"Incomplete ("&amp;S89&amp;"/12)",IF(T89&gt;='Scoring Guide'!$C$26,"Bid",IF(T89&gt;='Scoring Guide'!$C$27,"Conditional (MD)","No-Bid")))))</f>
        <v/>
      </c>
      <c r="V89" s="79" t="n"/>
      <c r="W89" s="83" t="n"/>
      <c r="X89" s="79" t="n"/>
      <c r="Y89" s="79" t="n"/>
    </row>
    <row r="90" ht="15" customHeight="1" s="51">
      <c r="A90" s="77">
        <f>IF(Pipeline!A90="","",Pipeline!A90)</f>
        <v/>
      </c>
      <c r="B90" s="78">
        <f>IF(A90="","",INDEX(Pipeline!$H:$H,MATCH(A90,Pipeline!$A:$A,0)))</f>
        <v/>
      </c>
      <c r="C90" s="79" t="n"/>
      <c r="D90" s="79" t="n"/>
      <c r="E90" s="79" t="n"/>
      <c r="F90" s="79" t="n"/>
      <c r="G90" s="79" t="n"/>
      <c r="H90" s="79" t="n"/>
      <c r="I90" s="79" t="n"/>
      <c r="J90" s="79" t="n"/>
      <c r="K90" s="79" t="n"/>
      <c r="L90" s="79" t="n"/>
      <c r="M90" s="79" t="n"/>
      <c r="N90" s="79" t="n">
        <v>1</v>
      </c>
      <c r="O90" s="79" t="n"/>
      <c r="P90" s="79" t="n"/>
      <c r="Q90" s="79" t="n"/>
      <c r="R90" s="79" t="n"/>
      <c r="S90" s="80">
        <f>IF(A90="","",COUNT(G90:R90))</f>
        <v/>
      </c>
      <c r="T90" s="81">
        <f>IF(OR(A90="",S90&lt;12),"",SUMPRODUCT($G$3:$R$3,G90:R90)/5)</f>
        <v/>
      </c>
      <c r="U90" s="82">
        <f>IF(A90="","",IF(COUNTIF(C90:F90,"Fail")&gt;0,"No-Bid (gate failed)",IF(S90&lt;12,"Incomplete ("&amp;S90&amp;"/12)",IF(T90&gt;='Scoring Guide'!$C$26,"Bid",IF(T90&gt;='Scoring Guide'!$C$27,"Conditional (MD)","No-Bid")))))</f>
        <v/>
      </c>
      <c r="V90" s="79" t="n"/>
      <c r="W90" s="83" t="n"/>
      <c r="X90" s="79" t="n"/>
      <c r="Y90" s="79" t="n"/>
    </row>
    <row r="91" ht="15" customHeight="1" s="51">
      <c r="A91" s="77">
        <f>IF(Pipeline!A91="","",Pipeline!A91)</f>
        <v/>
      </c>
      <c r="B91" s="78">
        <f>IF(A91="","",INDEX(Pipeline!$H:$H,MATCH(A91,Pipeline!$A:$A,0)))</f>
        <v/>
      </c>
      <c r="C91" s="79" t="n"/>
      <c r="D91" s="79" t="n"/>
      <c r="E91" s="79" t="n"/>
      <c r="F91" s="79" t="n"/>
      <c r="G91" s="79" t="n"/>
      <c r="H91" s="79" t="n"/>
      <c r="I91" s="79" t="n"/>
      <c r="J91" s="79" t="n"/>
      <c r="K91" s="79" t="n"/>
      <c r="L91" s="79" t="n"/>
      <c r="M91" s="79" t="n"/>
      <c r="N91" s="79" t="n">
        <v>1</v>
      </c>
      <c r="O91" s="79" t="n"/>
      <c r="P91" s="79" t="n"/>
      <c r="Q91" s="79" t="n"/>
      <c r="R91" s="79" t="n"/>
      <c r="S91" s="80">
        <f>IF(A91="","",COUNT(G91:R91))</f>
        <v/>
      </c>
      <c r="T91" s="81">
        <f>IF(OR(A91="",S91&lt;12),"",SUMPRODUCT($G$3:$R$3,G91:R91)/5)</f>
        <v/>
      </c>
      <c r="U91" s="82">
        <f>IF(A91="","",IF(COUNTIF(C91:F91,"Fail")&gt;0,"No-Bid (gate failed)",IF(S91&lt;12,"Incomplete ("&amp;S91&amp;"/12)",IF(T91&gt;='Scoring Guide'!$C$26,"Bid",IF(T91&gt;='Scoring Guide'!$C$27,"Conditional (MD)","No-Bid")))))</f>
        <v/>
      </c>
      <c r="V91" s="79" t="n"/>
      <c r="W91" s="83" t="n"/>
      <c r="X91" s="79" t="n"/>
      <c r="Y91" s="79" t="n"/>
    </row>
    <row r="92" ht="15" customHeight="1" s="51">
      <c r="A92" s="77">
        <f>IF(Pipeline!A92="","",Pipeline!A92)</f>
        <v/>
      </c>
      <c r="B92" s="78">
        <f>IF(A92="","",INDEX(Pipeline!$H:$H,MATCH(A92,Pipeline!$A:$A,0)))</f>
        <v/>
      </c>
      <c r="C92" s="79" t="n"/>
      <c r="D92" s="79" t="n"/>
      <c r="E92" s="79" t="n"/>
      <c r="F92" s="79" t="n"/>
      <c r="G92" s="79" t="n"/>
      <c r="H92" s="79" t="n"/>
      <c r="I92" s="79" t="n"/>
      <c r="J92" s="79" t="n"/>
      <c r="K92" s="79" t="n"/>
      <c r="L92" s="79" t="n"/>
      <c r="M92" s="79" t="n"/>
      <c r="N92" s="79" t="n">
        <v>1</v>
      </c>
      <c r="O92" s="79" t="n"/>
      <c r="P92" s="79" t="n"/>
      <c r="Q92" s="79" t="n"/>
      <c r="R92" s="79" t="n"/>
      <c r="S92" s="80">
        <f>IF(A92="","",COUNT(G92:R92))</f>
        <v/>
      </c>
      <c r="T92" s="81">
        <f>IF(OR(A92="",S92&lt;12),"",SUMPRODUCT($G$3:$R$3,G92:R92)/5)</f>
        <v/>
      </c>
      <c r="U92" s="82">
        <f>IF(A92="","",IF(COUNTIF(C92:F92,"Fail")&gt;0,"No-Bid (gate failed)",IF(S92&lt;12,"Incomplete ("&amp;S92&amp;"/12)",IF(T92&gt;='Scoring Guide'!$C$26,"Bid",IF(T92&gt;='Scoring Guide'!$C$27,"Conditional (MD)","No-Bid")))))</f>
        <v/>
      </c>
      <c r="V92" s="79" t="n"/>
      <c r="W92" s="83" t="n"/>
      <c r="X92" s="79" t="n"/>
      <c r="Y92" s="79" t="n"/>
    </row>
    <row r="93" ht="15" customHeight="1" s="51">
      <c r="A93" s="77">
        <f>IF(Pipeline!A93="","",Pipeline!A93)</f>
        <v/>
      </c>
      <c r="B93" s="78">
        <f>IF(A93="","",INDEX(Pipeline!$H:$H,MATCH(A93,Pipeline!$A:$A,0)))</f>
        <v/>
      </c>
      <c r="C93" s="79" t="n"/>
      <c r="D93" s="79" t="n"/>
      <c r="E93" s="79" t="n"/>
      <c r="F93" s="79" t="n"/>
      <c r="G93" s="79" t="n"/>
      <c r="H93" s="79" t="n"/>
      <c r="I93" s="79" t="n"/>
      <c r="J93" s="79" t="n"/>
      <c r="K93" s="79" t="n"/>
      <c r="L93" s="79" t="n"/>
      <c r="M93" s="79" t="n"/>
      <c r="N93" s="79" t="n">
        <v>1</v>
      </c>
      <c r="O93" s="79" t="n"/>
      <c r="P93" s="79" t="n"/>
      <c r="Q93" s="79" t="n"/>
      <c r="R93" s="79" t="n"/>
      <c r="S93" s="80">
        <f>IF(A93="","",COUNT(G93:R93))</f>
        <v/>
      </c>
      <c r="T93" s="81">
        <f>IF(OR(A93="",S93&lt;12),"",SUMPRODUCT($G$3:$R$3,G93:R93)/5)</f>
        <v/>
      </c>
      <c r="U93" s="82">
        <f>IF(A93="","",IF(COUNTIF(C93:F93,"Fail")&gt;0,"No-Bid (gate failed)",IF(S93&lt;12,"Incomplete ("&amp;S93&amp;"/12)",IF(T93&gt;='Scoring Guide'!$C$26,"Bid",IF(T93&gt;='Scoring Guide'!$C$27,"Conditional (MD)","No-Bid")))))</f>
        <v/>
      </c>
      <c r="V93" s="79" t="n"/>
      <c r="W93" s="83" t="n"/>
      <c r="X93" s="79" t="n"/>
      <c r="Y93" s="79" t="n"/>
    </row>
    <row r="94" ht="15" customHeight="1" s="51">
      <c r="A94" s="77">
        <f>IF(Pipeline!A94="","",Pipeline!A94)</f>
        <v/>
      </c>
      <c r="B94" s="78">
        <f>IF(A94="","",INDEX(Pipeline!$H:$H,MATCH(A94,Pipeline!$A:$A,0)))</f>
        <v/>
      </c>
      <c r="C94" s="79" t="n"/>
      <c r="D94" s="79" t="n"/>
      <c r="E94" s="79" t="n"/>
      <c r="F94" s="79" t="n"/>
      <c r="G94" s="79" t="n"/>
      <c r="H94" s="79" t="n"/>
      <c r="I94" s="79" t="n"/>
      <c r="J94" s="79" t="n"/>
      <c r="K94" s="79" t="n"/>
      <c r="L94" s="79" t="n"/>
      <c r="M94" s="79" t="n"/>
      <c r="N94" s="79" t="n">
        <v>1</v>
      </c>
      <c r="O94" s="79" t="n"/>
      <c r="P94" s="79" t="n"/>
      <c r="Q94" s="79" t="n"/>
      <c r="R94" s="79" t="n"/>
      <c r="S94" s="80">
        <f>IF(A94="","",COUNT(G94:R94))</f>
        <v/>
      </c>
      <c r="T94" s="81">
        <f>IF(OR(A94="",S94&lt;12),"",SUMPRODUCT($G$3:$R$3,G94:R94)/5)</f>
        <v/>
      </c>
      <c r="U94" s="82">
        <f>IF(A94="","",IF(COUNTIF(C94:F94,"Fail")&gt;0,"No-Bid (gate failed)",IF(S94&lt;12,"Incomplete ("&amp;S94&amp;"/12)",IF(T94&gt;='Scoring Guide'!$C$26,"Bid",IF(T94&gt;='Scoring Guide'!$C$27,"Conditional (MD)","No-Bid")))))</f>
        <v/>
      </c>
      <c r="V94" s="79" t="n"/>
      <c r="W94" s="83" t="n"/>
      <c r="X94" s="79" t="n"/>
      <c r="Y94" s="79" t="n"/>
    </row>
    <row r="95" ht="15" customHeight="1" s="51">
      <c r="A95" s="77">
        <f>IF(Pipeline!A95="","",Pipeline!A95)</f>
        <v/>
      </c>
      <c r="B95" s="78">
        <f>IF(A95="","",INDEX(Pipeline!$H:$H,MATCH(A95,Pipeline!$A:$A,0)))</f>
        <v/>
      </c>
      <c r="C95" s="79" t="n"/>
      <c r="D95" s="79" t="n"/>
      <c r="E95" s="79" t="n"/>
      <c r="F95" s="79" t="n"/>
      <c r="G95" s="79" t="n"/>
      <c r="H95" s="79" t="n"/>
      <c r="I95" s="79" t="n"/>
      <c r="J95" s="79" t="n"/>
      <c r="K95" s="79" t="n"/>
      <c r="L95" s="79" t="n"/>
      <c r="M95" s="79" t="n"/>
      <c r="N95" s="79" t="n">
        <v>1</v>
      </c>
      <c r="O95" s="79" t="n"/>
      <c r="P95" s="79" t="n"/>
      <c r="Q95" s="79" t="n"/>
      <c r="R95" s="79" t="n"/>
      <c r="S95" s="80">
        <f>IF(A95="","",COUNT(G95:R95))</f>
        <v/>
      </c>
      <c r="T95" s="81">
        <f>IF(OR(A95="",S95&lt;12),"",SUMPRODUCT($G$3:$R$3,G95:R95)/5)</f>
        <v/>
      </c>
      <c r="U95" s="82">
        <f>IF(A95="","",IF(COUNTIF(C95:F95,"Fail")&gt;0,"No-Bid (gate failed)",IF(S95&lt;12,"Incomplete ("&amp;S95&amp;"/12)",IF(T95&gt;='Scoring Guide'!$C$26,"Bid",IF(T95&gt;='Scoring Guide'!$C$27,"Conditional (MD)","No-Bid")))))</f>
        <v/>
      </c>
      <c r="V95" s="79" t="n"/>
      <c r="W95" s="83" t="n"/>
      <c r="X95" s="79" t="n"/>
      <c r="Y95" s="79" t="n"/>
    </row>
    <row r="96" ht="15" customHeight="1" s="51">
      <c r="A96" s="77">
        <f>IF(Pipeline!A96="","",Pipeline!A96)</f>
        <v/>
      </c>
      <c r="B96" s="78">
        <f>IF(A96="","",INDEX(Pipeline!$H:$H,MATCH(A96,Pipeline!$A:$A,0)))</f>
        <v/>
      </c>
      <c r="C96" s="79" t="n"/>
      <c r="D96" s="79" t="n"/>
      <c r="E96" s="79" t="n"/>
      <c r="F96" s="79" t="n"/>
      <c r="G96" s="79" t="n"/>
      <c r="H96" s="79" t="n"/>
      <c r="I96" s="79" t="n"/>
      <c r="J96" s="79" t="n"/>
      <c r="K96" s="79" t="n"/>
      <c r="L96" s="79" t="n"/>
      <c r="M96" s="79" t="n"/>
      <c r="N96" s="79" t="n">
        <v>4</v>
      </c>
      <c r="O96" s="79" t="n"/>
      <c r="P96" s="79" t="n"/>
      <c r="Q96" s="79" t="n"/>
      <c r="R96" s="79" t="n"/>
      <c r="S96" s="80">
        <f>IF(A96="","",COUNT(G96:R96))</f>
        <v/>
      </c>
      <c r="T96" s="81">
        <f>IF(OR(A96="",S96&lt;12),"",SUMPRODUCT($G$3:$R$3,G96:R96)/5)</f>
        <v/>
      </c>
      <c r="U96" s="82">
        <f>IF(A96="","",IF(COUNTIF(C96:F96,"Fail")&gt;0,"No-Bid (gate failed)",IF(S96&lt;12,"Incomplete ("&amp;S96&amp;"/12)",IF(T96&gt;='Scoring Guide'!$C$26,"Bid",IF(T96&gt;='Scoring Guide'!$C$27,"Conditional (MD)","No-Bid")))))</f>
        <v/>
      </c>
      <c r="V96" s="79" t="n"/>
      <c r="W96" s="83" t="n"/>
      <c r="X96" s="79" t="n"/>
      <c r="Y96" s="79" t="n"/>
    </row>
    <row r="97" ht="15" customHeight="1" s="51">
      <c r="A97" s="77">
        <f>IF(Pipeline!A97="","",Pipeline!A97)</f>
        <v/>
      </c>
      <c r="B97" s="78">
        <f>IF(A97="","",INDEX(Pipeline!$H:$H,MATCH(A97,Pipeline!$A:$A,0)))</f>
        <v/>
      </c>
      <c r="C97" s="79" t="n"/>
      <c r="D97" s="79" t="n"/>
      <c r="E97" s="79" t="n"/>
      <c r="F97" s="79" t="n"/>
      <c r="G97" s="79" t="n"/>
      <c r="H97" s="79" t="n"/>
      <c r="I97" s="79" t="n"/>
      <c r="J97" s="79" t="n"/>
      <c r="K97" s="79" t="n"/>
      <c r="L97" s="79" t="n"/>
      <c r="M97" s="79" t="n"/>
      <c r="N97" s="79" t="n"/>
      <c r="O97" s="79" t="n"/>
      <c r="P97" s="79" t="n"/>
      <c r="Q97" s="79" t="n"/>
      <c r="R97" s="79" t="n"/>
      <c r="S97" s="80">
        <f>IF(A97="","",COUNT(G97:R97))</f>
        <v/>
      </c>
      <c r="T97" s="81">
        <f>IF(OR(A97="",S97&lt;12),"",SUMPRODUCT($G$3:$R$3,G97:R97)/5)</f>
        <v/>
      </c>
      <c r="U97" s="82">
        <f>IF(A97="","",IF(COUNTIF(C97:F97,"Fail")&gt;0,"No-Bid (gate failed)",IF(S97&lt;12,"Incomplete ("&amp;S97&amp;"/12)",IF(T97&gt;='Scoring Guide'!$C$26,"Bid",IF(T97&gt;='Scoring Guide'!$C$27,"Conditional (MD)","No-Bid")))))</f>
        <v/>
      </c>
      <c r="V97" s="79" t="n"/>
      <c r="W97" s="83" t="n"/>
      <c r="X97" s="79" t="n"/>
      <c r="Y97" s="79" t="n"/>
    </row>
    <row r="98" ht="15" customHeight="1" s="51">
      <c r="A98" s="77">
        <f>IF(Pipeline!A98="","",Pipeline!A98)</f>
        <v/>
      </c>
      <c r="B98" s="78">
        <f>IF(A98="","",INDEX(Pipeline!$H:$H,MATCH(A98,Pipeline!$A:$A,0)))</f>
        <v/>
      </c>
      <c r="C98" s="79" t="n"/>
      <c r="D98" s="79" t="n"/>
      <c r="E98" s="79" t="n"/>
      <c r="F98" s="79" t="n"/>
      <c r="G98" s="79" t="n"/>
      <c r="H98" s="79" t="n"/>
      <c r="I98" s="79" t="n"/>
      <c r="J98" s="79" t="n"/>
      <c r="K98" s="79" t="n"/>
      <c r="L98" s="79" t="n"/>
      <c r="M98" s="79" t="n"/>
      <c r="N98" s="79" t="n"/>
      <c r="O98" s="79" t="n"/>
      <c r="P98" s="79" t="n"/>
      <c r="Q98" s="79" t="n"/>
      <c r="R98" s="79" t="n"/>
      <c r="S98" s="80">
        <f>IF(A98="","",COUNT(G98:R98))</f>
        <v/>
      </c>
      <c r="T98" s="81">
        <f>IF(OR(A98="",S98&lt;12),"",SUMPRODUCT($G$3:$R$3,G98:R98)/5)</f>
        <v/>
      </c>
      <c r="U98" s="82">
        <f>IF(A98="","",IF(COUNTIF(C98:F98,"Fail")&gt;0,"No-Bid (gate failed)",IF(S98&lt;12,"Incomplete ("&amp;S98&amp;"/12)",IF(T98&gt;='Scoring Guide'!$C$26,"Bid",IF(T98&gt;='Scoring Guide'!$C$27,"Conditional (MD)","No-Bid")))))</f>
        <v/>
      </c>
      <c r="V98" s="79" t="n"/>
      <c r="W98" s="83" t="n"/>
      <c r="X98" s="79" t="n"/>
      <c r="Y98" s="79" t="n"/>
    </row>
    <row r="99" ht="15" customHeight="1" s="51">
      <c r="A99" s="77">
        <f>IF(Pipeline!A99="","",Pipeline!A99)</f>
        <v/>
      </c>
      <c r="B99" s="78">
        <f>IF(A99="","",INDEX(Pipeline!$H:$H,MATCH(A99,Pipeline!$A:$A,0)))</f>
        <v/>
      </c>
      <c r="C99" s="79" t="n"/>
      <c r="D99" s="79" t="n"/>
      <c r="E99" s="79" t="n"/>
      <c r="F99" s="79" t="n"/>
      <c r="G99" s="79" t="n"/>
      <c r="H99" s="79" t="n"/>
      <c r="I99" s="79" t="n"/>
      <c r="J99" s="79" t="n"/>
      <c r="K99" s="79" t="n"/>
      <c r="L99" s="79" t="n"/>
      <c r="M99" s="79" t="n"/>
      <c r="N99" s="79" t="n"/>
      <c r="O99" s="79" t="n"/>
      <c r="P99" s="79" t="n"/>
      <c r="Q99" s="79" t="n"/>
      <c r="R99" s="79" t="n"/>
      <c r="S99" s="80">
        <f>IF(A99="","",COUNT(G99:R99))</f>
        <v/>
      </c>
      <c r="T99" s="81">
        <f>IF(OR(A99="",S99&lt;12),"",SUMPRODUCT($G$3:$R$3,G99:R99)/5)</f>
        <v/>
      </c>
      <c r="U99" s="82">
        <f>IF(A99="","",IF(COUNTIF(C99:F99,"Fail")&gt;0,"No-Bid (gate failed)",IF(S99&lt;12,"Incomplete ("&amp;S99&amp;"/12)",IF(T99&gt;='Scoring Guide'!$C$26,"Bid",IF(T99&gt;='Scoring Guide'!$C$27,"Conditional (MD)","No-Bid")))))</f>
        <v/>
      </c>
      <c r="V99" s="79" t="n"/>
      <c r="W99" s="83" t="n"/>
      <c r="X99" s="79" t="n"/>
      <c r="Y99" s="79" t="n"/>
    </row>
    <row r="100" ht="15" customHeight="1" s="51">
      <c r="A100" s="77">
        <f>IF(Pipeline!A100="","",Pipeline!A100)</f>
        <v/>
      </c>
      <c r="B100" s="78">
        <f>IF(A100="","",INDEX(Pipeline!$H:$H,MATCH(A100,Pipeline!$A:$A,0)))</f>
        <v/>
      </c>
      <c r="C100" s="79" t="n"/>
      <c r="D100" s="79" t="n"/>
      <c r="E100" s="79" t="n"/>
      <c r="F100" s="79" t="n"/>
      <c r="G100" s="79" t="n"/>
      <c r="H100" s="79" t="n"/>
      <c r="I100" s="79" t="n"/>
      <c r="J100" s="79" t="n"/>
      <c r="K100" s="79" t="n"/>
      <c r="L100" s="79" t="n"/>
      <c r="M100" s="79" t="n"/>
      <c r="N100" s="79" t="n"/>
      <c r="O100" s="79" t="n"/>
      <c r="P100" s="79" t="n"/>
      <c r="Q100" s="79" t="n"/>
      <c r="R100" s="79" t="n"/>
      <c r="S100" s="80">
        <f>IF(A100="","",COUNT(G100:R100))</f>
        <v/>
      </c>
      <c r="T100" s="81">
        <f>IF(OR(A100="",S100&lt;12),"",SUMPRODUCT($G$3:$R$3,G100:R100)/5)</f>
        <v/>
      </c>
      <c r="U100" s="82">
        <f>IF(A100="","",IF(COUNTIF(C100:F100,"Fail")&gt;0,"No-Bid (gate failed)",IF(S100&lt;12,"Incomplete ("&amp;S100&amp;"/12)",IF(T100&gt;='Scoring Guide'!$C$26,"Bid",IF(T100&gt;='Scoring Guide'!$C$27,"Conditional (MD)","No-Bid")))))</f>
        <v/>
      </c>
      <c r="V100" s="79" t="n"/>
      <c r="W100" s="83" t="n"/>
      <c r="X100" s="79" t="n"/>
      <c r="Y100" s="79" t="n"/>
    </row>
    <row r="101" ht="15" customHeight="1" s="51">
      <c r="A101" s="77">
        <f>IF(Pipeline!A101="","",Pipeline!A101)</f>
        <v/>
      </c>
      <c r="B101" s="78">
        <f>IF(A101="","",INDEX(Pipeline!$H:$H,MATCH(A101,Pipeline!$A:$A,0)))</f>
        <v/>
      </c>
      <c r="C101" s="79" t="n"/>
      <c r="D101" s="79" t="n"/>
      <c r="E101" s="79" t="n"/>
      <c r="F101" s="79" t="n"/>
      <c r="G101" s="79" t="n"/>
      <c r="H101" s="79" t="n"/>
      <c r="I101" s="79" t="n"/>
      <c r="J101" s="79" t="n"/>
      <c r="K101" s="79" t="n"/>
      <c r="L101" s="79" t="n"/>
      <c r="M101" s="79" t="n"/>
      <c r="N101" s="79" t="n"/>
      <c r="O101" s="79" t="n"/>
      <c r="P101" s="79" t="n"/>
      <c r="Q101" s="79" t="n"/>
      <c r="R101" s="79" t="n"/>
      <c r="S101" s="80">
        <f>IF(A101="","",COUNT(G101:R101))</f>
        <v/>
      </c>
      <c r="T101" s="81">
        <f>IF(OR(A101="",S101&lt;12),"",SUMPRODUCT($G$3:$R$3,G101:R101)/5)</f>
        <v/>
      </c>
      <c r="U101" s="82">
        <f>IF(A101="","",IF(COUNTIF(C101:F101,"Fail")&gt;0,"No-Bid (gate failed)",IF(S101&lt;12,"Incomplete ("&amp;S101&amp;"/12)",IF(T101&gt;='Scoring Guide'!$C$26,"Bid",IF(T101&gt;='Scoring Guide'!$C$27,"Conditional (MD)","No-Bid")))))</f>
        <v/>
      </c>
      <c r="V101" s="79" t="n"/>
      <c r="W101" s="83" t="n"/>
      <c r="X101" s="79" t="n"/>
      <c r="Y101" s="79" t="n"/>
    </row>
    <row r="102" ht="15" customHeight="1" s="51">
      <c r="A102" s="77">
        <f>IF(Pipeline!A102="","",Pipeline!A102)</f>
        <v/>
      </c>
      <c r="B102" s="78">
        <f>IF(A102="","",INDEX(Pipeline!$H:$H,MATCH(A102,Pipeline!$A:$A,0)))</f>
        <v/>
      </c>
      <c r="C102" s="79" t="n"/>
      <c r="D102" s="79" t="n"/>
      <c r="E102" s="79" t="n"/>
      <c r="F102" s="79" t="n"/>
      <c r="G102" s="79" t="n"/>
      <c r="H102" s="79" t="n"/>
      <c r="I102" s="79" t="n"/>
      <c r="J102" s="79" t="n"/>
      <c r="K102" s="79" t="n"/>
      <c r="L102" s="79" t="n"/>
      <c r="M102" s="79" t="n"/>
      <c r="N102" s="79" t="n"/>
      <c r="O102" s="79" t="n"/>
      <c r="P102" s="79" t="n"/>
      <c r="Q102" s="79" t="n"/>
      <c r="R102" s="79" t="n"/>
      <c r="S102" s="80">
        <f>IF(A102="","",COUNT(G102:R102))</f>
        <v/>
      </c>
      <c r="T102" s="81">
        <f>IF(OR(A102="",S102&lt;12),"",SUMPRODUCT($G$3:$R$3,G102:R102)/5)</f>
        <v/>
      </c>
      <c r="U102" s="82">
        <f>IF(A102="","",IF(COUNTIF(C102:F102,"Fail")&gt;0,"No-Bid (gate failed)",IF(S102&lt;12,"Incomplete ("&amp;S102&amp;"/12)",IF(T102&gt;='Scoring Guide'!$C$26,"Bid",IF(T102&gt;='Scoring Guide'!$C$27,"Conditional (MD)","No-Bid")))))</f>
        <v/>
      </c>
      <c r="V102" s="79" t="n"/>
      <c r="W102" s="83" t="n"/>
      <c r="X102" s="79" t="n"/>
      <c r="Y102" s="79" t="n"/>
    </row>
    <row r="103" ht="15" customHeight="1" s="51">
      <c r="A103" s="77">
        <f>IF(Pipeline!A103="","",Pipeline!A103)</f>
        <v/>
      </c>
      <c r="B103" s="78">
        <f>IF(A103="","",INDEX(Pipeline!$H:$H,MATCH(A103,Pipeline!$A:$A,0)))</f>
        <v/>
      </c>
      <c r="C103" s="79" t="n"/>
      <c r="D103" s="79" t="n"/>
      <c r="E103" s="79" t="n"/>
      <c r="F103" s="79" t="n"/>
      <c r="G103" s="79" t="n"/>
      <c r="H103" s="79" t="n"/>
      <c r="I103" s="79" t="n"/>
      <c r="J103" s="79" t="n"/>
      <c r="K103" s="79" t="n"/>
      <c r="L103" s="79" t="n"/>
      <c r="M103" s="79" t="n"/>
      <c r="N103" s="79" t="n"/>
      <c r="O103" s="79" t="n"/>
      <c r="P103" s="79" t="n"/>
      <c r="Q103" s="79" t="n"/>
      <c r="R103" s="79" t="n"/>
      <c r="S103" s="80">
        <f>IF(A103="","",COUNT(G103:R103))</f>
        <v/>
      </c>
      <c r="T103" s="81">
        <f>IF(OR(A103="",S103&lt;12),"",SUMPRODUCT($G$3:$R$3,G103:R103)/5)</f>
        <v/>
      </c>
      <c r="U103" s="82">
        <f>IF(A103="","",IF(COUNTIF(C103:F103,"Fail")&gt;0,"No-Bid (gate failed)",IF(S103&lt;12,"Incomplete ("&amp;S103&amp;"/12)",IF(T103&gt;='Scoring Guide'!$C$26,"Bid",IF(T103&gt;='Scoring Guide'!$C$27,"Conditional (MD)","No-Bid")))))</f>
        <v/>
      </c>
      <c r="V103" s="79" t="n"/>
      <c r="W103" s="83" t="n"/>
      <c r="X103" s="79" t="n"/>
      <c r="Y103" s="79" t="n"/>
    </row>
    <row r="104" ht="15" customHeight="1" s="51">
      <c r="A104" s="77">
        <f>IF(Pipeline!A104="","",Pipeline!A104)</f>
        <v/>
      </c>
      <c r="B104" s="78">
        <f>IF(A104="","",INDEX(Pipeline!$H:$H,MATCH(A104,Pipeline!$A:$A,0)))</f>
        <v/>
      </c>
      <c r="C104" s="79" t="n"/>
      <c r="D104" s="79" t="n"/>
      <c r="E104" s="79" t="n"/>
      <c r="F104" s="79" t="n"/>
      <c r="G104" s="79" t="n"/>
      <c r="H104" s="79" t="n"/>
      <c r="I104" s="79" t="n"/>
      <c r="J104" s="79" t="n"/>
      <c r="K104" s="79" t="n"/>
      <c r="L104" s="79" t="n"/>
      <c r="M104" s="79" t="n"/>
      <c r="N104" s="79" t="n">
        <v>4</v>
      </c>
      <c r="O104" s="79" t="n"/>
      <c r="P104" s="79" t="n"/>
      <c r="Q104" s="79" t="n"/>
      <c r="R104" s="79" t="n"/>
      <c r="S104" s="80">
        <f>IF(A104="","",COUNT(G104:R104))</f>
        <v/>
      </c>
      <c r="T104" s="81">
        <f>IF(OR(A104="",S104&lt;12),"",SUMPRODUCT($G$3:$R$3,G104:R104)/5)</f>
        <v/>
      </c>
      <c r="U104" s="82">
        <f>IF(A104="","",IF(COUNTIF(C104:F104,"Fail")&gt;0,"No-Bid (gate failed)",IF(S104&lt;12,"Incomplete ("&amp;S104&amp;"/12)",IF(T104&gt;='Scoring Guide'!$C$26,"Bid",IF(T104&gt;='Scoring Guide'!$C$27,"Conditional (MD)","No-Bid")))))</f>
        <v/>
      </c>
      <c r="V104" s="79" t="n"/>
      <c r="W104" s="83" t="n"/>
      <c r="X104" s="79" t="n"/>
      <c r="Y104" s="79" t="n"/>
    </row>
    <row r="105" ht="15" customHeight="1" s="51">
      <c r="A105" s="77">
        <f>IF(Pipeline!A105="","",Pipeline!A105)</f>
        <v/>
      </c>
      <c r="B105" s="78">
        <f>IF(A105="","",INDEX(Pipeline!$H:$H,MATCH(A105,Pipeline!$A:$A,0)))</f>
        <v/>
      </c>
      <c r="C105" s="79" t="n"/>
      <c r="D105" s="79" t="n"/>
      <c r="E105" s="79" t="n"/>
      <c r="F105" s="79" t="n"/>
      <c r="G105" s="79" t="n"/>
      <c r="H105" s="79" t="n"/>
      <c r="I105" s="79" t="n"/>
      <c r="J105" s="79" t="n"/>
      <c r="K105" s="79" t="n"/>
      <c r="L105" s="79" t="n"/>
      <c r="M105" s="79" t="n"/>
      <c r="N105" s="79" t="n">
        <v>4</v>
      </c>
      <c r="O105" s="79" t="n"/>
      <c r="P105" s="79" t="n"/>
      <c r="Q105" s="79" t="n"/>
      <c r="R105" s="79" t="n"/>
      <c r="S105" s="80">
        <f>IF(A105="","",COUNT(G105:R105))</f>
        <v/>
      </c>
      <c r="T105" s="81">
        <f>IF(OR(A105="",S105&lt;12),"",SUMPRODUCT($G$3:$R$3,G105:R105)/5)</f>
        <v/>
      </c>
      <c r="U105" s="82">
        <f>IF(A105="","",IF(COUNTIF(C105:F105,"Fail")&gt;0,"No-Bid (gate failed)",IF(S105&lt;12,"Incomplete ("&amp;S105&amp;"/12)",IF(T105&gt;='Scoring Guide'!$C$26,"Bid",IF(T105&gt;='Scoring Guide'!$C$27,"Conditional (MD)","No-Bid")))))</f>
        <v/>
      </c>
      <c r="V105" s="79" t="n"/>
      <c r="W105" s="83" t="n"/>
      <c r="X105" s="79" t="n"/>
      <c r="Y105" s="79" t="n"/>
    </row>
    <row r="106" ht="15" customHeight="1" s="51">
      <c r="A106" s="77">
        <f>IF(Pipeline!A106="","",Pipeline!A106)</f>
        <v/>
      </c>
      <c r="B106" s="78">
        <f>IF(A106="","",INDEX(Pipeline!$H:$H,MATCH(A106,Pipeline!$A:$A,0)))</f>
        <v/>
      </c>
      <c r="C106" s="79" t="n"/>
      <c r="D106" s="79" t="n"/>
      <c r="E106" s="79" t="n"/>
      <c r="F106" s="79" t="n"/>
      <c r="G106" s="79" t="n"/>
      <c r="H106" s="79" t="n"/>
      <c r="I106" s="79" t="n"/>
      <c r="J106" s="79" t="n"/>
      <c r="K106" s="79" t="n"/>
      <c r="L106" s="79" t="n"/>
      <c r="M106" s="79" t="n"/>
      <c r="N106" s="79" t="n"/>
      <c r="O106" s="79" t="n"/>
      <c r="P106" s="79" t="n"/>
      <c r="Q106" s="79" t="n"/>
      <c r="R106" s="79" t="n"/>
      <c r="S106" s="80">
        <f>IF(A106="","",COUNT(G106:R106))</f>
        <v/>
      </c>
      <c r="T106" s="81">
        <f>IF(OR(A106="",S106&lt;12),"",SUMPRODUCT($G$3:$R$3,G106:R106)/5)</f>
        <v/>
      </c>
      <c r="U106" s="82">
        <f>IF(A106="","",IF(COUNTIF(C106:F106,"Fail")&gt;0,"No-Bid (gate failed)",IF(S106&lt;12,"Incomplete ("&amp;S106&amp;"/12)",IF(T106&gt;='Scoring Guide'!$C$26,"Bid",IF(T106&gt;='Scoring Guide'!$C$27,"Conditional (MD)","No-Bid")))))</f>
        <v/>
      </c>
      <c r="V106" s="79" t="n"/>
      <c r="W106" s="83" t="n"/>
      <c r="X106" s="79" t="n"/>
      <c r="Y106" s="79" t="n"/>
    </row>
    <row r="107" ht="15" customHeight="1" s="51">
      <c r="A107" s="77">
        <f>IF(Pipeline!A107="","",Pipeline!A107)</f>
        <v/>
      </c>
      <c r="B107" s="78">
        <f>IF(A107="","",INDEX(Pipeline!$H:$H,MATCH(A107,Pipeline!$A:$A,0)))</f>
        <v/>
      </c>
      <c r="C107" s="79" t="n"/>
      <c r="D107" s="79" t="n"/>
      <c r="E107" s="79" t="n"/>
      <c r="F107" s="79" t="n"/>
      <c r="G107" s="79" t="n"/>
      <c r="H107" s="79" t="n"/>
      <c r="I107" s="79" t="n"/>
      <c r="J107" s="79" t="n"/>
      <c r="K107" s="79" t="n"/>
      <c r="L107" s="79" t="n"/>
      <c r="M107" s="79" t="n"/>
      <c r="N107" s="79" t="n"/>
      <c r="O107" s="79" t="n"/>
      <c r="P107" s="79" t="n"/>
      <c r="Q107" s="79" t="n"/>
      <c r="R107" s="79" t="n"/>
      <c r="S107" s="80">
        <f>IF(A107="","",COUNT(G107:R107))</f>
        <v/>
      </c>
      <c r="T107" s="81">
        <f>IF(OR(A107="",S107&lt;12),"",SUMPRODUCT($G$3:$R$3,G107:R107)/5)</f>
        <v/>
      </c>
      <c r="U107" s="82">
        <f>IF(A107="","",IF(COUNTIF(C107:F107,"Fail")&gt;0,"No-Bid (gate failed)",IF(S107&lt;12,"Incomplete ("&amp;S107&amp;"/12)",IF(T107&gt;='Scoring Guide'!$C$26,"Bid",IF(T107&gt;='Scoring Guide'!$C$27,"Conditional (MD)","No-Bid")))))</f>
        <v/>
      </c>
      <c r="V107" s="79" t="n"/>
      <c r="W107" s="83" t="n"/>
      <c r="X107" s="79" t="n"/>
      <c r="Y107" s="79" t="n"/>
    </row>
    <row r="108" ht="15" customHeight="1" s="51">
      <c r="A108" s="77">
        <f>IF(Pipeline!A108="","",Pipeline!A108)</f>
        <v/>
      </c>
      <c r="B108" s="78">
        <f>IF(A108="","",INDEX(Pipeline!$H:$H,MATCH(A108,Pipeline!$A:$A,0)))</f>
        <v/>
      </c>
      <c r="C108" s="79" t="n"/>
      <c r="D108" s="79" t="n"/>
      <c r="E108" s="79" t="n"/>
      <c r="F108" s="79" t="n"/>
      <c r="G108" s="79" t="n"/>
      <c r="H108" s="79" t="n"/>
      <c r="I108" s="79" t="n"/>
      <c r="J108" s="79" t="n"/>
      <c r="K108" s="79" t="n"/>
      <c r="L108" s="79" t="n"/>
      <c r="M108" s="79" t="n"/>
      <c r="N108" s="79" t="n"/>
      <c r="O108" s="79" t="n"/>
      <c r="P108" s="79" t="n"/>
      <c r="Q108" s="79" t="n"/>
      <c r="R108" s="79" t="n"/>
      <c r="S108" s="80">
        <f>IF(A108="","",COUNT(G108:R108))</f>
        <v/>
      </c>
      <c r="T108" s="81">
        <f>IF(OR(A108="",S108&lt;12),"",SUMPRODUCT($G$3:$R$3,G108:R108)/5)</f>
        <v/>
      </c>
      <c r="U108" s="82">
        <f>IF(A108="","",IF(COUNTIF(C108:F108,"Fail")&gt;0,"No-Bid (gate failed)",IF(S108&lt;12,"Incomplete ("&amp;S108&amp;"/12)",IF(T108&gt;='Scoring Guide'!$C$26,"Bid",IF(T108&gt;='Scoring Guide'!$C$27,"Conditional (MD)","No-Bid")))))</f>
        <v/>
      </c>
      <c r="V108" s="79" t="n"/>
      <c r="W108" s="83" t="n"/>
      <c r="X108" s="79" t="n"/>
      <c r="Y108" s="79" t="n"/>
    </row>
    <row r="109" ht="15" customHeight="1" s="51">
      <c r="A109" s="77">
        <f>IF(Pipeline!A109="","",Pipeline!A109)</f>
        <v/>
      </c>
      <c r="B109" s="78">
        <f>IF(A109="","",INDEX(Pipeline!$H:$H,MATCH(A109,Pipeline!$A:$A,0)))</f>
        <v/>
      </c>
      <c r="C109" s="79" t="n"/>
      <c r="D109" s="79" t="n"/>
      <c r="E109" s="79" t="n"/>
      <c r="F109" s="79" t="n"/>
      <c r="G109" s="79" t="n"/>
      <c r="H109" s="79" t="n"/>
      <c r="I109" s="79" t="n"/>
      <c r="J109" s="79" t="n"/>
      <c r="K109" s="79" t="n"/>
      <c r="L109" s="79" t="n"/>
      <c r="M109" s="79" t="n"/>
      <c r="N109" s="79" t="n">
        <v>5</v>
      </c>
      <c r="O109" s="79" t="n"/>
      <c r="P109" s="79" t="n"/>
      <c r="Q109" s="79" t="n"/>
      <c r="R109" s="79" t="n"/>
      <c r="S109" s="80">
        <f>IF(A109="","",COUNT(G109:R109))</f>
        <v/>
      </c>
      <c r="T109" s="81">
        <f>IF(OR(A109="",S109&lt;12),"",SUMPRODUCT($G$3:$R$3,G109:R109)/5)</f>
        <v/>
      </c>
      <c r="U109" s="82">
        <f>IF(A109="","",IF(COUNTIF(C109:F109,"Fail")&gt;0,"No-Bid (gate failed)",IF(S109&lt;12,"Incomplete ("&amp;S109&amp;"/12)",IF(T109&gt;='Scoring Guide'!$C$26,"Bid",IF(T109&gt;='Scoring Guide'!$C$27,"Conditional (MD)","No-Bid")))))</f>
        <v/>
      </c>
      <c r="V109" s="79" t="n"/>
      <c r="W109" s="83" t="n"/>
      <c r="X109" s="79" t="n"/>
      <c r="Y109" s="79" t="n"/>
    </row>
    <row r="110" ht="15" customHeight="1" s="51">
      <c r="A110" s="77">
        <f>IF(Pipeline!A110="","",Pipeline!A110)</f>
        <v/>
      </c>
      <c r="B110" s="78">
        <f>IF(A110="","",INDEX(Pipeline!$H:$H,MATCH(A110,Pipeline!$A:$A,0)))</f>
        <v/>
      </c>
      <c r="C110" s="79" t="n"/>
      <c r="D110" s="79" t="n"/>
      <c r="E110" s="79" t="n"/>
      <c r="F110" s="79" t="n"/>
      <c r="G110" s="79" t="n"/>
      <c r="H110" s="79" t="n"/>
      <c r="I110" s="79" t="n"/>
      <c r="J110" s="79" t="n"/>
      <c r="K110" s="79" t="n"/>
      <c r="L110" s="79" t="n"/>
      <c r="M110" s="79" t="n"/>
      <c r="N110" s="79" t="n">
        <v>5</v>
      </c>
      <c r="O110" s="79" t="n"/>
      <c r="P110" s="79" t="n"/>
      <c r="Q110" s="79" t="n"/>
      <c r="R110" s="79" t="n"/>
      <c r="S110" s="80">
        <f>IF(A110="","",COUNT(G110:R110))</f>
        <v/>
      </c>
      <c r="T110" s="81">
        <f>IF(OR(A110="",S110&lt;12),"",SUMPRODUCT($G$3:$R$3,G110:R110)/5)</f>
        <v/>
      </c>
      <c r="U110" s="82">
        <f>IF(A110="","",IF(COUNTIF(C110:F110,"Fail")&gt;0,"No-Bid (gate failed)",IF(S110&lt;12,"Incomplete ("&amp;S110&amp;"/12)",IF(T110&gt;='Scoring Guide'!$C$26,"Bid",IF(T110&gt;='Scoring Guide'!$C$27,"Conditional (MD)","No-Bid")))))</f>
        <v/>
      </c>
      <c r="V110" s="79" t="n"/>
      <c r="W110" s="83" t="n"/>
      <c r="X110" s="79" t="n"/>
      <c r="Y110" s="79" t="n"/>
    </row>
    <row r="111" ht="15" customHeight="1" s="51">
      <c r="A111" s="77">
        <f>IF(Pipeline!A111="","",Pipeline!A111)</f>
        <v/>
      </c>
      <c r="B111" s="78">
        <f>IF(A111="","",INDEX(Pipeline!$H:$H,MATCH(A111,Pipeline!$A:$A,0)))</f>
        <v/>
      </c>
      <c r="C111" s="79" t="n"/>
      <c r="D111" s="79" t="n"/>
      <c r="E111" s="79" t="n"/>
      <c r="F111" s="79" t="n"/>
      <c r="G111" s="79" t="n"/>
      <c r="H111" s="79" t="n"/>
      <c r="I111" s="79" t="n"/>
      <c r="J111" s="79" t="n"/>
      <c r="K111" s="79" t="n"/>
      <c r="L111" s="79" t="n"/>
      <c r="M111" s="79" t="n"/>
      <c r="N111" s="79" t="n">
        <v>5</v>
      </c>
      <c r="O111" s="79" t="n"/>
      <c r="P111" s="79" t="n"/>
      <c r="Q111" s="79" t="n"/>
      <c r="R111" s="79" t="n"/>
      <c r="S111" s="80">
        <f>IF(A111="","",COUNT(G111:R111))</f>
        <v/>
      </c>
      <c r="T111" s="81">
        <f>IF(OR(A111="",S111&lt;12),"",SUMPRODUCT($G$3:$R$3,G111:R111)/5)</f>
        <v/>
      </c>
      <c r="U111" s="82">
        <f>IF(A111="","",IF(COUNTIF(C111:F111,"Fail")&gt;0,"No-Bid (gate failed)",IF(S111&lt;12,"Incomplete ("&amp;S111&amp;"/12)",IF(T111&gt;='Scoring Guide'!$C$26,"Bid",IF(T111&gt;='Scoring Guide'!$C$27,"Conditional (MD)","No-Bid")))))</f>
        <v/>
      </c>
      <c r="V111" s="79" t="n"/>
      <c r="W111" s="83" t="n"/>
      <c r="X111" s="79" t="n"/>
      <c r="Y111" s="79" t="n"/>
    </row>
    <row r="112" ht="15" customHeight="1" s="51">
      <c r="A112" s="77">
        <f>IF(Pipeline!A112="","",Pipeline!A112)</f>
        <v/>
      </c>
      <c r="B112" s="78">
        <f>IF(A112="","",INDEX(Pipeline!$H:$H,MATCH(A112,Pipeline!$A:$A,0)))</f>
        <v/>
      </c>
      <c r="C112" s="79" t="n"/>
      <c r="D112" s="79" t="n"/>
      <c r="E112" s="79" t="n"/>
      <c r="F112" s="79" t="n"/>
      <c r="G112" s="79" t="n"/>
      <c r="H112" s="79" t="n"/>
      <c r="I112" s="79" t="n"/>
      <c r="J112" s="79" t="n"/>
      <c r="K112" s="79" t="n"/>
      <c r="L112" s="79" t="n"/>
      <c r="M112" s="79" t="n"/>
      <c r="N112" s="79" t="n">
        <v>5</v>
      </c>
      <c r="O112" s="79" t="n"/>
      <c r="P112" s="79" t="n"/>
      <c r="Q112" s="79" t="n"/>
      <c r="R112" s="79" t="n"/>
      <c r="S112" s="80">
        <f>IF(A112="","",COUNT(G112:R112))</f>
        <v/>
      </c>
      <c r="T112" s="81">
        <f>IF(OR(A112="",S112&lt;12),"",SUMPRODUCT($G$3:$R$3,G112:R112)/5)</f>
        <v/>
      </c>
      <c r="U112" s="82">
        <f>IF(A112="","",IF(COUNTIF(C112:F112,"Fail")&gt;0,"No-Bid (gate failed)",IF(S112&lt;12,"Incomplete ("&amp;S112&amp;"/12)",IF(T112&gt;='Scoring Guide'!$C$26,"Bid",IF(T112&gt;='Scoring Guide'!$C$27,"Conditional (MD)","No-Bid")))))</f>
        <v/>
      </c>
      <c r="V112" s="79" t="n"/>
      <c r="W112" s="83" t="n"/>
      <c r="X112" s="79" t="n"/>
      <c r="Y112" s="79" t="n"/>
    </row>
    <row r="113" ht="15" customHeight="1" s="51">
      <c r="A113" s="77">
        <f>IF(Pipeline!A113="","",Pipeline!A113)</f>
        <v/>
      </c>
      <c r="B113" s="78">
        <f>IF(A113="","",INDEX(Pipeline!$H:$H,MATCH(A113,Pipeline!$A:$A,0)))</f>
        <v/>
      </c>
      <c r="C113" s="79" t="n"/>
      <c r="D113" s="79" t="n"/>
      <c r="E113" s="79" t="n"/>
      <c r="F113" s="79" t="n"/>
      <c r="G113" s="79" t="n"/>
      <c r="H113" s="79" t="n"/>
      <c r="I113" s="79" t="n"/>
      <c r="J113" s="79" t="n"/>
      <c r="K113" s="79" t="n"/>
      <c r="L113" s="79" t="n"/>
      <c r="M113" s="79" t="n"/>
      <c r="N113" s="79" t="n">
        <v>1</v>
      </c>
      <c r="O113" s="79" t="n"/>
      <c r="P113" s="79" t="n"/>
      <c r="Q113" s="79" t="n"/>
      <c r="R113" s="79" t="n"/>
      <c r="S113" s="80">
        <f>IF(A113="","",COUNT(G113:R113))</f>
        <v/>
      </c>
      <c r="T113" s="81">
        <f>IF(OR(A113="",S113&lt;12),"",SUMPRODUCT($G$3:$R$3,G113:R113)/5)</f>
        <v/>
      </c>
      <c r="U113" s="82">
        <f>IF(A113="","",IF(COUNTIF(C113:F113,"Fail")&gt;0,"No-Bid (gate failed)",IF(S113&lt;12,"Incomplete ("&amp;S113&amp;"/12)",IF(T113&gt;='Scoring Guide'!$C$26,"Bid",IF(T113&gt;='Scoring Guide'!$C$27,"Conditional (MD)","No-Bid")))))</f>
        <v/>
      </c>
      <c r="V113" s="79" t="n"/>
      <c r="W113" s="83" t="n"/>
      <c r="X113" s="79" t="n"/>
      <c r="Y113" s="79" t="n"/>
    </row>
    <row r="114" ht="15" customHeight="1" s="51">
      <c r="A114" s="77">
        <f>IF(Pipeline!A114="","",Pipeline!A114)</f>
        <v/>
      </c>
      <c r="B114" s="78">
        <f>IF(A114="","",INDEX(Pipeline!$H:$H,MATCH(A114,Pipeline!$A:$A,0)))</f>
        <v/>
      </c>
      <c r="C114" s="79" t="n"/>
      <c r="D114" s="79" t="n"/>
      <c r="E114" s="79" t="n"/>
      <c r="F114" s="79" t="n"/>
      <c r="G114" s="79" t="n"/>
      <c r="H114" s="79" t="n"/>
      <c r="I114" s="79" t="n"/>
      <c r="J114" s="79" t="n"/>
      <c r="K114" s="79" t="n"/>
      <c r="L114" s="79" t="n"/>
      <c r="M114" s="79" t="n"/>
      <c r="N114" s="79" t="n"/>
      <c r="O114" s="79" t="n"/>
      <c r="P114" s="79" t="n"/>
      <c r="Q114" s="79" t="n"/>
      <c r="R114" s="79" t="n"/>
      <c r="S114" s="80">
        <f>IF(A114="","",COUNT(G114:R114))</f>
        <v/>
      </c>
      <c r="T114" s="81">
        <f>IF(OR(A114="",S114&lt;12),"",SUMPRODUCT($G$3:$R$3,G114:R114)/5)</f>
        <v/>
      </c>
      <c r="U114" s="82">
        <f>IF(A114="","",IF(COUNTIF(C114:F114,"Fail")&gt;0,"No-Bid (gate failed)",IF(S114&lt;12,"Incomplete ("&amp;S114&amp;"/12)",IF(T114&gt;='Scoring Guide'!$C$26,"Bid",IF(T114&gt;='Scoring Guide'!$C$27,"Conditional (MD)","No-Bid")))))</f>
        <v/>
      </c>
      <c r="V114" s="79" t="n"/>
      <c r="W114" s="83" t="n"/>
      <c r="X114" s="79" t="n"/>
      <c r="Y114" s="79" t="n"/>
    </row>
    <row r="115" ht="15" customHeight="1" s="51">
      <c r="A115" s="77">
        <f>IF(Pipeline!A115="","",Pipeline!A115)</f>
        <v/>
      </c>
      <c r="B115" s="78">
        <f>IF(A115="","",INDEX(Pipeline!$H:$H,MATCH(A115,Pipeline!$A:$A,0)))</f>
        <v/>
      </c>
      <c r="C115" s="79" t="n"/>
      <c r="D115" s="79" t="n"/>
      <c r="E115" s="79" t="n"/>
      <c r="F115" s="79" t="n"/>
      <c r="G115" s="79" t="n"/>
      <c r="H115" s="79" t="n"/>
      <c r="I115" s="79" t="n"/>
      <c r="J115" s="79" t="n"/>
      <c r="K115" s="79" t="n"/>
      <c r="L115" s="79" t="n"/>
      <c r="M115" s="79" t="n"/>
      <c r="N115" s="79" t="n"/>
      <c r="O115" s="79" t="n"/>
      <c r="P115" s="79" t="n"/>
      <c r="Q115" s="79" t="n"/>
      <c r="R115" s="79" t="n"/>
      <c r="S115" s="80">
        <f>IF(A115="","",COUNT(G115:R115))</f>
        <v/>
      </c>
      <c r="T115" s="81">
        <f>IF(OR(A115="",S115&lt;12),"",SUMPRODUCT($G$3:$R$3,G115:R115)/5)</f>
        <v/>
      </c>
      <c r="U115" s="82">
        <f>IF(A115="","",IF(COUNTIF(C115:F115,"Fail")&gt;0,"No-Bid (gate failed)",IF(S115&lt;12,"Incomplete ("&amp;S115&amp;"/12)",IF(T115&gt;='Scoring Guide'!$C$26,"Bid",IF(T115&gt;='Scoring Guide'!$C$27,"Conditional (MD)","No-Bid")))))</f>
        <v/>
      </c>
      <c r="V115" s="79" t="n"/>
      <c r="W115" s="83" t="n"/>
      <c r="X115" s="79" t="n"/>
      <c r="Y115" s="79" t="n"/>
    </row>
    <row r="116" ht="15" customHeight="1" s="51">
      <c r="A116" s="77">
        <f>IF(Pipeline!A116="","",Pipeline!A116)</f>
        <v/>
      </c>
      <c r="B116" s="78">
        <f>IF(A116="","",INDEX(Pipeline!$H:$H,MATCH(A116,Pipeline!$A:$A,0)))</f>
        <v/>
      </c>
      <c r="C116" s="79" t="n"/>
      <c r="D116" s="79" t="n"/>
      <c r="E116" s="79" t="n"/>
      <c r="F116" s="79" t="n"/>
      <c r="G116" s="79" t="n"/>
      <c r="H116" s="79" t="n"/>
      <c r="I116" s="79" t="n"/>
      <c r="J116" s="79" t="n"/>
      <c r="K116" s="79" t="n"/>
      <c r="L116" s="79" t="n"/>
      <c r="M116" s="79" t="n"/>
      <c r="N116" s="79" t="n"/>
      <c r="O116" s="79" t="n"/>
      <c r="P116" s="79" t="n"/>
      <c r="Q116" s="79" t="n"/>
      <c r="R116" s="79" t="n"/>
      <c r="S116" s="80">
        <f>IF(A116="","",COUNT(G116:R116))</f>
        <v/>
      </c>
      <c r="T116" s="81">
        <f>IF(OR(A116="",S116&lt;12),"",SUMPRODUCT($G$3:$R$3,G116:R116)/5)</f>
        <v/>
      </c>
      <c r="U116" s="82">
        <f>IF(A116="","",IF(COUNTIF(C116:F116,"Fail")&gt;0,"No-Bid (gate failed)",IF(S116&lt;12,"Incomplete ("&amp;S116&amp;"/12)",IF(T116&gt;='Scoring Guide'!$C$26,"Bid",IF(T116&gt;='Scoring Guide'!$C$27,"Conditional (MD)","No-Bid")))))</f>
        <v/>
      </c>
      <c r="V116" s="79" t="n"/>
      <c r="W116" s="83" t="n"/>
      <c r="X116" s="79" t="n"/>
      <c r="Y116" s="79" t="n"/>
    </row>
    <row r="117" ht="15" customHeight="1" s="51">
      <c r="A117" s="77">
        <f>IF(Pipeline!A117="","",Pipeline!A117)</f>
        <v/>
      </c>
      <c r="B117" s="78">
        <f>IF(A117="","",INDEX(Pipeline!$H:$H,MATCH(A117,Pipeline!$A:$A,0)))</f>
        <v/>
      </c>
      <c r="C117" s="79" t="n"/>
      <c r="D117" s="79" t="n"/>
      <c r="E117" s="79" t="n"/>
      <c r="F117" s="79" t="n"/>
      <c r="G117" s="79" t="n"/>
      <c r="H117" s="79" t="n"/>
      <c r="I117" s="79" t="n"/>
      <c r="J117" s="79" t="n"/>
      <c r="K117" s="79" t="n"/>
      <c r="L117" s="79" t="n"/>
      <c r="M117" s="79" t="n"/>
      <c r="N117" s="79" t="n"/>
      <c r="O117" s="79" t="n"/>
      <c r="P117" s="79" t="n"/>
      <c r="Q117" s="79" t="n"/>
      <c r="R117" s="79" t="n"/>
      <c r="S117" s="80">
        <f>IF(A117="","",COUNT(G117:R117))</f>
        <v/>
      </c>
      <c r="T117" s="81">
        <f>IF(OR(A117="",S117&lt;12),"",SUMPRODUCT($G$3:$R$3,G117:R117)/5)</f>
        <v/>
      </c>
      <c r="U117" s="82">
        <f>IF(A117="","",IF(COUNTIF(C117:F117,"Fail")&gt;0,"No-Bid (gate failed)",IF(S117&lt;12,"Incomplete ("&amp;S117&amp;"/12)",IF(T117&gt;='Scoring Guide'!$C$26,"Bid",IF(T117&gt;='Scoring Guide'!$C$27,"Conditional (MD)","No-Bid")))))</f>
        <v/>
      </c>
      <c r="V117" s="79" t="n"/>
      <c r="W117" s="83" t="n"/>
      <c r="X117" s="79" t="n"/>
      <c r="Y117" s="79" t="n"/>
    </row>
    <row r="118" ht="15" customHeight="1" s="51">
      <c r="A118" s="77">
        <f>IF(Pipeline!A118="","",Pipeline!A118)</f>
        <v/>
      </c>
      <c r="B118" s="78">
        <f>IF(A118="","",INDEX(Pipeline!$H:$H,MATCH(A118,Pipeline!$A:$A,0)))</f>
        <v/>
      </c>
      <c r="C118" s="79" t="n"/>
      <c r="D118" s="79" t="n"/>
      <c r="E118" s="79" t="n"/>
      <c r="F118" s="79" t="n"/>
      <c r="G118" s="79" t="n"/>
      <c r="H118" s="79" t="n"/>
      <c r="I118" s="79" t="n"/>
      <c r="J118" s="79" t="n"/>
      <c r="K118" s="79" t="n"/>
      <c r="L118" s="79" t="n"/>
      <c r="M118" s="79" t="n"/>
      <c r="N118" s="79" t="n"/>
      <c r="O118" s="79" t="n"/>
      <c r="P118" s="79" t="n"/>
      <c r="Q118" s="79" t="n"/>
      <c r="R118" s="79" t="n"/>
      <c r="S118" s="80">
        <f>IF(A118="","",COUNT(G118:R118))</f>
        <v/>
      </c>
      <c r="T118" s="81">
        <f>IF(OR(A118="",S118&lt;12),"",SUMPRODUCT($G$3:$R$3,G118:R118)/5)</f>
        <v/>
      </c>
      <c r="U118" s="82">
        <f>IF(A118="","",IF(COUNTIF(C118:F118,"Fail")&gt;0,"No-Bid (gate failed)",IF(S118&lt;12,"Incomplete ("&amp;S118&amp;"/12)",IF(T118&gt;='Scoring Guide'!$C$26,"Bid",IF(T118&gt;='Scoring Guide'!$C$27,"Conditional (MD)","No-Bid")))))</f>
        <v/>
      </c>
      <c r="V118" s="79" t="n"/>
      <c r="W118" s="83" t="n"/>
      <c r="X118" s="79" t="n"/>
      <c r="Y118" s="79" t="n"/>
    </row>
    <row r="119" ht="15" customHeight="1" s="51">
      <c r="A119" s="77">
        <f>IF(Pipeline!A119="","",Pipeline!A119)</f>
        <v/>
      </c>
      <c r="B119" s="78">
        <f>IF(A119="","",INDEX(Pipeline!$H:$H,MATCH(A119,Pipeline!$A:$A,0)))</f>
        <v/>
      </c>
      <c r="C119" s="79" t="n"/>
      <c r="D119" s="79" t="n"/>
      <c r="E119" s="79" t="n"/>
      <c r="F119" s="79" t="n"/>
      <c r="G119" s="79" t="n"/>
      <c r="H119" s="79" t="n"/>
      <c r="I119" s="79" t="n"/>
      <c r="J119" s="79" t="n"/>
      <c r="K119" s="79" t="n"/>
      <c r="L119" s="79" t="n"/>
      <c r="M119" s="79" t="n"/>
      <c r="N119" s="79" t="n"/>
      <c r="O119" s="79" t="n"/>
      <c r="P119" s="79" t="n"/>
      <c r="Q119" s="79" t="n"/>
      <c r="R119" s="79" t="n"/>
      <c r="S119" s="80">
        <f>IF(A119="","",COUNT(G119:R119))</f>
        <v/>
      </c>
      <c r="T119" s="81">
        <f>IF(OR(A119="",S119&lt;12),"",SUMPRODUCT($G$3:$R$3,G119:R119)/5)</f>
        <v/>
      </c>
      <c r="U119" s="82">
        <f>IF(A119="","",IF(COUNTIF(C119:F119,"Fail")&gt;0,"No-Bid (gate failed)",IF(S119&lt;12,"Incomplete ("&amp;S119&amp;"/12)",IF(T119&gt;='Scoring Guide'!$C$26,"Bid",IF(T119&gt;='Scoring Guide'!$C$27,"Conditional (MD)","No-Bid")))))</f>
        <v/>
      </c>
      <c r="V119" s="79" t="n"/>
      <c r="W119" s="83" t="n"/>
      <c r="X119" s="79" t="n"/>
      <c r="Y119" s="79" t="n"/>
    </row>
    <row r="120" ht="15" customHeight="1" s="51">
      <c r="A120" s="77">
        <f>IF(Pipeline!A120="","",Pipeline!A120)</f>
        <v/>
      </c>
      <c r="B120" s="78">
        <f>IF(A120="","",INDEX(Pipeline!$H:$H,MATCH(A120,Pipeline!$A:$A,0)))</f>
        <v/>
      </c>
      <c r="C120" s="79" t="n"/>
      <c r="D120" s="79" t="n"/>
      <c r="E120" s="79" t="n"/>
      <c r="F120" s="79" t="n"/>
      <c r="G120" s="79" t="n"/>
      <c r="H120" s="79" t="n"/>
      <c r="I120" s="79" t="n"/>
      <c r="J120" s="79" t="n"/>
      <c r="K120" s="79" t="n"/>
      <c r="L120" s="79" t="n"/>
      <c r="M120" s="79" t="n"/>
      <c r="N120" s="79" t="n"/>
      <c r="O120" s="79" t="n"/>
      <c r="P120" s="79" t="n"/>
      <c r="Q120" s="79" t="n"/>
      <c r="R120" s="79" t="n"/>
      <c r="S120" s="80">
        <f>IF(A120="","",COUNT(G120:R120))</f>
        <v/>
      </c>
      <c r="T120" s="81">
        <f>IF(OR(A120="",S120&lt;12),"",SUMPRODUCT($G$3:$R$3,G120:R120)/5)</f>
        <v/>
      </c>
      <c r="U120" s="82">
        <f>IF(A120="","",IF(COUNTIF(C120:F120,"Fail")&gt;0,"No-Bid (gate failed)",IF(S120&lt;12,"Incomplete ("&amp;S120&amp;"/12)",IF(T120&gt;='Scoring Guide'!$C$26,"Bid",IF(T120&gt;='Scoring Guide'!$C$27,"Conditional (MD)","No-Bid")))))</f>
        <v/>
      </c>
      <c r="V120" s="79" t="n"/>
      <c r="W120" s="83" t="n"/>
      <c r="X120" s="79" t="n"/>
      <c r="Y120" s="79" t="n"/>
    </row>
    <row r="121" ht="15" customHeight="1" s="51">
      <c r="A121" s="77">
        <f>IF(Pipeline!A121="","",Pipeline!A121)</f>
        <v/>
      </c>
      <c r="B121" s="78">
        <f>IF(A121="","",INDEX(Pipeline!$H:$H,MATCH(A121,Pipeline!$A:$A,0)))</f>
        <v/>
      </c>
      <c r="C121" s="79" t="n"/>
      <c r="D121" s="79" t="n"/>
      <c r="E121" s="79" t="n"/>
      <c r="F121" s="79" t="n"/>
      <c r="G121" s="79" t="n"/>
      <c r="H121" s="79" t="n"/>
      <c r="I121" s="79" t="n"/>
      <c r="J121" s="79" t="n"/>
      <c r="K121" s="79" t="n"/>
      <c r="L121" s="79" t="n"/>
      <c r="M121" s="79" t="n"/>
      <c r="N121" s="79" t="n"/>
      <c r="O121" s="79" t="n"/>
      <c r="P121" s="79" t="n"/>
      <c r="Q121" s="79" t="n"/>
      <c r="R121" s="79" t="n"/>
      <c r="S121" s="80">
        <f>IF(A121="","",COUNT(G121:R121))</f>
        <v/>
      </c>
      <c r="T121" s="81">
        <f>IF(OR(A121="",S121&lt;12),"",SUMPRODUCT($G$3:$R$3,G121:R121)/5)</f>
        <v/>
      </c>
      <c r="U121" s="82">
        <f>IF(A121="","",IF(COUNTIF(C121:F121,"Fail")&gt;0,"No-Bid (gate failed)",IF(S121&lt;12,"Incomplete ("&amp;S121&amp;"/12)",IF(T121&gt;='Scoring Guide'!$C$26,"Bid",IF(T121&gt;='Scoring Guide'!$C$27,"Conditional (MD)","No-Bid")))))</f>
        <v/>
      </c>
      <c r="V121" s="79" t="n"/>
      <c r="W121" s="83" t="n"/>
      <c r="X121" s="79" t="n"/>
      <c r="Y121" s="79" t="n"/>
    </row>
    <row r="122" ht="15" customHeight="1" s="51">
      <c r="A122" s="77">
        <f>IF(Pipeline!A122="","",Pipeline!A122)</f>
        <v/>
      </c>
      <c r="B122" s="78">
        <f>IF(A122="","",INDEX(Pipeline!$H:$H,MATCH(A122,Pipeline!$A:$A,0)))</f>
        <v/>
      </c>
      <c r="C122" s="79" t="n"/>
      <c r="D122" s="79" t="n"/>
      <c r="E122" s="79" t="n"/>
      <c r="F122" s="79" t="n"/>
      <c r="G122" s="79" t="n"/>
      <c r="H122" s="79" t="n"/>
      <c r="I122" s="79" t="n"/>
      <c r="J122" s="79" t="n"/>
      <c r="K122" s="79" t="n"/>
      <c r="L122" s="79" t="n"/>
      <c r="M122" s="79" t="n"/>
      <c r="N122" s="79" t="n"/>
      <c r="O122" s="79" t="n"/>
      <c r="P122" s="79" t="n"/>
      <c r="Q122" s="79" t="n"/>
      <c r="R122" s="79" t="n"/>
      <c r="S122" s="80">
        <f>IF(A122="","",COUNT(G122:R122))</f>
        <v/>
      </c>
      <c r="T122" s="81">
        <f>IF(OR(A122="",S122&lt;12),"",SUMPRODUCT($G$3:$R$3,G122:R122)/5)</f>
        <v/>
      </c>
      <c r="U122" s="82">
        <f>IF(A122="","",IF(COUNTIF(C122:F122,"Fail")&gt;0,"No-Bid (gate failed)",IF(S122&lt;12,"Incomplete ("&amp;S122&amp;"/12)",IF(T122&gt;='Scoring Guide'!$C$26,"Bid",IF(T122&gt;='Scoring Guide'!$C$27,"Conditional (MD)","No-Bid")))))</f>
        <v/>
      </c>
      <c r="V122" s="79" t="n"/>
      <c r="W122" s="83" t="n"/>
      <c r="X122" s="79" t="n"/>
      <c r="Y122" s="79" t="n"/>
    </row>
    <row r="123" ht="15" customHeight="1" s="51">
      <c r="A123" s="77">
        <f>IF(Pipeline!A123="","",Pipeline!A123)</f>
        <v/>
      </c>
      <c r="B123" s="78">
        <f>IF(A123="","",INDEX(Pipeline!$H:$H,MATCH(A123,Pipeline!$A:$A,0)))</f>
        <v/>
      </c>
      <c r="C123" s="79" t="n"/>
      <c r="D123" s="79" t="n"/>
      <c r="E123" s="79" t="n"/>
      <c r="F123" s="79" t="n"/>
      <c r="G123" s="79" t="n"/>
      <c r="H123" s="79" t="n"/>
      <c r="I123" s="79" t="n"/>
      <c r="J123" s="79" t="n"/>
      <c r="K123" s="79" t="n"/>
      <c r="L123" s="79" t="n"/>
      <c r="M123" s="79" t="n"/>
      <c r="N123" s="79" t="n"/>
      <c r="O123" s="79" t="n"/>
      <c r="P123" s="79" t="n"/>
      <c r="Q123" s="79" t="n"/>
      <c r="R123" s="79" t="n"/>
      <c r="S123" s="80">
        <f>IF(A123="","",COUNT(G123:R123))</f>
        <v/>
      </c>
      <c r="T123" s="81">
        <f>IF(OR(A123="",S123&lt;12),"",SUMPRODUCT($G$3:$R$3,G123:R123)/5)</f>
        <v/>
      </c>
      <c r="U123" s="82">
        <f>IF(A123="","",IF(COUNTIF(C123:F123,"Fail")&gt;0,"No-Bid (gate failed)",IF(S123&lt;12,"Incomplete ("&amp;S123&amp;"/12)",IF(T123&gt;='Scoring Guide'!$C$26,"Bid",IF(T123&gt;='Scoring Guide'!$C$27,"Conditional (MD)","No-Bid")))))</f>
        <v/>
      </c>
      <c r="V123" s="79" t="n"/>
      <c r="W123" s="83" t="n"/>
      <c r="X123" s="79" t="n"/>
      <c r="Y123" s="79" t="n"/>
    </row>
    <row r="124" ht="15" customHeight="1" s="51">
      <c r="A124" s="77">
        <f>IF(Pipeline!A124="","",Pipeline!A124)</f>
        <v/>
      </c>
      <c r="B124" s="78">
        <f>IF(A124="","",INDEX(Pipeline!$H:$H,MATCH(A124,Pipeline!$A:$A,0)))</f>
        <v/>
      </c>
      <c r="C124" s="79" t="n"/>
      <c r="D124" s="79" t="n"/>
      <c r="E124" s="79" t="n"/>
      <c r="F124" s="79" t="n"/>
      <c r="G124" s="79" t="n"/>
      <c r="H124" s="79" t="n"/>
      <c r="I124" s="79" t="n"/>
      <c r="J124" s="79" t="n"/>
      <c r="K124" s="79" t="n"/>
      <c r="L124" s="79" t="n"/>
      <c r="M124" s="79" t="n"/>
      <c r="N124" s="79" t="n"/>
      <c r="O124" s="79" t="n"/>
      <c r="P124" s="79" t="n"/>
      <c r="Q124" s="79" t="n"/>
      <c r="R124" s="79" t="n"/>
      <c r="S124" s="80">
        <f>IF(A124="","",COUNT(G124:R124))</f>
        <v/>
      </c>
      <c r="T124" s="81">
        <f>IF(OR(A124="",S124&lt;12),"",SUMPRODUCT($G$3:$R$3,G124:R124)/5)</f>
        <v/>
      </c>
      <c r="U124" s="82">
        <f>IF(A124="","",IF(COUNTIF(C124:F124,"Fail")&gt;0,"No-Bid (gate failed)",IF(S124&lt;12,"Incomplete ("&amp;S124&amp;"/12)",IF(T124&gt;='Scoring Guide'!$C$26,"Bid",IF(T124&gt;='Scoring Guide'!$C$27,"Conditional (MD)","No-Bid")))))</f>
        <v/>
      </c>
      <c r="V124" s="79" t="n"/>
      <c r="W124" s="83" t="n"/>
      <c r="X124" s="79" t="n"/>
      <c r="Y124" s="79" t="n"/>
    </row>
    <row r="125" ht="15" customHeight="1" s="51">
      <c r="A125" s="77">
        <f>IF(Pipeline!A125="","",Pipeline!A125)</f>
        <v/>
      </c>
      <c r="B125" s="78">
        <f>IF(A125="","",INDEX(Pipeline!$H:$H,MATCH(A125,Pipeline!$A:$A,0)))</f>
        <v/>
      </c>
      <c r="C125" s="79" t="n"/>
      <c r="D125" s="79" t="n"/>
      <c r="E125" s="79" t="n"/>
      <c r="F125" s="79" t="n"/>
      <c r="G125" s="79" t="n"/>
      <c r="H125" s="79" t="n"/>
      <c r="I125" s="79" t="n"/>
      <c r="J125" s="79" t="n"/>
      <c r="K125" s="79" t="n"/>
      <c r="L125" s="79" t="n"/>
      <c r="M125" s="79" t="n"/>
      <c r="N125" s="79" t="n"/>
      <c r="O125" s="79" t="n"/>
      <c r="P125" s="79" t="n"/>
      <c r="Q125" s="79" t="n"/>
      <c r="R125" s="79" t="n"/>
      <c r="S125" s="80">
        <f>IF(A125="","",COUNT(G125:R125))</f>
        <v/>
      </c>
      <c r="T125" s="81">
        <f>IF(OR(A125="",S125&lt;12),"",SUMPRODUCT($G$3:$R$3,G125:R125)/5)</f>
        <v/>
      </c>
      <c r="U125" s="82">
        <f>IF(A125="","",IF(COUNTIF(C125:F125,"Fail")&gt;0,"No-Bid (gate failed)",IF(S125&lt;12,"Incomplete ("&amp;S125&amp;"/12)",IF(T125&gt;='Scoring Guide'!$C$26,"Bid",IF(T125&gt;='Scoring Guide'!$C$27,"Conditional (MD)","No-Bid")))))</f>
        <v/>
      </c>
      <c r="V125" s="79" t="n"/>
      <c r="W125" s="83" t="n"/>
      <c r="X125" s="79" t="n"/>
      <c r="Y125" s="79" t="n"/>
    </row>
    <row r="126" ht="15" customHeight="1" s="51">
      <c r="A126" s="77">
        <f>IF(Pipeline!A126="","",Pipeline!A126)</f>
        <v/>
      </c>
      <c r="B126" s="78">
        <f>IF(A126="","",INDEX(Pipeline!$H:$H,MATCH(A126,Pipeline!$A:$A,0)))</f>
        <v/>
      </c>
      <c r="C126" s="79" t="n"/>
      <c r="D126" s="79" t="n"/>
      <c r="E126" s="79" t="n"/>
      <c r="F126" s="79" t="n"/>
      <c r="G126" s="79" t="n"/>
      <c r="H126" s="79" t="n"/>
      <c r="I126" s="79" t="n"/>
      <c r="J126" s="79" t="n"/>
      <c r="K126" s="79" t="n"/>
      <c r="L126" s="79" t="n"/>
      <c r="M126" s="79" t="n"/>
      <c r="N126" s="79" t="n"/>
      <c r="O126" s="79" t="n"/>
      <c r="P126" s="79" t="n"/>
      <c r="Q126" s="79" t="n"/>
      <c r="R126" s="79" t="n"/>
      <c r="S126" s="80">
        <f>IF(A126="","",COUNT(G126:R126))</f>
        <v/>
      </c>
      <c r="T126" s="81">
        <f>IF(OR(A126="",S126&lt;12),"",SUMPRODUCT($G$3:$R$3,G126:R126)/5)</f>
        <v/>
      </c>
      <c r="U126" s="82">
        <f>IF(A126="","",IF(COUNTIF(C126:F126,"Fail")&gt;0,"No-Bid (gate failed)",IF(S126&lt;12,"Incomplete ("&amp;S126&amp;"/12)",IF(T126&gt;='Scoring Guide'!$C$26,"Bid",IF(T126&gt;='Scoring Guide'!$C$27,"Conditional (MD)","No-Bid")))))</f>
        <v/>
      </c>
      <c r="V126" s="79" t="n"/>
      <c r="W126" s="83" t="n"/>
      <c r="X126" s="79" t="n"/>
      <c r="Y126" s="79" t="n"/>
    </row>
    <row r="127" ht="15" customHeight="1" s="51">
      <c r="A127" s="77">
        <f>IF(Pipeline!A127="","",Pipeline!A127)</f>
        <v/>
      </c>
      <c r="B127" s="78">
        <f>IF(A127="","",INDEX(Pipeline!$H:$H,MATCH(A127,Pipeline!$A:$A,0)))</f>
        <v/>
      </c>
      <c r="C127" s="79" t="n"/>
      <c r="D127" s="79" t="n"/>
      <c r="E127" s="79" t="n"/>
      <c r="F127" s="79" t="n"/>
      <c r="G127" s="79" t="n"/>
      <c r="H127" s="79" t="n"/>
      <c r="I127" s="79" t="n"/>
      <c r="J127" s="79" t="n"/>
      <c r="K127" s="79" t="n"/>
      <c r="L127" s="79" t="n"/>
      <c r="M127" s="79" t="n"/>
      <c r="N127" s="79" t="n"/>
      <c r="O127" s="79" t="n"/>
      <c r="P127" s="79" t="n"/>
      <c r="Q127" s="79" t="n"/>
      <c r="R127" s="79" t="n"/>
      <c r="S127" s="80">
        <f>IF(A127="","",COUNT(G127:R127))</f>
        <v/>
      </c>
      <c r="T127" s="81">
        <f>IF(OR(A127="",S127&lt;12),"",SUMPRODUCT($G$3:$R$3,G127:R127)/5)</f>
        <v/>
      </c>
      <c r="U127" s="82">
        <f>IF(A127="","",IF(COUNTIF(C127:F127,"Fail")&gt;0,"No-Bid (gate failed)",IF(S127&lt;12,"Incomplete ("&amp;S127&amp;"/12)",IF(T127&gt;='Scoring Guide'!$C$26,"Bid",IF(T127&gt;='Scoring Guide'!$C$27,"Conditional (MD)","No-Bid")))))</f>
        <v/>
      </c>
      <c r="V127" s="79" t="n"/>
      <c r="W127" s="83" t="n"/>
      <c r="X127" s="79" t="n"/>
      <c r="Y127" s="79" t="n"/>
    </row>
    <row r="128" ht="15" customHeight="1" s="51">
      <c r="A128" s="77">
        <f>IF(Pipeline!A128="","",Pipeline!A128)</f>
        <v/>
      </c>
      <c r="B128" s="78">
        <f>IF(A128="","",INDEX(Pipeline!$H:$H,MATCH(A128,Pipeline!$A:$A,0)))</f>
        <v/>
      </c>
      <c r="C128" s="79" t="n"/>
      <c r="D128" s="79" t="n"/>
      <c r="E128" s="79" t="n"/>
      <c r="F128" s="79" t="n"/>
      <c r="G128" s="79" t="n"/>
      <c r="H128" s="79" t="n"/>
      <c r="I128" s="79" t="n"/>
      <c r="J128" s="79" t="n"/>
      <c r="K128" s="79" t="n"/>
      <c r="L128" s="79" t="n"/>
      <c r="M128" s="79" t="n"/>
      <c r="N128" s="79" t="n"/>
      <c r="O128" s="79" t="n"/>
      <c r="P128" s="79" t="n"/>
      <c r="Q128" s="79" t="n"/>
      <c r="R128" s="79" t="n"/>
      <c r="S128" s="80">
        <f>IF(A128="","",COUNT(G128:R128))</f>
        <v/>
      </c>
      <c r="T128" s="81">
        <f>IF(OR(A128="",S128&lt;12),"",SUMPRODUCT($G$3:$R$3,G128:R128)/5)</f>
        <v/>
      </c>
      <c r="U128" s="82">
        <f>IF(A128="","",IF(COUNTIF(C128:F128,"Fail")&gt;0,"No-Bid (gate failed)",IF(S128&lt;12,"Incomplete ("&amp;S128&amp;"/12)",IF(T128&gt;='Scoring Guide'!$C$26,"Bid",IF(T128&gt;='Scoring Guide'!$C$27,"Conditional (MD)","No-Bid")))))</f>
        <v/>
      </c>
      <c r="V128" s="79" t="n"/>
      <c r="W128" s="83" t="n"/>
      <c r="X128" s="79" t="n"/>
      <c r="Y128" s="79" t="n"/>
    </row>
    <row r="129" ht="15" customHeight="1" s="51">
      <c r="A129" s="77">
        <f>IF(Pipeline!A129="","",Pipeline!A129)</f>
        <v/>
      </c>
      <c r="B129" s="78">
        <f>IF(A129="","",INDEX(Pipeline!$H:$H,MATCH(A129,Pipeline!$A:$A,0)))</f>
        <v/>
      </c>
      <c r="C129" s="79" t="n"/>
      <c r="D129" s="79" t="n"/>
      <c r="E129" s="79" t="n"/>
      <c r="F129" s="79" t="n"/>
      <c r="G129" s="79" t="n"/>
      <c r="H129" s="79" t="n"/>
      <c r="I129" s="79" t="n"/>
      <c r="J129" s="79" t="n"/>
      <c r="K129" s="79" t="n"/>
      <c r="L129" s="79" t="n"/>
      <c r="M129" s="79" t="n"/>
      <c r="N129" s="79" t="n">
        <v>1</v>
      </c>
      <c r="O129" s="79" t="n"/>
      <c r="P129" s="79" t="n"/>
      <c r="Q129" s="79" t="n"/>
      <c r="R129" s="79" t="n"/>
      <c r="S129" s="80">
        <f>IF(A129="","",COUNT(G129:R129))</f>
        <v/>
      </c>
      <c r="T129" s="81">
        <f>IF(OR(A129="",S129&lt;12),"",SUMPRODUCT($G$3:$R$3,G129:R129)/5)</f>
        <v/>
      </c>
      <c r="U129" s="82">
        <f>IF(A129="","",IF(COUNTIF(C129:F129,"Fail")&gt;0,"No-Bid (gate failed)",IF(S129&lt;12,"Incomplete ("&amp;S129&amp;"/12)",IF(T129&gt;='Scoring Guide'!$C$26,"Bid",IF(T129&gt;='Scoring Guide'!$C$27,"Conditional (MD)","No-Bid")))))</f>
        <v/>
      </c>
      <c r="V129" s="79" t="n"/>
      <c r="W129" s="83" t="n"/>
      <c r="X129" s="79" t="n"/>
      <c r="Y129" s="79" t="n"/>
    </row>
    <row r="130" ht="15" customHeight="1" s="51">
      <c r="A130" s="77">
        <f>IF(Pipeline!A130="","",Pipeline!A130)</f>
        <v/>
      </c>
      <c r="B130" s="78">
        <f>IF(A130="","",INDEX(Pipeline!$H:$H,MATCH(A130,Pipeline!$A:$A,0)))</f>
        <v/>
      </c>
      <c r="C130" s="79" t="n"/>
      <c r="D130" s="79" t="n"/>
      <c r="E130" s="79" t="n"/>
      <c r="F130" s="79" t="n"/>
      <c r="G130" s="79" t="n"/>
      <c r="H130" s="79" t="n"/>
      <c r="I130" s="79" t="n"/>
      <c r="J130" s="79" t="n"/>
      <c r="K130" s="79" t="n"/>
      <c r="L130" s="79" t="n"/>
      <c r="M130" s="79" t="n"/>
      <c r="N130" s="79" t="n"/>
      <c r="O130" s="79" t="n"/>
      <c r="P130" s="79" t="n"/>
      <c r="Q130" s="79" t="n"/>
      <c r="R130" s="79" t="n"/>
      <c r="S130" s="80">
        <f>IF(A130="","",COUNT(G130:R130))</f>
        <v/>
      </c>
      <c r="T130" s="81">
        <f>IF(OR(A130="",S130&lt;12),"",SUMPRODUCT($G$3:$R$3,G130:R130)/5)</f>
        <v/>
      </c>
      <c r="U130" s="82">
        <f>IF(A130="","",IF(COUNTIF(C130:F130,"Fail")&gt;0,"No-Bid (gate failed)",IF(S130&lt;12,"Incomplete ("&amp;S130&amp;"/12)",IF(T130&gt;='Scoring Guide'!$C$26,"Bid",IF(T130&gt;='Scoring Guide'!$C$27,"Conditional (MD)","No-Bid")))))</f>
        <v/>
      </c>
      <c r="V130" s="79" t="n"/>
      <c r="W130" s="83" t="n"/>
      <c r="X130" s="79" t="n"/>
      <c r="Y130" s="79" t="n"/>
    </row>
    <row r="131" ht="15" customHeight="1" s="51">
      <c r="A131" s="77">
        <f>IF(Pipeline!A131="","",Pipeline!A131)</f>
        <v/>
      </c>
      <c r="B131" s="78">
        <f>IF(A131="","",INDEX(Pipeline!$H:$H,MATCH(A131,Pipeline!$A:$A,0)))</f>
        <v/>
      </c>
      <c r="C131" s="79" t="n"/>
      <c r="D131" s="79" t="n"/>
      <c r="E131" s="79" t="n"/>
      <c r="F131" s="79" t="n"/>
      <c r="G131" s="79" t="n"/>
      <c r="H131" s="79" t="n"/>
      <c r="I131" s="79" t="n"/>
      <c r="J131" s="79" t="n"/>
      <c r="K131" s="79" t="n"/>
      <c r="L131" s="79" t="n"/>
      <c r="M131" s="79" t="n"/>
      <c r="N131" s="79" t="n">
        <v>5</v>
      </c>
      <c r="O131" s="79" t="n"/>
      <c r="P131" s="79" t="n"/>
      <c r="Q131" s="79" t="n"/>
      <c r="R131" s="79" t="n"/>
      <c r="S131" s="80">
        <f>IF(A131="","",COUNT(G131:R131))</f>
        <v/>
      </c>
      <c r="T131" s="81">
        <f>IF(OR(A131="",S131&lt;12),"",SUMPRODUCT($G$3:$R$3,G131:R131)/5)</f>
        <v/>
      </c>
      <c r="U131" s="82">
        <f>IF(A131="","",IF(COUNTIF(C131:F131,"Fail")&gt;0,"No-Bid (gate failed)",IF(S131&lt;12,"Incomplete ("&amp;S131&amp;"/12)",IF(T131&gt;='Scoring Guide'!$C$26,"Bid",IF(T131&gt;='Scoring Guide'!$C$27,"Conditional (MD)","No-Bid")))))</f>
        <v/>
      </c>
      <c r="V131" s="79" t="n"/>
      <c r="W131" s="83" t="n"/>
      <c r="X131" s="79" t="n"/>
      <c r="Y131" s="79" t="n"/>
    </row>
    <row r="132" ht="15" customHeight="1" s="51">
      <c r="A132" s="77">
        <f>IF(Pipeline!A132="","",Pipeline!A132)</f>
        <v/>
      </c>
      <c r="B132" s="78">
        <f>IF(A132="","",INDEX(Pipeline!$H:$H,MATCH(A132,Pipeline!$A:$A,0)))</f>
        <v/>
      </c>
      <c r="C132" s="79" t="n"/>
      <c r="D132" s="79" t="n"/>
      <c r="E132" s="79" t="n"/>
      <c r="F132" s="79" t="n"/>
      <c r="G132" s="79" t="n"/>
      <c r="H132" s="79" t="n"/>
      <c r="I132" s="79" t="n"/>
      <c r="J132" s="79" t="n"/>
      <c r="K132" s="79" t="n"/>
      <c r="L132" s="79" t="n"/>
      <c r="M132" s="79" t="n"/>
      <c r="N132" s="79" t="n">
        <v>5</v>
      </c>
      <c r="O132" s="79" t="n"/>
      <c r="P132" s="79" t="n"/>
      <c r="Q132" s="79" t="n"/>
      <c r="R132" s="79" t="n"/>
      <c r="S132" s="80">
        <f>IF(A132="","",COUNT(G132:R132))</f>
        <v/>
      </c>
      <c r="T132" s="81">
        <f>IF(OR(A132="",S132&lt;12),"",SUMPRODUCT($G$3:$R$3,G132:R132)/5)</f>
        <v/>
      </c>
      <c r="U132" s="82">
        <f>IF(A132="","",IF(COUNTIF(C132:F132,"Fail")&gt;0,"No-Bid (gate failed)",IF(S132&lt;12,"Incomplete ("&amp;S132&amp;"/12)",IF(T132&gt;='Scoring Guide'!$C$26,"Bid",IF(T132&gt;='Scoring Guide'!$C$27,"Conditional (MD)","No-Bid")))))</f>
        <v/>
      </c>
      <c r="V132" s="79" t="n"/>
      <c r="W132" s="83" t="n"/>
      <c r="X132" s="79" t="n"/>
      <c r="Y132" s="79" t="n"/>
    </row>
    <row r="133" ht="15" customHeight="1" s="51">
      <c r="A133" s="77">
        <f>IF(Pipeline!A133="","",Pipeline!A133)</f>
        <v/>
      </c>
      <c r="B133" s="78">
        <f>IF(A133="","",INDEX(Pipeline!$H:$H,MATCH(A133,Pipeline!$A:$A,0)))</f>
        <v/>
      </c>
      <c r="C133" s="79" t="n"/>
      <c r="D133" s="79" t="n"/>
      <c r="E133" s="79" t="n"/>
      <c r="F133" s="79" t="n"/>
      <c r="G133" s="79" t="n"/>
      <c r="H133" s="79" t="n"/>
      <c r="I133" s="79" t="n"/>
      <c r="J133" s="79" t="n"/>
      <c r="K133" s="79" t="n"/>
      <c r="L133" s="79" t="n"/>
      <c r="M133" s="79" t="n"/>
      <c r="N133" s="79" t="n"/>
      <c r="O133" s="79" t="n"/>
      <c r="P133" s="79" t="n"/>
      <c r="Q133" s="79" t="n"/>
      <c r="R133" s="79" t="n"/>
      <c r="S133" s="80">
        <f>IF(A133="","",COUNT(G133:R133))</f>
        <v/>
      </c>
      <c r="T133" s="81">
        <f>IF(OR(A133="",S133&lt;12),"",SUMPRODUCT($G$3:$R$3,G133:R133)/5)</f>
        <v/>
      </c>
      <c r="U133" s="82">
        <f>IF(A133="","",IF(COUNTIF(C133:F133,"Fail")&gt;0,"No-Bid (gate failed)",IF(S133&lt;12,"Incomplete ("&amp;S133&amp;"/12)",IF(T133&gt;='Scoring Guide'!$C$26,"Bid",IF(T133&gt;='Scoring Guide'!$C$27,"Conditional (MD)","No-Bid")))))</f>
        <v/>
      </c>
      <c r="V133" s="79" t="n"/>
      <c r="W133" s="83" t="n"/>
      <c r="X133" s="79" t="n"/>
      <c r="Y133" s="79" t="n"/>
    </row>
    <row r="134" ht="15" customHeight="1" s="51">
      <c r="A134" s="77">
        <f>IF(Pipeline!A134="","",Pipeline!A134)</f>
        <v/>
      </c>
      <c r="B134" s="78">
        <f>IF(A134="","",INDEX(Pipeline!$H:$H,MATCH(A134,Pipeline!$A:$A,0)))</f>
        <v/>
      </c>
      <c r="C134" s="79" t="n"/>
      <c r="D134" s="79" t="n"/>
      <c r="E134" s="79" t="n"/>
      <c r="F134" s="79" t="n"/>
      <c r="G134" s="79" t="n"/>
      <c r="H134" s="79" t="n"/>
      <c r="I134" s="79" t="n"/>
      <c r="J134" s="79" t="n"/>
      <c r="K134" s="79" t="n"/>
      <c r="L134" s="79" t="n"/>
      <c r="M134" s="79" t="n"/>
      <c r="N134" s="79" t="n"/>
      <c r="O134" s="79" t="n"/>
      <c r="P134" s="79" t="n"/>
      <c r="Q134" s="79" t="n"/>
      <c r="R134" s="79" t="n"/>
      <c r="S134" s="80">
        <f>IF(A134="","",COUNT(G134:R134))</f>
        <v/>
      </c>
      <c r="T134" s="81">
        <f>IF(OR(A134="",S134&lt;12),"",SUMPRODUCT($G$3:$R$3,G134:R134)/5)</f>
        <v/>
      </c>
      <c r="U134" s="82">
        <f>IF(A134="","",IF(COUNTIF(C134:F134,"Fail")&gt;0,"No-Bid (gate failed)",IF(S134&lt;12,"Incomplete ("&amp;S134&amp;"/12)",IF(T134&gt;='Scoring Guide'!$C$26,"Bid",IF(T134&gt;='Scoring Guide'!$C$27,"Conditional (MD)","No-Bid")))))</f>
        <v/>
      </c>
      <c r="V134" s="79" t="n"/>
      <c r="W134" s="83" t="n"/>
      <c r="X134" s="79" t="n"/>
      <c r="Y134" s="79" t="n"/>
    </row>
    <row r="135" ht="15" customHeight="1" s="51">
      <c r="A135" s="77">
        <f>IF(Pipeline!A135="","",Pipeline!A135)</f>
        <v/>
      </c>
      <c r="B135" s="78">
        <f>IF(A135="","",INDEX(Pipeline!$H:$H,MATCH(A135,Pipeline!$A:$A,0)))</f>
        <v/>
      </c>
      <c r="C135" s="79" t="n"/>
      <c r="D135" s="79" t="n"/>
      <c r="E135" s="79" t="n"/>
      <c r="F135" s="79" t="n"/>
      <c r="G135" s="79" t="n"/>
      <c r="H135" s="79" t="n"/>
      <c r="I135" s="79" t="n"/>
      <c r="J135" s="79" t="n"/>
      <c r="K135" s="79" t="n"/>
      <c r="L135" s="79" t="n"/>
      <c r="M135" s="79" t="n"/>
      <c r="N135" s="79" t="n"/>
      <c r="O135" s="79" t="n"/>
      <c r="P135" s="79" t="n"/>
      <c r="Q135" s="79" t="n"/>
      <c r="R135" s="79" t="n"/>
      <c r="S135" s="80">
        <f>IF(A135="","",COUNT(G135:R135))</f>
        <v/>
      </c>
      <c r="T135" s="81">
        <f>IF(OR(A135="",S135&lt;12),"",SUMPRODUCT($G$3:$R$3,G135:R135)/5)</f>
        <v/>
      </c>
      <c r="U135" s="82">
        <f>IF(A135="","",IF(COUNTIF(C135:F135,"Fail")&gt;0,"No-Bid (gate failed)",IF(S135&lt;12,"Incomplete ("&amp;S135&amp;"/12)",IF(T135&gt;='Scoring Guide'!$C$26,"Bid",IF(T135&gt;='Scoring Guide'!$C$27,"Conditional (MD)","No-Bid")))))</f>
        <v/>
      </c>
      <c r="V135" s="79" t="n"/>
      <c r="W135" s="83" t="n"/>
      <c r="X135" s="79" t="n"/>
      <c r="Y135" s="79" t="n"/>
    </row>
    <row r="136" ht="15" customHeight="1" s="51">
      <c r="A136" s="77">
        <f>IF(Pipeline!A136="","",Pipeline!A136)</f>
        <v/>
      </c>
      <c r="B136" s="78">
        <f>IF(A136="","",INDEX(Pipeline!$H:$H,MATCH(A136,Pipeline!$A:$A,0)))</f>
        <v/>
      </c>
      <c r="C136" s="79" t="n"/>
      <c r="D136" s="79" t="n"/>
      <c r="E136" s="79" t="n"/>
      <c r="F136" s="79" t="n"/>
      <c r="G136" s="79" t="n"/>
      <c r="H136" s="79" t="n"/>
      <c r="I136" s="79" t="n"/>
      <c r="J136" s="79" t="n"/>
      <c r="K136" s="79" t="n"/>
      <c r="L136" s="79" t="n"/>
      <c r="M136" s="79" t="n"/>
      <c r="N136" s="79" t="n">
        <v>4</v>
      </c>
      <c r="O136" s="79" t="n"/>
      <c r="P136" s="79" t="n"/>
      <c r="Q136" s="79" t="n"/>
      <c r="R136" s="79" t="n"/>
      <c r="S136" s="80">
        <f>IF(A136="","",COUNT(G136:R136))</f>
        <v/>
      </c>
      <c r="T136" s="81">
        <f>IF(OR(A136="",S136&lt;12),"",SUMPRODUCT($G$3:$R$3,G136:R136)/5)</f>
        <v/>
      </c>
      <c r="U136" s="82">
        <f>IF(A136="","",IF(COUNTIF(C136:F136,"Fail")&gt;0,"No-Bid (gate failed)",IF(S136&lt;12,"Incomplete ("&amp;S136&amp;"/12)",IF(T136&gt;='Scoring Guide'!$C$26,"Bid",IF(T136&gt;='Scoring Guide'!$C$27,"Conditional (MD)","No-Bid")))))</f>
        <v/>
      </c>
      <c r="V136" s="79" t="n"/>
      <c r="W136" s="83" t="n"/>
      <c r="X136" s="79" t="n"/>
      <c r="Y136" s="79" t="n"/>
    </row>
    <row r="137" ht="15" customHeight="1" s="51">
      <c r="A137" s="77">
        <f>IF(Pipeline!A137="","",Pipeline!A137)</f>
        <v/>
      </c>
      <c r="B137" s="78">
        <f>IF(A137="","",INDEX(Pipeline!$H:$H,MATCH(A137,Pipeline!$A:$A,0)))</f>
        <v/>
      </c>
      <c r="C137" s="79" t="n"/>
      <c r="D137" s="79" t="n"/>
      <c r="E137" s="79" t="n"/>
      <c r="F137" s="79" t="n"/>
      <c r="G137" s="79" t="n"/>
      <c r="H137" s="79" t="n"/>
      <c r="I137" s="79" t="n"/>
      <c r="J137" s="79" t="n"/>
      <c r="K137" s="79" t="n"/>
      <c r="L137" s="79" t="n"/>
      <c r="M137" s="79" t="n"/>
      <c r="N137" s="79" t="n">
        <v>5</v>
      </c>
      <c r="O137" s="79" t="n"/>
      <c r="P137" s="79" t="n"/>
      <c r="Q137" s="79" t="n"/>
      <c r="R137" s="79" t="n"/>
      <c r="S137" s="80">
        <f>IF(A137="","",COUNT(G137:R137))</f>
        <v/>
      </c>
      <c r="T137" s="81">
        <f>IF(OR(A137="",S137&lt;12),"",SUMPRODUCT($G$3:$R$3,G137:R137)/5)</f>
        <v/>
      </c>
      <c r="U137" s="82">
        <f>IF(A137="","",IF(COUNTIF(C137:F137,"Fail")&gt;0,"No-Bid (gate failed)",IF(S137&lt;12,"Incomplete ("&amp;S137&amp;"/12)",IF(T137&gt;='Scoring Guide'!$C$26,"Bid",IF(T137&gt;='Scoring Guide'!$C$27,"Conditional (MD)","No-Bid")))))</f>
        <v/>
      </c>
      <c r="V137" s="79" t="n"/>
      <c r="W137" s="83" t="n"/>
      <c r="X137" s="79" t="n"/>
      <c r="Y137" s="79" t="n"/>
    </row>
    <row r="138" ht="15" customHeight="1" s="51">
      <c r="A138" s="77">
        <f>IF(Pipeline!A138="","",Pipeline!A138)</f>
        <v/>
      </c>
      <c r="B138" s="78">
        <f>IF(A138="","",INDEX(Pipeline!$H:$H,MATCH(A138,Pipeline!$A:$A,0)))</f>
        <v/>
      </c>
      <c r="C138" s="79" t="n"/>
      <c r="D138" s="79" t="n"/>
      <c r="E138" s="79" t="n"/>
      <c r="F138" s="79" t="n"/>
      <c r="G138" s="79" t="n"/>
      <c r="H138" s="79" t="n"/>
      <c r="I138" s="79" t="n"/>
      <c r="J138" s="79" t="n"/>
      <c r="K138" s="79" t="n"/>
      <c r="L138" s="79" t="n"/>
      <c r="M138" s="79" t="n"/>
      <c r="N138" s="79" t="n">
        <v>4</v>
      </c>
      <c r="O138" s="79" t="n"/>
      <c r="P138" s="79" t="n"/>
      <c r="Q138" s="79" t="n"/>
      <c r="R138" s="79" t="n"/>
      <c r="S138" s="80">
        <f>IF(A138="","",COUNT(G138:R138))</f>
        <v/>
      </c>
      <c r="T138" s="81">
        <f>IF(OR(A138="",S138&lt;12),"",SUMPRODUCT($G$3:$R$3,G138:R138)/5)</f>
        <v/>
      </c>
      <c r="U138" s="82">
        <f>IF(A138="","",IF(COUNTIF(C138:F138,"Fail")&gt;0,"No-Bid (gate failed)",IF(S138&lt;12,"Incomplete ("&amp;S138&amp;"/12)",IF(T138&gt;='Scoring Guide'!$C$26,"Bid",IF(T138&gt;='Scoring Guide'!$C$27,"Conditional (MD)","No-Bid")))))</f>
        <v/>
      </c>
      <c r="V138" s="79" t="n"/>
      <c r="W138" s="83" t="n"/>
      <c r="X138" s="79" t="n"/>
      <c r="Y138" s="79" t="n"/>
    </row>
    <row r="139" ht="15" customHeight="1" s="51">
      <c r="A139" s="77">
        <f>IF(Pipeline!A139="","",Pipeline!A139)</f>
        <v/>
      </c>
      <c r="B139" s="78">
        <f>IF(A139="","",INDEX(Pipeline!$H:$H,MATCH(A139,Pipeline!$A:$A,0)))</f>
        <v/>
      </c>
      <c r="C139" s="79" t="n"/>
      <c r="D139" s="79" t="n"/>
      <c r="E139" s="79" t="n"/>
      <c r="F139" s="79" t="n"/>
      <c r="G139" s="79" t="n"/>
      <c r="H139" s="79" t="n"/>
      <c r="I139" s="79" t="n"/>
      <c r="J139" s="79" t="n"/>
      <c r="K139" s="79" t="n"/>
      <c r="L139" s="79" t="n"/>
      <c r="M139" s="79" t="n"/>
      <c r="N139" s="79" t="n">
        <v>1</v>
      </c>
      <c r="O139" s="79" t="n"/>
      <c r="P139" s="79" t="n"/>
      <c r="Q139" s="79" t="n"/>
      <c r="R139" s="79" t="n"/>
      <c r="S139" s="80">
        <f>IF(A139="","",COUNT(G139:R139))</f>
        <v/>
      </c>
      <c r="T139" s="81">
        <f>IF(OR(A139="",S139&lt;12),"",SUMPRODUCT($G$3:$R$3,G139:R139)/5)</f>
        <v/>
      </c>
      <c r="U139" s="82">
        <f>IF(A139="","",IF(COUNTIF(C139:F139,"Fail")&gt;0,"No-Bid (gate failed)",IF(S139&lt;12,"Incomplete ("&amp;S139&amp;"/12)",IF(T139&gt;='Scoring Guide'!$C$26,"Bid",IF(T139&gt;='Scoring Guide'!$C$27,"Conditional (MD)","No-Bid")))))</f>
        <v/>
      </c>
      <c r="V139" s="79" t="n"/>
      <c r="W139" s="83" t="n"/>
      <c r="X139" s="79" t="n"/>
      <c r="Y139" s="79" t="n"/>
    </row>
    <row r="140" ht="15" customHeight="1" s="51">
      <c r="A140" s="77">
        <f>IF(Pipeline!A140="","",Pipeline!A140)</f>
        <v/>
      </c>
      <c r="B140" s="78">
        <f>IF(A140="","",INDEX(Pipeline!$H:$H,MATCH(A140,Pipeline!$A:$A,0)))</f>
        <v/>
      </c>
      <c r="C140" s="79" t="n"/>
      <c r="D140" s="79" t="n"/>
      <c r="E140" s="79" t="n"/>
      <c r="F140" s="79" t="n"/>
      <c r="G140" s="79" t="n"/>
      <c r="H140" s="79" t="n"/>
      <c r="I140" s="79" t="n"/>
      <c r="J140" s="79" t="n"/>
      <c r="K140" s="79" t="n"/>
      <c r="L140" s="79" t="n"/>
      <c r="M140" s="79" t="n"/>
      <c r="N140" s="79" t="n">
        <v>1</v>
      </c>
      <c r="O140" s="79" t="n"/>
      <c r="P140" s="79" t="n"/>
      <c r="Q140" s="79" t="n"/>
      <c r="R140" s="79" t="n"/>
      <c r="S140" s="80">
        <f>IF(A140="","",COUNT(G140:R140))</f>
        <v/>
      </c>
      <c r="T140" s="81">
        <f>IF(OR(A140="",S140&lt;12),"",SUMPRODUCT($G$3:$R$3,G140:R140)/5)</f>
        <v/>
      </c>
      <c r="U140" s="82">
        <f>IF(A140="","",IF(COUNTIF(C140:F140,"Fail")&gt;0,"No-Bid (gate failed)",IF(S140&lt;12,"Incomplete ("&amp;S140&amp;"/12)",IF(T140&gt;='Scoring Guide'!$C$26,"Bid",IF(T140&gt;='Scoring Guide'!$C$27,"Conditional (MD)","No-Bid")))))</f>
        <v/>
      </c>
      <c r="V140" s="79" t="n"/>
      <c r="W140" s="83" t="n"/>
      <c r="X140" s="79" t="n"/>
      <c r="Y140" s="79" t="n"/>
    </row>
    <row r="141" ht="15" customHeight="1" s="51">
      <c r="A141" s="77">
        <f>IF(Pipeline!A141="","",Pipeline!A141)</f>
        <v/>
      </c>
      <c r="B141" s="78">
        <f>IF(A141="","",INDEX(Pipeline!$H:$H,MATCH(A141,Pipeline!$A:$A,0)))</f>
        <v/>
      </c>
      <c r="C141" s="79" t="n"/>
      <c r="D141" s="79" t="n"/>
      <c r="E141" s="79" t="n"/>
      <c r="F141" s="79" t="n"/>
      <c r="G141" s="79" t="n"/>
      <c r="H141" s="79" t="n"/>
      <c r="I141" s="79" t="n"/>
      <c r="J141" s="79" t="n"/>
      <c r="K141" s="79" t="n"/>
      <c r="L141" s="79" t="n"/>
      <c r="M141" s="79" t="n"/>
      <c r="N141" s="79" t="n">
        <v>1</v>
      </c>
      <c r="O141" s="79" t="n"/>
      <c r="P141" s="79" t="n"/>
      <c r="Q141" s="79" t="n"/>
      <c r="R141" s="79" t="n"/>
      <c r="S141" s="80">
        <f>IF(A141="","",COUNT(G141:R141))</f>
        <v/>
      </c>
      <c r="T141" s="81">
        <f>IF(OR(A141="",S141&lt;12),"",SUMPRODUCT($G$3:$R$3,G141:R141)/5)</f>
        <v/>
      </c>
      <c r="U141" s="82">
        <f>IF(A141="","",IF(COUNTIF(C141:F141,"Fail")&gt;0,"No-Bid (gate failed)",IF(S141&lt;12,"Incomplete ("&amp;S141&amp;"/12)",IF(T141&gt;='Scoring Guide'!$C$26,"Bid",IF(T141&gt;='Scoring Guide'!$C$27,"Conditional (MD)","No-Bid")))))</f>
        <v/>
      </c>
      <c r="V141" s="79" t="n"/>
      <c r="W141" s="83" t="n"/>
      <c r="X141" s="79" t="n"/>
      <c r="Y141" s="79" t="n"/>
    </row>
    <row r="142" ht="15" customHeight="1" s="51">
      <c r="A142" s="77">
        <f>IF(Pipeline!A142="","",Pipeline!A142)</f>
        <v/>
      </c>
      <c r="B142" s="78">
        <f>IF(A142="","",INDEX(Pipeline!$H:$H,MATCH(A142,Pipeline!$A:$A,0)))</f>
        <v/>
      </c>
      <c r="C142" s="79" t="n"/>
      <c r="D142" s="79" t="n"/>
      <c r="E142" s="79" t="n"/>
      <c r="F142" s="79" t="n"/>
      <c r="G142" s="79" t="n"/>
      <c r="H142" s="79" t="n"/>
      <c r="I142" s="79" t="n"/>
      <c r="J142" s="79" t="n"/>
      <c r="K142" s="79" t="n"/>
      <c r="L142" s="79" t="n"/>
      <c r="M142" s="79" t="n"/>
      <c r="N142" s="79" t="n">
        <v>5</v>
      </c>
      <c r="O142" s="79" t="n"/>
      <c r="P142" s="79" t="n"/>
      <c r="Q142" s="79" t="n"/>
      <c r="R142" s="79" t="n"/>
      <c r="S142" s="80">
        <f>IF(A142="","",COUNT(G142:R142))</f>
        <v/>
      </c>
      <c r="T142" s="81">
        <f>IF(OR(A142="",S142&lt;12),"",SUMPRODUCT($G$3:$R$3,G142:R142)/5)</f>
        <v/>
      </c>
      <c r="U142" s="82">
        <f>IF(A142="","",IF(COUNTIF(C142:F142,"Fail")&gt;0,"No-Bid (gate failed)",IF(S142&lt;12,"Incomplete ("&amp;S142&amp;"/12)",IF(T142&gt;='Scoring Guide'!$C$26,"Bid",IF(T142&gt;='Scoring Guide'!$C$27,"Conditional (MD)","No-Bid")))))</f>
        <v/>
      </c>
      <c r="V142" s="79" t="n"/>
      <c r="W142" s="83" t="n"/>
      <c r="X142" s="79" t="n"/>
      <c r="Y142" s="79" t="n"/>
    </row>
    <row r="143" ht="15" customHeight="1" s="51">
      <c r="A143" s="77">
        <f>IF(Pipeline!A143="","",Pipeline!A143)</f>
        <v/>
      </c>
      <c r="B143" s="78">
        <f>IF(A143="","",INDEX(Pipeline!$H:$H,MATCH(A143,Pipeline!$A:$A,0)))</f>
        <v/>
      </c>
      <c r="C143" s="79" t="n"/>
      <c r="D143" s="79" t="n"/>
      <c r="E143" s="79" t="n"/>
      <c r="F143" s="79" t="n"/>
      <c r="G143" s="79" t="n"/>
      <c r="H143" s="79" t="n"/>
      <c r="I143" s="79" t="n"/>
      <c r="J143" s="79" t="n"/>
      <c r="K143" s="79" t="n"/>
      <c r="L143" s="79" t="n"/>
      <c r="M143" s="79" t="n"/>
      <c r="N143" s="79" t="n">
        <v>5</v>
      </c>
      <c r="O143" s="79" t="n"/>
      <c r="P143" s="79" t="n"/>
      <c r="Q143" s="79" t="n"/>
      <c r="R143" s="79" t="n"/>
      <c r="S143" s="80">
        <f>IF(A143="","",COUNT(G143:R143))</f>
        <v/>
      </c>
      <c r="T143" s="81">
        <f>IF(OR(A143="",S143&lt;12),"",SUMPRODUCT($G$3:$R$3,G143:R143)/5)</f>
        <v/>
      </c>
      <c r="U143" s="82">
        <f>IF(A143="","",IF(COUNTIF(C143:F143,"Fail")&gt;0,"No-Bid (gate failed)",IF(S143&lt;12,"Incomplete ("&amp;S143&amp;"/12)",IF(T143&gt;='Scoring Guide'!$C$26,"Bid",IF(T143&gt;='Scoring Guide'!$C$27,"Conditional (MD)","No-Bid")))))</f>
        <v/>
      </c>
      <c r="V143" s="79" t="n"/>
      <c r="W143" s="83" t="n"/>
      <c r="X143" s="79" t="n"/>
      <c r="Y143" s="79" t="n"/>
    </row>
    <row r="144" ht="15" customHeight="1" s="51">
      <c r="A144" s="77">
        <f>IF(Pipeline!A144="","",Pipeline!A144)</f>
        <v/>
      </c>
      <c r="B144" s="78">
        <f>IF(A144="","",INDEX(Pipeline!$H:$H,MATCH(A144,Pipeline!$A:$A,0)))</f>
        <v/>
      </c>
      <c r="C144" s="79" t="n"/>
      <c r="D144" s="79" t="n"/>
      <c r="E144" s="79" t="n"/>
      <c r="F144" s="79" t="n"/>
      <c r="G144" s="79" t="n"/>
      <c r="H144" s="79" t="n"/>
      <c r="I144" s="79" t="n"/>
      <c r="J144" s="79" t="n"/>
      <c r="K144" s="79" t="n"/>
      <c r="L144" s="79" t="n"/>
      <c r="M144" s="79" t="n"/>
      <c r="N144" s="79" t="n">
        <v>1</v>
      </c>
      <c r="O144" s="79" t="n"/>
      <c r="P144" s="79" t="n"/>
      <c r="Q144" s="79" t="n"/>
      <c r="R144" s="79" t="n"/>
      <c r="S144" s="80">
        <f>IF(A144="","",COUNT(G144:R144))</f>
        <v/>
      </c>
      <c r="T144" s="81">
        <f>IF(OR(A144="",S144&lt;12),"",SUMPRODUCT($G$3:$R$3,G144:R144)/5)</f>
        <v/>
      </c>
      <c r="U144" s="82">
        <f>IF(A144="","",IF(COUNTIF(C144:F144,"Fail")&gt;0,"No-Bid (gate failed)",IF(S144&lt;12,"Incomplete ("&amp;S144&amp;"/12)",IF(T144&gt;='Scoring Guide'!$C$26,"Bid",IF(T144&gt;='Scoring Guide'!$C$27,"Conditional (MD)","No-Bid")))))</f>
        <v/>
      </c>
      <c r="V144" s="79" t="n"/>
      <c r="W144" s="83" t="n"/>
      <c r="X144" s="79" t="n"/>
      <c r="Y144" s="79" t="n"/>
    </row>
    <row r="145" ht="15" customHeight="1" s="51">
      <c r="A145" s="77">
        <f>IF(Pipeline!A145="","",Pipeline!A145)</f>
        <v/>
      </c>
      <c r="B145" s="78">
        <f>IF(A145="","",INDEX(Pipeline!$H:$H,MATCH(A145,Pipeline!$A:$A,0)))</f>
        <v/>
      </c>
      <c r="C145" s="79" t="n"/>
      <c r="D145" s="79" t="n"/>
      <c r="E145" s="79" t="n"/>
      <c r="F145" s="79" t="n"/>
      <c r="G145" s="79" t="n"/>
      <c r="H145" s="79" t="n"/>
      <c r="I145" s="79" t="n"/>
      <c r="J145" s="79" t="n"/>
      <c r="K145" s="79" t="n"/>
      <c r="L145" s="79" t="n"/>
      <c r="M145" s="79" t="n"/>
      <c r="N145" s="79" t="n"/>
      <c r="O145" s="79" t="n"/>
      <c r="P145" s="79" t="n"/>
      <c r="Q145" s="79" t="n"/>
      <c r="R145" s="79" t="n"/>
      <c r="S145" s="80">
        <f>IF(A145="","",COUNT(G145:R145))</f>
        <v/>
      </c>
      <c r="T145" s="81">
        <f>IF(OR(A145="",S145&lt;12),"",SUMPRODUCT($G$3:$R$3,G145:R145)/5)</f>
        <v/>
      </c>
      <c r="U145" s="82">
        <f>IF(A145="","",IF(COUNTIF(C145:F145,"Fail")&gt;0,"No-Bid (gate failed)",IF(S145&lt;12,"Incomplete ("&amp;S145&amp;"/12)",IF(T145&gt;='Scoring Guide'!$C$26,"Bid",IF(T145&gt;='Scoring Guide'!$C$27,"Conditional (MD)","No-Bid")))))</f>
        <v/>
      </c>
      <c r="V145" s="79" t="n"/>
      <c r="W145" s="83" t="n"/>
      <c r="X145" s="79" t="n"/>
      <c r="Y145" s="79" t="n"/>
    </row>
    <row r="146" ht="15" customHeight="1" s="51">
      <c r="A146" s="77">
        <f>IF(Pipeline!A146="","",Pipeline!A146)</f>
        <v/>
      </c>
      <c r="B146" s="78">
        <f>IF(A146="","",INDEX(Pipeline!$H:$H,MATCH(A146,Pipeline!$A:$A,0)))</f>
        <v/>
      </c>
      <c r="C146" s="79" t="n"/>
      <c r="D146" s="79" t="n"/>
      <c r="E146" s="79" t="n"/>
      <c r="F146" s="79" t="n"/>
      <c r="G146" s="79" t="n"/>
      <c r="H146" s="79" t="n"/>
      <c r="I146" s="79" t="n"/>
      <c r="J146" s="79" t="n"/>
      <c r="K146" s="79" t="n"/>
      <c r="L146" s="79" t="n"/>
      <c r="M146" s="79" t="n"/>
      <c r="N146" s="79" t="n">
        <v>4</v>
      </c>
      <c r="O146" s="79" t="n"/>
      <c r="P146" s="79" t="n"/>
      <c r="Q146" s="79" t="n"/>
      <c r="R146" s="79" t="n"/>
      <c r="S146" s="80">
        <f>IF(A146="","",COUNT(G146:R146))</f>
        <v/>
      </c>
      <c r="T146" s="81">
        <f>IF(OR(A146="",S146&lt;12),"",SUMPRODUCT($G$3:$R$3,G146:R146)/5)</f>
        <v/>
      </c>
      <c r="U146" s="82">
        <f>IF(A146="","",IF(COUNTIF(C146:F146,"Fail")&gt;0,"No-Bid (gate failed)",IF(S146&lt;12,"Incomplete ("&amp;S146&amp;"/12)",IF(T146&gt;='Scoring Guide'!$C$26,"Bid",IF(T146&gt;='Scoring Guide'!$C$27,"Conditional (MD)","No-Bid")))))</f>
        <v/>
      </c>
      <c r="V146" s="79" t="n"/>
      <c r="W146" s="83" t="n"/>
      <c r="X146" s="79" t="n"/>
      <c r="Y146" s="79" t="n"/>
    </row>
    <row r="147" ht="15" customHeight="1" s="51">
      <c r="A147" s="77">
        <f>IF(Pipeline!A147="","",Pipeline!A147)</f>
        <v/>
      </c>
      <c r="B147" s="78">
        <f>IF(A147="","",INDEX(Pipeline!$H:$H,MATCH(A147,Pipeline!$A:$A,0)))</f>
        <v/>
      </c>
      <c r="C147" s="79" t="n"/>
      <c r="D147" s="79" t="n"/>
      <c r="E147" s="79" t="n"/>
      <c r="F147" s="79" t="n"/>
      <c r="G147" s="79" t="n"/>
      <c r="H147" s="79" t="n"/>
      <c r="I147" s="79" t="n"/>
      <c r="J147" s="79" t="n"/>
      <c r="K147" s="79" t="n"/>
      <c r="L147" s="79" t="n"/>
      <c r="M147" s="79" t="n"/>
      <c r="N147" s="79" t="n">
        <v>5</v>
      </c>
      <c r="O147" s="79" t="n"/>
      <c r="P147" s="79" t="n"/>
      <c r="Q147" s="79" t="n"/>
      <c r="R147" s="79" t="n"/>
      <c r="S147" s="80">
        <f>IF(A147="","",COUNT(G147:R147))</f>
        <v/>
      </c>
      <c r="T147" s="81">
        <f>IF(OR(A147="",S147&lt;12),"",SUMPRODUCT($G$3:$R$3,G147:R147)/5)</f>
        <v/>
      </c>
      <c r="U147" s="82">
        <f>IF(A147="","",IF(COUNTIF(C147:F147,"Fail")&gt;0,"No-Bid (gate failed)",IF(S147&lt;12,"Incomplete ("&amp;S147&amp;"/12)",IF(T147&gt;='Scoring Guide'!$C$26,"Bid",IF(T147&gt;='Scoring Guide'!$C$27,"Conditional (MD)","No-Bid")))))</f>
        <v/>
      </c>
      <c r="V147" s="79" t="n"/>
      <c r="W147" s="83" t="n"/>
      <c r="X147" s="79" t="n"/>
      <c r="Y147" s="79" t="n"/>
    </row>
    <row r="148" ht="15" customHeight="1" s="51">
      <c r="A148" s="77">
        <f>IF(Pipeline!A148="","",Pipeline!A148)</f>
        <v/>
      </c>
      <c r="B148" s="78">
        <f>IF(A148="","",INDEX(Pipeline!$H:$H,MATCH(A148,Pipeline!$A:$A,0)))</f>
        <v/>
      </c>
      <c r="C148" s="79" t="n"/>
      <c r="D148" s="79" t="n"/>
      <c r="E148" s="79" t="n"/>
      <c r="F148" s="79" t="n"/>
      <c r="G148" s="79" t="n"/>
      <c r="H148" s="79" t="n"/>
      <c r="I148" s="79" t="n"/>
      <c r="J148" s="79" t="n"/>
      <c r="K148" s="79" t="n"/>
      <c r="L148" s="79" t="n"/>
      <c r="M148" s="79" t="n"/>
      <c r="N148" s="79" t="n">
        <v>1</v>
      </c>
      <c r="O148" s="79" t="n"/>
      <c r="P148" s="79" t="n"/>
      <c r="Q148" s="79" t="n"/>
      <c r="R148" s="79" t="n"/>
      <c r="S148" s="80">
        <f>IF(A148="","",COUNT(G148:R148))</f>
        <v/>
      </c>
      <c r="T148" s="81">
        <f>IF(OR(A148="",S148&lt;12),"",SUMPRODUCT($G$3:$R$3,G148:R148)/5)</f>
        <v/>
      </c>
      <c r="U148" s="82">
        <f>IF(A148="","",IF(COUNTIF(C148:F148,"Fail")&gt;0,"No-Bid (gate failed)",IF(S148&lt;12,"Incomplete ("&amp;S148&amp;"/12)",IF(T148&gt;='Scoring Guide'!$C$26,"Bid",IF(T148&gt;='Scoring Guide'!$C$27,"Conditional (MD)","No-Bid")))))</f>
        <v/>
      </c>
      <c r="V148" s="79" t="n"/>
      <c r="W148" s="83" t="n"/>
      <c r="X148" s="79" t="n"/>
      <c r="Y148" s="79" t="n"/>
    </row>
    <row r="149" ht="15" customHeight="1" s="51">
      <c r="A149" s="77">
        <f>IF(Pipeline!A149="","",Pipeline!A149)</f>
        <v/>
      </c>
      <c r="B149" s="78">
        <f>IF(A149="","",INDEX(Pipeline!$H:$H,MATCH(A149,Pipeline!$A:$A,0)))</f>
        <v/>
      </c>
      <c r="C149" s="79" t="n"/>
      <c r="D149" s="79" t="n"/>
      <c r="E149" s="79" t="n"/>
      <c r="F149" s="79" t="n"/>
      <c r="G149" s="79" t="n"/>
      <c r="H149" s="79" t="n"/>
      <c r="I149" s="79" t="n"/>
      <c r="J149" s="79" t="n"/>
      <c r="K149" s="79" t="n"/>
      <c r="L149" s="79" t="n"/>
      <c r="M149" s="79" t="n"/>
      <c r="N149" s="79" t="n">
        <v>5</v>
      </c>
      <c r="O149" s="79" t="n"/>
      <c r="P149" s="79" t="n"/>
      <c r="Q149" s="79" t="n"/>
      <c r="R149" s="79" t="n"/>
      <c r="S149" s="80">
        <f>IF(A149="","",COUNT(G149:R149))</f>
        <v/>
      </c>
      <c r="T149" s="81">
        <f>IF(OR(A149="",S149&lt;12),"",SUMPRODUCT($G$3:$R$3,G149:R149)/5)</f>
        <v/>
      </c>
      <c r="U149" s="82">
        <f>IF(A149="","",IF(COUNTIF(C149:F149,"Fail")&gt;0,"No-Bid (gate failed)",IF(S149&lt;12,"Incomplete ("&amp;S149&amp;"/12)",IF(T149&gt;='Scoring Guide'!$C$26,"Bid",IF(T149&gt;='Scoring Guide'!$C$27,"Conditional (MD)","No-Bid")))))</f>
        <v/>
      </c>
      <c r="V149" s="79" t="n"/>
      <c r="W149" s="83" t="n"/>
      <c r="X149" s="79" t="n"/>
      <c r="Y149" s="79" t="n"/>
    </row>
    <row r="150" ht="15" customHeight="1" s="51">
      <c r="A150" s="77">
        <f>IF(Pipeline!A150="","",Pipeline!A150)</f>
        <v/>
      </c>
      <c r="B150" s="78">
        <f>IF(A150="","",INDEX(Pipeline!$H:$H,MATCH(A150,Pipeline!$A:$A,0)))</f>
        <v/>
      </c>
      <c r="C150" s="79" t="n"/>
      <c r="D150" s="79" t="n"/>
      <c r="E150" s="79" t="n"/>
      <c r="F150" s="79" t="n"/>
      <c r="G150" s="79" t="n"/>
      <c r="H150" s="79" t="n"/>
      <c r="I150" s="79" t="n"/>
      <c r="J150" s="79" t="n"/>
      <c r="K150" s="79" t="n"/>
      <c r="L150" s="79" t="n"/>
      <c r="M150" s="79" t="n"/>
      <c r="N150" s="79" t="n">
        <v>1</v>
      </c>
      <c r="O150" s="79" t="n"/>
      <c r="P150" s="79" t="n"/>
      <c r="Q150" s="79" t="n"/>
      <c r="R150" s="79" t="n"/>
      <c r="S150" s="80">
        <f>IF(A150="","",COUNT(G150:R150))</f>
        <v/>
      </c>
      <c r="T150" s="81">
        <f>IF(OR(A150="",S150&lt;12),"",SUMPRODUCT($G$3:$R$3,G150:R150)/5)</f>
        <v/>
      </c>
      <c r="U150" s="82">
        <f>IF(A150="","",IF(COUNTIF(C150:F150,"Fail")&gt;0,"No-Bid (gate failed)",IF(S150&lt;12,"Incomplete ("&amp;S150&amp;"/12)",IF(T150&gt;='Scoring Guide'!$C$26,"Bid",IF(T150&gt;='Scoring Guide'!$C$27,"Conditional (MD)","No-Bid")))))</f>
        <v/>
      </c>
      <c r="V150" s="79" t="n"/>
      <c r="W150" s="83" t="n"/>
      <c r="X150" s="79" t="n"/>
      <c r="Y150" s="79" t="n"/>
    </row>
    <row r="151" ht="15" customHeight="1" s="51">
      <c r="A151" s="77">
        <f>IF(Pipeline!A151="","",Pipeline!A151)</f>
        <v/>
      </c>
      <c r="B151" s="78">
        <f>IF(A151="","",INDEX(Pipeline!$H:$H,MATCH(A151,Pipeline!$A:$A,0)))</f>
        <v/>
      </c>
      <c r="C151" s="79" t="n"/>
      <c r="D151" s="79" t="n"/>
      <c r="E151" s="79" t="n"/>
      <c r="F151" s="79" t="n"/>
      <c r="G151" s="79" t="n"/>
      <c r="H151" s="79" t="n"/>
      <c r="I151" s="79" t="n"/>
      <c r="J151" s="79" t="n"/>
      <c r="K151" s="79" t="n"/>
      <c r="L151" s="79" t="n"/>
      <c r="M151" s="79" t="n"/>
      <c r="N151" s="79" t="n"/>
      <c r="O151" s="79" t="n"/>
      <c r="P151" s="79" t="n"/>
      <c r="Q151" s="79" t="n"/>
      <c r="R151" s="79" t="n"/>
      <c r="S151" s="80">
        <f>IF(A151="","",COUNT(G151:R151))</f>
        <v/>
      </c>
      <c r="T151" s="81">
        <f>IF(OR(A151="",S151&lt;12),"",SUMPRODUCT($G$3:$R$3,G151:R151)/5)</f>
        <v/>
      </c>
      <c r="U151" s="82">
        <f>IF(A151="","",IF(COUNTIF(C151:F151,"Fail")&gt;0,"No-Bid (gate failed)",IF(S151&lt;12,"Incomplete ("&amp;S151&amp;"/12)",IF(T151&gt;='Scoring Guide'!$C$26,"Bid",IF(T151&gt;='Scoring Guide'!$C$27,"Conditional (MD)","No-Bid")))))</f>
        <v/>
      </c>
      <c r="V151" s="79" t="n"/>
      <c r="W151" s="83" t="n"/>
      <c r="X151" s="79" t="n"/>
      <c r="Y151" s="79" t="n"/>
    </row>
    <row r="152" ht="15" customHeight="1" s="51">
      <c r="A152" s="77">
        <f>IF(Pipeline!A152="","",Pipeline!A152)</f>
        <v/>
      </c>
      <c r="B152" s="78">
        <f>IF(A152="","",INDEX(Pipeline!$H:$H,MATCH(A152,Pipeline!$A:$A,0)))</f>
        <v/>
      </c>
      <c r="C152" s="79" t="n"/>
      <c r="D152" s="79" t="n"/>
      <c r="E152" s="79" t="n"/>
      <c r="F152" s="79" t="n"/>
      <c r="G152" s="79" t="n"/>
      <c r="H152" s="79" t="n"/>
      <c r="I152" s="79" t="n"/>
      <c r="J152" s="79" t="n"/>
      <c r="K152" s="79" t="n"/>
      <c r="L152" s="79" t="n"/>
      <c r="M152" s="79" t="n"/>
      <c r="N152" s="79" t="n">
        <v>5</v>
      </c>
      <c r="O152" s="79" t="n"/>
      <c r="P152" s="79" t="n"/>
      <c r="Q152" s="79" t="n"/>
      <c r="R152" s="79" t="n"/>
      <c r="S152" s="80">
        <f>IF(A152="","",COUNT(G152:R152))</f>
        <v/>
      </c>
      <c r="T152" s="81">
        <f>IF(OR(A152="",S152&lt;12),"",SUMPRODUCT($G$3:$R$3,G152:R152)/5)</f>
        <v/>
      </c>
      <c r="U152" s="82">
        <f>IF(A152="","",IF(COUNTIF(C152:F152,"Fail")&gt;0,"No-Bid (gate failed)",IF(S152&lt;12,"Incomplete ("&amp;S152&amp;"/12)",IF(T152&gt;='Scoring Guide'!$C$26,"Bid",IF(T152&gt;='Scoring Guide'!$C$27,"Conditional (MD)","No-Bid")))))</f>
        <v/>
      </c>
      <c r="V152" s="79" t="n"/>
      <c r="W152" s="83" t="n"/>
      <c r="X152" s="79" t="n"/>
      <c r="Y152" s="79" t="n"/>
    </row>
    <row r="153" ht="15" customHeight="1" s="51">
      <c r="A153" s="77">
        <f>IF(Pipeline!A153="","",Pipeline!A153)</f>
        <v/>
      </c>
      <c r="B153" s="78">
        <f>IF(A153="","",INDEX(Pipeline!$H:$H,MATCH(A153,Pipeline!$A:$A,0)))</f>
        <v/>
      </c>
      <c r="C153" s="79" t="n"/>
      <c r="D153" s="79" t="n"/>
      <c r="E153" s="79" t="n"/>
      <c r="F153" s="79" t="n"/>
      <c r="G153" s="79" t="n"/>
      <c r="H153" s="79" t="n"/>
      <c r="I153" s="79" t="n"/>
      <c r="J153" s="79" t="n"/>
      <c r="K153" s="79" t="n"/>
      <c r="L153" s="79" t="n"/>
      <c r="M153" s="79" t="n"/>
      <c r="N153" s="79" t="n">
        <v>1</v>
      </c>
      <c r="O153" s="79" t="n"/>
      <c r="P153" s="79" t="n"/>
      <c r="Q153" s="79" t="n"/>
      <c r="R153" s="79" t="n"/>
      <c r="S153" s="80">
        <f>IF(A153="","",COUNT(G153:R153))</f>
        <v/>
      </c>
      <c r="T153" s="81">
        <f>IF(OR(A153="",S153&lt;12),"",SUMPRODUCT($G$3:$R$3,G153:R153)/5)</f>
        <v/>
      </c>
      <c r="U153" s="82">
        <f>IF(A153="","",IF(COUNTIF(C153:F153,"Fail")&gt;0,"No-Bid (gate failed)",IF(S153&lt;12,"Incomplete ("&amp;S153&amp;"/12)",IF(T153&gt;='Scoring Guide'!$C$26,"Bid",IF(T153&gt;='Scoring Guide'!$C$27,"Conditional (MD)","No-Bid")))))</f>
        <v/>
      </c>
      <c r="V153" s="79" t="n"/>
      <c r="W153" s="83" t="n"/>
      <c r="X153" s="79" t="n"/>
      <c r="Y153" s="79" t="n"/>
    </row>
    <row r="154" ht="15" customHeight="1" s="51">
      <c r="A154" s="77">
        <f>IF(Pipeline!A154="","",Pipeline!A154)</f>
        <v/>
      </c>
      <c r="B154" s="78">
        <f>IF(A154="","",INDEX(Pipeline!$H:$H,MATCH(A154,Pipeline!$A:$A,0)))</f>
        <v/>
      </c>
      <c r="C154" s="79" t="n"/>
      <c r="D154" s="79" t="n"/>
      <c r="E154" s="79" t="n"/>
      <c r="F154" s="79" t="n"/>
      <c r="G154" s="79" t="n"/>
      <c r="H154" s="79" t="n"/>
      <c r="I154" s="79" t="n"/>
      <c r="J154" s="79" t="n"/>
      <c r="K154" s="79" t="n"/>
      <c r="L154" s="79" t="n"/>
      <c r="M154" s="79" t="n"/>
      <c r="N154" s="79" t="n">
        <v>1</v>
      </c>
      <c r="O154" s="79" t="n"/>
      <c r="P154" s="79" t="n"/>
      <c r="Q154" s="79" t="n"/>
      <c r="R154" s="79" t="n"/>
      <c r="S154" s="80">
        <f>IF(A154="","",COUNT(G154:R154))</f>
        <v/>
      </c>
      <c r="T154" s="81">
        <f>IF(OR(A154="",S154&lt;12),"",SUMPRODUCT($G$3:$R$3,G154:R154)/5)</f>
        <v/>
      </c>
      <c r="U154" s="82">
        <f>IF(A154="","",IF(COUNTIF(C154:F154,"Fail")&gt;0,"No-Bid (gate failed)",IF(S154&lt;12,"Incomplete ("&amp;S154&amp;"/12)",IF(T154&gt;='Scoring Guide'!$C$26,"Bid",IF(T154&gt;='Scoring Guide'!$C$27,"Conditional (MD)","No-Bid")))))</f>
        <v/>
      </c>
      <c r="V154" s="79" t="n"/>
      <c r="W154" s="83" t="n"/>
      <c r="X154" s="79" t="n"/>
      <c r="Y154" s="79" t="n"/>
    </row>
    <row r="155" ht="15" customHeight="1" s="51">
      <c r="A155" s="77">
        <f>IF(Pipeline!A155="","",Pipeline!A155)</f>
        <v/>
      </c>
      <c r="B155" s="78">
        <f>IF(A155="","",INDEX(Pipeline!$H:$H,MATCH(A155,Pipeline!$A:$A,0)))</f>
        <v/>
      </c>
      <c r="C155" s="79" t="n"/>
      <c r="D155" s="79" t="n"/>
      <c r="E155" s="79" t="n"/>
      <c r="F155" s="79" t="n"/>
      <c r="G155" s="79" t="n"/>
      <c r="H155" s="79" t="n"/>
      <c r="I155" s="79" t="n"/>
      <c r="J155" s="79" t="n"/>
      <c r="K155" s="79" t="n"/>
      <c r="L155" s="79" t="n"/>
      <c r="M155" s="79" t="n"/>
      <c r="N155" s="79" t="n">
        <v>5</v>
      </c>
      <c r="O155" s="79" t="n"/>
      <c r="P155" s="79" t="n"/>
      <c r="Q155" s="79" t="n"/>
      <c r="R155" s="79" t="n"/>
      <c r="S155" s="80">
        <f>IF(A155="","",COUNT(G155:R155))</f>
        <v/>
      </c>
      <c r="T155" s="81">
        <f>IF(OR(A155="",S155&lt;12),"",SUMPRODUCT($G$3:$R$3,G155:R155)/5)</f>
        <v/>
      </c>
      <c r="U155" s="82">
        <f>IF(A155="","",IF(COUNTIF(C155:F155,"Fail")&gt;0,"No-Bid (gate failed)",IF(S155&lt;12,"Incomplete ("&amp;S155&amp;"/12)",IF(T155&gt;='Scoring Guide'!$C$26,"Bid",IF(T155&gt;='Scoring Guide'!$C$27,"Conditional (MD)","No-Bid")))))</f>
        <v/>
      </c>
      <c r="V155" s="79" t="n"/>
      <c r="W155" s="83" t="n"/>
      <c r="X155" s="79" t="n"/>
      <c r="Y155" s="79" t="n"/>
    </row>
    <row r="156" ht="15" customHeight="1" s="51">
      <c r="A156" s="77">
        <f>IF(Pipeline!A156="","",Pipeline!A156)</f>
        <v/>
      </c>
      <c r="B156" s="78">
        <f>IF(A156="","",INDEX(Pipeline!$H:$H,MATCH(A156,Pipeline!$A:$A,0)))</f>
        <v/>
      </c>
      <c r="C156" s="79" t="n"/>
      <c r="D156" s="79" t="n"/>
      <c r="E156" s="79" t="n"/>
      <c r="F156" s="79" t="n"/>
      <c r="G156" s="79" t="n"/>
      <c r="H156" s="79" t="n"/>
      <c r="I156" s="79" t="n"/>
      <c r="J156" s="79" t="n"/>
      <c r="K156" s="79" t="n"/>
      <c r="L156" s="79" t="n"/>
      <c r="M156" s="79" t="n"/>
      <c r="N156" s="79" t="n">
        <v>1</v>
      </c>
      <c r="O156" s="79" t="n"/>
      <c r="P156" s="79" t="n"/>
      <c r="Q156" s="79" t="n"/>
      <c r="R156" s="79" t="n"/>
      <c r="S156" s="80">
        <f>IF(A156="","",COUNT(G156:R156))</f>
        <v/>
      </c>
      <c r="T156" s="81">
        <f>IF(OR(A156="",S156&lt;12),"",SUMPRODUCT($G$3:$R$3,G156:R156)/5)</f>
        <v/>
      </c>
      <c r="U156" s="82">
        <f>IF(A156="","",IF(COUNTIF(C156:F156,"Fail")&gt;0,"No-Bid (gate failed)",IF(S156&lt;12,"Incomplete ("&amp;S156&amp;"/12)",IF(T156&gt;='Scoring Guide'!$C$26,"Bid",IF(T156&gt;='Scoring Guide'!$C$27,"Conditional (MD)","No-Bid")))))</f>
        <v/>
      </c>
      <c r="V156" s="79" t="n"/>
      <c r="W156" s="83" t="n"/>
      <c r="X156" s="79" t="n"/>
      <c r="Y156" s="79" t="n"/>
    </row>
    <row r="157" ht="15" customHeight="1" s="51">
      <c r="A157" s="77">
        <f>IF(Pipeline!A157="","",Pipeline!A157)</f>
        <v/>
      </c>
      <c r="B157" s="78">
        <f>IF(A157="","",INDEX(Pipeline!$H:$H,MATCH(A157,Pipeline!$A:$A,0)))</f>
        <v/>
      </c>
      <c r="C157" s="79" t="n"/>
      <c r="D157" s="79" t="n"/>
      <c r="E157" s="79" t="n"/>
      <c r="F157" s="79" t="n"/>
      <c r="G157" s="79" t="n"/>
      <c r="H157" s="79" t="n"/>
      <c r="I157" s="79" t="n"/>
      <c r="J157" s="79" t="n"/>
      <c r="K157" s="79" t="n"/>
      <c r="L157" s="79" t="n"/>
      <c r="M157" s="79" t="n"/>
      <c r="N157" s="79" t="n">
        <v>4</v>
      </c>
      <c r="O157" s="79" t="n"/>
      <c r="P157" s="79" t="n"/>
      <c r="Q157" s="79" t="n"/>
      <c r="R157" s="79" t="n"/>
      <c r="S157" s="80">
        <f>IF(A157="","",COUNT(G157:R157))</f>
        <v/>
      </c>
      <c r="T157" s="81">
        <f>IF(OR(A157="",S157&lt;12),"",SUMPRODUCT($G$3:$R$3,G157:R157)/5)</f>
        <v/>
      </c>
      <c r="U157" s="82">
        <f>IF(A157="","",IF(COUNTIF(C157:F157,"Fail")&gt;0,"No-Bid (gate failed)",IF(S157&lt;12,"Incomplete ("&amp;S157&amp;"/12)",IF(T157&gt;='Scoring Guide'!$C$26,"Bid",IF(T157&gt;='Scoring Guide'!$C$27,"Conditional (MD)","No-Bid")))))</f>
        <v/>
      </c>
      <c r="V157" s="79" t="n"/>
      <c r="W157" s="83" t="n"/>
      <c r="X157" s="79" t="n"/>
      <c r="Y157" s="79" t="n"/>
    </row>
    <row r="158" ht="15" customHeight="1" s="51">
      <c r="A158" s="77">
        <f>IF(Pipeline!A158="","",Pipeline!A158)</f>
        <v/>
      </c>
      <c r="B158" s="78">
        <f>IF(A158="","",INDEX(Pipeline!$H:$H,MATCH(A158,Pipeline!$A:$A,0)))</f>
        <v/>
      </c>
      <c r="C158" s="79" t="n"/>
      <c r="D158" s="79" t="n"/>
      <c r="E158" s="79" t="n"/>
      <c r="F158" s="79" t="n"/>
      <c r="G158" s="79" t="n"/>
      <c r="H158" s="79" t="n"/>
      <c r="I158" s="79" t="n"/>
      <c r="J158" s="79" t="n"/>
      <c r="K158" s="79" t="n"/>
      <c r="L158" s="79" t="n"/>
      <c r="M158" s="79" t="n"/>
      <c r="N158" s="79" t="n"/>
      <c r="O158" s="79" t="n"/>
      <c r="P158" s="79" t="n"/>
      <c r="Q158" s="79" t="n"/>
      <c r="R158" s="79" t="n"/>
      <c r="S158" s="80">
        <f>IF(A158="","",COUNT(G158:R158))</f>
        <v/>
      </c>
      <c r="T158" s="81">
        <f>IF(OR(A158="",S158&lt;12),"",SUMPRODUCT($G$3:$R$3,G158:R158)/5)</f>
        <v/>
      </c>
      <c r="U158" s="82">
        <f>IF(A158="","",IF(COUNTIF(C158:F158,"Fail")&gt;0,"No-Bid (gate failed)",IF(S158&lt;12,"Incomplete ("&amp;S158&amp;"/12)",IF(T158&gt;='Scoring Guide'!$C$26,"Bid",IF(T158&gt;='Scoring Guide'!$C$27,"Conditional (MD)","No-Bid")))))</f>
        <v/>
      </c>
      <c r="V158" s="79" t="n"/>
      <c r="W158" s="83" t="n"/>
      <c r="X158" s="79" t="n"/>
      <c r="Y158" s="79" t="n"/>
    </row>
    <row r="159" ht="15" customHeight="1" s="51">
      <c r="A159" s="77">
        <f>IF(Pipeline!A159="","",Pipeline!A159)</f>
        <v/>
      </c>
      <c r="B159" s="78">
        <f>IF(A159="","",INDEX(Pipeline!$H:$H,MATCH(A159,Pipeline!$A:$A,0)))</f>
        <v/>
      </c>
      <c r="C159" s="79" t="n"/>
      <c r="D159" s="79" t="n"/>
      <c r="E159" s="79" t="n"/>
      <c r="F159" s="79" t="n"/>
      <c r="G159" s="79" t="n"/>
      <c r="H159" s="79" t="n"/>
      <c r="I159" s="79" t="n"/>
      <c r="J159" s="79" t="n"/>
      <c r="K159" s="79" t="n"/>
      <c r="L159" s="79" t="n"/>
      <c r="M159" s="79" t="n"/>
      <c r="N159" s="79" t="n">
        <v>5</v>
      </c>
      <c r="O159" s="79" t="n"/>
      <c r="P159" s="79" t="n"/>
      <c r="Q159" s="79" t="n"/>
      <c r="R159" s="79" t="n"/>
      <c r="S159" s="80">
        <f>IF(A159="","",COUNT(G159:R159))</f>
        <v/>
      </c>
      <c r="T159" s="81">
        <f>IF(OR(A159="",S159&lt;12),"",SUMPRODUCT($G$3:$R$3,G159:R159)/5)</f>
        <v/>
      </c>
      <c r="U159" s="82">
        <f>IF(A159="","",IF(COUNTIF(C159:F159,"Fail")&gt;0,"No-Bid (gate failed)",IF(S159&lt;12,"Incomplete ("&amp;S159&amp;"/12)",IF(T159&gt;='Scoring Guide'!$C$26,"Bid",IF(T159&gt;='Scoring Guide'!$C$27,"Conditional (MD)","No-Bid")))))</f>
        <v/>
      </c>
      <c r="V159" s="79" t="n"/>
      <c r="W159" s="83" t="n"/>
      <c r="X159" s="79" t="n"/>
      <c r="Y159" s="79" t="n"/>
    </row>
    <row r="160" ht="15" customHeight="1" s="51">
      <c r="A160" s="77">
        <f>IF(Pipeline!A160="","",Pipeline!A160)</f>
        <v/>
      </c>
      <c r="B160" s="78">
        <f>IF(A160="","",INDEX(Pipeline!$H:$H,MATCH(A160,Pipeline!$A:$A,0)))</f>
        <v/>
      </c>
      <c r="C160" s="79" t="n"/>
      <c r="D160" s="79" t="n"/>
      <c r="E160" s="79" t="n"/>
      <c r="F160" s="79" t="n"/>
      <c r="G160" s="79" t="n"/>
      <c r="H160" s="79" t="n"/>
      <c r="I160" s="79" t="n"/>
      <c r="J160" s="79" t="n"/>
      <c r="K160" s="79" t="n"/>
      <c r="L160" s="79" t="n"/>
      <c r="M160" s="79" t="n"/>
      <c r="N160" s="79" t="n">
        <v>1</v>
      </c>
      <c r="O160" s="79" t="n"/>
      <c r="P160" s="79" t="n"/>
      <c r="Q160" s="79" t="n"/>
      <c r="R160" s="79" t="n"/>
      <c r="S160" s="80">
        <f>IF(A160="","",COUNT(G160:R160))</f>
        <v/>
      </c>
      <c r="T160" s="81">
        <f>IF(OR(A160="",S160&lt;12),"",SUMPRODUCT($G$3:$R$3,G160:R160)/5)</f>
        <v/>
      </c>
      <c r="U160" s="82">
        <f>IF(A160="","",IF(COUNTIF(C160:F160,"Fail")&gt;0,"No-Bid (gate failed)",IF(S160&lt;12,"Incomplete ("&amp;S160&amp;"/12)",IF(T160&gt;='Scoring Guide'!$C$26,"Bid",IF(T160&gt;='Scoring Guide'!$C$27,"Conditional (MD)","No-Bid")))))</f>
        <v/>
      </c>
      <c r="V160" s="79" t="n"/>
      <c r="W160" s="83" t="n"/>
      <c r="X160" s="79" t="n"/>
      <c r="Y160" s="79" t="n"/>
    </row>
    <row r="161" ht="15" customHeight="1" s="51">
      <c r="A161" s="77">
        <f>IF(Pipeline!A161="","",Pipeline!A161)</f>
        <v/>
      </c>
      <c r="B161" s="78">
        <f>IF(A161="","",INDEX(Pipeline!$H:$H,MATCH(A161,Pipeline!$A:$A,0)))</f>
        <v/>
      </c>
      <c r="C161" s="79" t="n"/>
      <c r="D161" s="79" t="n"/>
      <c r="E161" s="79" t="n"/>
      <c r="F161" s="79" t="n"/>
      <c r="G161" s="79" t="n"/>
      <c r="H161" s="79" t="n"/>
      <c r="I161" s="79" t="n"/>
      <c r="J161" s="79" t="n"/>
      <c r="K161" s="79" t="n"/>
      <c r="L161" s="79" t="n"/>
      <c r="M161" s="79" t="n"/>
      <c r="N161" s="79" t="n">
        <v>1</v>
      </c>
      <c r="O161" s="79" t="n"/>
      <c r="P161" s="79" t="n"/>
      <c r="Q161" s="79" t="n"/>
      <c r="R161" s="79" t="n"/>
      <c r="S161" s="80">
        <f>IF(A161="","",COUNT(G161:R161))</f>
        <v/>
      </c>
      <c r="T161" s="81">
        <f>IF(OR(A161="",S161&lt;12),"",SUMPRODUCT($G$3:$R$3,G161:R161)/5)</f>
        <v/>
      </c>
      <c r="U161" s="82">
        <f>IF(A161="","",IF(COUNTIF(C161:F161,"Fail")&gt;0,"No-Bid (gate failed)",IF(S161&lt;12,"Incomplete ("&amp;S161&amp;"/12)",IF(T161&gt;='Scoring Guide'!$C$26,"Bid",IF(T161&gt;='Scoring Guide'!$C$27,"Conditional (MD)","No-Bid")))))</f>
        <v/>
      </c>
      <c r="V161" s="79" t="n"/>
      <c r="W161" s="83" t="n"/>
      <c r="X161" s="79" t="n"/>
      <c r="Y161" s="79" t="n"/>
    </row>
    <row r="162" ht="15" customHeight="1" s="51">
      <c r="A162" s="77">
        <f>IF(Pipeline!A162="","",Pipeline!A162)</f>
        <v/>
      </c>
      <c r="B162" s="78">
        <f>IF(A162="","",INDEX(Pipeline!$H:$H,MATCH(A162,Pipeline!$A:$A,0)))</f>
        <v/>
      </c>
      <c r="C162" s="79" t="n"/>
      <c r="D162" s="79" t="n"/>
      <c r="E162" s="79" t="n"/>
      <c r="F162" s="79" t="n"/>
      <c r="G162" s="79" t="n"/>
      <c r="H162" s="79" t="n"/>
      <c r="I162" s="79" t="n"/>
      <c r="J162" s="79" t="n"/>
      <c r="K162" s="79" t="n"/>
      <c r="L162" s="79" t="n"/>
      <c r="M162" s="79" t="n"/>
      <c r="N162" s="79" t="n">
        <v>1</v>
      </c>
      <c r="O162" s="79" t="n"/>
      <c r="P162" s="79" t="n"/>
      <c r="Q162" s="79" t="n"/>
      <c r="R162" s="79" t="n"/>
      <c r="S162" s="80">
        <f>IF(A162="","",COUNT(G162:R162))</f>
        <v/>
      </c>
      <c r="T162" s="81">
        <f>IF(OR(A162="",S162&lt;12),"",SUMPRODUCT($G$3:$R$3,G162:R162)/5)</f>
        <v/>
      </c>
      <c r="U162" s="82">
        <f>IF(A162="","",IF(COUNTIF(C162:F162,"Fail")&gt;0,"No-Bid (gate failed)",IF(S162&lt;12,"Incomplete ("&amp;S162&amp;"/12)",IF(T162&gt;='Scoring Guide'!$C$26,"Bid",IF(T162&gt;='Scoring Guide'!$C$27,"Conditional (MD)","No-Bid")))))</f>
        <v/>
      </c>
      <c r="V162" s="79" t="n"/>
      <c r="W162" s="83" t="n"/>
      <c r="X162" s="79" t="n"/>
      <c r="Y162" s="79" t="n"/>
    </row>
    <row r="163" ht="15" customHeight="1" s="51">
      <c r="A163" s="77">
        <f>IF(Pipeline!A163="","",Pipeline!A163)</f>
        <v/>
      </c>
      <c r="B163" s="78">
        <f>IF(A163="","",INDEX(Pipeline!$H:$H,MATCH(A163,Pipeline!$A:$A,0)))</f>
        <v/>
      </c>
      <c r="C163" s="79" t="n"/>
      <c r="D163" s="79" t="n"/>
      <c r="E163" s="79" t="n"/>
      <c r="F163" s="79" t="n"/>
      <c r="G163" s="79" t="n"/>
      <c r="H163" s="79" t="n"/>
      <c r="I163" s="79" t="n"/>
      <c r="J163" s="79" t="n"/>
      <c r="K163" s="79" t="n"/>
      <c r="L163" s="79" t="n"/>
      <c r="M163" s="79" t="n"/>
      <c r="N163" s="79" t="n">
        <v>1</v>
      </c>
      <c r="O163" s="79" t="n"/>
      <c r="P163" s="79" t="n"/>
      <c r="Q163" s="79" t="n"/>
      <c r="R163" s="79" t="n"/>
      <c r="S163" s="80">
        <f>IF(A163="","",COUNT(G163:R163))</f>
        <v/>
      </c>
      <c r="T163" s="81">
        <f>IF(OR(A163="",S163&lt;12),"",SUMPRODUCT($G$3:$R$3,G163:R163)/5)</f>
        <v/>
      </c>
      <c r="U163" s="82">
        <f>IF(A163="","",IF(COUNTIF(C163:F163,"Fail")&gt;0,"No-Bid (gate failed)",IF(S163&lt;12,"Incomplete ("&amp;S163&amp;"/12)",IF(T163&gt;='Scoring Guide'!$C$26,"Bid",IF(T163&gt;='Scoring Guide'!$C$27,"Conditional (MD)","No-Bid")))))</f>
        <v/>
      </c>
      <c r="V163" s="79" t="n"/>
      <c r="W163" s="83" t="n"/>
      <c r="X163" s="79" t="n"/>
      <c r="Y163" s="79" t="n"/>
    </row>
    <row r="164" ht="15" customHeight="1" s="51">
      <c r="A164" s="77">
        <f>IF(Pipeline!A164="","",Pipeline!A164)</f>
        <v/>
      </c>
      <c r="B164" s="78">
        <f>IF(A164="","",INDEX(Pipeline!$H:$H,MATCH(A164,Pipeline!$A:$A,0)))</f>
        <v/>
      </c>
      <c r="C164" s="79" t="n"/>
      <c r="D164" s="79" t="n"/>
      <c r="E164" s="79" t="n"/>
      <c r="F164" s="79" t="n"/>
      <c r="G164" s="79" t="n"/>
      <c r="H164" s="79" t="n"/>
      <c r="I164" s="79" t="n"/>
      <c r="J164" s="79" t="n"/>
      <c r="K164" s="79" t="n"/>
      <c r="L164" s="79" t="n"/>
      <c r="M164" s="79" t="n"/>
      <c r="N164" s="79" t="n">
        <v>1</v>
      </c>
      <c r="O164" s="79" t="n"/>
      <c r="P164" s="79" t="n"/>
      <c r="Q164" s="79" t="n"/>
      <c r="R164" s="79" t="n"/>
      <c r="S164" s="80">
        <f>IF(A164="","",COUNT(G164:R164))</f>
        <v/>
      </c>
      <c r="T164" s="81">
        <f>IF(OR(A164="",S164&lt;12),"",SUMPRODUCT($G$3:$R$3,G164:R164)/5)</f>
        <v/>
      </c>
      <c r="U164" s="82">
        <f>IF(A164="","",IF(COUNTIF(C164:F164,"Fail")&gt;0,"No-Bid (gate failed)",IF(S164&lt;12,"Incomplete ("&amp;S164&amp;"/12)",IF(T164&gt;='Scoring Guide'!$C$26,"Bid",IF(T164&gt;='Scoring Guide'!$C$27,"Conditional (MD)","No-Bid")))))</f>
        <v/>
      </c>
      <c r="V164" s="79" t="n"/>
      <c r="W164" s="83" t="n"/>
      <c r="X164" s="79" t="n"/>
      <c r="Y164" s="79" t="n"/>
    </row>
    <row r="165" ht="15" customHeight="1" s="51">
      <c r="A165" s="77">
        <f>IF(Pipeline!A165="","",Pipeline!A165)</f>
        <v/>
      </c>
      <c r="B165" s="78">
        <f>IF(A165="","",INDEX(Pipeline!$H:$H,MATCH(A165,Pipeline!$A:$A,0)))</f>
        <v/>
      </c>
      <c r="C165" s="79" t="n"/>
      <c r="D165" s="79" t="n"/>
      <c r="E165" s="79" t="n"/>
      <c r="F165" s="79" t="n"/>
      <c r="G165" s="79" t="n"/>
      <c r="H165" s="79" t="n"/>
      <c r="I165" s="79" t="n"/>
      <c r="J165" s="79" t="n"/>
      <c r="K165" s="79" t="n"/>
      <c r="L165" s="79" t="n"/>
      <c r="M165" s="79" t="n"/>
      <c r="N165" s="79" t="n">
        <v>1</v>
      </c>
      <c r="O165" s="79" t="n"/>
      <c r="P165" s="79" t="n"/>
      <c r="Q165" s="79" t="n"/>
      <c r="R165" s="79" t="n"/>
      <c r="S165" s="80">
        <f>IF(A165="","",COUNT(G165:R165))</f>
        <v/>
      </c>
      <c r="T165" s="81">
        <f>IF(OR(A165="",S165&lt;12),"",SUMPRODUCT($G$3:$R$3,G165:R165)/5)</f>
        <v/>
      </c>
      <c r="U165" s="82">
        <f>IF(A165="","",IF(COUNTIF(C165:F165,"Fail")&gt;0,"No-Bid (gate failed)",IF(S165&lt;12,"Incomplete ("&amp;S165&amp;"/12)",IF(T165&gt;='Scoring Guide'!$C$26,"Bid",IF(T165&gt;='Scoring Guide'!$C$27,"Conditional (MD)","No-Bid")))))</f>
        <v/>
      </c>
      <c r="V165" s="79" t="n"/>
      <c r="W165" s="83" t="n"/>
      <c r="X165" s="79" t="n"/>
      <c r="Y165" s="79" t="n"/>
    </row>
    <row r="166" ht="15" customHeight="1" s="51">
      <c r="A166" s="77">
        <f>IF(Pipeline!A166="","",Pipeline!A166)</f>
        <v/>
      </c>
      <c r="B166" s="78">
        <f>IF(A166="","",INDEX(Pipeline!$H:$H,MATCH(A166,Pipeline!$A:$A,0)))</f>
        <v/>
      </c>
      <c r="C166" s="79" t="n"/>
      <c r="D166" s="79" t="n"/>
      <c r="E166" s="79" t="n"/>
      <c r="F166" s="79" t="n"/>
      <c r="G166" s="79" t="n"/>
      <c r="H166" s="79" t="n"/>
      <c r="I166" s="79" t="n"/>
      <c r="J166" s="79" t="n"/>
      <c r="K166" s="79" t="n"/>
      <c r="L166" s="79" t="n"/>
      <c r="M166" s="79" t="n"/>
      <c r="N166" s="79" t="n">
        <v>1</v>
      </c>
      <c r="O166" s="79" t="n"/>
      <c r="P166" s="79" t="n"/>
      <c r="Q166" s="79" t="n"/>
      <c r="R166" s="79" t="n"/>
      <c r="S166" s="80">
        <f>IF(A166="","",COUNT(G166:R166))</f>
        <v/>
      </c>
      <c r="T166" s="81">
        <f>IF(OR(A166="",S166&lt;12),"",SUMPRODUCT($G$3:$R$3,G166:R166)/5)</f>
        <v/>
      </c>
      <c r="U166" s="82">
        <f>IF(A166="","",IF(COUNTIF(C166:F166,"Fail")&gt;0,"No-Bid (gate failed)",IF(S166&lt;12,"Incomplete ("&amp;S166&amp;"/12)",IF(T166&gt;='Scoring Guide'!$C$26,"Bid",IF(T166&gt;='Scoring Guide'!$C$27,"Conditional (MD)","No-Bid")))))</f>
        <v/>
      </c>
      <c r="V166" s="79" t="n"/>
      <c r="W166" s="83" t="n"/>
      <c r="X166" s="79" t="n"/>
      <c r="Y166" s="79" t="n"/>
    </row>
    <row r="167" ht="15" customHeight="1" s="51">
      <c r="A167" s="77">
        <f>IF(Pipeline!A167="","",Pipeline!A167)</f>
        <v/>
      </c>
      <c r="B167" s="78">
        <f>IF(A167="","",INDEX(Pipeline!$H:$H,MATCH(A167,Pipeline!$A:$A,0)))</f>
        <v/>
      </c>
      <c r="C167" s="79" t="n"/>
      <c r="D167" s="79" t="n"/>
      <c r="E167" s="79" t="n"/>
      <c r="F167" s="79" t="n"/>
      <c r="G167" s="79" t="n"/>
      <c r="H167" s="79" t="n"/>
      <c r="I167" s="79" t="n"/>
      <c r="J167" s="79" t="n"/>
      <c r="K167" s="79" t="n"/>
      <c r="L167" s="79" t="n"/>
      <c r="M167" s="79" t="n"/>
      <c r="N167" s="79" t="n">
        <v>1</v>
      </c>
      <c r="O167" s="79" t="n"/>
      <c r="P167" s="79" t="n"/>
      <c r="Q167" s="79" t="n"/>
      <c r="R167" s="79" t="n"/>
      <c r="S167" s="80">
        <f>IF(A167="","",COUNT(G167:R167))</f>
        <v/>
      </c>
      <c r="T167" s="81">
        <f>IF(OR(A167="",S167&lt;12),"",SUMPRODUCT($G$3:$R$3,G167:R167)/5)</f>
        <v/>
      </c>
      <c r="U167" s="82">
        <f>IF(A167="","",IF(COUNTIF(C167:F167,"Fail")&gt;0,"No-Bid (gate failed)",IF(S167&lt;12,"Incomplete ("&amp;S167&amp;"/12)",IF(T167&gt;='Scoring Guide'!$C$26,"Bid",IF(T167&gt;='Scoring Guide'!$C$27,"Conditional (MD)","No-Bid")))))</f>
        <v/>
      </c>
      <c r="V167" s="79" t="n"/>
      <c r="W167" s="83" t="n"/>
      <c r="X167" s="79" t="n"/>
      <c r="Y167" s="79" t="n"/>
    </row>
    <row r="168" ht="15" customHeight="1" s="51">
      <c r="A168" s="77">
        <f>IF(Pipeline!A168="","",Pipeline!A168)</f>
        <v/>
      </c>
      <c r="B168" s="78">
        <f>IF(A168="","",INDEX(Pipeline!$H:$H,MATCH(A168,Pipeline!$A:$A,0)))</f>
        <v/>
      </c>
      <c r="C168" s="79" t="n"/>
      <c r="D168" s="79" t="n"/>
      <c r="E168" s="79" t="n"/>
      <c r="F168" s="79" t="n"/>
      <c r="G168" s="79" t="n"/>
      <c r="H168" s="79" t="n"/>
      <c r="I168" s="79" t="n"/>
      <c r="J168" s="79" t="n"/>
      <c r="K168" s="79" t="n"/>
      <c r="L168" s="79" t="n"/>
      <c r="M168" s="79" t="n"/>
      <c r="N168" s="79" t="n"/>
      <c r="O168" s="79" t="n"/>
      <c r="P168" s="79" t="n"/>
      <c r="Q168" s="79" t="n"/>
      <c r="R168" s="79" t="n"/>
      <c r="S168" s="80">
        <f>IF(A168="","",COUNT(G168:R168))</f>
        <v/>
      </c>
      <c r="T168" s="81">
        <f>IF(OR(A168="",S168&lt;12),"",SUMPRODUCT($G$3:$R$3,G168:R168)/5)</f>
        <v/>
      </c>
      <c r="U168" s="82">
        <f>IF(A168="","",IF(COUNTIF(C168:F168,"Fail")&gt;0,"No-Bid (gate failed)",IF(S168&lt;12,"Incomplete ("&amp;S168&amp;"/12)",IF(T168&gt;='Scoring Guide'!$C$26,"Bid",IF(T168&gt;='Scoring Guide'!$C$27,"Conditional (MD)","No-Bid")))))</f>
        <v/>
      </c>
      <c r="V168" s="79" t="n"/>
      <c r="W168" s="83" t="n"/>
      <c r="X168" s="79" t="n"/>
      <c r="Y168" s="79" t="n"/>
    </row>
    <row r="169" ht="15" customHeight="1" s="51">
      <c r="A169" s="77">
        <f>IF(Pipeline!A169="","",Pipeline!A169)</f>
        <v/>
      </c>
      <c r="B169" s="78">
        <f>IF(A169="","",INDEX(Pipeline!$H:$H,MATCH(A169,Pipeline!$A:$A,0)))</f>
        <v/>
      </c>
      <c r="C169" s="79" t="n"/>
      <c r="D169" s="79" t="n"/>
      <c r="E169" s="79" t="n"/>
      <c r="F169" s="79" t="n"/>
      <c r="G169" s="79" t="n"/>
      <c r="H169" s="79" t="n"/>
      <c r="I169" s="79" t="n"/>
      <c r="J169" s="79" t="n"/>
      <c r="K169" s="79" t="n"/>
      <c r="L169" s="79" t="n"/>
      <c r="M169" s="79" t="n"/>
      <c r="N169" s="79" t="n">
        <v>1</v>
      </c>
      <c r="O169" s="79" t="n"/>
      <c r="P169" s="79" t="n"/>
      <c r="Q169" s="79" t="n"/>
      <c r="R169" s="79" t="n"/>
      <c r="S169" s="80">
        <f>IF(A169="","",COUNT(G169:R169))</f>
        <v/>
      </c>
      <c r="T169" s="81">
        <f>IF(OR(A169="",S169&lt;12),"",SUMPRODUCT($G$3:$R$3,G169:R169)/5)</f>
        <v/>
      </c>
      <c r="U169" s="82">
        <f>IF(A169="","",IF(COUNTIF(C169:F169,"Fail")&gt;0,"No-Bid (gate failed)",IF(S169&lt;12,"Incomplete ("&amp;S169&amp;"/12)",IF(T169&gt;='Scoring Guide'!$C$26,"Bid",IF(T169&gt;='Scoring Guide'!$C$27,"Conditional (MD)","No-Bid")))))</f>
        <v/>
      </c>
      <c r="V169" s="79" t="n"/>
      <c r="W169" s="83" t="n"/>
      <c r="X169" s="79" t="n"/>
      <c r="Y169" s="79" t="n"/>
    </row>
    <row r="170" ht="15" customHeight="1" s="51">
      <c r="A170" s="77">
        <f>IF(Pipeline!A170="","",Pipeline!A170)</f>
        <v/>
      </c>
      <c r="B170" s="78">
        <f>IF(A170="","",INDEX(Pipeline!$H:$H,MATCH(A170,Pipeline!$A:$A,0)))</f>
        <v/>
      </c>
      <c r="C170" s="79" t="n"/>
      <c r="D170" s="79" t="n"/>
      <c r="E170" s="79" t="n"/>
      <c r="F170" s="79" t="n"/>
      <c r="G170" s="79" t="n"/>
      <c r="H170" s="79" t="n"/>
      <c r="I170" s="79" t="n"/>
      <c r="J170" s="79" t="n"/>
      <c r="K170" s="79" t="n"/>
      <c r="L170" s="79" t="n"/>
      <c r="M170" s="79" t="n"/>
      <c r="N170" s="79" t="n"/>
      <c r="O170" s="79" t="n"/>
      <c r="P170" s="79" t="n"/>
      <c r="Q170" s="79" t="n"/>
      <c r="R170" s="79" t="n"/>
      <c r="S170" s="80">
        <f>IF(A170="","",COUNT(G170:R170))</f>
        <v/>
      </c>
      <c r="T170" s="81">
        <f>IF(OR(A170="",S170&lt;12),"",SUMPRODUCT($G$3:$R$3,G170:R170)/5)</f>
        <v/>
      </c>
      <c r="U170" s="82">
        <f>IF(A170="","",IF(COUNTIF(C170:F170,"Fail")&gt;0,"No-Bid (gate failed)",IF(S170&lt;12,"Incomplete ("&amp;S170&amp;"/12)",IF(T170&gt;='Scoring Guide'!$C$26,"Bid",IF(T170&gt;='Scoring Guide'!$C$27,"Conditional (MD)","No-Bid")))))</f>
        <v/>
      </c>
      <c r="V170" s="79" t="n"/>
      <c r="W170" s="83" t="n"/>
      <c r="X170" s="79" t="n"/>
      <c r="Y170" s="79" t="n"/>
    </row>
    <row r="171" ht="15" customHeight="1" s="51">
      <c r="A171" s="77">
        <f>IF(Pipeline!A171="","",Pipeline!A171)</f>
        <v/>
      </c>
      <c r="B171" s="78">
        <f>IF(A171="","",INDEX(Pipeline!$H:$H,MATCH(A171,Pipeline!$A:$A,0)))</f>
        <v/>
      </c>
      <c r="C171" s="79" t="n"/>
      <c r="D171" s="79" t="n"/>
      <c r="E171" s="79" t="n"/>
      <c r="F171" s="79" t="n"/>
      <c r="G171" s="79" t="n"/>
      <c r="H171" s="79" t="n"/>
      <c r="I171" s="79" t="n"/>
      <c r="J171" s="79" t="n"/>
      <c r="K171" s="79" t="n"/>
      <c r="L171" s="79" t="n"/>
      <c r="M171" s="79" t="n"/>
      <c r="N171" s="79" t="n">
        <v>1</v>
      </c>
      <c r="O171" s="79" t="n"/>
      <c r="P171" s="79" t="n"/>
      <c r="Q171" s="79" t="n"/>
      <c r="R171" s="79" t="n"/>
      <c r="S171" s="80">
        <f>IF(A171="","",COUNT(G171:R171))</f>
        <v/>
      </c>
      <c r="T171" s="81">
        <f>IF(OR(A171="",S171&lt;12),"",SUMPRODUCT($G$3:$R$3,G171:R171)/5)</f>
        <v/>
      </c>
      <c r="U171" s="82">
        <f>IF(A171="","",IF(COUNTIF(C171:F171,"Fail")&gt;0,"No-Bid (gate failed)",IF(S171&lt;12,"Incomplete ("&amp;S171&amp;"/12)",IF(T171&gt;='Scoring Guide'!$C$26,"Bid",IF(T171&gt;='Scoring Guide'!$C$27,"Conditional (MD)","No-Bid")))))</f>
        <v/>
      </c>
      <c r="V171" s="79" t="n"/>
      <c r="W171" s="83" t="n"/>
      <c r="X171" s="79" t="n"/>
      <c r="Y171" s="79" t="n"/>
    </row>
    <row r="172" ht="15" customHeight="1" s="51">
      <c r="A172" s="77">
        <f>IF(Pipeline!A172="","",Pipeline!A172)</f>
        <v/>
      </c>
      <c r="B172" s="78">
        <f>IF(A172="","",INDEX(Pipeline!$H:$H,MATCH(A172,Pipeline!$A:$A,0)))</f>
        <v/>
      </c>
      <c r="C172" s="79" t="n"/>
      <c r="D172" s="79" t="n"/>
      <c r="E172" s="79" t="n"/>
      <c r="F172" s="79" t="n"/>
      <c r="G172" s="79" t="n"/>
      <c r="H172" s="79" t="n"/>
      <c r="I172" s="79" t="n"/>
      <c r="J172" s="79" t="n"/>
      <c r="K172" s="79" t="n"/>
      <c r="L172" s="79" t="n"/>
      <c r="M172" s="79" t="n"/>
      <c r="N172" s="79" t="n"/>
      <c r="O172" s="79" t="n"/>
      <c r="P172" s="79" t="n"/>
      <c r="Q172" s="79" t="n"/>
      <c r="R172" s="79" t="n"/>
      <c r="S172" s="80">
        <f>IF(A172="","",COUNT(G172:R172))</f>
        <v/>
      </c>
      <c r="T172" s="81">
        <f>IF(OR(A172="",S172&lt;12),"",SUMPRODUCT($G$3:$R$3,G172:R172)/5)</f>
        <v/>
      </c>
      <c r="U172" s="82">
        <f>IF(A172="","",IF(COUNTIF(C172:F172,"Fail")&gt;0,"No-Bid (gate failed)",IF(S172&lt;12,"Incomplete ("&amp;S172&amp;"/12)",IF(T172&gt;='Scoring Guide'!$C$26,"Bid",IF(T172&gt;='Scoring Guide'!$C$27,"Conditional (MD)","No-Bid")))))</f>
        <v/>
      </c>
      <c r="V172" s="79" t="n"/>
      <c r="W172" s="83" t="n"/>
      <c r="X172" s="79" t="n"/>
      <c r="Y172" s="79" t="n"/>
    </row>
    <row r="173" ht="15" customHeight="1" s="51">
      <c r="A173" s="77">
        <f>IF(Pipeline!A173="","",Pipeline!A173)</f>
        <v/>
      </c>
      <c r="B173" s="78">
        <f>IF(A173="","",INDEX(Pipeline!$H:$H,MATCH(A173,Pipeline!$A:$A,0)))</f>
        <v/>
      </c>
      <c r="C173" s="79" t="n"/>
      <c r="D173" s="79" t="n"/>
      <c r="E173" s="79" t="n"/>
      <c r="F173" s="79" t="n"/>
      <c r="G173" s="79" t="n"/>
      <c r="H173" s="79" t="n"/>
      <c r="I173" s="79" t="n"/>
      <c r="J173" s="79" t="n"/>
      <c r="K173" s="79" t="n"/>
      <c r="L173" s="79" t="n"/>
      <c r="M173" s="79" t="n"/>
      <c r="N173" s="79" t="n"/>
      <c r="O173" s="79" t="n"/>
      <c r="P173" s="79" t="n"/>
      <c r="Q173" s="79" t="n"/>
      <c r="R173" s="79" t="n"/>
      <c r="S173" s="80">
        <f>IF(A173="","",COUNT(G173:R173))</f>
        <v/>
      </c>
      <c r="T173" s="81">
        <f>IF(OR(A173="",S173&lt;12),"",SUMPRODUCT($G$3:$R$3,G173:R173)/5)</f>
        <v/>
      </c>
      <c r="U173" s="82">
        <f>IF(A173="","",IF(COUNTIF(C173:F173,"Fail")&gt;0,"No-Bid (gate failed)",IF(S173&lt;12,"Incomplete ("&amp;S173&amp;"/12)",IF(T173&gt;='Scoring Guide'!$C$26,"Bid",IF(T173&gt;='Scoring Guide'!$C$27,"Conditional (MD)","No-Bid")))))</f>
        <v/>
      </c>
      <c r="V173" s="79" t="n"/>
      <c r="W173" s="83" t="n"/>
      <c r="X173" s="79" t="n"/>
      <c r="Y173" s="79" t="n"/>
    </row>
    <row r="174" ht="15" customHeight="1" s="51">
      <c r="A174" s="77">
        <f>IF(Pipeline!A174="","",Pipeline!A174)</f>
        <v/>
      </c>
      <c r="B174" s="78">
        <f>IF(A174="","",INDEX(Pipeline!$H:$H,MATCH(A174,Pipeline!$A:$A,0)))</f>
        <v/>
      </c>
      <c r="C174" s="79" t="n"/>
      <c r="D174" s="79" t="n"/>
      <c r="E174" s="79" t="n"/>
      <c r="F174" s="79" t="n"/>
      <c r="G174" s="79" t="n"/>
      <c r="H174" s="79" t="n"/>
      <c r="I174" s="79" t="n"/>
      <c r="J174" s="79" t="n"/>
      <c r="K174" s="79" t="n"/>
      <c r="L174" s="79" t="n"/>
      <c r="M174" s="79" t="n"/>
      <c r="N174" s="79" t="n"/>
      <c r="O174" s="79" t="n"/>
      <c r="P174" s="79" t="n"/>
      <c r="Q174" s="79" t="n"/>
      <c r="R174" s="79" t="n"/>
      <c r="S174" s="80">
        <f>IF(A174="","",COUNT(G174:R174))</f>
        <v/>
      </c>
      <c r="T174" s="81">
        <f>IF(OR(A174="",S174&lt;12),"",SUMPRODUCT($G$3:$R$3,G174:R174)/5)</f>
        <v/>
      </c>
      <c r="U174" s="82">
        <f>IF(A174="","",IF(COUNTIF(C174:F174,"Fail")&gt;0,"No-Bid (gate failed)",IF(S174&lt;12,"Incomplete ("&amp;S174&amp;"/12)",IF(T174&gt;='Scoring Guide'!$C$26,"Bid",IF(T174&gt;='Scoring Guide'!$C$27,"Conditional (MD)","No-Bid")))))</f>
        <v/>
      </c>
      <c r="V174" s="79" t="n"/>
      <c r="W174" s="83" t="n"/>
      <c r="X174" s="79" t="n"/>
      <c r="Y174" s="79" t="n"/>
    </row>
    <row r="175" ht="15" customHeight="1" s="51">
      <c r="A175" s="77">
        <f>IF(Pipeline!A175="","",Pipeline!A175)</f>
        <v/>
      </c>
      <c r="B175" s="78">
        <f>IF(A175="","",INDEX(Pipeline!$H:$H,MATCH(A175,Pipeline!$A:$A,0)))</f>
        <v/>
      </c>
      <c r="C175" s="79" t="n"/>
      <c r="D175" s="79" t="n"/>
      <c r="E175" s="79" t="n"/>
      <c r="F175" s="79" t="n"/>
      <c r="G175" s="79" t="n"/>
      <c r="H175" s="79" t="n"/>
      <c r="I175" s="79" t="n"/>
      <c r="J175" s="79" t="n"/>
      <c r="K175" s="79" t="n"/>
      <c r="L175" s="79" t="n"/>
      <c r="M175" s="79" t="n"/>
      <c r="N175" s="79" t="n"/>
      <c r="O175" s="79" t="n"/>
      <c r="P175" s="79" t="n"/>
      <c r="Q175" s="79" t="n"/>
      <c r="R175" s="79" t="n"/>
      <c r="S175" s="80">
        <f>IF(A175="","",COUNT(G175:R175))</f>
        <v/>
      </c>
      <c r="T175" s="81">
        <f>IF(OR(A175="",S175&lt;12),"",SUMPRODUCT($G$3:$R$3,G175:R175)/5)</f>
        <v/>
      </c>
      <c r="U175" s="82">
        <f>IF(A175="","",IF(COUNTIF(C175:F175,"Fail")&gt;0,"No-Bid (gate failed)",IF(S175&lt;12,"Incomplete ("&amp;S175&amp;"/12)",IF(T175&gt;='Scoring Guide'!$C$26,"Bid",IF(T175&gt;='Scoring Guide'!$C$27,"Conditional (MD)","No-Bid")))))</f>
        <v/>
      </c>
      <c r="V175" s="79" t="n"/>
      <c r="W175" s="83" t="n"/>
      <c r="X175" s="79" t="n"/>
      <c r="Y175" s="79" t="n"/>
    </row>
    <row r="176" ht="15" customHeight="1" s="51">
      <c r="A176" s="77">
        <f>IF(Pipeline!A176="","",Pipeline!A176)</f>
        <v/>
      </c>
      <c r="B176" s="78">
        <f>IF(A176="","",INDEX(Pipeline!$H:$H,MATCH(A176,Pipeline!$A:$A,0)))</f>
        <v/>
      </c>
      <c r="C176" s="79" t="n"/>
      <c r="D176" s="79" t="n"/>
      <c r="E176" s="79" t="n"/>
      <c r="F176" s="79" t="n"/>
      <c r="G176" s="79" t="n"/>
      <c r="H176" s="79" t="n"/>
      <c r="I176" s="79" t="n"/>
      <c r="J176" s="79" t="n"/>
      <c r="K176" s="79" t="n"/>
      <c r="L176" s="79" t="n"/>
      <c r="M176" s="79" t="n"/>
      <c r="N176" s="79" t="n"/>
      <c r="O176" s="79" t="n"/>
      <c r="P176" s="79" t="n"/>
      <c r="Q176" s="79" t="n"/>
      <c r="R176" s="79" t="n"/>
      <c r="S176" s="80">
        <f>IF(A176="","",COUNT(G176:R176))</f>
        <v/>
      </c>
      <c r="T176" s="81">
        <f>IF(OR(A176="",S176&lt;12),"",SUMPRODUCT($G$3:$R$3,G176:R176)/5)</f>
        <v/>
      </c>
      <c r="U176" s="82">
        <f>IF(A176="","",IF(COUNTIF(C176:F176,"Fail")&gt;0,"No-Bid (gate failed)",IF(S176&lt;12,"Incomplete ("&amp;S176&amp;"/12)",IF(T176&gt;='Scoring Guide'!$C$26,"Bid",IF(T176&gt;='Scoring Guide'!$C$27,"Conditional (MD)","No-Bid")))))</f>
        <v/>
      </c>
      <c r="V176" s="79" t="n"/>
      <c r="W176" s="83" t="n"/>
      <c r="X176" s="79" t="n"/>
      <c r="Y176" s="79" t="n"/>
    </row>
    <row r="177" ht="15" customHeight="1" s="51">
      <c r="A177" s="77">
        <f>IF(Pipeline!A177="","",Pipeline!A177)</f>
        <v/>
      </c>
      <c r="B177" s="78">
        <f>IF(A177="","",INDEX(Pipeline!$H:$H,MATCH(A177,Pipeline!$A:$A,0)))</f>
        <v/>
      </c>
      <c r="C177" s="79" t="n"/>
      <c r="D177" s="79" t="n"/>
      <c r="E177" s="79" t="n"/>
      <c r="F177" s="79" t="n"/>
      <c r="G177" s="79" t="n"/>
      <c r="H177" s="79" t="n"/>
      <c r="I177" s="79" t="n"/>
      <c r="J177" s="79" t="n"/>
      <c r="K177" s="79" t="n"/>
      <c r="L177" s="79" t="n"/>
      <c r="M177" s="79" t="n"/>
      <c r="N177" s="79" t="n">
        <v>1</v>
      </c>
      <c r="O177" s="79" t="n"/>
      <c r="P177" s="79" t="n"/>
      <c r="Q177" s="79" t="n"/>
      <c r="R177" s="79" t="n"/>
      <c r="S177" s="80">
        <f>IF(A177="","",COUNT(G177:R177))</f>
        <v/>
      </c>
      <c r="T177" s="81">
        <f>IF(OR(A177="",S177&lt;12),"",SUMPRODUCT($G$3:$R$3,G177:R177)/5)</f>
        <v/>
      </c>
      <c r="U177" s="82">
        <f>IF(A177="","",IF(COUNTIF(C177:F177,"Fail")&gt;0,"No-Bid (gate failed)",IF(S177&lt;12,"Incomplete ("&amp;S177&amp;"/12)",IF(T177&gt;='Scoring Guide'!$C$26,"Bid",IF(T177&gt;='Scoring Guide'!$C$27,"Conditional (MD)","No-Bid")))))</f>
        <v/>
      </c>
      <c r="V177" s="79" t="n"/>
      <c r="W177" s="83" t="n"/>
      <c r="X177" s="79" t="n"/>
      <c r="Y177" s="79" t="n"/>
    </row>
    <row r="178" ht="15" customHeight="1" s="51">
      <c r="A178" s="77">
        <f>IF(Pipeline!A178="","",Pipeline!A178)</f>
        <v/>
      </c>
      <c r="B178" s="78">
        <f>IF(A178="","",INDEX(Pipeline!$H:$H,MATCH(A178,Pipeline!$A:$A,0)))</f>
        <v/>
      </c>
      <c r="C178" s="79" t="n"/>
      <c r="D178" s="79" t="n"/>
      <c r="E178" s="79" t="n"/>
      <c r="F178" s="79" t="n"/>
      <c r="G178" s="79" t="n"/>
      <c r="H178" s="79" t="n"/>
      <c r="I178" s="79" t="n"/>
      <c r="J178" s="79" t="n"/>
      <c r="K178" s="79" t="n"/>
      <c r="L178" s="79" t="n"/>
      <c r="M178" s="79" t="n"/>
      <c r="N178" s="79" t="n">
        <v>1</v>
      </c>
      <c r="O178" s="79" t="n"/>
      <c r="P178" s="79" t="n"/>
      <c r="Q178" s="79" t="n"/>
      <c r="R178" s="79" t="n"/>
      <c r="S178" s="80">
        <f>IF(A178="","",COUNT(G178:R178))</f>
        <v/>
      </c>
      <c r="T178" s="81">
        <f>IF(OR(A178="",S178&lt;12),"",SUMPRODUCT($G$3:$R$3,G178:R178)/5)</f>
        <v/>
      </c>
      <c r="U178" s="82">
        <f>IF(A178="","",IF(COUNTIF(C178:F178,"Fail")&gt;0,"No-Bid (gate failed)",IF(S178&lt;12,"Incomplete ("&amp;S178&amp;"/12)",IF(T178&gt;='Scoring Guide'!$C$26,"Bid",IF(T178&gt;='Scoring Guide'!$C$27,"Conditional (MD)","No-Bid")))))</f>
        <v/>
      </c>
      <c r="V178" s="79" t="n"/>
      <c r="W178" s="83" t="n"/>
      <c r="X178" s="79" t="n"/>
      <c r="Y178" s="79" t="n"/>
    </row>
    <row r="179" ht="15" customHeight="1" s="51">
      <c r="A179" s="77">
        <f>IF(Pipeline!A179="","",Pipeline!A179)</f>
        <v/>
      </c>
      <c r="B179" s="78">
        <f>IF(A179="","",INDEX(Pipeline!$H:$H,MATCH(A179,Pipeline!$A:$A,0)))</f>
        <v/>
      </c>
      <c r="C179" s="79" t="n"/>
      <c r="D179" s="79" t="n"/>
      <c r="E179" s="79" t="n"/>
      <c r="F179" s="79" t="n"/>
      <c r="G179" s="79" t="n"/>
      <c r="H179" s="79" t="n"/>
      <c r="I179" s="79" t="n"/>
      <c r="J179" s="79" t="n"/>
      <c r="K179" s="79" t="n"/>
      <c r="L179" s="79" t="n"/>
      <c r="M179" s="79" t="n"/>
      <c r="N179" s="79" t="n">
        <v>1</v>
      </c>
      <c r="O179" s="79" t="n"/>
      <c r="P179" s="79" t="n"/>
      <c r="Q179" s="79" t="n"/>
      <c r="R179" s="79" t="n"/>
      <c r="S179" s="80">
        <f>IF(A179="","",COUNT(G179:R179))</f>
        <v/>
      </c>
      <c r="T179" s="81">
        <f>IF(OR(A179="",S179&lt;12),"",SUMPRODUCT($G$3:$R$3,G179:R179)/5)</f>
        <v/>
      </c>
      <c r="U179" s="82">
        <f>IF(A179="","",IF(COUNTIF(C179:F179,"Fail")&gt;0,"No-Bid (gate failed)",IF(S179&lt;12,"Incomplete ("&amp;S179&amp;"/12)",IF(T179&gt;='Scoring Guide'!$C$26,"Bid",IF(T179&gt;='Scoring Guide'!$C$27,"Conditional (MD)","No-Bid")))))</f>
        <v/>
      </c>
      <c r="V179" s="79" t="n"/>
      <c r="W179" s="83" t="n"/>
      <c r="X179" s="79" t="n"/>
      <c r="Y179" s="79" t="n"/>
    </row>
    <row r="180" ht="15" customHeight="1" s="51">
      <c r="A180" s="77">
        <f>IF(Pipeline!A180="","",Pipeline!A180)</f>
        <v/>
      </c>
      <c r="B180" s="78">
        <f>IF(A180="","",INDEX(Pipeline!$H:$H,MATCH(A180,Pipeline!$A:$A,0)))</f>
        <v/>
      </c>
      <c r="C180" s="79" t="n"/>
      <c r="D180" s="79" t="n"/>
      <c r="E180" s="79" t="n"/>
      <c r="F180" s="79" t="n"/>
      <c r="G180" s="79" t="n"/>
      <c r="H180" s="79" t="n"/>
      <c r="I180" s="79" t="n"/>
      <c r="J180" s="79" t="n"/>
      <c r="K180" s="79" t="n"/>
      <c r="L180" s="79" t="n"/>
      <c r="M180" s="79" t="n"/>
      <c r="N180" s="79" t="n">
        <v>4</v>
      </c>
      <c r="O180" s="79" t="n"/>
      <c r="P180" s="79" t="n"/>
      <c r="Q180" s="79" t="n"/>
      <c r="R180" s="79" t="n"/>
      <c r="S180" s="80">
        <f>IF(A180="","",COUNT(G180:R180))</f>
        <v/>
      </c>
      <c r="T180" s="81">
        <f>IF(OR(A180="",S180&lt;12),"",SUMPRODUCT($G$3:$R$3,G180:R180)/5)</f>
        <v/>
      </c>
      <c r="U180" s="82">
        <f>IF(A180="","",IF(COUNTIF(C180:F180,"Fail")&gt;0,"No-Bid (gate failed)",IF(S180&lt;12,"Incomplete ("&amp;S180&amp;"/12)",IF(T180&gt;='Scoring Guide'!$C$26,"Bid",IF(T180&gt;='Scoring Guide'!$C$27,"Conditional (MD)","No-Bid")))))</f>
        <v/>
      </c>
      <c r="V180" s="79" t="n"/>
      <c r="W180" s="83" t="n"/>
      <c r="X180" s="79" t="n"/>
      <c r="Y180" s="79" t="n"/>
    </row>
    <row r="181" ht="15" customHeight="1" s="51">
      <c r="A181" s="77">
        <f>IF(Pipeline!A181="","",Pipeline!A181)</f>
        <v/>
      </c>
      <c r="B181" s="78">
        <f>IF(A181="","",INDEX(Pipeline!$H:$H,MATCH(A181,Pipeline!$A:$A,0)))</f>
        <v/>
      </c>
      <c r="C181" s="79" t="n"/>
      <c r="D181" s="79" t="n"/>
      <c r="E181" s="79" t="n"/>
      <c r="F181" s="79" t="n"/>
      <c r="G181" s="79" t="n"/>
      <c r="H181" s="79" t="n"/>
      <c r="I181" s="79" t="n"/>
      <c r="J181" s="79" t="n"/>
      <c r="K181" s="79" t="n"/>
      <c r="L181" s="79" t="n"/>
      <c r="M181" s="79" t="n"/>
      <c r="N181" s="79" t="n"/>
      <c r="O181" s="79" t="n"/>
      <c r="P181" s="79" t="n"/>
      <c r="Q181" s="79" t="n"/>
      <c r="R181" s="79" t="n"/>
      <c r="S181" s="80">
        <f>IF(A181="","",COUNT(G181:R181))</f>
        <v/>
      </c>
      <c r="T181" s="81">
        <f>IF(OR(A181="",S181&lt;12),"",SUMPRODUCT($G$3:$R$3,G181:R181)/5)</f>
        <v/>
      </c>
      <c r="U181" s="82">
        <f>IF(A181="","",IF(COUNTIF(C181:F181,"Fail")&gt;0,"No-Bid (gate failed)",IF(S181&lt;12,"Incomplete ("&amp;S181&amp;"/12)",IF(T181&gt;='Scoring Guide'!$C$26,"Bid",IF(T181&gt;='Scoring Guide'!$C$27,"Conditional (MD)","No-Bid")))))</f>
        <v/>
      </c>
      <c r="V181" s="79" t="n"/>
      <c r="W181" s="83" t="n"/>
      <c r="X181" s="79" t="n"/>
      <c r="Y181" s="79" t="n"/>
    </row>
    <row r="182" ht="15" customHeight="1" s="51">
      <c r="A182" s="77">
        <f>IF(Pipeline!A182="","",Pipeline!A182)</f>
        <v/>
      </c>
      <c r="B182" s="78">
        <f>IF(A182="","",INDEX(Pipeline!$H:$H,MATCH(A182,Pipeline!$A:$A,0)))</f>
        <v/>
      </c>
      <c r="C182" s="79" t="n"/>
      <c r="D182" s="79" t="n"/>
      <c r="E182" s="79" t="n"/>
      <c r="F182" s="79" t="n"/>
      <c r="G182" s="79" t="n"/>
      <c r="H182" s="79" t="n"/>
      <c r="I182" s="79" t="n"/>
      <c r="J182" s="79" t="n"/>
      <c r="K182" s="79" t="n"/>
      <c r="L182" s="79" t="n"/>
      <c r="M182" s="79" t="n"/>
      <c r="N182" s="79" t="n">
        <v>1</v>
      </c>
      <c r="O182" s="79" t="n"/>
      <c r="P182" s="79" t="n"/>
      <c r="Q182" s="79" t="n"/>
      <c r="R182" s="79" t="n"/>
      <c r="S182" s="80">
        <f>IF(A182="","",COUNT(G182:R182))</f>
        <v/>
      </c>
      <c r="T182" s="81">
        <f>IF(OR(A182="",S182&lt;12),"",SUMPRODUCT($G$3:$R$3,G182:R182)/5)</f>
        <v/>
      </c>
      <c r="U182" s="82">
        <f>IF(A182="","",IF(COUNTIF(C182:F182,"Fail")&gt;0,"No-Bid (gate failed)",IF(S182&lt;12,"Incomplete ("&amp;S182&amp;"/12)",IF(T182&gt;='Scoring Guide'!$C$26,"Bid",IF(T182&gt;='Scoring Guide'!$C$27,"Conditional (MD)","No-Bid")))))</f>
        <v/>
      </c>
      <c r="V182" s="79" t="n"/>
      <c r="W182" s="83" t="n"/>
      <c r="X182" s="79" t="n"/>
      <c r="Y182" s="79" t="n"/>
    </row>
    <row r="183" ht="15" customHeight="1" s="51">
      <c r="A183" s="77">
        <f>IF(Pipeline!A183="","",Pipeline!A183)</f>
        <v/>
      </c>
      <c r="B183" s="78">
        <f>IF(A183="","",INDEX(Pipeline!$H:$H,MATCH(A183,Pipeline!$A:$A,0)))</f>
        <v/>
      </c>
      <c r="C183" s="79" t="n"/>
      <c r="D183" s="79" t="n"/>
      <c r="E183" s="79" t="n"/>
      <c r="F183" s="79" t="n"/>
      <c r="G183" s="79" t="n"/>
      <c r="H183" s="79" t="n"/>
      <c r="I183" s="79" t="n"/>
      <c r="J183" s="79" t="n"/>
      <c r="K183" s="79" t="n"/>
      <c r="L183" s="79" t="n"/>
      <c r="M183" s="79" t="n"/>
      <c r="N183" s="79" t="n">
        <v>1</v>
      </c>
      <c r="O183" s="79" t="n"/>
      <c r="P183" s="79" t="n"/>
      <c r="Q183" s="79" t="n"/>
      <c r="R183" s="79" t="n"/>
      <c r="S183" s="80">
        <f>IF(A183="","",COUNT(G183:R183))</f>
        <v/>
      </c>
      <c r="T183" s="81">
        <f>IF(OR(A183="",S183&lt;12),"",SUMPRODUCT($G$3:$R$3,G183:R183)/5)</f>
        <v/>
      </c>
      <c r="U183" s="82">
        <f>IF(A183="","",IF(COUNTIF(C183:F183,"Fail")&gt;0,"No-Bid (gate failed)",IF(S183&lt;12,"Incomplete ("&amp;S183&amp;"/12)",IF(T183&gt;='Scoring Guide'!$C$26,"Bid",IF(T183&gt;='Scoring Guide'!$C$27,"Conditional (MD)","No-Bid")))))</f>
        <v/>
      </c>
      <c r="V183" s="79" t="n"/>
      <c r="W183" s="83" t="n"/>
      <c r="X183" s="79" t="n"/>
      <c r="Y183" s="79" t="n"/>
    </row>
    <row r="184" ht="15" customHeight="1" s="51">
      <c r="A184" s="77">
        <f>IF(Pipeline!A184="","",Pipeline!A184)</f>
        <v/>
      </c>
      <c r="B184" s="78">
        <f>IF(A184="","",INDEX(Pipeline!$H:$H,MATCH(A184,Pipeline!$A:$A,0)))</f>
        <v/>
      </c>
      <c r="C184" s="79" t="n"/>
      <c r="D184" s="79" t="n"/>
      <c r="E184" s="79" t="n"/>
      <c r="F184" s="79" t="n"/>
      <c r="G184" s="79" t="n"/>
      <c r="H184" s="79" t="n"/>
      <c r="I184" s="79" t="n"/>
      <c r="J184" s="79" t="n"/>
      <c r="K184" s="79" t="n"/>
      <c r="L184" s="79" t="n"/>
      <c r="M184" s="79" t="n"/>
      <c r="N184" s="79" t="n">
        <v>1</v>
      </c>
      <c r="O184" s="79" t="n"/>
      <c r="P184" s="79" t="n"/>
      <c r="Q184" s="79" t="n"/>
      <c r="R184" s="79" t="n"/>
      <c r="S184" s="80">
        <f>IF(A184="","",COUNT(G184:R184))</f>
        <v/>
      </c>
      <c r="T184" s="81">
        <f>IF(OR(A184="",S184&lt;12),"",SUMPRODUCT($G$3:$R$3,G184:R184)/5)</f>
        <v/>
      </c>
      <c r="U184" s="82">
        <f>IF(A184="","",IF(COUNTIF(C184:F184,"Fail")&gt;0,"No-Bid (gate failed)",IF(S184&lt;12,"Incomplete ("&amp;S184&amp;"/12)",IF(T184&gt;='Scoring Guide'!$C$26,"Bid",IF(T184&gt;='Scoring Guide'!$C$27,"Conditional (MD)","No-Bid")))))</f>
        <v/>
      </c>
      <c r="V184" s="79" t="n"/>
      <c r="W184" s="83" t="n"/>
      <c r="X184" s="79" t="n"/>
      <c r="Y184" s="79" t="n"/>
    </row>
    <row r="185" ht="15" customHeight="1" s="51">
      <c r="A185" s="77">
        <f>IF(Pipeline!A185="","",Pipeline!A185)</f>
        <v/>
      </c>
      <c r="B185" s="78">
        <f>IF(A185="","",INDEX(Pipeline!$H:$H,MATCH(A185,Pipeline!$A:$A,0)))</f>
        <v/>
      </c>
      <c r="C185" s="79" t="n"/>
      <c r="D185" s="79" t="n"/>
      <c r="E185" s="79" t="n"/>
      <c r="F185" s="79" t="n"/>
      <c r="G185" s="79" t="n"/>
      <c r="H185" s="79" t="n"/>
      <c r="I185" s="79" t="n"/>
      <c r="J185" s="79" t="n"/>
      <c r="K185" s="79" t="n"/>
      <c r="L185" s="79" t="n"/>
      <c r="M185" s="79" t="n"/>
      <c r="N185" s="79" t="n">
        <v>1</v>
      </c>
      <c r="O185" s="79" t="n"/>
      <c r="P185" s="79" t="n"/>
      <c r="Q185" s="79" t="n"/>
      <c r="R185" s="79" t="n"/>
      <c r="S185" s="80">
        <f>IF(A185="","",COUNT(G185:R185))</f>
        <v/>
      </c>
      <c r="T185" s="81">
        <f>IF(OR(A185="",S185&lt;12),"",SUMPRODUCT($G$3:$R$3,G185:R185)/5)</f>
        <v/>
      </c>
      <c r="U185" s="82">
        <f>IF(A185="","",IF(COUNTIF(C185:F185,"Fail")&gt;0,"No-Bid (gate failed)",IF(S185&lt;12,"Incomplete ("&amp;S185&amp;"/12)",IF(T185&gt;='Scoring Guide'!$C$26,"Bid",IF(T185&gt;='Scoring Guide'!$C$27,"Conditional (MD)","No-Bid")))))</f>
        <v/>
      </c>
      <c r="V185" s="79" t="n"/>
      <c r="W185" s="83" t="n"/>
      <c r="X185" s="79" t="n"/>
      <c r="Y185" s="79" t="n"/>
    </row>
    <row r="186" ht="15" customHeight="1" s="51">
      <c r="A186" s="77">
        <f>IF(Pipeline!A186="","",Pipeline!A186)</f>
        <v/>
      </c>
      <c r="B186" s="78">
        <f>IF(A186="","",INDEX(Pipeline!$H:$H,MATCH(A186,Pipeline!$A:$A,0)))</f>
        <v/>
      </c>
      <c r="C186" s="79" t="n"/>
      <c r="D186" s="79" t="n"/>
      <c r="E186" s="79" t="n"/>
      <c r="F186" s="79" t="n"/>
      <c r="G186" s="79" t="n"/>
      <c r="H186" s="79" t="n"/>
      <c r="I186" s="79" t="n"/>
      <c r="J186" s="79" t="n"/>
      <c r="K186" s="79" t="n"/>
      <c r="L186" s="79" t="n"/>
      <c r="M186" s="79" t="n"/>
      <c r="N186" s="79" t="n">
        <v>1</v>
      </c>
      <c r="O186" s="79" t="n"/>
      <c r="P186" s="79" t="n"/>
      <c r="Q186" s="79" t="n"/>
      <c r="R186" s="79" t="n"/>
      <c r="S186" s="80">
        <f>IF(A186="","",COUNT(G186:R186))</f>
        <v/>
      </c>
      <c r="T186" s="81">
        <f>IF(OR(A186="",S186&lt;12),"",SUMPRODUCT($G$3:$R$3,G186:R186)/5)</f>
        <v/>
      </c>
      <c r="U186" s="82">
        <f>IF(A186="","",IF(COUNTIF(C186:F186,"Fail")&gt;0,"No-Bid (gate failed)",IF(S186&lt;12,"Incomplete ("&amp;S186&amp;"/12)",IF(T186&gt;='Scoring Guide'!$C$26,"Bid",IF(T186&gt;='Scoring Guide'!$C$27,"Conditional (MD)","No-Bid")))))</f>
        <v/>
      </c>
      <c r="V186" s="79" t="n"/>
      <c r="W186" s="83" t="n"/>
      <c r="X186" s="79" t="n"/>
      <c r="Y186" s="79" t="n"/>
    </row>
    <row r="187" ht="15" customHeight="1" s="51">
      <c r="A187" s="77">
        <f>IF(Pipeline!A187="","",Pipeline!A187)</f>
        <v/>
      </c>
      <c r="B187" s="78">
        <f>IF(A187="","",INDEX(Pipeline!$H:$H,MATCH(A187,Pipeline!$A:$A,0)))</f>
        <v/>
      </c>
      <c r="C187" s="79" t="n"/>
      <c r="D187" s="79" t="n"/>
      <c r="E187" s="79" t="n"/>
      <c r="F187" s="79" t="n"/>
      <c r="G187" s="79" t="n"/>
      <c r="H187" s="79" t="n"/>
      <c r="I187" s="79" t="n"/>
      <c r="J187" s="79" t="n"/>
      <c r="K187" s="79" t="n"/>
      <c r="L187" s="79" t="n"/>
      <c r="M187" s="79" t="n"/>
      <c r="N187" s="79" t="n">
        <v>1</v>
      </c>
      <c r="O187" s="79" t="n"/>
      <c r="P187" s="79" t="n"/>
      <c r="Q187" s="79" t="n"/>
      <c r="R187" s="79" t="n"/>
      <c r="S187" s="80">
        <f>IF(A187="","",COUNT(G187:R187))</f>
        <v/>
      </c>
      <c r="T187" s="81">
        <f>IF(OR(A187="",S187&lt;12),"",SUMPRODUCT($G$3:$R$3,G187:R187)/5)</f>
        <v/>
      </c>
      <c r="U187" s="82">
        <f>IF(A187="","",IF(COUNTIF(C187:F187,"Fail")&gt;0,"No-Bid (gate failed)",IF(S187&lt;12,"Incomplete ("&amp;S187&amp;"/12)",IF(T187&gt;='Scoring Guide'!$C$26,"Bid",IF(T187&gt;='Scoring Guide'!$C$27,"Conditional (MD)","No-Bid")))))</f>
        <v/>
      </c>
      <c r="V187" s="79" t="n"/>
      <c r="W187" s="83" t="n"/>
      <c r="X187" s="79" t="n"/>
      <c r="Y187" s="79" t="n"/>
    </row>
    <row r="188" ht="15" customHeight="1" s="51">
      <c r="A188" s="77">
        <f>IF(Pipeline!A188="","",Pipeline!A188)</f>
        <v/>
      </c>
      <c r="B188" s="78">
        <f>IF(A188="","",INDEX(Pipeline!$H:$H,MATCH(A188,Pipeline!$A:$A,0)))</f>
        <v/>
      </c>
      <c r="C188" s="79" t="n"/>
      <c r="D188" s="79" t="n"/>
      <c r="E188" s="79" t="n"/>
      <c r="F188" s="79" t="n"/>
      <c r="G188" s="79" t="n"/>
      <c r="H188" s="79" t="n"/>
      <c r="I188" s="79" t="n"/>
      <c r="J188" s="79" t="n"/>
      <c r="K188" s="79" t="n"/>
      <c r="L188" s="79" t="n"/>
      <c r="M188" s="79" t="n"/>
      <c r="N188" s="79" t="n">
        <v>1</v>
      </c>
      <c r="O188" s="79" t="n"/>
      <c r="P188" s="79" t="n"/>
      <c r="Q188" s="79" t="n"/>
      <c r="R188" s="79" t="n"/>
      <c r="S188" s="80">
        <f>IF(A188="","",COUNT(G188:R188))</f>
        <v/>
      </c>
      <c r="T188" s="81">
        <f>IF(OR(A188="",S188&lt;12),"",SUMPRODUCT($G$3:$R$3,G188:R188)/5)</f>
        <v/>
      </c>
      <c r="U188" s="82">
        <f>IF(A188="","",IF(COUNTIF(C188:F188,"Fail")&gt;0,"No-Bid (gate failed)",IF(S188&lt;12,"Incomplete ("&amp;S188&amp;"/12)",IF(T188&gt;='Scoring Guide'!$C$26,"Bid",IF(T188&gt;='Scoring Guide'!$C$27,"Conditional (MD)","No-Bid")))))</f>
        <v/>
      </c>
      <c r="V188" s="79" t="n"/>
      <c r="W188" s="83" t="n"/>
      <c r="X188" s="79" t="n"/>
      <c r="Y188" s="79" t="n"/>
    </row>
    <row r="189" ht="15" customHeight="1" s="51">
      <c r="A189" s="77">
        <f>IF(Pipeline!A189="","",Pipeline!A189)</f>
        <v/>
      </c>
      <c r="B189" s="78">
        <f>IF(A189="","",INDEX(Pipeline!$H:$H,MATCH(A189,Pipeline!$A:$A,0)))</f>
        <v/>
      </c>
      <c r="C189" s="79" t="n"/>
      <c r="D189" s="79" t="n"/>
      <c r="E189" s="79" t="n"/>
      <c r="F189" s="79" t="n"/>
      <c r="G189" s="79" t="n"/>
      <c r="H189" s="79" t="n"/>
      <c r="I189" s="79" t="n"/>
      <c r="J189" s="79" t="n"/>
      <c r="K189" s="79" t="n"/>
      <c r="L189" s="79" t="n"/>
      <c r="M189" s="79" t="n"/>
      <c r="N189" s="79" t="n">
        <v>1</v>
      </c>
      <c r="O189" s="79" t="n"/>
      <c r="P189" s="79" t="n"/>
      <c r="Q189" s="79" t="n"/>
      <c r="R189" s="79" t="n"/>
      <c r="S189" s="80">
        <f>IF(A189="","",COUNT(G189:R189))</f>
        <v/>
      </c>
      <c r="T189" s="81">
        <f>IF(OR(A189="",S189&lt;12),"",SUMPRODUCT($G$3:$R$3,G189:R189)/5)</f>
        <v/>
      </c>
      <c r="U189" s="82">
        <f>IF(A189="","",IF(COUNTIF(C189:F189,"Fail")&gt;0,"No-Bid (gate failed)",IF(S189&lt;12,"Incomplete ("&amp;S189&amp;"/12)",IF(T189&gt;='Scoring Guide'!$C$26,"Bid",IF(T189&gt;='Scoring Guide'!$C$27,"Conditional (MD)","No-Bid")))))</f>
        <v/>
      </c>
      <c r="V189" s="79" t="n"/>
      <c r="W189" s="83" t="n"/>
      <c r="X189" s="79" t="n"/>
      <c r="Y189" s="79" t="n"/>
    </row>
    <row r="190" ht="15" customHeight="1" s="51">
      <c r="A190" s="77">
        <f>IF(Pipeline!A190="","",Pipeline!A190)</f>
        <v/>
      </c>
      <c r="B190" s="78">
        <f>IF(A190="","",INDEX(Pipeline!$H:$H,MATCH(A190,Pipeline!$A:$A,0)))</f>
        <v/>
      </c>
      <c r="C190" s="79" t="n"/>
      <c r="D190" s="79" t="n"/>
      <c r="E190" s="79" t="n"/>
      <c r="F190" s="79" t="n"/>
      <c r="G190" s="79" t="n"/>
      <c r="H190" s="79" t="n"/>
      <c r="I190" s="79" t="n"/>
      <c r="J190" s="79" t="n"/>
      <c r="K190" s="79" t="n"/>
      <c r="L190" s="79" t="n"/>
      <c r="M190" s="79" t="n"/>
      <c r="N190" s="79" t="n">
        <v>1</v>
      </c>
      <c r="O190" s="79" t="n"/>
      <c r="P190" s="79" t="n"/>
      <c r="Q190" s="79" t="n"/>
      <c r="R190" s="79" t="n"/>
      <c r="S190" s="80">
        <f>IF(A190="","",COUNT(G190:R190))</f>
        <v/>
      </c>
      <c r="T190" s="81">
        <f>IF(OR(A190="",S190&lt;12),"",SUMPRODUCT($G$3:$R$3,G190:R190)/5)</f>
        <v/>
      </c>
      <c r="U190" s="82">
        <f>IF(A190="","",IF(COUNTIF(C190:F190,"Fail")&gt;0,"No-Bid (gate failed)",IF(S190&lt;12,"Incomplete ("&amp;S190&amp;"/12)",IF(T190&gt;='Scoring Guide'!$C$26,"Bid",IF(T190&gt;='Scoring Guide'!$C$27,"Conditional (MD)","No-Bid")))))</f>
        <v/>
      </c>
      <c r="V190" s="79" t="n"/>
      <c r="W190" s="83" t="n"/>
      <c r="X190" s="79" t="n"/>
      <c r="Y190" s="79" t="n"/>
    </row>
    <row r="191" ht="15" customHeight="1" s="51">
      <c r="A191" s="77">
        <f>IF(Pipeline!A191="","",Pipeline!A191)</f>
        <v/>
      </c>
      <c r="B191" s="78">
        <f>IF(A191="","",INDEX(Pipeline!$H:$H,MATCH(A191,Pipeline!$A:$A,0)))</f>
        <v/>
      </c>
      <c r="C191" s="79" t="n"/>
      <c r="D191" s="79" t="n"/>
      <c r="E191" s="79" t="n"/>
      <c r="F191" s="79" t="n"/>
      <c r="G191" s="79" t="n"/>
      <c r="H191" s="79" t="n"/>
      <c r="I191" s="79" t="n"/>
      <c r="J191" s="79" t="n"/>
      <c r="K191" s="79" t="n"/>
      <c r="L191" s="79" t="n"/>
      <c r="M191" s="79" t="n"/>
      <c r="N191" s="79" t="n">
        <v>1</v>
      </c>
      <c r="O191" s="79" t="n"/>
      <c r="P191" s="79" t="n"/>
      <c r="Q191" s="79" t="n"/>
      <c r="R191" s="79" t="n"/>
      <c r="S191" s="80">
        <f>IF(A191="","",COUNT(G191:R191))</f>
        <v/>
      </c>
      <c r="T191" s="81">
        <f>IF(OR(A191="",S191&lt;12),"",SUMPRODUCT($G$3:$R$3,G191:R191)/5)</f>
        <v/>
      </c>
      <c r="U191" s="82">
        <f>IF(A191="","",IF(COUNTIF(C191:F191,"Fail")&gt;0,"No-Bid (gate failed)",IF(S191&lt;12,"Incomplete ("&amp;S191&amp;"/12)",IF(T191&gt;='Scoring Guide'!$C$26,"Bid",IF(T191&gt;='Scoring Guide'!$C$27,"Conditional (MD)","No-Bid")))))</f>
        <v/>
      </c>
      <c r="V191" s="79" t="n"/>
      <c r="W191" s="83" t="n"/>
      <c r="X191" s="79" t="n"/>
      <c r="Y191" s="79" t="n"/>
    </row>
    <row r="192" ht="15" customHeight="1" s="51">
      <c r="A192" s="77">
        <f>IF(Pipeline!A192="","",Pipeline!A192)</f>
        <v/>
      </c>
      <c r="B192" s="78">
        <f>IF(A192="","",INDEX(Pipeline!$H:$H,MATCH(A192,Pipeline!$A:$A,0)))</f>
        <v/>
      </c>
      <c r="C192" s="79" t="n"/>
      <c r="D192" s="79" t="n"/>
      <c r="E192" s="79" t="n"/>
      <c r="F192" s="79" t="n"/>
      <c r="G192" s="79" t="n"/>
      <c r="H192" s="79" t="n"/>
      <c r="I192" s="79" t="n"/>
      <c r="J192" s="79" t="n"/>
      <c r="K192" s="79" t="n"/>
      <c r="L192" s="79" t="n"/>
      <c r="M192" s="79" t="n"/>
      <c r="N192" s="79" t="n">
        <v>1</v>
      </c>
      <c r="O192" s="79" t="n"/>
      <c r="P192" s="79" t="n"/>
      <c r="Q192" s="79" t="n"/>
      <c r="R192" s="79" t="n"/>
      <c r="S192" s="80">
        <f>IF(A192="","",COUNT(G192:R192))</f>
        <v/>
      </c>
      <c r="T192" s="81">
        <f>IF(OR(A192="",S192&lt;12),"",SUMPRODUCT($G$3:$R$3,G192:R192)/5)</f>
        <v/>
      </c>
      <c r="U192" s="82">
        <f>IF(A192="","",IF(COUNTIF(C192:F192,"Fail")&gt;0,"No-Bid (gate failed)",IF(S192&lt;12,"Incomplete ("&amp;S192&amp;"/12)",IF(T192&gt;='Scoring Guide'!$C$26,"Bid",IF(T192&gt;='Scoring Guide'!$C$27,"Conditional (MD)","No-Bid")))))</f>
        <v/>
      </c>
      <c r="V192" s="79" t="n"/>
      <c r="W192" s="83" t="n"/>
      <c r="X192" s="79" t="n"/>
      <c r="Y192" s="79" t="n"/>
    </row>
    <row r="193" ht="15" customHeight="1" s="51">
      <c r="A193" s="77">
        <f>IF(Pipeline!A193="","",Pipeline!A193)</f>
        <v/>
      </c>
      <c r="B193" s="78">
        <f>IF(A193="","",INDEX(Pipeline!$H:$H,MATCH(A193,Pipeline!$A:$A,0)))</f>
        <v/>
      </c>
      <c r="C193" s="79" t="n"/>
      <c r="D193" s="79" t="n"/>
      <c r="E193" s="79" t="n"/>
      <c r="F193" s="79" t="n"/>
      <c r="G193" s="79" t="n"/>
      <c r="H193" s="79" t="n"/>
      <c r="I193" s="79" t="n"/>
      <c r="J193" s="79" t="n"/>
      <c r="K193" s="79" t="n"/>
      <c r="L193" s="79" t="n"/>
      <c r="M193" s="79" t="n"/>
      <c r="N193" s="79" t="n">
        <v>1</v>
      </c>
      <c r="O193" s="79" t="n"/>
      <c r="P193" s="79" t="n"/>
      <c r="Q193" s="79" t="n"/>
      <c r="R193" s="79" t="n"/>
      <c r="S193" s="80">
        <f>IF(A193="","",COUNT(G193:R193))</f>
        <v/>
      </c>
      <c r="T193" s="81">
        <f>IF(OR(A193="",S193&lt;12),"",SUMPRODUCT($G$3:$R$3,G193:R193)/5)</f>
        <v/>
      </c>
      <c r="U193" s="82">
        <f>IF(A193="","",IF(COUNTIF(C193:F193,"Fail")&gt;0,"No-Bid (gate failed)",IF(S193&lt;12,"Incomplete ("&amp;S193&amp;"/12)",IF(T193&gt;='Scoring Guide'!$C$26,"Bid",IF(T193&gt;='Scoring Guide'!$C$27,"Conditional (MD)","No-Bid")))))</f>
        <v/>
      </c>
      <c r="V193" s="79" t="n"/>
      <c r="W193" s="83" t="n"/>
      <c r="X193" s="79" t="n"/>
      <c r="Y193" s="79" t="n"/>
    </row>
    <row r="194" ht="15" customHeight="1" s="51">
      <c r="A194" s="77">
        <f>IF(Pipeline!A194="","",Pipeline!A194)</f>
        <v/>
      </c>
      <c r="B194" s="78">
        <f>IF(A194="","",INDEX(Pipeline!$H:$H,MATCH(A194,Pipeline!$A:$A,0)))</f>
        <v/>
      </c>
      <c r="C194" s="79" t="n"/>
      <c r="D194" s="79" t="n"/>
      <c r="E194" s="79" t="n"/>
      <c r="F194" s="79" t="n"/>
      <c r="G194" s="79" t="n"/>
      <c r="H194" s="79" t="n"/>
      <c r="I194" s="79" t="n"/>
      <c r="J194" s="79" t="n"/>
      <c r="K194" s="79" t="n"/>
      <c r="L194" s="79" t="n"/>
      <c r="M194" s="79" t="n"/>
      <c r="N194" s="79" t="n">
        <v>1</v>
      </c>
      <c r="O194" s="79" t="n"/>
      <c r="P194" s="79" t="n"/>
      <c r="Q194" s="79" t="n"/>
      <c r="R194" s="79" t="n"/>
      <c r="S194" s="80">
        <f>IF(A194="","",COUNT(G194:R194))</f>
        <v/>
      </c>
      <c r="T194" s="81">
        <f>IF(OR(A194="",S194&lt;12),"",SUMPRODUCT($G$3:$R$3,G194:R194)/5)</f>
        <v/>
      </c>
      <c r="U194" s="82">
        <f>IF(A194="","",IF(COUNTIF(C194:F194,"Fail")&gt;0,"No-Bid (gate failed)",IF(S194&lt;12,"Incomplete ("&amp;S194&amp;"/12)",IF(T194&gt;='Scoring Guide'!$C$26,"Bid",IF(T194&gt;='Scoring Guide'!$C$27,"Conditional (MD)","No-Bid")))))</f>
        <v/>
      </c>
      <c r="V194" s="79" t="n"/>
      <c r="W194" s="83" t="n"/>
      <c r="X194" s="79" t="n"/>
      <c r="Y194" s="79" t="n"/>
    </row>
    <row r="195" ht="15" customHeight="1" s="51">
      <c r="A195" s="77">
        <f>IF(Pipeline!A195="","",Pipeline!A195)</f>
        <v/>
      </c>
      <c r="B195" s="78">
        <f>IF(A195="","",INDEX(Pipeline!$H:$H,MATCH(A195,Pipeline!$A:$A,0)))</f>
        <v/>
      </c>
      <c r="C195" s="79" t="n"/>
      <c r="D195" s="79" t="n"/>
      <c r="E195" s="79" t="n"/>
      <c r="F195" s="79" t="n"/>
      <c r="G195" s="79" t="n"/>
      <c r="H195" s="79" t="n"/>
      <c r="I195" s="79" t="n"/>
      <c r="J195" s="79" t="n"/>
      <c r="K195" s="79" t="n"/>
      <c r="L195" s="79" t="n"/>
      <c r="M195" s="79" t="n"/>
      <c r="N195" s="79" t="n">
        <v>1</v>
      </c>
      <c r="O195" s="79" t="n"/>
      <c r="P195" s="79" t="n"/>
      <c r="Q195" s="79" t="n"/>
      <c r="R195" s="79" t="n"/>
      <c r="S195" s="80">
        <f>IF(A195="","",COUNT(G195:R195))</f>
        <v/>
      </c>
      <c r="T195" s="81">
        <f>IF(OR(A195="",S195&lt;12),"",SUMPRODUCT($G$3:$R$3,G195:R195)/5)</f>
        <v/>
      </c>
      <c r="U195" s="82">
        <f>IF(A195="","",IF(COUNTIF(C195:F195,"Fail")&gt;0,"No-Bid (gate failed)",IF(S195&lt;12,"Incomplete ("&amp;S195&amp;"/12)",IF(T195&gt;='Scoring Guide'!$C$26,"Bid",IF(T195&gt;='Scoring Guide'!$C$27,"Conditional (MD)","No-Bid")))))</f>
        <v/>
      </c>
      <c r="V195" s="79" t="n"/>
      <c r="W195" s="83" t="n"/>
      <c r="X195" s="79" t="n"/>
      <c r="Y195" s="79" t="n"/>
    </row>
    <row r="196" ht="15" customHeight="1" s="51">
      <c r="A196" s="77">
        <f>IF(Pipeline!A196="","",Pipeline!A196)</f>
        <v/>
      </c>
      <c r="B196" s="78">
        <f>IF(A196="","",INDEX(Pipeline!$H:$H,MATCH(A196,Pipeline!$A:$A,0)))</f>
        <v/>
      </c>
      <c r="C196" s="79" t="n"/>
      <c r="D196" s="79" t="n"/>
      <c r="E196" s="79" t="n"/>
      <c r="F196" s="79" t="n"/>
      <c r="G196" s="79" t="n"/>
      <c r="H196" s="79" t="n"/>
      <c r="I196" s="79" t="n"/>
      <c r="J196" s="79" t="n"/>
      <c r="K196" s="79" t="n"/>
      <c r="L196" s="79" t="n"/>
      <c r="M196" s="79" t="n"/>
      <c r="N196" s="79" t="n"/>
      <c r="O196" s="79" t="n"/>
      <c r="P196" s="79" t="n"/>
      <c r="Q196" s="79" t="n"/>
      <c r="R196" s="79" t="n"/>
      <c r="S196" s="80">
        <f>IF(A196="","",COUNT(G196:R196))</f>
        <v/>
      </c>
      <c r="T196" s="81">
        <f>IF(OR(A196="",S196&lt;12),"",SUMPRODUCT($G$3:$R$3,G196:R196)/5)</f>
        <v/>
      </c>
      <c r="U196" s="82">
        <f>IF(A196="","",IF(COUNTIF(C196:F196,"Fail")&gt;0,"No-Bid (gate failed)",IF(S196&lt;12,"Incomplete ("&amp;S196&amp;"/12)",IF(T196&gt;='Scoring Guide'!$C$26,"Bid",IF(T196&gt;='Scoring Guide'!$C$27,"Conditional (MD)","No-Bid")))))</f>
        <v/>
      </c>
      <c r="V196" s="79" t="n"/>
      <c r="W196" s="83" t="n"/>
      <c r="X196" s="79" t="n"/>
      <c r="Y196" s="79" t="n"/>
    </row>
    <row r="197" ht="15" customHeight="1" s="51">
      <c r="A197" s="77">
        <f>IF(Pipeline!A197="","",Pipeline!A197)</f>
        <v/>
      </c>
      <c r="B197" s="78">
        <f>IF(A197="","",INDEX(Pipeline!$H:$H,MATCH(A197,Pipeline!$A:$A,0)))</f>
        <v/>
      </c>
      <c r="C197" s="79" t="n"/>
      <c r="D197" s="79" t="n"/>
      <c r="E197" s="79" t="n"/>
      <c r="F197" s="79" t="n"/>
      <c r="G197" s="79" t="n"/>
      <c r="H197" s="79" t="n"/>
      <c r="I197" s="79" t="n"/>
      <c r="J197" s="79" t="n"/>
      <c r="K197" s="79" t="n"/>
      <c r="L197" s="79" t="n"/>
      <c r="M197" s="79" t="n"/>
      <c r="N197" s="79" t="n">
        <v>1</v>
      </c>
      <c r="O197" s="79" t="n"/>
      <c r="P197" s="79" t="n"/>
      <c r="Q197" s="79" t="n"/>
      <c r="R197" s="79" t="n"/>
      <c r="S197" s="80">
        <f>IF(A197="","",COUNT(G197:R197))</f>
        <v/>
      </c>
      <c r="T197" s="81">
        <f>IF(OR(A197="",S197&lt;12),"",SUMPRODUCT($G$3:$R$3,G197:R197)/5)</f>
        <v/>
      </c>
      <c r="U197" s="82">
        <f>IF(A197="","",IF(COUNTIF(C197:F197,"Fail")&gt;0,"No-Bid (gate failed)",IF(S197&lt;12,"Incomplete ("&amp;S197&amp;"/12)",IF(T197&gt;='Scoring Guide'!$C$26,"Bid",IF(T197&gt;='Scoring Guide'!$C$27,"Conditional (MD)","No-Bid")))))</f>
        <v/>
      </c>
      <c r="V197" s="79" t="n"/>
      <c r="W197" s="83" t="n"/>
      <c r="X197" s="79" t="n"/>
      <c r="Y197" s="79" t="n"/>
    </row>
    <row r="198" ht="15" customHeight="1" s="51">
      <c r="A198" s="77">
        <f>IF(Pipeline!A198="","",Pipeline!A198)</f>
        <v/>
      </c>
      <c r="B198" s="78">
        <f>IF(A198="","",INDEX(Pipeline!$H:$H,MATCH(A198,Pipeline!$A:$A,0)))</f>
        <v/>
      </c>
      <c r="C198" s="79" t="n"/>
      <c r="D198" s="79" t="n"/>
      <c r="E198" s="79" t="n"/>
      <c r="F198" s="79" t="n"/>
      <c r="G198" s="79" t="n"/>
      <c r="H198" s="79" t="n"/>
      <c r="I198" s="79" t="n"/>
      <c r="J198" s="79" t="n"/>
      <c r="K198" s="79" t="n"/>
      <c r="L198" s="79" t="n"/>
      <c r="M198" s="79" t="n"/>
      <c r="N198" s="79" t="n">
        <v>1</v>
      </c>
      <c r="O198" s="79" t="n"/>
      <c r="P198" s="79" t="n"/>
      <c r="Q198" s="79" t="n"/>
      <c r="R198" s="79" t="n"/>
      <c r="S198" s="80">
        <f>IF(A198="","",COUNT(G198:R198))</f>
        <v/>
      </c>
      <c r="T198" s="81">
        <f>IF(OR(A198="",S198&lt;12),"",SUMPRODUCT($G$3:$R$3,G198:R198)/5)</f>
        <v/>
      </c>
      <c r="U198" s="82">
        <f>IF(A198="","",IF(COUNTIF(C198:F198,"Fail")&gt;0,"No-Bid (gate failed)",IF(S198&lt;12,"Incomplete ("&amp;S198&amp;"/12)",IF(T198&gt;='Scoring Guide'!$C$26,"Bid",IF(T198&gt;='Scoring Guide'!$C$27,"Conditional (MD)","No-Bid")))))</f>
        <v/>
      </c>
      <c r="V198" s="79" t="n"/>
      <c r="W198" s="83" t="n"/>
      <c r="X198" s="79" t="n"/>
      <c r="Y198" s="79" t="n"/>
    </row>
    <row r="199" ht="15" customHeight="1" s="51">
      <c r="A199" s="77">
        <f>IF(Pipeline!A199="","",Pipeline!A199)</f>
        <v/>
      </c>
      <c r="B199" s="78">
        <f>IF(A199="","",INDEX(Pipeline!$H:$H,MATCH(A199,Pipeline!$A:$A,0)))</f>
        <v/>
      </c>
      <c r="C199" s="79" t="n"/>
      <c r="D199" s="79" t="n"/>
      <c r="E199" s="79" t="n"/>
      <c r="F199" s="79" t="n"/>
      <c r="G199" s="79" t="n"/>
      <c r="H199" s="79" t="n"/>
      <c r="I199" s="79" t="n"/>
      <c r="J199" s="79" t="n"/>
      <c r="K199" s="79" t="n"/>
      <c r="L199" s="79" t="n"/>
      <c r="M199" s="79" t="n"/>
      <c r="N199" s="79" t="n">
        <v>4</v>
      </c>
      <c r="O199" s="79" t="n"/>
      <c r="P199" s="79" t="n"/>
      <c r="Q199" s="79" t="n"/>
      <c r="R199" s="79" t="n"/>
      <c r="S199" s="80">
        <f>IF(A199="","",COUNT(G199:R199))</f>
        <v/>
      </c>
      <c r="T199" s="81">
        <f>IF(OR(A199="",S199&lt;12),"",SUMPRODUCT($G$3:$R$3,G199:R199)/5)</f>
        <v/>
      </c>
      <c r="U199" s="82">
        <f>IF(A199="","",IF(COUNTIF(C199:F199,"Fail")&gt;0,"No-Bid (gate failed)",IF(S199&lt;12,"Incomplete ("&amp;S199&amp;"/12)",IF(T199&gt;='Scoring Guide'!$C$26,"Bid",IF(T199&gt;='Scoring Guide'!$C$27,"Conditional (MD)","No-Bid")))))</f>
        <v/>
      </c>
      <c r="V199" s="79" t="n"/>
      <c r="W199" s="83" t="n"/>
      <c r="X199" s="79" t="n"/>
      <c r="Y199" s="79" t="n"/>
    </row>
    <row r="200" ht="15" customHeight="1" s="51">
      <c r="A200" s="77">
        <f>IF(Pipeline!A200="","",Pipeline!A200)</f>
        <v/>
      </c>
      <c r="B200" s="78">
        <f>IF(A200="","",INDEX(Pipeline!$H:$H,MATCH(A200,Pipeline!$A:$A,0)))</f>
        <v/>
      </c>
      <c r="C200" s="79" t="n"/>
      <c r="D200" s="79" t="n"/>
      <c r="E200" s="79" t="n"/>
      <c r="F200" s="79" t="n"/>
      <c r="G200" s="79" t="n"/>
      <c r="H200" s="79" t="n"/>
      <c r="I200" s="79" t="n"/>
      <c r="J200" s="79" t="n"/>
      <c r="K200" s="79" t="n"/>
      <c r="L200" s="79" t="n"/>
      <c r="M200" s="79" t="n"/>
      <c r="N200" s="79" t="n">
        <v>4</v>
      </c>
      <c r="O200" s="79" t="n"/>
      <c r="P200" s="79" t="n"/>
      <c r="Q200" s="79" t="n"/>
      <c r="R200" s="79" t="n"/>
      <c r="S200" s="80">
        <f>IF(A200="","",COUNT(G200:R200))</f>
        <v/>
      </c>
      <c r="T200" s="81">
        <f>IF(OR(A200="",S200&lt;12),"",SUMPRODUCT($G$3:$R$3,G200:R200)/5)</f>
        <v/>
      </c>
      <c r="U200" s="82">
        <f>IF(A200="","",IF(COUNTIF(C200:F200,"Fail")&gt;0,"No-Bid (gate failed)",IF(S200&lt;12,"Incomplete ("&amp;S200&amp;"/12)",IF(T200&gt;='Scoring Guide'!$C$26,"Bid",IF(T200&gt;='Scoring Guide'!$C$27,"Conditional (MD)","No-Bid")))))</f>
        <v/>
      </c>
      <c r="V200" s="79" t="n"/>
      <c r="W200" s="83" t="n"/>
      <c r="X200" s="79" t="n"/>
      <c r="Y200" s="79" t="n"/>
    </row>
    <row r="201" ht="15" customHeight="1" s="51">
      <c r="A201" s="77">
        <f>IF(Pipeline!A201="","",Pipeline!A201)</f>
        <v/>
      </c>
      <c r="B201" s="78">
        <f>IF(A201="","",INDEX(Pipeline!$H:$H,MATCH(A201,Pipeline!$A:$A,0)))</f>
        <v/>
      </c>
      <c r="C201" s="79" t="n"/>
      <c r="D201" s="79" t="n"/>
      <c r="E201" s="79" t="n"/>
      <c r="F201" s="79" t="n"/>
      <c r="G201" s="79" t="n"/>
      <c r="H201" s="79" t="n"/>
      <c r="I201" s="79" t="n"/>
      <c r="J201" s="79" t="n"/>
      <c r="K201" s="79" t="n"/>
      <c r="L201" s="79" t="n"/>
      <c r="M201" s="79" t="n"/>
      <c r="N201" s="79" t="n"/>
      <c r="O201" s="79" t="n"/>
      <c r="P201" s="79" t="n"/>
      <c r="Q201" s="79" t="n"/>
      <c r="R201" s="79" t="n"/>
      <c r="S201" s="80">
        <f>IF(A201="","",COUNT(G201:R201))</f>
        <v/>
      </c>
      <c r="T201" s="81">
        <f>IF(OR(A201="",S201&lt;12),"",SUMPRODUCT($G$3:$R$3,G201:R201)/5)</f>
        <v/>
      </c>
      <c r="U201" s="82">
        <f>IF(A201="","",IF(COUNTIF(C201:F201,"Fail")&gt;0,"No-Bid (gate failed)",IF(S201&lt;12,"Incomplete ("&amp;S201&amp;"/12)",IF(T201&gt;='Scoring Guide'!$C$26,"Bid",IF(T201&gt;='Scoring Guide'!$C$27,"Conditional (MD)","No-Bid")))))</f>
        <v/>
      </c>
      <c r="V201" s="79" t="n"/>
      <c r="W201" s="83" t="n"/>
      <c r="X201" s="79" t="n"/>
      <c r="Y201" s="79" t="n"/>
    </row>
    <row r="202" ht="15" customHeight="1" s="51">
      <c r="A202" s="77">
        <f>IF(Pipeline!A202="","",Pipeline!A202)</f>
        <v/>
      </c>
      <c r="B202" s="78">
        <f>IF(A202="","",INDEX(Pipeline!$H:$H,MATCH(A202,Pipeline!$A:$A,0)))</f>
        <v/>
      </c>
      <c r="C202" s="79" t="n"/>
      <c r="D202" s="79" t="n"/>
      <c r="E202" s="79" t="n"/>
      <c r="F202" s="79" t="n"/>
      <c r="G202" s="79" t="n"/>
      <c r="H202" s="79" t="n"/>
      <c r="I202" s="79" t="n"/>
      <c r="J202" s="79" t="n"/>
      <c r="K202" s="79" t="n"/>
      <c r="L202" s="79" t="n"/>
      <c r="M202" s="79" t="n"/>
      <c r="N202" s="79" t="n"/>
      <c r="O202" s="79" t="n"/>
      <c r="P202" s="79" t="n"/>
      <c r="Q202" s="79" t="n"/>
      <c r="R202" s="79" t="n"/>
      <c r="S202" s="80">
        <f>IF(A202="","",COUNT(G202:R202))</f>
        <v/>
      </c>
      <c r="T202" s="81">
        <f>IF(OR(A202="",S202&lt;12),"",SUMPRODUCT($G$3:$R$3,G202:R202)/5)</f>
        <v/>
      </c>
      <c r="U202" s="82">
        <f>IF(A202="","",IF(COUNTIF(C202:F202,"Fail")&gt;0,"No-Bid (gate failed)",IF(S202&lt;12,"Incomplete ("&amp;S202&amp;"/12)",IF(T202&gt;='Scoring Guide'!$C$26,"Bid",IF(T202&gt;='Scoring Guide'!$C$27,"Conditional (MD)","No-Bid")))))</f>
        <v/>
      </c>
      <c r="V202" s="79" t="n"/>
      <c r="W202" s="83" t="n"/>
      <c r="X202" s="79" t="n"/>
      <c r="Y202" s="79" t="n"/>
    </row>
    <row r="203" ht="15" customHeight="1" s="51">
      <c r="A203" s="77">
        <f>IF(Pipeline!A203="","",Pipeline!A203)</f>
        <v/>
      </c>
      <c r="B203" s="78">
        <f>IF(A203="","",INDEX(Pipeline!$H:$H,MATCH(A203,Pipeline!$A:$A,0)))</f>
        <v/>
      </c>
      <c r="C203" s="79" t="n"/>
      <c r="D203" s="79" t="n"/>
      <c r="E203" s="79" t="n"/>
      <c r="F203" s="79" t="n"/>
      <c r="G203" s="79" t="n"/>
      <c r="H203" s="79" t="n"/>
      <c r="I203" s="79" t="n"/>
      <c r="J203" s="79" t="n"/>
      <c r="K203" s="79" t="n"/>
      <c r="L203" s="79" t="n"/>
      <c r="M203" s="79" t="n"/>
      <c r="N203" s="79" t="n"/>
      <c r="O203" s="79" t="n"/>
      <c r="P203" s="79" t="n"/>
      <c r="Q203" s="79" t="n"/>
      <c r="R203" s="79" t="n"/>
      <c r="S203" s="80">
        <f>IF(A203="","",COUNT(G203:R203))</f>
        <v/>
      </c>
      <c r="T203" s="81">
        <f>IF(OR(A203="",S203&lt;12),"",SUMPRODUCT($G$3:$R$3,G203:R203)/5)</f>
        <v/>
      </c>
      <c r="U203" s="82">
        <f>IF(A203="","",IF(COUNTIF(C203:F203,"Fail")&gt;0,"No-Bid (gate failed)",IF(S203&lt;12,"Incomplete ("&amp;S203&amp;"/12)",IF(T203&gt;='Scoring Guide'!$C$26,"Bid",IF(T203&gt;='Scoring Guide'!$C$27,"Conditional (MD)","No-Bid")))))</f>
        <v/>
      </c>
      <c r="V203" s="79" t="n"/>
      <c r="W203" s="83" t="n"/>
      <c r="X203" s="79" t="n"/>
      <c r="Y203" s="79" t="n"/>
    </row>
    <row r="204" ht="15" customHeight="1" s="51">
      <c r="A204" s="77">
        <f>IF(Pipeline!A204="","",Pipeline!A204)</f>
        <v/>
      </c>
      <c r="B204" s="78">
        <f>IF(A204="","",INDEX(Pipeline!$H:$H,MATCH(A204,Pipeline!$A:$A,0)))</f>
        <v/>
      </c>
      <c r="C204" s="79" t="n"/>
      <c r="D204" s="79" t="n"/>
      <c r="E204" s="79" t="n"/>
      <c r="F204" s="79" t="n"/>
      <c r="G204" s="79" t="n"/>
      <c r="H204" s="79" t="n"/>
      <c r="I204" s="79" t="n"/>
      <c r="J204" s="79" t="n"/>
      <c r="K204" s="79" t="n"/>
      <c r="L204" s="79" t="n"/>
      <c r="M204" s="79" t="n"/>
      <c r="N204" s="79" t="n">
        <v>1</v>
      </c>
      <c r="O204" s="79" t="n"/>
      <c r="P204" s="79" t="n"/>
      <c r="Q204" s="79" t="n"/>
      <c r="R204" s="79" t="n"/>
      <c r="S204" s="80">
        <f>IF(A204="","",COUNT(G204:R204))</f>
        <v/>
      </c>
      <c r="T204" s="81">
        <f>IF(OR(A204="",S204&lt;12),"",SUMPRODUCT($G$3:$R$3,G204:R204)/5)</f>
        <v/>
      </c>
      <c r="U204" s="82">
        <f>IF(A204="","",IF(COUNTIF(C204:F204,"Fail")&gt;0,"No-Bid (gate failed)",IF(S204&lt;12,"Incomplete ("&amp;S204&amp;"/12)",IF(T204&gt;='Scoring Guide'!$C$26,"Bid",IF(T204&gt;='Scoring Guide'!$C$27,"Conditional (MD)","No-Bid")))))</f>
        <v/>
      </c>
      <c r="V204" s="79" t="n"/>
      <c r="W204" s="83" t="n"/>
      <c r="X204" s="79" t="n"/>
      <c r="Y204" s="79" t="n"/>
    </row>
    <row r="205" ht="15" customHeight="1" s="51">
      <c r="A205" s="77">
        <f>IF(Pipeline!A205="","",Pipeline!A205)</f>
        <v/>
      </c>
      <c r="B205" s="78">
        <f>IF(A205="","",INDEX(Pipeline!$H:$H,MATCH(A205,Pipeline!$A:$A,0)))</f>
        <v/>
      </c>
      <c r="C205" s="79" t="n"/>
      <c r="D205" s="79" t="n"/>
      <c r="E205" s="79" t="n"/>
      <c r="F205" s="79" t="n"/>
      <c r="G205" s="79" t="n"/>
      <c r="H205" s="79" t="n"/>
      <c r="I205" s="79" t="n"/>
      <c r="J205" s="79" t="n"/>
      <c r="K205" s="79" t="n"/>
      <c r="L205" s="79" t="n"/>
      <c r="M205" s="79" t="n"/>
      <c r="N205" s="79" t="n">
        <v>5</v>
      </c>
      <c r="O205" s="79" t="n"/>
      <c r="P205" s="79" t="n"/>
      <c r="Q205" s="79" t="n"/>
      <c r="R205" s="79" t="n"/>
      <c r="S205" s="80">
        <f>IF(A205="","",COUNT(G205:R205))</f>
        <v/>
      </c>
      <c r="T205" s="81">
        <f>IF(OR(A205="",S205&lt;12),"",SUMPRODUCT($G$3:$R$3,G205:R205)/5)</f>
        <v/>
      </c>
      <c r="U205" s="82">
        <f>IF(A205="","",IF(COUNTIF(C205:F205,"Fail")&gt;0,"No-Bid (gate failed)",IF(S205&lt;12,"Incomplete ("&amp;S205&amp;"/12)",IF(T205&gt;='Scoring Guide'!$C$26,"Bid",IF(T205&gt;='Scoring Guide'!$C$27,"Conditional (MD)","No-Bid")))))</f>
        <v/>
      </c>
      <c r="V205" s="79" t="n"/>
      <c r="W205" s="83" t="n"/>
      <c r="X205" s="79" t="n"/>
      <c r="Y205" s="79" t="n"/>
    </row>
    <row r="206" ht="15" customHeight="1" s="51">
      <c r="A206" s="77">
        <f>IF(Pipeline!A206="","",Pipeline!A206)</f>
        <v/>
      </c>
      <c r="B206" s="78">
        <f>IF(A206="","",INDEX(Pipeline!$H:$H,MATCH(A206,Pipeline!$A:$A,0)))</f>
        <v/>
      </c>
      <c r="C206" s="79" t="n"/>
      <c r="D206" s="79" t="n"/>
      <c r="E206" s="79" t="n"/>
      <c r="F206" s="79" t="n"/>
      <c r="G206" s="79" t="n"/>
      <c r="H206" s="79" t="n"/>
      <c r="I206" s="79" t="n"/>
      <c r="J206" s="79" t="n"/>
      <c r="K206" s="79" t="n"/>
      <c r="L206" s="79" t="n"/>
      <c r="M206" s="79" t="n"/>
      <c r="N206" s="79" t="n">
        <v>5</v>
      </c>
      <c r="O206" s="79" t="n"/>
      <c r="P206" s="79" t="n"/>
      <c r="Q206" s="79" t="n"/>
      <c r="R206" s="79" t="n"/>
      <c r="S206" s="80">
        <f>IF(A206="","",COUNT(G206:R206))</f>
        <v/>
      </c>
      <c r="T206" s="81">
        <f>IF(OR(A206="",S206&lt;12),"",SUMPRODUCT($G$3:$R$3,G206:R206)/5)</f>
        <v/>
      </c>
      <c r="U206" s="82">
        <f>IF(A206="","",IF(COUNTIF(C206:F206,"Fail")&gt;0,"No-Bid (gate failed)",IF(S206&lt;12,"Incomplete ("&amp;S206&amp;"/12)",IF(T206&gt;='Scoring Guide'!$C$26,"Bid",IF(T206&gt;='Scoring Guide'!$C$27,"Conditional (MD)","No-Bid")))))</f>
        <v/>
      </c>
      <c r="V206" s="79" t="n"/>
      <c r="W206" s="83" t="n"/>
      <c r="X206" s="79" t="n"/>
      <c r="Y206" s="79" t="n"/>
    </row>
    <row r="207" ht="15" customHeight="1" s="51">
      <c r="A207" s="77">
        <f>IF(Pipeline!A207="","",Pipeline!A207)</f>
        <v/>
      </c>
      <c r="B207" s="78">
        <f>IF(A207="","",INDEX(Pipeline!$H:$H,MATCH(A207,Pipeline!$A:$A,0)))</f>
        <v/>
      </c>
      <c r="C207" s="79" t="n"/>
      <c r="D207" s="79" t="n"/>
      <c r="E207" s="79" t="n"/>
      <c r="F207" s="79" t="n"/>
      <c r="G207" s="79" t="n"/>
      <c r="H207" s="79" t="n"/>
      <c r="I207" s="79" t="n"/>
      <c r="J207" s="79" t="n"/>
      <c r="K207" s="79" t="n"/>
      <c r="L207" s="79" t="n"/>
      <c r="M207" s="79" t="n"/>
      <c r="N207" s="79" t="n">
        <v>4</v>
      </c>
      <c r="O207" s="79" t="n"/>
      <c r="P207" s="79" t="n"/>
      <c r="Q207" s="79" t="n"/>
      <c r="R207" s="79" t="n"/>
      <c r="S207" s="80">
        <f>IF(A207="","",COUNT(G207:R207))</f>
        <v/>
      </c>
      <c r="T207" s="81">
        <f>IF(OR(A207="",S207&lt;12),"",SUMPRODUCT($G$3:$R$3,G207:R207)/5)</f>
        <v/>
      </c>
      <c r="U207" s="82">
        <f>IF(A207="","",IF(COUNTIF(C207:F207,"Fail")&gt;0,"No-Bid (gate failed)",IF(S207&lt;12,"Incomplete ("&amp;S207&amp;"/12)",IF(T207&gt;='Scoring Guide'!$C$26,"Bid",IF(T207&gt;='Scoring Guide'!$C$27,"Conditional (MD)","No-Bid")))))</f>
        <v/>
      </c>
      <c r="V207" s="79" t="n"/>
      <c r="W207" s="83" t="n"/>
      <c r="X207" s="79" t="n"/>
      <c r="Y207" s="79" t="n"/>
    </row>
    <row r="208" ht="15" customHeight="1" s="51">
      <c r="A208" s="77">
        <f>IF(Pipeline!A208="","",Pipeline!A208)</f>
        <v/>
      </c>
      <c r="B208" s="78">
        <f>IF(A208="","",INDEX(Pipeline!$H:$H,MATCH(A208,Pipeline!$A:$A,0)))</f>
        <v/>
      </c>
      <c r="C208" s="79" t="n"/>
      <c r="D208" s="79" t="n"/>
      <c r="E208" s="79" t="n"/>
      <c r="F208" s="79" t="n"/>
      <c r="G208" s="79" t="n"/>
      <c r="H208" s="79" t="n"/>
      <c r="I208" s="79" t="n"/>
      <c r="J208" s="79" t="n"/>
      <c r="K208" s="79" t="n"/>
      <c r="L208" s="79" t="n"/>
      <c r="M208" s="79" t="n"/>
      <c r="N208" s="79" t="n">
        <v>4</v>
      </c>
      <c r="O208" s="79" t="n"/>
      <c r="P208" s="79" t="n"/>
      <c r="Q208" s="79" t="n"/>
      <c r="R208" s="79" t="n"/>
      <c r="S208" s="80">
        <f>IF(A208="","",COUNT(G208:R208))</f>
        <v/>
      </c>
      <c r="T208" s="81">
        <f>IF(OR(A208="",S208&lt;12),"",SUMPRODUCT($G$3:$R$3,G208:R208)/5)</f>
        <v/>
      </c>
      <c r="U208" s="82">
        <f>IF(A208="","",IF(COUNTIF(C208:F208,"Fail")&gt;0,"No-Bid (gate failed)",IF(S208&lt;12,"Incomplete ("&amp;S208&amp;"/12)",IF(T208&gt;='Scoring Guide'!$C$26,"Bid",IF(T208&gt;='Scoring Guide'!$C$27,"Conditional (MD)","No-Bid")))))</f>
        <v/>
      </c>
      <c r="V208" s="79" t="n"/>
      <c r="W208" s="83" t="n"/>
      <c r="X208" s="79" t="n"/>
      <c r="Y208" s="79" t="n"/>
    </row>
    <row r="209" ht="15" customHeight="1" s="51">
      <c r="A209" s="77">
        <f>IF(Pipeline!A209="","",Pipeline!A209)</f>
        <v/>
      </c>
      <c r="B209" s="78">
        <f>IF(A209="","",INDEX(Pipeline!$H:$H,MATCH(A209,Pipeline!$A:$A,0)))</f>
        <v/>
      </c>
      <c r="C209" s="79" t="n"/>
      <c r="D209" s="79" t="n"/>
      <c r="E209" s="79" t="n"/>
      <c r="F209" s="79" t="n"/>
      <c r="G209" s="79" t="n"/>
      <c r="H209" s="79" t="n"/>
      <c r="I209" s="79" t="n"/>
      <c r="J209" s="79" t="n"/>
      <c r="K209" s="79" t="n"/>
      <c r="L209" s="79" t="n"/>
      <c r="M209" s="79" t="n"/>
      <c r="N209" s="79" t="n">
        <v>4</v>
      </c>
      <c r="O209" s="79" t="n"/>
      <c r="P209" s="79" t="n"/>
      <c r="Q209" s="79" t="n"/>
      <c r="R209" s="79" t="n"/>
      <c r="S209" s="80">
        <f>IF(A209="","",COUNT(G209:R209))</f>
        <v/>
      </c>
      <c r="T209" s="81">
        <f>IF(OR(A209="",S209&lt;12),"",SUMPRODUCT($G$3:$R$3,G209:R209)/5)</f>
        <v/>
      </c>
      <c r="U209" s="82">
        <f>IF(A209="","",IF(COUNTIF(C209:F209,"Fail")&gt;0,"No-Bid (gate failed)",IF(S209&lt;12,"Incomplete ("&amp;S209&amp;"/12)",IF(T209&gt;='Scoring Guide'!$C$26,"Bid",IF(T209&gt;='Scoring Guide'!$C$27,"Conditional (MD)","No-Bid")))))</f>
        <v/>
      </c>
      <c r="V209" s="79" t="n"/>
      <c r="W209" s="83" t="n"/>
      <c r="X209" s="79" t="n"/>
      <c r="Y209" s="79" t="n"/>
    </row>
    <row r="210" ht="15" customHeight="1" s="51">
      <c r="A210" s="77">
        <f>IF(Pipeline!A210="","",Pipeline!A210)</f>
        <v/>
      </c>
      <c r="B210" s="78">
        <f>IF(A210="","",INDEX(Pipeline!$H:$H,MATCH(A210,Pipeline!$A:$A,0)))</f>
        <v/>
      </c>
      <c r="C210" s="79" t="n"/>
      <c r="D210" s="79" t="n"/>
      <c r="E210" s="79" t="n"/>
      <c r="F210" s="79" t="n"/>
      <c r="G210" s="79" t="n"/>
      <c r="H210" s="79" t="n"/>
      <c r="I210" s="79" t="n"/>
      <c r="J210" s="79" t="n"/>
      <c r="K210" s="79" t="n"/>
      <c r="L210" s="79" t="n"/>
      <c r="M210" s="79" t="n"/>
      <c r="N210" s="79" t="n"/>
      <c r="O210" s="79" t="n"/>
      <c r="P210" s="79" t="n"/>
      <c r="Q210" s="79" t="n"/>
      <c r="R210" s="79" t="n"/>
      <c r="S210" s="80">
        <f>IF(A210="","",COUNT(G210:R210))</f>
        <v/>
      </c>
      <c r="T210" s="81">
        <f>IF(OR(A210="",S210&lt;12),"",SUMPRODUCT($G$3:$R$3,G210:R210)/5)</f>
        <v/>
      </c>
      <c r="U210" s="82">
        <f>IF(A210="","",IF(COUNTIF(C210:F210,"Fail")&gt;0,"No-Bid (gate failed)",IF(S210&lt;12,"Incomplete ("&amp;S210&amp;"/12)",IF(T210&gt;='Scoring Guide'!$C$26,"Bid",IF(T210&gt;='Scoring Guide'!$C$27,"Conditional (MD)","No-Bid")))))</f>
        <v/>
      </c>
      <c r="V210" s="79" t="n"/>
      <c r="W210" s="83" t="n"/>
      <c r="X210" s="79" t="n"/>
      <c r="Y210" s="79" t="n"/>
    </row>
    <row r="211" ht="15" customHeight="1" s="51">
      <c r="A211" s="77">
        <f>IF(Pipeline!A211="","",Pipeline!A211)</f>
        <v/>
      </c>
      <c r="B211" s="78">
        <f>IF(A211="","",INDEX(Pipeline!$H:$H,MATCH(A211,Pipeline!$A:$A,0)))</f>
        <v/>
      </c>
      <c r="C211" s="79" t="n"/>
      <c r="D211" s="79" t="n"/>
      <c r="E211" s="79" t="n"/>
      <c r="F211" s="79" t="n"/>
      <c r="G211" s="79" t="n"/>
      <c r="H211" s="79" t="n"/>
      <c r="I211" s="79" t="n"/>
      <c r="J211" s="79" t="n"/>
      <c r="K211" s="79" t="n"/>
      <c r="L211" s="79" t="n"/>
      <c r="M211" s="79" t="n"/>
      <c r="N211" s="79" t="n">
        <v>1</v>
      </c>
      <c r="O211" s="79" t="n"/>
      <c r="P211" s="79" t="n"/>
      <c r="Q211" s="79" t="n"/>
      <c r="R211" s="79" t="n"/>
      <c r="S211" s="80">
        <f>IF(A211="","",COUNT(G211:R211))</f>
        <v/>
      </c>
      <c r="T211" s="81">
        <f>IF(OR(A211="",S211&lt;12),"",SUMPRODUCT($G$3:$R$3,G211:R211)/5)</f>
        <v/>
      </c>
      <c r="U211" s="82">
        <f>IF(A211="","",IF(COUNTIF(C211:F211,"Fail")&gt;0,"No-Bid (gate failed)",IF(S211&lt;12,"Incomplete ("&amp;S211&amp;"/12)",IF(T211&gt;='Scoring Guide'!$C$26,"Bid",IF(T211&gt;='Scoring Guide'!$C$27,"Conditional (MD)","No-Bid")))))</f>
        <v/>
      </c>
      <c r="V211" s="79" t="n"/>
      <c r="W211" s="83" t="n"/>
      <c r="X211" s="79" t="n"/>
      <c r="Y211" s="79" t="n"/>
    </row>
    <row r="212" ht="15" customHeight="1" s="51">
      <c r="A212" s="77">
        <f>IF(Pipeline!A212="","",Pipeline!A212)</f>
        <v/>
      </c>
      <c r="B212" s="78">
        <f>IF(A212="","",INDEX(Pipeline!$H:$H,MATCH(A212,Pipeline!$A:$A,0)))</f>
        <v/>
      </c>
      <c r="C212" s="79" t="n"/>
      <c r="D212" s="79" t="n"/>
      <c r="E212" s="79" t="n"/>
      <c r="F212" s="79" t="n"/>
      <c r="G212" s="79" t="n"/>
      <c r="H212" s="79" t="n"/>
      <c r="I212" s="79" t="n"/>
      <c r="J212" s="79" t="n"/>
      <c r="K212" s="79" t="n"/>
      <c r="L212" s="79" t="n"/>
      <c r="M212" s="79" t="n"/>
      <c r="N212" s="79" t="n">
        <v>5</v>
      </c>
      <c r="O212" s="79" t="n"/>
      <c r="P212" s="79" t="n"/>
      <c r="Q212" s="79" t="n"/>
      <c r="R212" s="79" t="n"/>
      <c r="S212" s="80">
        <f>IF(A212="","",COUNT(G212:R212))</f>
        <v/>
      </c>
      <c r="T212" s="81">
        <f>IF(OR(A212="",S212&lt;12),"",SUMPRODUCT($G$3:$R$3,G212:R212)/5)</f>
        <v/>
      </c>
      <c r="U212" s="82">
        <f>IF(A212="","",IF(COUNTIF(C212:F212,"Fail")&gt;0,"No-Bid (gate failed)",IF(S212&lt;12,"Incomplete ("&amp;S212&amp;"/12)",IF(T212&gt;='Scoring Guide'!$C$26,"Bid",IF(T212&gt;='Scoring Guide'!$C$27,"Conditional (MD)","No-Bid")))))</f>
        <v/>
      </c>
      <c r="V212" s="79" t="n"/>
      <c r="W212" s="83" t="n"/>
      <c r="X212" s="79" t="n"/>
      <c r="Y212" s="79" t="n"/>
    </row>
    <row r="213" ht="15" customHeight="1" s="51">
      <c r="A213" s="77">
        <f>IF(Pipeline!A213="","",Pipeline!A213)</f>
        <v/>
      </c>
      <c r="B213" s="78">
        <f>IF(A213="","",INDEX(Pipeline!$H:$H,MATCH(A213,Pipeline!$A:$A,0)))</f>
        <v/>
      </c>
      <c r="C213" s="79" t="n"/>
      <c r="D213" s="79" t="n"/>
      <c r="E213" s="79" t="n"/>
      <c r="F213" s="79" t="n"/>
      <c r="G213" s="79" t="n"/>
      <c r="H213" s="79" t="n"/>
      <c r="I213" s="79" t="n"/>
      <c r="J213" s="79" t="n"/>
      <c r="K213" s="79" t="n"/>
      <c r="L213" s="79" t="n"/>
      <c r="M213" s="79" t="n"/>
      <c r="N213" s="79" t="n">
        <v>1</v>
      </c>
      <c r="O213" s="79" t="n"/>
      <c r="P213" s="79" t="n"/>
      <c r="Q213" s="79" t="n"/>
      <c r="R213" s="79" t="n"/>
      <c r="S213" s="80">
        <f>IF(A213="","",COUNT(G213:R213))</f>
        <v/>
      </c>
      <c r="T213" s="81">
        <f>IF(OR(A213="",S213&lt;12),"",SUMPRODUCT($G$3:$R$3,G213:R213)/5)</f>
        <v/>
      </c>
      <c r="U213" s="82">
        <f>IF(A213="","",IF(COUNTIF(C213:F213,"Fail")&gt;0,"No-Bid (gate failed)",IF(S213&lt;12,"Incomplete ("&amp;S213&amp;"/12)",IF(T213&gt;='Scoring Guide'!$C$26,"Bid",IF(T213&gt;='Scoring Guide'!$C$27,"Conditional (MD)","No-Bid")))))</f>
        <v/>
      </c>
      <c r="V213" s="79" t="n"/>
      <c r="W213" s="83" t="n"/>
      <c r="X213" s="79" t="n"/>
      <c r="Y213" s="79" t="n"/>
    </row>
    <row r="214" ht="15" customHeight="1" s="51">
      <c r="A214" s="77">
        <f>IF(Pipeline!A214="","",Pipeline!A214)</f>
        <v/>
      </c>
      <c r="B214" s="78">
        <f>IF(A214="","",INDEX(Pipeline!$H:$H,MATCH(A214,Pipeline!$A:$A,0)))</f>
        <v/>
      </c>
      <c r="C214" s="79" t="n"/>
      <c r="D214" s="79" t="n"/>
      <c r="E214" s="79" t="n"/>
      <c r="F214" s="79" t="n"/>
      <c r="G214" s="79" t="n"/>
      <c r="H214" s="79" t="n"/>
      <c r="I214" s="79" t="n"/>
      <c r="J214" s="79" t="n"/>
      <c r="K214" s="79" t="n"/>
      <c r="L214" s="79" t="n"/>
      <c r="M214" s="79" t="n"/>
      <c r="N214" s="79" t="n">
        <v>1</v>
      </c>
      <c r="O214" s="79" t="n"/>
      <c r="P214" s="79" t="n"/>
      <c r="Q214" s="79" t="n"/>
      <c r="R214" s="79" t="n"/>
      <c r="S214" s="80">
        <f>IF(A214="","",COUNT(G214:R214))</f>
        <v/>
      </c>
      <c r="T214" s="81">
        <f>IF(OR(A214="",S214&lt;12),"",SUMPRODUCT($G$3:$R$3,G214:R214)/5)</f>
        <v/>
      </c>
      <c r="U214" s="82">
        <f>IF(A214="","",IF(COUNTIF(C214:F214,"Fail")&gt;0,"No-Bid (gate failed)",IF(S214&lt;12,"Incomplete ("&amp;S214&amp;"/12)",IF(T214&gt;='Scoring Guide'!$C$26,"Bid",IF(T214&gt;='Scoring Guide'!$C$27,"Conditional (MD)","No-Bid")))))</f>
        <v/>
      </c>
      <c r="V214" s="79" t="n"/>
      <c r="W214" s="83" t="n"/>
      <c r="X214" s="79" t="n"/>
      <c r="Y214" s="79" t="n"/>
    </row>
    <row r="215" ht="15" customHeight="1" s="51">
      <c r="A215" s="77">
        <f>IF(Pipeline!A215="","",Pipeline!A215)</f>
        <v/>
      </c>
      <c r="B215" s="78">
        <f>IF(A215="","",INDEX(Pipeline!$H:$H,MATCH(A215,Pipeline!$A:$A,0)))</f>
        <v/>
      </c>
      <c r="C215" s="79" t="n"/>
      <c r="D215" s="79" t="n"/>
      <c r="E215" s="79" t="n"/>
      <c r="F215" s="79" t="n"/>
      <c r="G215" s="79" t="n"/>
      <c r="H215" s="79" t="n"/>
      <c r="I215" s="79" t="n"/>
      <c r="J215" s="79" t="n"/>
      <c r="K215" s="79" t="n"/>
      <c r="L215" s="79" t="n"/>
      <c r="M215" s="79" t="n"/>
      <c r="N215" s="79" t="n">
        <v>4</v>
      </c>
      <c r="O215" s="79" t="n"/>
      <c r="P215" s="79" t="n"/>
      <c r="Q215" s="79" t="n"/>
      <c r="R215" s="79" t="n"/>
      <c r="S215" s="80">
        <f>IF(A215="","",COUNT(G215:R215))</f>
        <v/>
      </c>
      <c r="T215" s="81">
        <f>IF(OR(A215="",S215&lt;12),"",SUMPRODUCT($G$3:$R$3,G215:R215)/5)</f>
        <v/>
      </c>
      <c r="U215" s="82">
        <f>IF(A215="","",IF(COUNTIF(C215:F215,"Fail")&gt;0,"No-Bid (gate failed)",IF(S215&lt;12,"Incomplete ("&amp;S215&amp;"/12)",IF(T215&gt;='Scoring Guide'!$C$26,"Bid",IF(T215&gt;='Scoring Guide'!$C$27,"Conditional (MD)","No-Bid")))))</f>
        <v/>
      </c>
      <c r="V215" s="79" t="n"/>
      <c r="W215" s="83" t="n"/>
      <c r="X215" s="79" t="n"/>
      <c r="Y215" s="79" t="n"/>
    </row>
    <row r="216" ht="15" customHeight="1" s="51">
      <c r="A216" s="77">
        <f>IF(Pipeline!A216="","",Pipeline!A216)</f>
        <v/>
      </c>
      <c r="B216" s="78">
        <f>IF(A216="","",INDEX(Pipeline!$H:$H,MATCH(A216,Pipeline!$A:$A,0)))</f>
        <v/>
      </c>
      <c r="C216" s="79" t="n"/>
      <c r="D216" s="79" t="n"/>
      <c r="E216" s="79" t="n"/>
      <c r="F216" s="79" t="n"/>
      <c r="G216" s="79" t="n"/>
      <c r="H216" s="79" t="n"/>
      <c r="I216" s="79" t="n"/>
      <c r="J216" s="79" t="n"/>
      <c r="K216" s="79" t="n"/>
      <c r="L216" s="79" t="n"/>
      <c r="M216" s="79" t="n"/>
      <c r="N216" s="79" t="n">
        <v>5</v>
      </c>
      <c r="O216" s="79" t="n"/>
      <c r="P216" s="79" t="n"/>
      <c r="Q216" s="79" t="n"/>
      <c r="R216" s="79" t="n"/>
      <c r="S216" s="80">
        <f>IF(A216="","",COUNT(G216:R216))</f>
        <v/>
      </c>
      <c r="T216" s="81">
        <f>IF(OR(A216="",S216&lt;12),"",SUMPRODUCT($G$3:$R$3,G216:R216)/5)</f>
        <v/>
      </c>
      <c r="U216" s="82">
        <f>IF(A216="","",IF(COUNTIF(C216:F216,"Fail")&gt;0,"No-Bid (gate failed)",IF(S216&lt;12,"Incomplete ("&amp;S216&amp;"/12)",IF(T216&gt;='Scoring Guide'!$C$26,"Bid",IF(T216&gt;='Scoring Guide'!$C$27,"Conditional (MD)","No-Bid")))))</f>
        <v/>
      </c>
      <c r="V216" s="79" t="n"/>
      <c r="W216" s="83" t="n"/>
      <c r="X216" s="79" t="n"/>
      <c r="Y216" s="79" t="n"/>
    </row>
    <row r="217" ht="15" customHeight="1" s="51">
      <c r="A217" s="77">
        <f>IF(Pipeline!A217="","",Pipeline!A217)</f>
        <v/>
      </c>
      <c r="B217" s="78">
        <f>IF(A217="","",INDEX(Pipeline!$H:$H,MATCH(A217,Pipeline!$A:$A,0)))</f>
        <v/>
      </c>
      <c r="C217" s="79" t="n"/>
      <c r="D217" s="79" t="n"/>
      <c r="E217" s="79" t="n"/>
      <c r="F217" s="79" t="n"/>
      <c r="G217" s="79" t="n"/>
      <c r="H217" s="79" t="n"/>
      <c r="I217" s="79" t="n"/>
      <c r="J217" s="79" t="n"/>
      <c r="K217" s="79" t="n"/>
      <c r="L217" s="79" t="n"/>
      <c r="M217" s="79" t="n"/>
      <c r="N217" s="79" t="n">
        <v>4</v>
      </c>
      <c r="O217" s="79" t="n"/>
      <c r="P217" s="79" t="n"/>
      <c r="Q217" s="79" t="n"/>
      <c r="R217" s="79" t="n"/>
      <c r="S217" s="80">
        <f>IF(A217="","",COUNT(G217:R217))</f>
        <v/>
      </c>
      <c r="T217" s="81">
        <f>IF(OR(A217="",S217&lt;12),"",SUMPRODUCT($G$3:$R$3,G217:R217)/5)</f>
        <v/>
      </c>
      <c r="U217" s="82">
        <f>IF(A217="","",IF(COUNTIF(C217:F217,"Fail")&gt;0,"No-Bid (gate failed)",IF(S217&lt;12,"Incomplete ("&amp;S217&amp;"/12)",IF(T217&gt;='Scoring Guide'!$C$26,"Bid",IF(T217&gt;='Scoring Guide'!$C$27,"Conditional (MD)","No-Bid")))))</f>
        <v/>
      </c>
      <c r="V217" s="79" t="n"/>
      <c r="W217" s="83" t="n"/>
      <c r="X217" s="79" t="n"/>
      <c r="Y217" s="79" t="n"/>
    </row>
    <row r="218" ht="15" customHeight="1" s="51">
      <c r="A218" s="77">
        <f>IF(Pipeline!A218="","",Pipeline!A218)</f>
        <v/>
      </c>
      <c r="B218" s="78">
        <f>IF(A218="","",INDEX(Pipeline!$H:$H,MATCH(A218,Pipeline!$A:$A,0)))</f>
        <v/>
      </c>
      <c r="C218" s="79" t="n"/>
      <c r="D218" s="79" t="n"/>
      <c r="E218" s="79" t="n"/>
      <c r="F218" s="79" t="n"/>
      <c r="G218" s="79" t="n"/>
      <c r="H218" s="79" t="n"/>
      <c r="I218" s="79" t="n"/>
      <c r="J218" s="79" t="n"/>
      <c r="K218" s="79" t="n"/>
      <c r="L218" s="79" t="n"/>
      <c r="M218" s="79" t="n"/>
      <c r="N218" s="79" t="n">
        <v>1</v>
      </c>
      <c r="O218" s="79" t="n"/>
      <c r="P218" s="79" t="n"/>
      <c r="Q218" s="79" t="n"/>
      <c r="R218" s="79" t="n"/>
      <c r="S218" s="80">
        <f>IF(A218="","",COUNT(G218:R218))</f>
        <v/>
      </c>
      <c r="T218" s="81">
        <f>IF(OR(A218="",S218&lt;12),"",SUMPRODUCT($G$3:$R$3,G218:R218)/5)</f>
        <v/>
      </c>
      <c r="U218" s="82">
        <f>IF(A218="","",IF(COUNTIF(C218:F218,"Fail")&gt;0,"No-Bid (gate failed)",IF(S218&lt;12,"Incomplete ("&amp;S218&amp;"/12)",IF(T218&gt;='Scoring Guide'!$C$26,"Bid",IF(T218&gt;='Scoring Guide'!$C$27,"Conditional (MD)","No-Bid")))))</f>
        <v/>
      </c>
      <c r="V218" s="79" t="n"/>
      <c r="W218" s="83" t="n"/>
      <c r="X218" s="79" t="n"/>
      <c r="Y218" s="79" t="n"/>
    </row>
    <row r="219" ht="15" customHeight="1" s="51">
      <c r="A219" s="77">
        <f>IF(Pipeline!A219="","",Pipeline!A219)</f>
        <v/>
      </c>
      <c r="B219" s="78">
        <f>IF(A219="","",INDEX(Pipeline!$H:$H,MATCH(A219,Pipeline!$A:$A,0)))</f>
        <v/>
      </c>
      <c r="C219" s="79" t="n"/>
      <c r="D219" s="79" t="n"/>
      <c r="E219" s="79" t="n"/>
      <c r="F219" s="79" t="n"/>
      <c r="G219" s="79" t="n"/>
      <c r="H219" s="79" t="n"/>
      <c r="I219" s="79" t="n"/>
      <c r="J219" s="79" t="n"/>
      <c r="K219" s="79" t="n"/>
      <c r="L219" s="79" t="n"/>
      <c r="M219" s="79" t="n"/>
      <c r="N219" s="79" t="n"/>
      <c r="O219" s="79" t="n"/>
      <c r="P219" s="79" t="n"/>
      <c r="Q219" s="79" t="n"/>
      <c r="R219" s="79" t="n"/>
      <c r="S219" s="80">
        <f>IF(A219="","",COUNT(G219:R219))</f>
        <v/>
      </c>
      <c r="T219" s="81">
        <f>IF(OR(A219="",S219&lt;12),"",SUMPRODUCT($G$3:$R$3,G219:R219)/5)</f>
        <v/>
      </c>
      <c r="U219" s="82">
        <f>IF(A219="","",IF(COUNTIF(C219:F219,"Fail")&gt;0,"No-Bid (gate failed)",IF(S219&lt;12,"Incomplete ("&amp;S219&amp;"/12)",IF(T219&gt;='Scoring Guide'!$C$26,"Bid",IF(T219&gt;='Scoring Guide'!$C$27,"Conditional (MD)","No-Bid")))))</f>
        <v/>
      </c>
      <c r="V219" s="79" t="n"/>
      <c r="W219" s="83" t="n"/>
      <c r="X219" s="79" t="n"/>
      <c r="Y219" s="79" t="n"/>
    </row>
    <row r="220" ht="15" customHeight="1" s="51">
      <c r="A220" s="77">
        <f>IF(Pipeline!A220="","",Pipeline!A220)</f>
        <v/>
      </c>
      <c r="B220" s="78">
        <f>IF(A220="","",INDEX(Pipeline!$H:$H,MATCH(A220,Pipeline!$A:$A,0)))</f>
        <v/>
      </c>
      <c r="C220" s="79" t="n"/>
      <c r="D220" s="79" t="n"/>
      <c r="E220" s="79" t="n"/>
      <c r="F220" s="79" t="n"/>
      <c r="G220" s="79" t="n"/>
      <c r="H220" s="79" t="n"/>
      <c r="I220" s="79" t="n"/>
      <c r="J220" s="79" t="n"/>
      <c r="K220" s="79" t="n"/>
      <c r="L220" s="79" t="n"/>
      <c r="M220" s="79" t="n"/>
      <c r="N220" s="79" t="n">
        <v>1</v>
      </c>
      <c r="O220" s="79" t="n"/>
      <c r="P220" s="79" t="n"/>
      <c r="Q220" s="79" t="n"/>
      <c r="R220" s="79" t="n"/>
      <c r="S220" s="80">
        <f>IF(A220="","",COUNT(G220:R220))</f>
        <v/>
      </c>
      <c r="T220" s="81">
        <f>IF(OR(A220="",S220&lt;12),"",SUMPRODUCT($G$3:$R$3,G220:R220)/5)</f>
        <v/>
      </c>
      <c r="U220" s="82">
        <f>IF(A220="","",IF(COUNTIF(C220:F220,"Fail")&gt;0,"No-Bid (gate failed)",IF(S220&lt;12,"Incomplete ("&amp;S220&amp;"/12)",IF(T220&gt;='Scoring Guide'!$C$26,"Bid",IF(T220&gt;='Scoring Guide'!$C$27,"Conditional (MD)","No-Bid")))))</f>
        <v/>
      </c>
      <c r="V220" s="79" t="n"/>
      <c r="W220" s="83" t="n"/>
      <c r="X220" s="79" t="n"/>
      <c r="Y220" s="79" t="n"/>
    </row>
    <row r="221" ht="15" customHeight="1" s="51">
      <c r="A221" s="77">
        <f>IF(Pipeline!A221="","",Pipeline!A221)</f>
        <v/>
      </c>
      <c r="B221" s="78">
        <f>IF(A221="","",INDEX(Pipeline!$H:$H,MATCH(A221,Pipeline!$A:$A,0)))</f>
        <v/>
      </c>
      <c r="C221" s="79" t="n"/>
      <c r="D221" s="79" t="n"/>
      <c r="E221" s="79" t="n"/>
      <c r="F221" s="79" t="n"/>
      <c r="G221" s="79" t="n"/>
      <c r="H221" s="79" t="n"/>
      <c r="I221" s="79" t="n"/>
      <c r="J221" s="79" t="n"/>
      <c r="K221" s="79" t="n"/>
      <c r="L221" s="79" t="n"/>
      <c r="M221" s="79" t="n"/>
      <c r="N221" s="79" t="n">
        <v>1</v>
      </c>
      <c r="O221" s="79" t="n"/>
      <c r="P221" s="79" t="n"/>
      <c r="Q221" s="79" t="n"/>
      <c r="R221" s="79" t="n"/>
      <c r="S221" s="80">
        <f>IF(A221="","",COUNT(G221:R221))</f>
        <v/>
      </c>
      <c r="T221" s="81">
        <f>IF(OR(A221="",S221&lt;12),"",SUMPRODUCT($G$3:$R$3,G221:R221)/5)</f>
        <v/>
      </c>
      <c r="U221" s="82">
        <f>IF(A221="","",IF(COUNTIF(C221:F221,"Fail")&gt;0,"No-Bid (gate failed)",IF(S221&lt;12,"Incomplete ("&amp;S221&amp;"/12)",IF(T221&gt;='Scoring Guide'!$C$26,"Bid",IF(T221&gt;='Scoring Guide'!$C$27,"Conditional (MD)","No-Bid")))))</f>
        <v/>
      </c>
      <c r="V221" s="79" t="n"/>
      <c r="W221" s="83" t="n"/>
      <c r="X221" s="79" t="n"/>
      <c r="Y221" s="79" t="n"/>
    </row>
    <row r="222" ht="15" customHeight="1" s="51">
      <c r="A222" s="77">
        <f>IF(Pipeline!A222="","",Pipeline!A222)</f>
        <v/>
      </c>
      <c r="B222" s="78">
        <f>IF(A222="","",INDEX(Pipeline!$H:$H,MATCH(A222,Pipeline!$A:$A,0)))</f>
        <v/>
      </c>
      <c r="C222" s="79" t="n"/>
      <c r="D222" s="79" t="n"/>
      <c r="E222" s="79" t="n"/>
      <c r="F222" s="79" t="n"/>
      <c r="G222" s="79" t="n"/>
      <c r="H222" s="79" t="n"/>
      <c r="I222" s="79" t="n"/>
      <c r="J222" s="79" t="n"/>
      <c r="K222" s="79" t="n"/>
      <c r="L222" s="79" t="n"/>
      <c r="M222" s="79" t="n"/>
      <c r="N222" s="79" t="n"/>
      <c r="O222" s="79" t="n"/>
      <c r="P222" s="79" t="n"/>
      <c r="Q222" s="79" t="n"/>
      <c r="R222" s="79" t="n"/>
      <c r="S222" s="80">
        <f>IF(A222="","",COUNT(G222:R222))</f>
        <v/>
      </c>
      <c r="T222" s="81">
        <f>IF(OR(A222="",S222&lt;12),"",SUMPRODUCT($G$3:$R$3,G222:R222)/5)</f>
        <v/>
      </c>
      <c r="U222" s="82">
        <f>IF(A222="","",IF(COUNTIF(C222:F222,"Fail")&gt;0,"No-Bid (gate failed)",IF(S222&lt;12,"Incomplete ("&amp;S222&amp;"/12)",IF(T222&gt;='Scoring Guide'!$C$26,"Bid",IF(T222&gt;='Scoring Guide'!$C$27,"Conditional (MD)","No-Bid")))))</f>
        <v/>
      </c>
      <c r="V222" s="79" t="n"/>
      <c r="W222" s="83" t="n"/>
      <c r="X222" s="79" t="n"/>
      <c r="Y222" s="79" t="n"/>
    </row>
    <row r="223" ht="15" customHeight="1" s="51">
      <c r="A223" s="77">
        <f>IF(Pipeline!A223="","",Pipeline!A223)</f>
        <v/>
      </c>
      <c r="B223" s="78">
        <f>IF(A223="","",INDEX(Pipeline!$H:$H,MATCH(A223,Pipeline!$A:$A,0)))</f>
        <v/>
      </c>
      <c r="C223" s="79" t="n"/>
      <c r="D223" s="79" t="n"/>
      <c r="E223" s="79" t="n"/>
      <c r="F223" s="79" t="n"/>
      <c r="G223" s="79" t="n"/>
      <c r="H223" s="79" t="n"/>
      <c r="I223" s="79" t="n"/>
      <c r="J223" s="79" t="n"/>
      <c r="K223" s="79" t="n"/>
      <c r="L223" s="79" t="n"/>
      <c r="M223" s="79" t="n"/>
      <c r="N223" s="79" t="n"/>
      <c r="O223" s="79" t="n"/>
      <c r="P223" s="79" t="n"/>
      <c r="Q223" s="79" t="n"/>
      <c r="R223" s="79" t="n"/>
      <c r="S223" s="80">
        <f>IF(A223="","",COUNT(G223:R223))</f>
        <v/>
      </c>
      <c r="T223" s="81">
        <f>IF(OR(A223="",S223&lt;12),"",SUMPRODUCT($G$3:$R$3,G223:R223)/5)</f>
        <v/>
      </c>
      <c r="U223" s="82">
        <f>IF(A223="","",IF(COUNTIF(C223:F223,"Fail")&gt;0,"No-Bid (gate failed)",IF(S223&lt;12,"Incomplete ("&amp;S223&amp;"/12)",IF(T223&gt;='Scoring Guide'!$C$26,"Bid",IF(T223&gt;='Scoring Guide'!$C$27,"Conditional (MD)","No-Bid")))))</f>
        <v/>
      </c>
      <c r="V223" s="79" t="n"/>
      <c r="W223" s="83" t="n"/>
      <c r="X223" s="79" t="n"/>
      <c r="Y223" s="79" t="n"/>
    </row>
    <row r="224" ht="15" customHeight="1" s="51">
      <c r="A224" s="77">
        <f>IF(Pipeline!A224="","",Pipeline!A224)</f>
        <v/>
      </c>
      <c r="B224" s="78">
        <f>IF(A224="","",INDEX(Pipeline!$H:$H,MATCH(A224,Pipeline!$A:$A,0)))</f>
        <v/>
      </c>
      <c r="C224" s="79" t="n"/>
      <c r="D224" s="79" t="n"/>
      <c r="E224" s="79" t="n"/>
      <c r="F224" s="79" t="n"/>
      <c r="G224" s="79" t="n"/>
      <c r="H224" s="79" t="n"/>
      <c r="I224" s="79" t="n"/>
      <c r="J224" s="79" t="n"/>
      <c r="K224" s="79" t="n"/>
      <c r="L224" s="79" t="n"/>
      <c r="M224" s="79" t="n"/>
      <c r="N224" s="79" t="n"/>
      <c r="O224" s="79" t="n"/>
      <c r="P224" s="79" t="n"/>
      <c r="Q224" s="79" t="n"/>
      <c r="R224" s="79" t="n"/>
      <c r="S224" s="80">
        <f>IF(A224="","",COUNT(G224:R224))</f>
        <v/>
      </c>
      <c r="T224" s="81">
        <f>IF(OR(A224="",S224&lt;12),"",SUMPRODUCT($G$3:$R$3,G224:R224)/5)</f>
        <v/>
      </c>
      <c r="U224" s="82">
        <f>IF(A224="","",IF(COUNTIF(C224:F224,"Fail")&gt;0,"No-Bid (gate failed)",IF(S224&lt;12,"Incomplete ("&amp;S224&amp;"/12)",IF(T224&gt;='Scoring Guide'!$C$26,"Bid",IF(T224&gt;='Scoring Guide'!$C$27,"Conditional (MD)","No-Bid")))))</f>
        <v/>
      </c>
      <c r="V224" s="79" t="n"/>
      <c r="W224" s="83" t="n"/>
      <c r="X224" s="79" t="n"/>
      <c r="Y224" s="79" t="n"/>
    </row>
    <row r="225" ht="15" customHeight="1" s="51">
      <c r="A225" s="77">
        <f>IF(Pipeline!A225="","",Pipeline!A225)</f>
        <v/>
      </c>
      <c r="B225" s="78">
        <f>IF(A225="","",INDEX(Pipeline!$H:$H,MATCH(A225,Pipeline!$A:$A,0)))</f>
        <v/>
      </c>
      <c r="C225" s="79" t="n"/>
      <c r="D225" s="79" t="n"/>
      <c r="E225" s="79" t="n"/>
      <c r="F225" s="79" t="n"/>
      <c r="G225" s="79" t="n"/>
      <c r="H225" s="79" t="n"/>
      <c r="I225" s="79" t="n"/>
      <c r="J225" s="79" t="n"/>
      <c r="K225" s="79" t="n"/>
      <c r="L225" s="79" t="n"/>
      <c r="M225" s="79" t="n"/>
      <c r="N225" s="79" t="n"/>
      <c r="O225" s="79" t="n"/>
      <c r="P225" s="79" t="n"/>
      <c r="Q225" s="79" t="n"/>
      <c r="R225" s="79" t="n"/>
      <c r="S225" s="80">
        <f>IF(A225="","",COUNT(G225:R225))</f>
        <v/>
      </c>
      <c r="T225" s="81">
        <f>IF(OR(A225="",S225&lt;12),"",SUMPRODUCT($G$3:$R$3,G225:R225)/5)</f>
        <v/>
      </c>
      <c r="U225" s="82">
        <f>IF(A225="","",IF(COUNTIF(C225:F225,"Fail")&gt;0,"No-Bid (gate failed)",IF(S225&lt;12,"Incomplete ("&amp;S225&amp;"/12)",IF(T225&gt;='Scoring Guide'!$C$26,"Bid",IF(T225&gt;='Scoring Guide'!$C$27,"Conditional (MD)","No-Bid")))))</f>
        <v/>
      </c>
      <c r="V225" s="79" t="n"/>
      <c r="W225" s="83" t="n"/>
      <c r="X225" s="79" t="n"/>
      <c r="Y225" s="79" t="n"/>
    </row>
    <row r="226" ht="15" customHeight="1" s="51">
      <c r="A226" s="77">
        <f>IF(Pipeline!A226="","",Pipeline!A226)</f>
        <v/>
      </c>
      <c r="B226" s="78">
        <f>IF(A226="","",INDEX(Pipeline!$H:$H,MATCH(A226,Pipeline!$A:$A,0)))</f>
        <v/>
      </c>
      <c r="C226" s="79" t="n"/>
      <c r="D226" s="79" t="n"/>
      <c r="E226" s="79" t="n"/>
      <c r="F226" s="79" t="n"/>
      <c r="G226" s="79" t="n"/>
      <c r="H226" s="79" t="n"/>
      <c r="I226" s="79" t="n"/>
      <c r="J226" s="79" t="n"/>
      <c r="K226" s="79" t="n"/>
      <c r="L226" s="79" t="n"/>
      <c r="M226" s="79" t="n"/>
      <c r="N226" s="79" t="n"/>
      <c r="O226" s="79" t="n"/>
      <c r="P226" s="79" t="n"/>
      <c r="Q226" s="79" t="n"/>
      <c r="R226" s="79" t="n"/>
      <c r="S226" s="80">
        <f>IF(A226="","",COUNT(G226:R226))</f>
        <v/>
      </c>
      <c r="T226" s="81">
        <f>IF(OR(A226="",S226&lt;12),"",SUMPRODUCT($G$3:$R$3,G226:R226)/5)</f>
        <v/>
      </c>
      <c r="U226" s="82">
        <f>IF(A226="","",IF(COUNTIF(C226:F226,"Fail")&gt;0,"No-Bid (gate failed)",IF(S226&lt;12,"Incomplete ("&amp;S226&amp;"/12)",IF(T226&gt;='Scoring Guide'!$C$26,"Bid",IF(T226&gt;='Scoring Guide'!$C$27,"Conditional (MD)","No-Bid")))))</f>
        <v/>
      </c>
      <c r="V226" s="79" t="n"/>
      <c r="W226" s="83" t="n"/>
      <c r="X226" s="79" t="n"/>
      <c r="Y226" s="79" t="n"/>
    </row>
    <row r="227" ht="15" customHeight="1" s="51">
      <c r="A227" s="77">
        <f>IF(Pipeline!A227="","",Pipeline!A227)</f>
        <v/>
      </c>
      <c r="B227" s="78">
        <f>IF(A227="","",INDEX(Pipeline!$H:$H,MATCH(A227,Pipeline!$A:$A,0)))</f>
        <v/>
      </c>
      <c r="C227" s="79" t="n"/>
      <c r="D227" s="79" t="n"/>
      <c r="E227" s="79" t="n"/>
      <c r="F227" s="79" t="n"/>
      <c r="G227" s="79" t="n"/>
      <c r="H227" s="79" t="n"/>
      <c r="I227" s="79" t="n"/>
      <c r="J227" s="79" t="n"/>
      <c r="K227" s="79" t="n"/>
      <c r="L227" s="79" t="n"/>
      <c r="M227" s="79" t="n"/>
      <c r="N227" s="79" t="n">
        <v>1</v>
      </c>
      <c r="O227" s="79" t="n"/>
      <c r="P227" s="79" t="n"/>
      <c r="Q227" s="79" t="n"/>
      <c r="R227" s="79" t="n"/>
      <c r="S227" s="80">
        <f>IF(A227="","",COUNT(G227:R227))</f>
        <v/>
      </c>
      <c r="T227" s="81">
        <f>IF(OR(A227="",S227&lt;12),"",SUMPRODUCT($G$3:$R$3,G227:R227)/5)</f>
        <v/>
      </c>
      <c r="U227" s="82">
        <f>IF(A227="","",IF(COUNTIF(C227:F227,"Fail")&gt;0,"No-Bid (gate failed)",IF(S227&lt;12,"Incomplete ("&amp;S227&amp;"/12)",IF(T227&gt;='Scoring Guide'!$C$26,"Bid",IF(T227&gt;='Scoring Guide'!$C$27,"Conditional (MD)","No-Bid")))))</f>
        <v/>
      </c>
      <c r="V227" s="79" t="n"/>
      <c r="W227" s="83" t="n"/>
      <c r="X227" s="79" t="n"/>
      <c r="Y227" s="79" t="n"/>
    </row>
    <row r="228" ht="15" customHeight="1" s="51">
      <c r="A228" s="77">
        <f>IF(Pipeline!A228="","",Pipeline!A228)</f>
        <v/>
      </c>
      <c r="B228" s="78">
        <f>IF(A228="","",INDEX(Pipeline!$H:$H,MATCH(A228,Pipeline!$A:$A,0)))</f>
        <v/>
      </c>
      <c r="C228" s="79" t="n"/>
      <c r="D228" s="79" t="n"/>
      <c r="E228" s="79" t="n"/>
      <c r="F228" s="79" t="n"/>
      <c r="G228" s="79" t="n"/>
      <c r="H228" s="79" t="n"/>
      <c r="I228" s="79" t="n"/>
      <c r="J228" s="79" t="n"/>
      <c r="K228" s="79" t="n"/>
      <c r="L228" s="79" t="n"/>
      <c r="M228" s="79" t="n"/>
      <c r="N228" s="79" t="n">
        <v>1</v>
      </c>
      <c r="O228" s="79" t="n"/>
      <c r="P228" s="79" t="n"/>
      <c r="Q228" s="79" t="n"/>
      <c r="R228" s="79" t="n"/>
      <c r="S228" s="80">
        <f>IF(A228="","",COUNT(G228:R228))</f>
        <v/>
      </c>
      <c r="T228" s="81">
        <f>IF(OR(A228="",S228&lt;12),"",SUMPRODUCT($G$3:$R$3,G228:R228)/5)</f>
        <v/>
      </c>
      <c r="U228" s="82">
        <f>IF(A228="","",IF(COUNTIF(C228:F228,"Fail")&gt;0,"No-Bid (gate failed)",IF(S228&lt;12,"Incomplete ("&amp;S228&amp;"/12)",IF(T228&gt;='Scoring Guide'!$C$26,"Bid",IF(T228&gt;='Scoring Guide'!$C$27,"Conditional (MD)","No-Bid")))))</f>
        <v/>
      </c>
      <c r="V228" s="79" t="n"/>
      <c r="W228" s="83" t="n"/>
      <c r="X228" s="79" t="n"/>
      <c r="Y228" s="79" t="n"/>
    </row>
    <row r="229" ht="15" customHeight="1" s="51">
      <c r="A229" s="77">
        <f>IF(Pipeline!A229="","",Pipeline!A229)</f>
        <v/>
      </c>
      <c r="B229" s="78">
        <f>IF(A229="","",INDEX(Pipeline!$H:$H,MATCH(A229,Pipeline!$A:$A,0)))</f>
        <v/>
      </c>
      <c r="C229" s="79" t="n"/>
      <c r="D229" s="79" t="n"/>
      <c r="E229" s="79" t="n"/>
      <c r="F229" s="79" t="n"/>
      <c r="G229" s="79" t="n"/>
      <c r="H229" s="79" t="n"/>
      <c r="I229" s="79" t="n"/>
      <c r="J229" s="79" t="n"/>
      <c r="K229" s="79" t="n"/>
      <c r="L229" s="79" t="n"/>
      <c r="M229" s="79" t="n"/>
      <c r="N229" s="79" t="n">
        <v>1</v>
      </c>
      <c r="O229" s="79" t="n"/>
      <c r="P229" s="79" t="n"/>
      <c r="Q229" s="79" t="n"/>
      <c r="R229" s="79" t="n"/>
      <c r="S229" s="80">
        <f>IF(A229="","",COUNT(G229:R229))</f>
        <v/>
      </c>
      <c r="T229" s="81">
        <f>IF(OR(A229="",S229&lt;12),"",SUMPRODUCT($G$3:$R$3,G229:R229)/5)</f>
        <v/>
      </c>
      <c r="U229" s="82">
        <f>IF(A229="","",IF(COUNTIF(C229:F229,"Fail")&gt;0,"No-Bid (gate failed)",IF(S229&lt;12,"Incomplete ("&amp;S229&amp;"/12)",IF(T229&gt;='Scoring Guide'!$C$26,"Bid",IF(T229&gt;='Scoring Guide'!$C$27,"Conditional (MD)","No-Bid")))))</f>
        <v/>
      </c>
      <c r="V229" s="79" t="n"/>
      <c r="W229" s="83" t="n"/>
      <c r="X229" s="79" t="n"/>
      <c r="Y229" s="79" t="n"/>
    </row>
    <row r="230" ht="15" customHeight="1" s="51">
      <c r="A230" s="77">
        <f>IF(Pipeline!A230="","",Pipeline!A230)</f>
        <v/>
      </c>
      <c r="B230" s="78">
        <f>IF(A230="","",INDEX(Pipeline!$H:$H,MATCH(A230,Pipeline!$A:$A,0)))</f>
        <v/>
      </c>
      <c r="C230" s="79" t="n"/>
      <c r="D230" s="79" t="n"/>
      <c r="E230" s="79" t="n"/>
      <c r="F230" s="79" t="n"/>
      <c r="G230" s="79" t="n"/>
      <c r="H230" s="79" t="n"/>
      <c r="I230" s="79" t="n"/>
      <c r="J230" s="79" t="n"/>
      <c r="K230" s="79" t="n"/>
      <c r="L230" s="79" t="n"/>
      <c r="M230" s="79" t="n"/>
      <c r="N230" s="79" t="n"/>
      <c r="O230" s="79" t="n"/>
      <c r="P230" s="79" t="n"/>
      <c r="Q230" s="79" t="n"/>
      <c r="R230" s="79" t="n"/>
      <c r="S230" s="80">
        <f>IF(A230="","",COUNT(G230:R230))</f>
        <v/>
      </c>
      <c r="T230" s="81">
        <f>IF(OR(A230="",S230&lt;12),"",SUMPRODUCT($G$3:$R$3,G230:R230)/5)</f>
        <v/>
      </c>
      <c r="U230" s="82">
        <f>IF(A230="","",IF(COUNTIF(C230:F230,"Fail")&gt;0,"No-Bid (gate failed)",IF(S230&lt;12,"Incomplete ("&amp;S230&amp;"/12)",IF(T230&gt;='Scoring Guide'!$C$26,"Bid",IF(T230&gt;='Scoring Guide'!$C$27,"Conditional (MD)","No-Bid")))))</f>
        <v/>
      </c>
      <c r="V230" s="79" t="n"/>
      <c r="W230" s="83" t="n"/>
      <c r="X230" s="79" t="n"/>
      <c r="Y230" s="79" t="n"/>
    </row>
    <row r="231" ht="15" customHeight="1" s="51">
      <c r="A231" s="77">
        <f>IF(Pipeline!A231="","",Pipeline!A231)</f>
        <v/>
      </c>
      <c r="B231" s="78">
        <f>IF(A231="","",INDEX(Pipeline!$H:$H,MATCH(A231,Pipeline!$A:$A,0)))</f>
        <v/>
      </c>
      <c r="C231" s="79" t="n"/>
      <c r="D231" s="79" t="n"/>
      <c r="E231" s="79" t="n"/>
      <c r="F231" s="79" t="n"/>
      <c r="G231" s="79" t="n"/>
      <c r="H231" s="79" t="n"/>
      <c r="I231" s="79" t="n"/>
      <c r="J231" s="79" t="n"/>
      <c r="K231" s="79" t="n"/>
      <c r="L231" s="79" t="n"/>
      <c r="M231" s="79" t="n"/>
      <c r="N231" s="79" t="n"/>
      <c r="O231" s="79" t="n"/>
      <c r="P231" s="79" t="n"/>
      <c r="Q231" s="79" t="n"/>
      <c r="R231" s="79" t="n"/>
      <c r="S231" s="80">
        <f>IF(A231="","",COUNT(G231:R231))</f>
        <v/>
      </c>
      <c r="T231" s="81">
        <f>IF(OR(A231="",S231&lt;12),"",SUMPRODUCT($G$3:$R$3,G231:R231)/5)</f>
        <v/>
      </c>
      <c r="U231" s="82">
        <f>IF(A231="","",IF(COUNTIF(C231:F231,"Fail")&gt;0,"No-Bid (gate failed)",IF(S231&lt;12,"Incomplete ("&amp;S231&amp;"/12)",IF(T231&gt;='Scoring Guide'!$C$26,"Bid",IF(T231&gt;='Scoring Guide'!$C$27,"Conditional (MD)","No-Bid")))))</f>
        <v/>
      </c>
      <c r="V231" s="79" t="n"/>
      <c r="W231" s="83" t="n"/>
      <c r="X231" s="79" t="n"/>
      <c r="Y231" s="79" t="n"/>
    </row>
    <row r="232" ht="15" customHeight="1" s="51">
      <c r="A232" s="77">
        <f>IF(Pipeline!A232="","",Pipeline!A232)</f>
        <v/>
      </c>
      <c r="B232" s="78">
        <f>IF(A232="","",INDEX(Pipeline!$H:$H,MATCH(A232,Pipeline!$A:$A,0)))</f>
        <v/>
      </c>
      <c r="C232" s="79" t="n"/>
      <c r="D232" s="79" t="n"/>
      <c r="E232" s="79" t="n"/>
      <c r="F232" s="79" t="n"/>
      <c r="G232" s="79" t="n"/>
      <c r="H232" s="79" t="n"/>
      <c r="I232" s="79" t="n"/>
      <c r="J232" s="79" t="n"/>
      <c r="K232" s="79" t="n"/>
      <c r="L232" s="79" t="n"/>
      <c r="M232" s="79" t="n"/>
      <c r="N232" s="79" t="n"/>
      <c r="O232" s="79" t="n"/>
      <c r="P232" s="79" t="n"/>
      <c r="Q232" s="79" t="n"/>
      <c r="R232" s="79" t="n"/>
      <c r="S232" s="80">
        <f>IF(A232="","",COUNT(G232:R232))</f>
        <v/>
      </c>
      <c r="T232" s="81">
        <f>IF(OR(A232="",S232&lt;12),"",SUMPRODUCT($G$3:$R$3,G232:R232)/5)</f>
        <v/>
      </c>
      <c r="U232" s="82">
        <f>IF(A232="","",IF(COUNTIF(C232:F232,"Fail")&gt;0,"No-Bid (gate failed)",IF(S232&lt;12,"Incomplete ("&amp;S232&amp;"/12)",IF(T232&gt;='Scoring Guide'!$C$26,"Bid",IF(T232&gt;='Scoring Guide'!$C$27,"Conditional (MD)","No-Bid")))))</f>
        <v/>
      </c>
      <c r="V232" s="79" t="n"/>
      <c r="W232" s="83" t="n"/>
      <c r="X232" s="79" t="n"/>
      <c r="Y232" s="79" t="n"/>
    </row>
    <row r="233" ht="15" customHeight="1" s="51">
      <c r="A233" s="77">
        <f>IF(Pipeline!A233="","",Pipeline!A233)</f>
        <v/>
      </c>
      <c r="B233" s="78">
        <f>IF(A233="","",INDEX(Pipeline!$H:$H,MATCH(A233,Pipeline!$A:$A,0)))</f>
        <v/>
      </c>
      <c r="C233" s="79" t="n"/>
      <c r="D233" s="79" t="n"/>
      <c r="E233" s="79" t="n"/>
      <c r="F233" s="79" t="n"/>
      <c r="G233" s="79" t="n"/>
      <c r="H233" s="79" t="n"/>
      <c r="I233" s="79" t="n"/>
      <c r="J233" s="79" t="n"/>
      <c r="K233" s="79" t="n"/>
      <c r="L233" s="79" t="n"/>
      <c r="M233" s="79" t="n"/>
      <c r="N233" s="79" t="n"/>
      <c r="O233" s="79" t="n"/>
      <c r="P233" s="79" t="n"/>
      <c r="Q233" s="79" t="n"/>
      <c r="R233" s="79" t="n"/>
      <c r="S233" s="80">
        <f>IF(A233="","",COUNT(G233:R233))</f>
        <v/>
      </c>
      <c r="T233" s="81">
        <f>IF(OR(A233="",S233&lt;12),"",SUMPRODUCT($G$3:$R$3,G233:R233)/5)</f>
        <v/>
      </c>
      <c r="U233" s="82">
        <f>IF(A233="","",IF(COUNTIF(C233:F233,"Fail")&gt;0,"No-Bid (gate failed)",IF(S233&lt;12,"Incomplete ("&amp;S233&amp;"/12)",IF(T233&gt;='Scoring Guide'!$C$26,"Bid",IF(T233&gt;='Scoring Guide'!$C$27,"Conditional (MD)","No-Bid")))))</f>
        <v/>
      </c>
      <c r="V233" s="79" t="n"/>
      <c r="W233" s="83" t="n"/>
      <c r="X233" s="79" t="n"/>
      <c r="Y233" s="79" t="n"/>
    </row>
    <row r="234" ht="15" customHeight="1" s="51">
      <c r="A234" s="77">
        <f>IF(Pipeline!A234="","",Pipeline!A234)</f>
        <v/>
      </c>
      <c r="B234" s="78">
        <f>IF(A234="","",INDEX(Pipeline!$H:$H,MATCH(A234,Pipeline!$A:$A,0)))</f>
        <v/>
      </c>
      <c r="C234" s="79" t="n"/>
      <c r="D234" s="79" t="n"/>
      <c r="E234" s="79" t="n"/>
      <c r="F234" s="79" t="n"/>
      <c r="G234" s="79" t="n"/>
      <c r="H234" s="79" t="n"/>
      <c r="I234" s="79" t="n"/>
      <c r="J234" s="79" t="n"/>
      <c r="K234" s="79" t="n"/>
      <c r="L234" s="79" t="n"/>
      <c r="M234" s="79" t="n"/>
      <c r="N234" s="79" t="n"/>
      <c r="O234" s="79" t="n"/>
      <c r="P234" s="79" t="n"/>
      <c r="Q234" s="79" t="n"/>
      <c r="R234" s="79" t="n"/>
      <c r="S234" s="80">
        <f>IF(A234="","",COUNT(G234:R234))</f>
        <v/>
      </c>
      <c r="T234" s="81">
        <f>IF(OR(A234="",S234&lt;12),"",SUMPRODUCT($G$3:$R$3,G234:R234)/5)</f>
        <v/>
      </c>
      <c r="U234" s="82">
        <f>IF(A234="","",IF(COUNTIF(C234:F234,"Fail")&gt;0,"No-Bid (gate failed)",IF(S234&lt;12,"Incomplete ("&amp;S234&amp;"/12)",IF(T234&gt;='Scoring Guide'!$C$26,"Bid",IF(T234&gt;='Scoring Guide'!$C$27,"Conditional (MD)","No-Bid")))))</f>
        <v/>
      </c>
      <c r="V234" s="79" t="n"/>
      <c r="W234" s="83" t="n"/>
      <c r="X234" s="79" t="n"/>
      <c r="Y234" s="79" t="n"/>
    </row>
    <row r="235" ht="15" customHeight="1" s="51">
      <c r="A235" s="77">
        <f>IF(Pipeline!A235="","",Pipeline!A235)</f>
        <v/>
      </c>
      <c r="B235" s="78">
        <f>IF(A235="","",INDEX(Pipeline!$H:$H,MATCH(A235,Pipeline!$A:$A,0)))</f>
        <v/>
      </c>
      <c r="C235" s="79" t="n"/>
      <c r="D235" s="79" t="n"/>
      <c r="E235" s="79" t="n"/>
      <c r="F235" s="79" t="n"/>
      <c r="G235" s="79" t="n"/>
      <c r="H235" s="79" t="n"/>
      <c r="I235" s="79" t="n"/>
      <c r="J235" s="79" t="n"/>
      <c r="K235" s="79" t="n"/>
      <c r="L235" s="79" t="n"/>
      <c r="M235" s="79" t="n"/>
      <c r="N235" s="79" t="n"/>
      <c r="O235" s="79" t="n"/>
      <c r="P235" s="79" t="n"/>
      <c r="Q235" s="79" t="n"/>
      <c r="R235" s="79" t="n"/>
      <c r="S235" s="80">
        <f>IF(A235="","",COUNT(G235:R235))</f>
        <v/>
      </c>
      <c r="T235" s="81">
        <f>IF(OR(A235="",S235&lt;12),"",SUMPRODUCT($G$3:$R$3,G235:R235)/5)</f>
        <v/>
      </c>
      <c r="U235" s="82">
        <f>IF(A235="","",IF(COUNTIF(C235:F235,"Fail")&gt;0,"No-Bid (gate failed)",IF(S235&lt;12,"Incomplete ("&amp;S235&amp;"/12)",IF(T235&gt;='Scoring Guide'!$C$26,"Bid",IF(T235&gt;='Scoring Guide'!$C$27,"Conditional (MD)","No-Bid")))))</f>
        <v/>
      </c>
      <c r="V235" s="79" t="n"/>
      <c r="W235" s="83" t="n"/>
      <c r="X235" s="79" t="n"/>
      <c r="Y235" s="79" t="n"/>
    </row>
    <row r="236" ht="15" customHeight="1" s="51">
      <c r="A236" s="77">
        <f>IF(Pipeline!A236="","",Pipeline!A236)</f>
        <v/>
      </c>
      <c r="B236" s="78">
        <f>IF(A236="","",INDEX(Pipeline!$H:$H,MATCH(A236,Pipeline!$A:$A,0)))</f>
        <v/>
      </c>
      <c r="C236" s="79" t="n"/>
      <c r="D236" s="79" t="n"/>
      <c r="E236" s="79" t="n"/>
      <c r="F236" s="79" t="n"/>
      <c r="G236" s="79" t="n"/>
      <c r="H236" s="79" t="n"/>
      <c r="I236" s="79" t="n"/>
      <c r="J236" s="79" t="n"/>
      <c r="K236" s="79" t="n"/>
      <c r="L236" s="79" t="n"/>
      <c r="M236" s="79" t="n"/>
      <c r="N236" s="79" t="n"/>
      <c r="O236" s="79" t="n"/>
      <c r="P236" s="79" t="n"/>
      <c r="Q236" s="79" t="n"/>
      <c r="R236" s="79" t="n"/>
      <c r="S236" s="80">
        <f>IF(A236="","",COUNT(G236:R236))</f>
        <v/>
      </c>
      <c r="T236" s="81">
        <f>IF(OR(A236="",S236&lt;12),"",SUMPRODUCT($G$3:$R$3,G236:R236)/5)</f>
        <v/>
      </c>
      <c r="U236" s="82">
        <f>IF(A236="","",IF(COUNTIF(C236:F236,"Fail")&gt;0,"No-Bid (gate failed)",IF(S236&lt;12,"Incomplete ("&amp;S236&amp;"/12)",IF(T236&gt;='Scoring Guide'!$C$26,"Bid",IF(T236&gt;='Scoring Guide'!$C$27,"Conditional (MD)","No-Bid")))))</f>
        <v/>
      </c>
      <c r="V236" s="79" t="n"/>
      <c r="W236" s="83" t="n"/>
      <c r="X236" s="79" t="n"/>
      <c r="Y236" s="79" t="n"/>
    </row>
    <row r="237" ht="15" customHeight="1" s="51">
      <c r="A237" s="77">
        <f>IF(Pipeline!A237="","",Pipeline!A237)</f>
        <v/>
      </c>
      <c r="B237" s="78">
        <f>IF(A237="","",INDEX(Pipeline!$H:$H,MATCH(A237,Pipeline!$A:$A,0)))</f>
        <v/>
      </c>
      <c r="C237" s="79" t="n"/>
      <c r="D237" s="79" t="n"/>
      <c r="E237" s="79" t="n"/>
      <c r="F237" s="79" t="n"/>
      <c r="G237" s="79" t="n"/>
      <c r="H237" s="79" t="n"/>
      <c r="I237" s="79" t="n"/>
      <c r="J237" s="79" t="n"/>
      <c r="K237" s="79" t="n"/>
      <c r="L237" s="79" t="n"/>
      <c r="M237" s="79" t="n"/>
      <c r="N237" s="79" t="n"/>
      <c r="O237" s="79" t="n"/>
      <c r="P237" s="79" t="n"/>
      <c r="Q237" s="79" t="n"/>
      <c r="R237" s="79" t="n"/>
      <c r="S237" s="80">
        <f>IF(A237="","",COUNT(G237:R237))</f>
        <v/>
      </c>
      <c r="T237" s="81">
        <f>IF(OR(A237="",S237&lt;12),"",SUMPRODUCT($G$3:$R$3,G237:R237)/5)</f>
        <v/>
      </c>
      <c r="U237" s="82">
        <f>IF(A237="","",IF(COUNTIF(C237:F237,"Fail")&gt;0,"No-Bid (gate failed)",IF(S237&lt;12,"Incomplete ("&amp;S237&amp;"/12)",IF(T237&gt;='Scoring Guide'!$C$26,"Bid",IF(T237&gt;='Scoring Guide'!$C$27,"Conditional (MD)","No-Bid")))))</f>
        <v/>
      </c>
      <c r="V237" s="79" t="n"/>
      <c r="W237" s="83" t="n"/>
      <c r="X237" s="79" t="n"/>
      <c r="Y237" s="79" t="n"/>
    </row>
    <row r="238" ht="15" customHeight="1" s="51">
      <c r="A238" s="77">
        <f>IF(Pipeline!A238="","",Pipeline!A238)</f>
        <v/>
      </c>
      <c r="B238" s="78">
        <f>IF(A238="","",INDEX(Pipeline!$H:$H,MATCH(A238,Pipeline!$A:$A,0)))</f>
        <v/>
      </c>
      <c r="C238" s="79" t="n"/>
      <c r="D238" s="79" t="n"/>
      <c r="E238" s="79" t="n"/>
      <c r="F238" s="79" t="n"/>
      <c r="G238" s="79" t="n"/>
      <c r="H238" s="79" t="n"/>
      <c r="I238" s="79" t="n"/>
      <c r="J238" s="79" t="n"/>
      <c r="K238" s="79" t="n"/>
      <c r="L238" s="79" t="n"/>
      <c r="M238" s="79" t="n"/>
      <c r="N238" s="79" t="n"/>
      <c r="O238" s="79" t="n"/>
      <c r="P238" s="79" t="n"/>
      <c r="Q238" s="79" t="n"/>
      <c r="R238" s="79" t="n"/>
      <c r="S238" s="80">
        <f>IF(A238="","",COUNT(G238:R238))</f>
        <v/>
      </c>
      <c r="T238" s="81">
        <f>IF(OR(A238="",S238&lt;12),"",SUMPRODUCT($G$3:$R$3,G238:R238)/5)</f>
        <v/>
      </c>
      <c r="U238" s="82">
        <f>IF(A238="","",IF(COUNTIF(C238:F238,"Fail")&gt;0,"No-Bid (gate failed)",IF(S238&lt;12,"Incomplete ("&amp;S238&amp;"/12)",IF(T238&gt;='Scoring Guide'!$C$26,"Bid",IF(T238&gt;='Scoring Guide'!$C$27,"Conditional (MD)","No-Bid")))))</f>
        <v/>
      </c>
      <c r="V238" s="79" t="n"/>
      <c r="W238" s="83" t="n"/>
      <c r="X238" s="79" t="n"/>
      <c r="Y238" s="79" t="n"/>
    </row>
    <row r="239" ht="15" customHeight="1" s="51">
      <c r="A239" s="77">
        <f>IF(Pipeline!A239="","",Pipeline!A239)</f>
        <v/>
      </c>
      <c r="B239" s="78">
        <f>IF(A239="","",INDEX(Pipeline!$H:$H,MATCH(A239,Pipeline!$A:$A,0)))</f>
        <v/>
      </c>
      <c r="C239" s="79" t="n"/>
      <c r="D239" s="79" t="n"/>
      <c r="E239" s="79" t="n"/>
      <c r="F239" s="79" t="n"/>
      <c r="G239" s="79" t="n"/>
      <c r="H239" s="79" t="n"/>
      <c r="I239" s="79" t="n"/>
      <c r="J239" s="79" t="n"/>
      <c r="K239" s="79" t="n"/>
      <c r="L239" s="79" t="n"/>
      <c r="M239" s="79" t="n"/>
      <c r="N239" s="79" t="n"/>
      <c r="O239" s="79" t="n"/>
      <c r="P239" s="79" t="n"/>
      <c r="Q239" s="79" t="n"/>
      <c r="R239" s="79" t="n"/>
      <c r="S239" s="80">
        <f>IF(A239="","",COUNT(G239:R239))</f>
        <v/>
      </c>
      <c r="T239" s="81">
        <f>IF(OR(A239="",S239&lt;12),"",SUMPRODUCT($G$3:$R$3,G239:R239)/5)</f>
        <v/>
      </c>
      <c r="U239" s="82">
        <f>IF(A239="","",IF(COUNTIF(C239:F239,"Fail")&gt;0,"No-Bid (gate failed)",IF(S239&lt;12,"Incomplete ("&amp;S239&amp;"/12)",IF(T239&gt;='Scoring Guide'!$C$26,"Bid",IF(T239&gt;='Scoring Guide'!$C$27,"Conditional (MD)","No-Bid")))))</f>
        <v/>
      </c>
      <c r="V239" s="79" t="n"/>
      <c r="W239" s="83" t="n"/>
      <c r="X239" s="79" t="n"/>
      <c r="Y239" s="79" t="n"/>
    </row>
    <row r="240" ht="15" customHeight="1" s="51">
      <c r="A240" s="77">
        <f>IF(Pipeline!A240="","",Pipeline!A240)</f>
        <v/>
      </c>
      <c r="B240" s="78">
        <f>IF(A240="","",INDEX(Pipeline!$H:$H,MATCH(A240,Pipeline!$A:$A,0)))</f>
        <v/>
      </c>
      <c r="C240" s="79" t="n"/>
      <c r="D240" s="79" t="n"/>
      <c r="E240" s="79" t="n"/>
      <c r="F240" s="79" t="n"/>
      <c r="G240" s="79" t="n"/>
      <c r="H240" s="79" t="n"/>
      <c r="I240" s="79" t="n"/>
      <c r="J240" s="79" t="n"/>
      <c r="K240" s="79" t="n"/>
      <c r="L240" s="79" t="n"/>
      <c r="M240" s="79" t="n"/>
      <c r="N240" s="79" t="n"/>
      <c r="O240" s="79" t="n"/>
      <c r="P240" s="79" t="n"/>
      <c r="Q240" s="79" t="n"/>
      <c r="R240" s="79" t="n"/>
      <c r="S240" s="80">
        <f>IF(A240="","",COUNT(G240:R240))</f>
        <v/>
      </c>
      <c r="T240" s="81">
        <f>IF(OR(A240="",S240&lt;12),"",SUMPRODUCT($G$3:$R$3,G240:R240)/5)</f>
        <v/>
      </c>
      <c r="U240" s="82">
        <f>IF(A240="","",IF(COUNTIF(C240:F240,"Fail")&gt;0,"No-Bid (gate failed)",IF(S240&lt;12,"Incomplete ("&amp;S240&amp;"/12)",IF(T240&gt;='Scoring Guide'!$C$26,"Bid",IF(T240&gt;='Scoring Guide'!$C$27,"Conditional (MD)","No-Bid")))))</f>
        <v/>
      </c>
      <c r="V240" s="79" t="n"/>
      <c r="W240" s="83" t="n"/>
      <c r="X240" s="79" t="n"/>
      <c r="Y240" s="79" t="n"/>
    </row>
    <row r="241" ht="15" customHeight="1" s="51">
      <c r="A241" s="77">
        <f>IF(Pipeline!A241="","",Pipeline!A241)</f>
        <v/>
      </c>
      <c r="B241" s="78">
        <f>IF(A241="","",INDEX(Pipeline!$H:$H,MATCH(A241,Pipeline!$A:$A,0)))</f>
        <v/>
      </c>
      <c r="C241" s="79" t="n"/>
      <c r="D241" s="79" t="n"/>
      <c r="E241" s="79" t="n"/>
      <c r="F241" s="79" t="n"/>
      <c r="G241" s="79" t="n"/>
      <c r="H241" s="79" t="n"/>
      <c r="I241" s="79" t="n"/>
      <c r="J241" s="79" t="n"/>
      <c r="K241" s="79" t="n"/>
      <c r="L241" s="79" t="n"/>
      <c r="M241" s="79" t="n"/>
      <c r="N241" s="79" t="n"/>
      <c r="O241" s="79" t="n"/>
      <c r="P241" s="79" t="n"/>
      <c r="Q241" s="79" t="n"/>
      <c r="R241" s="79" t="n"/>
      <c r="S241" s="80">
        <f>IF(A241="","",COUNT(G241:R241))</f>
        <v/>
      </c>
      <c r="T241" s="81">
        <f>IF(OR(A241="",S241&lt;12),"",SUMPRODUCT($G$3:$R$3,G241:R241)/5)</f>
        <v/>
      </c>
      <c r="U241" s="82">
        <f>IF(A241="","",IF(COUNTIF(C241:F241,"Fail")&gt;0,"No-Bid (gate failed)",IF(S241&lt;12,"Incomplete ("&amp;S241&amp;"/12)",IF(T241&gt;='Scoring Guide'!$C$26,"Bid",IF(T241&gt;='Scoring Guide'!$C$27,"Conditional (MD)","No-Bid")))))</f>
        <v/>
      </c>
      <c r="V241" s="79" t="n"/>
      <c r="W241" s="83" t="n"/>
      <c r="X241" s="79" t="n"/>
      <c r="Y241" s="79" t="n"/>
    </row>
    <row r="242" ht="15" customHeight="1" s="51">
      <c r="A242" s="77">
        <f>IF(Pipeline!A242="","",Pipeline!A242)</f>
        <v/>
      </c>
      <c r="B242" s="78">
        <f>IF(A242="","",INDEX(Pipeline!$H:$H,MATCH(A242,Pipeline!$A:$A,0)))</f>
        <v/>
      </c>
      <c r="C242" s="79" t="n"/>
      <c r="D242" s="79" t="n"/>
      <c r="E242" s="79" t="n"/>
      <c r="F242" s="79" t="n"/>
      <c r="G242" s="79" t="n"/>
      <c r="H242" s="79" t="n"/>
      <c r="I242" s="79" t="n"/>
      <c r="J242" s="79" t="n"/>
      <c r="K242" s="79" t="n"/>
      <c r="L242" s="79" t="n"/>
      <c r="M242" s="79" t="n"/>
      <c r="N242" s="79" t="n"/>
      <c r="O242" s="79" t="n"/>
      <c r="P242" s="79" t="n"/>
      <c r="Q242" s="79" t="n"/>
      <c r="R242" s="79" t="n"/>
      <c r="S242" s="80">
        <f>IF(A242="","",COUNT(G242:R242))</f>
        <v/>
      </c>
      <c r="T242" s="81">
        <f>IF(OR(A242="",S242&lt;12),"",SUMPRODUCT($G$3:$R$3,G242:R242)/5)</f>
        <v/>
      </c>
      <c r="U242" s="82">
        <f>IF(A242="","",IF(COUNTIF(C242:F242,"Fail")&gt;0,"No-Bid (gate failed)",IF(S242&lt;12,"Incomplete ("&amp;S242&amp;"/12)",IF(T242&gt;='Scoring Guide'!$C$26,"Bid",IF(T242&gt;='Scoring Guide'!$C$27,"Conditional (MD)","No-Bid")))))</f>
        <v/>
      </c>
      <c r="V242" s="79" t="n"/>
      <c r="W242" s="83" t="n"/>
      <c r="X242" s="79" t="n"/>
      <c r="Y242" s="79" t="n"/>
    </row>
    <row r="243" ht="15" customHeight="1" s="51">
      <c r="A243" s="77">
        <f>IF(Pipeline!A243="","",Pipeline!A243)</f>
        <v/>
      </c>
      <c r="B243" s="78">
        <f>IF(A243="","",INDEX(Pipeline!$H:$H,MATCH(A243,Pipeline!$A:$A,0)))</f>
        <v/>
      </c>
      <c r="C243" s="79" t="n"/>
      <c r="D243" s="79" t="n"/>
      <c r="E243" s="79" t="n"/>
      <c r="F243" s="79" t="n"/>
      <c r="G243" s="79" t="n"/>
      <c r="H243" s="79" t="n"/>
      <c r="I243" s="79" t="n"/>
      <c r="J243" s="79" t="n"/>
      <c r="K243" s="79" t="n"/>
      <c r="L243" s="79" t="n"/>
      <c r="M243" s="79" t="n"/>
      <c r="N243" s="79" t="n"/>
      <c r="O243" s="79" t="n"/>
      <c r="P243" s="79" t="n"/>
      <c r="Q243" s="79" t="n"/>
      <c r="R243" s="79" t="n"/>
      <c r="S243" s="80">
        <f>IF(A243="","",COUNT(G243:R243))</f>
        <v/>
      </c>
      <c r="T243" s="81">
        <f>IF(OR(A243="",S243&lt;12),"",SUMPRODUCT($G$3:$R$3,G243:R243)/5)</f>
        <v/>
      </c>
      <c r="U243" s="82">
        <f>IF(A243="","",IF(COUNTIF(C243:F243,"Fail")&gt;0,"No-Bid (gate failed)",IF(S243&lt;12,"Incomplete ("&amp;S243&amp;"/12)",IF(T243&gt;='Scoring Guide'!$C$26,"Bid",IF(T243&gt;='Scoring Guide'!$C$27,"Conditional (MD)","No-Bid")))))</f>
        <v/>
      </c>
      <c r="V243" s="79" t="n"/>
      <c r="W243" s="83" t="n"/>
      <c r="X243" s="79" t="n"/>
      <c r="Y243" s="79" t="n"/>
    </row>
    <row r="244" ht="15" customHeight="1" s="51">
      <c r="A244" s="77">
        <f>IF(Pipeline!A244="","",Pipeline!A244)</f>
        <v/>
      </c>
      <c r="B244" s="78">
        <f>IF(A244="","",INDEX(Pipeline!$H:$H,MATCH(A244,Pipeline!$A:$A,0)))</f>
        <v/>
      </c>
      <c r="C244" s="79" t="n"/>
      <c r="D244" s="79" t="n"/>
      <c r="E244" s="79" t="n"/>
      <c r="F244" s="79" t="n"/>
      <c r="G244" s="79" t="n"/>
      <c r="H244" s="79" t="n"/>
      <c r="I244" s="79" t="n"/>
      <c r="J244" s="79" t="n"/>
      <c r="K244" s="79" t="n"/>
      <c r="L244" s="79" t="n"/>
      <c r="M244" s="79" t="n"/>
      <c r="N244" s="79" t="n"/>
      <c r="O244" s="79" t="n"/>
      <c r="P244" s="79" t="n"/>
      <c r="Q244" s="79" t="n"/>
      <c r="R244" s="79" t="n"/>
      <c r="S244" s="80">
        <f>IF(A244="","",COUNT(G244:R244))</f>
        <v/>
      </c>
      <c r="T244" s="81">
        <f>IF(OR(A244="",S244&lt;12),"",SUMPRODUCT($G$3:$R$3,G244:R244)/5)</f>
        <v/>
      </c>
      <c r="U244" s="82">
        <f>IF(A244="","",IF(COUNTIF(C244:F244,"Fail")&gt;0,"No-Bid (gate failed)",IF(S244&lt;12,"Incomplete ("&amp;S244&amp;"/12)",IF(T244&gt;='Scoring Guide'!$C$26,"Bid",IF(T244&gt;='Scoring Guide'!$C$27,"Conditional (MD)","No-Bid")))))</f>
        <v/>
      </c>
      <c r="V244" s="79" t="n"/>
      <c r="W244" s="83" t="n"/>
      <c r="X244" s="79" t="n"/>
      <c r="Y244" s="79" t="n"/>
    </row>
    <row r="245" ht="15" customHeight="1" s="51">
      <c r="A245" s="77">
        <f>IF(Pipeline!A245="","",Pipeline!A245)</f>
        <v/>
      </c>
      <c r="B245" s="78">
        <f>IF(A245="","",INDEX(Pipeline!$H:$H,MATCH(A245,Pipeline!$A:$A,0)))</f>
        <v/>
      </c>
      <c r="C245" s="79" t="n"/>
      <c r="D245" s="79" t="n"/>
      <c r="E245" s="79" t="n"/>
      <c r="F245" s="79" t="n"/>
      <c r="G245" s="79" t="n"/>
      <c r="H245" s="79" t="n"/>
      <c r="I245" s="79" t="n"/>
      <c r="J245" s="79" t="n"/>
      <c r="K245" s="79" t="n"/>
      <c r="L245" s="79" t="n"/>
      <c r="M245" s="79" t="n"/>
      <c r="N245" s="79" t="n"/>
      <c r="O245" s="79" t="n"/>
      <c r="P245" s="79" t="n"/>
      <c r="Q245" s="79" t="n"/>
      <c r="R245" s="79" t="n"/>
      <c r="S245" s="80">
        <f>IF(A245="","",COUNT(G245:R245))</f>
        <v/>
      </c>
      <c r="T245" s="81">
        <f>IF(OR(A245="",S245&lt;12),"",SUMPRODUCT($G$3:$R$3,G245:R245)/5)</f>
        <v/>
      </c>
      <c r="U245" s="82">
        <f>IF(A245="","",IF(COUNTIF(C245:F245,"Fail")&gt;0,"No-Bid (gate failed)",IF(S245&lt;12,"Incomplete ("&amp;S245&amp;"/12)",IF(T245&gt;='Scoring Guide'!$C$26,"Bid",IF(T245&gt;='Scoring Guide'!$C$27,"Conditional (MD)","No-Bid")))))</f>
        <v/>
      </c>
      <c r="V245" s="79" t="n"/>
      <c r="W245" s="83" t="n"/>
      <c r="X245" s="79" t="n"/>
      <c r="Y245" s="79" t="n"/>
    </row>
    <row r="246" ht="15" customHeight="1" s="51">
      <c r="A246" s="77">
        <f>IF(Pipeline!A246="","",Pipeline!A246)</f>
        <v/>
      </c>
      <c r="B246" s="78">
        <f>IF(A246="","",INDEX(Pipeline!$H:$H,MATCH(A246,Pipeline!$A:$A,0)))</f>
        <v/>
      </c>
      <c r="C246" s="79" t="n"/>
      <c r="D246" s="79" t="n"/>
      <c r="E246" s="79" t="n"/>
      <c r="F246" s="79" t="n"/>
      <c r="G246" s="79" t="n"/>
      <c r="H246" s="79" t="n"/>
      <c r="I246" s="79" t="n"/>
      <c r="J246" s="79" t="n"/>
      <c r="K246" s="79" t="n"/>
      <c r="L246" s="79" t="n"/>
      <c r="M246" s="79" t="n"/>
      <c r="N246" s="79" t="n"/>
      <c r="O246" s="79" t="n"/>
      <c r="P246" s="79" t="n"/>
      <c r="Q246" s="79" t="n"/>
      <c r="R246" s="79" t="n"/>
      <c r="S246" s="80">
        <f>IF(A246="","",COUNT(G246:R246))</f>
        <v/>
      </c>
      <c r="T246" s="81">
        <f>IF(OR(A246="",S246&lt;12),"",SUMPRODUCT($G$3:$R$3,G246:R246)/5)</f>
        <v/>
      </c>
      <c r="U246" s="82">
        <f>IF(A246="","",IF(COUNTIF(C246:F246,"Fail")&gt;0,"No-Bid (gate failed)",IF(S246&lt;12,"Incomplete ("&amp;S246&amp;"/12)",IF(T246&gt;='Scoring Guide'!$C$26,"Bid",IF(T246&gt;='Scoring Guide'!$C$27,"Conditional (MD)","No-Bid")))))</f>
        <v/>
      </c>
      <c r="V246" s="79" t="n"/>
      <c r="W246" s="83" t="n"/>
      <c r="X246" s="79" t="n"/>
      <c r="Y246" s="79" t="n"/>
    </row>
    <row r="247" ht="15" customHeight="1" s="51">
      <c r="A247" s="77">
        <f>IF(Pipeline!A247="","",Pipeline!A247)</f>
        <v/>
      </c>
      <c r="B247" s="78">
        <f>IF(A247="","",INDEX(Pipeline!$H:$H,MATCH(A247,Pipeline!$A:$A,0)))</f>
        <v/>
      </c>
      <c r="C247" s="79" t="n"/>
      <c r="D247" s="79" t="n"/>
      <c r="E247" s="79" t="n"/>
      <c r="F247" s="79" t="n"/>
      <c r="G247" s="79" t="n"/>
      <c r="H247" s="79" t="n"/>
      <c r="I247" s="79" t="n"/>
      <c r="J247" s="79" t="n"/>
      <c r="K247" s="79" t="n"/>
      <c r="L247" s="79" t="n"/>
      <c r="M247" s="79" t="n"/>
      <c r="N247" s="79" t="n"/>
      <c r="O247" s="79" t="n"/>
      <c r="P247" s="79" t="n"/>
      <c r="Q247" s="79" t="n"/>
      <c r="R247" s="79" t="n"/>
      <c r="S247" s="80">
        <f>IF(A247="","",COUNT(G247:R247))</f>
        <v/>
      </c>
      <c r="T247" s="81">
        <f>IF(OR(A247="",S247&lt;12),"",SUMPRODUCT($G$3:$R$3,G247:R247)/5)</f>
        <v/>
      </c>
      <c r="U247" s="82">
        <f>IF(A247="","",IF(COUNTIF(C247:F247,"Fail")&gt;0,"No-Bid (gate failed)",IF(S247&lt;12,"Incomplete ("&amp;S247&amp;"/12)",IF(T247&gt;='Scoring Guide'!$C$26,"Bid",IF(T247&gt;='Scoring Guide'!$C$27,"Conditional (MD)","No-Bid")))))</f>
        <v/>
      </c>
      <c r="V247" s="79" t="n"/>
      <c r="W247" s="83" t="n"/>
      <c r="X247" s="79" t="n"/>
      <c r="Y247" s="79" t="n"/>
    </row>
    <row r="248" ht="15" customHeight="1" s="51">
      <c r="A248" s="77">
        <f>IF(Pipeline!A248="","",Pipeline!A248)</f>
        <v/>
      </c>
      <c r="B248" s="78">
        <f>IF(A248="","",INDEX(Pipeline!$H:$H,MATCH(A248,Pipeline!$A:$A,0)))</f>
        <v/>
      </c>
      <c r="C248" s="79" t="n"/>
      <c r="D248" s="79" t="n"/>
      <c r="E248" s="79" t="n"/>
      <c r="F248" s="79" t="n"/>
      <c r="G248" s="79" t="n"/>
      <c r="H248" s="79" t="n"/>
      <c r="I248" s="79" t="n"/>
      <c r="J248" s="79" t="n"/>
      <c r="K248" s="79" t="n"/>
      <c r="L248" s="79" t="n"/>
      <c r="M248" s="79" t="n"/>
      <c r="N248" s="79" t="n"/>
      <c r="O248" s="79" t="n"/>
      <c r="P248" s="79" t="n"/>
      <c r="Q248" s="79" t="n"/>
      <c r="R248" s="79" t="n"/>
      <c r="S248" s="80">
        <f>IF(A248="","",COUNT(G248:R248))</f>
        <v/>
      </c>
      <c r="T248" s="81">
        <f>IF(OR(A248="",S248&lt;12),"",SUMPRODUCT($G$3:$R$3,G248:R248)/5)</f>
        <v/>
      </c>
      <c r="U248" s="82">
        <f>IF(A248="","",IF(COUNTIF(C248:F248,"Fail")&gt;0,"No-Bid (gate failed)",IF(S248&lt;12,"Incomplete ("&amp;S248&amp;"/12)",IF(T248&gt;='Scoring Guide'!$C$26,"Bid",IF(T248&gt;='Scoring Guide'!$C$27,"Conditional (MD)","No-Bid")))))</f>
        <v/>
      </c>
      <c r="V248" s="79" t="n"/>
      <c r="W248" s="83" t="n"/>
      <c r="X248" s="79" t="n"/>
      <c r="Y248" s="79" t="n"/>
    </row>
    <row r="249" ht="15" customHeight="1" s="51">
      <c r="A249" s="77">
        <f>IF(Pipeline!A249="","",Pipeline!A249)</f>
        <v/>
      </c>
      <c r="B249" s="78">
        <f>IF(A249="","",INDEX(Pipeline!$H:$H,MATCH(A249,Pipeline!$A:$A,0)))</f>
        <v/>
      </c>
      <c r="C249" s="79" t="n"/>
      <c r="D249" s="79" t="n"/>
      <c r="E249" s="79" t="n"/>
      <c r="F249" s="79" t="n"/>
      <c r="G249" s="79" t="n"/>
      <c r="H249" s="79" t="n"/>
      <c r="I249" s="79" t="n"/>
      <c r="J249" s="79" t="n"/>
      <c r="K249" s="79" t="n"/>
      <c r="L249" s="79" t="n"/>
      <c r="M249" s="79" t="n"/>
      <c r="N249" s="79" t="n"/>
      <c r="O249" s="79" t="n"/>
      <c r="P249" s="79" t="n"/>
      <c r="Q249" s="79" t="n"/>
      <c r="R249" s="79" t="n"/>
      <c r="S249" s="80">
        <f>IF(A249="","",COUNT(G249:R249))</f>
        <v/>
      </c>
      <c r="T249" s="81">
        <f>IF(OR(A249="",S249&lt;12),"",SUMPRODUCT($G$3:$R$3,G249:R249)/5)</f>
        <v/>
      </c>
      <c r="U249" s="82">
        <f>IF(A249="","",IF(COUNTIF(C249:F249,"Fail")&gt;0,"No-Bid (gate failed)",IF(S249&lt;12,"Incomplete ("&amp;S249&amp;"/12)",IF(T249&gt;='Scoring Guide'!$C$26,"Bid",IF(T249&gt;='Scoring Guide'!$C$27,"Conditional (MD)","No-Bid")))))</f>
        <v/>
      </c>
      <c r="V249" s="79" t="n"/>
      <c r="W249" s="83" t="n"/>
      <c r="X249" s="79" t="n"/>
      <c r="Y249" s="79" t="n"/>
    </row>
    <row r="250" ht="15" customHeight="1" s="51">
      <c r="A250" s="77">
        <f>IF(Pipeline!A250="","",Pipeline!A250)</f>
        <v/>
      </c>
      <c r="B250" s="78">
        <f>IF(A250="","",INDEX(Pipeline!$H:$H,MATCH(A250,Pipeline!$A:$A,0)))</f>
        <v/>
      </c>
      <c r="C250" s="79" t="n"/>
      <c r="D250" s="79" t="n"/>
      <c r="E250" s="79" t="n"/>
      <c r="F250" s="79" t="n"/>
      <c r="G250" s="79" t="n"/>
      <c r="H250" s="79" t="n"/>
      <c r="I250" s="79" t="n"/>
      <c r="J250" s="79" t="n"/>
      <c r="K250" s="79" t="n"/>
      <c r="L250" s="79" t="n"/>
      <c r="M250" s="79" t="n"/>
      <c r="N250" s="79" t="n"/>
      <c r="O250" s="79" t="n"/>
      <c r="P250" s="79" t="n"/>
      <c r="Q250" s="79" t="n"/>
      <c r="R250" s="79" t="n"/>
      <c r="S250" s="80">
        <f>IF(A250="","",COUNT(G250:R250))</f>
        <v/>
      </c>
      <c r="T250" s="81">
        <f>IF(OR(A250="",S250&lt;12),"",SUMPRODUCT($G$3:$R$3,G250:R250)/5)</f>
        <v/>
      </c>
      <c r="U250" s="82">
        <f>IF(A250="","",IF(COUNTIF(C250:F250,"Fail")&gt;0,"No-Bid (gate failed)",IF(S250&lt;12,"Incomplete ("&amp;S250&amp;"/12)",IF(T250&gt;='Scoring Guide'!$C$26,"Bid",IF(T250&gt;='Scoring Guide'!$C$27,"Conditional (MD)","No-Bid")))))</f>
        <v/>
      </c>
      <c r="V250" s="79" t="n"/>
      <c r="W250" s="83" t="n"/>
      <c r="X250" s="79" t="n"/>
      <c r="Y250" s="79" t="n"/>
    </row>
    <row r="251" ht="15" customHeight="1" s="51">
      <c r="A251" s="77">
        <f>IF(Pipeline!A251="","",Pipeline!A251)</f>
        <v/>
      </c>
      <c r="B251" s="78">
        <f>IF(A251="","",INDEX(Pipeline!$H:$H,MATCH(A251,Pipeline!$A:$A,0)))</f>
        <v/>
      </c>
      <c r="C251" s="79" t="n"/>
      <c r="D251" s="79" t="n"/>
      <c r="E251" s="79" t="n"/>
      <c r="F251" s="79" t="n"/>
      <c r="G251" s="79" t="n"/>
      <c r="H251" s="79" t="n"/>
      <c r="I251" s="79" t="n"/>
      <c r="J251" s="79" t="n"/>
      <c r="K251" s="79" t="n"/>
      <c r="L251" s="79" t="n"/>
      <c r="M251" s="79" t="n"/>
      <c r="N251" s="79" t="n"/>
      <c r="O251" s="79" t="n"/>
      <c r="P251" s="79" t="n"/>
      <c r="Q251" s="79" t="n"/>
      <c r="R251" s="79" t="n"/>
      <c r="S251" s="80">
        <f>IF(A251="","",COUNT(G251:R251))</f>
        <v/>
      </c>
      <c r="T251" s="81">
        <f>IF(OR(A251="",S251&lt;12),"",SUMPRODUCT($G$3:$R$3,G251:R251)/5)</f>
        <v/>
      </c>
      <c r="U251" s="82">
        <f>IF(A251="","",IF(COUNTIF(C251:F251,"Fail")&gt;0,"No-Bid (gate failed)",IF(S251&lt;12,"Incomplete ("&amp;S251&amp;"/12)",IF(T251&gt;='Scoring Guide'!$C$26,"Bid",IF(T251&gt;='Scoring Guide'!$C$27,"Conditional (MD)","No-Bid")))))</f>
        <v/>
      </c>
      <c r="V251" s="79" t="n"/>
      <c r="W251" s="83" t="n"/>
      <c r="X251" s="79" t="n"/>
      <c r="Y251" s="79" t="n"/>
    </row>
    <row r="252" ht="15" customHeight="1" s="51">
      <c r="A252" s="77">
        <f>IF(Pipeline!A252="","",Pipeline!A252)</f>
        <v/>
      </c>
      <c r="B252" s="78">
        <f>IF(A252="","",INDEX(Pipeline!$H:$H,MATCH(A252,Pipeline!$A:$A,0)))</f>
        <v/>
      </c>
      <c r="C252" s="79" t="n"/>
      <c r="D252" s="79" t="n"/>
      <c r="E252" s="79" t="n"/>
      <c r="F252" s="79" t="n"/>
      <c r="G252" s="79" t="n"/>
      <c r="H252" s="79" t="n"/>
      <c r="I252" s="79" t="n"/>
      <c r="J252" s="79" t="n"/>
      <c r="K252" s="79" t="n"/>
      <c r="L252" s="79" t="n"/>
      <c r="M252" s="79" t="n"/>
      <c r="N252" s="79" t="n"/>
      <c r="O252" s="79" t="n"/>
      <c r="P252" s="79" t="n"/>
      <c r="Q252" s="79" t="n"/>
      <c r="R252" s="79" t="n"/>
      <c r="S252" s="80">
        <f>IF(A252="","",COUNT(G252:R252))</f>
        <v/>
      </c>
      <c r="T252" s="81">
        <f>IF(OR(A252="",S252&lt;12),"",SUMPRODUCT($G$3:$R$3,G252:R252)/5)</f>
        <v/>
      </c>
      <c r="U252" s="82">
        <f>IF(A252="","",IF(COUNTIF(C252:F252,"Fail")&gt;0,"No-Bid (gate failed)",IF(S252&lt;12,"Incomplete ("&amp;S252&amp;"/12)",IF(T252&gt;='Scoring Guide'!$C$26,"Bid",IF(T252&gt;='Scoring Guide'!$C$27,"Conditional (MD)","No-Bid")))))</f>
        <v/>
      </c>
      <c r="V252" s="79" t="n"/>
      <c r="W252" s="83" t="n"/>
      <c r="X252" s="79" t="n"/>
      <c r="Y252" s="79" t="n"/>
    </row>
    <row r="253" ht="15" customHeight="1" s="51">
      <c r="A253" s="77">
        <f>IF(Pipeline!A253="","",Pipeline!A253)</f>
        <v/>
      </c>
      <c r="B253" s="78">
        <f>IF(A253="","",INDEX(Pipeline!$H:$H,MATCH(A253,Pipeline!$A:$A,0)))</f>
        <v/>
      </c>
      <c r="C253" s="79" t="n"/>
      <c r="D253" s="79" t="n"/>
      <c r="E253" s="79" t="n"/>
      <c r="F253" s="79" t="n"/>
      <c r="G253" s="79" t="n"/>
      <c r="H253" s="79" t="n"/>
      <c r="I253" s="79" t="n"/>
      <c r="J253" s="79" t="n"/>
      <c r="K253" s="79" t="n"/>
      <c r="L253" s="79" t="n"/>
      <c r="M253" s="79" t="n"/>
      <c r="N253" s="79" t="n"/>
      <c r="O253" s="79" t="n"/>
      <c r="P253" s="79" t="n"/>
      <c r="Q253" s="79" t="n"/>
      <c r="R253" s="79" t="n"/>
      <c r="S253" s="80">
        <f>IF(A253="","",COUNT(G253:R253))</f>
        <v/>
      </c>
      <c r="T253" s="81">
        <f>IF(OR(A253="",S253&lt;12),"",SUMPRODUCT($G$3:$R$3,G253:R253)/5)</f>
        <v/>
      </c>
      <c r="U253" s="82">
        <f>IF(A253="","",IF(COUNTIF(C253:F253,"Fail")&gt;0,"No-Bid (gate failed)",IF(S253&lt;12,"Incomplete ("&amp;S253&amp;"/12)",IF(T253&gt;='Scoring Guide'!$C$26,"Bid",IF(T253&gt;='Scoring Guide'!$C$27,"Conditional (MD)","No-Bid")))))</f>
        <v/>
      </c>
      <c r="V253" s="79" t="n"/>
      <c r="W253" s="83" t="n"/>
      <c r="X253" s="79" t="n"/>
      <c r="Y253" s="79" t="n"/>
    </row>
    <row r="254" ht="15" customHeight="1" s="51">
      <c r="A254" s="77">
        <f>IF(Pipeline!A254="","",Pipeline!A254)</f>
        <v/>
      </c>
      <c r="B254" s="78">
        <f>IF(A254="","",INDEX(Pipeline!$H:$H,MATCH(A254,Pipeline!$A:$A,0)))</f>
        <v/>
      </c>
      <c r="C254" s="79" t="n"/>
      <c r="D254" s="79" t="n"/>
      <c r="E254" s="79" t="n"/>
      <c r="F254" s="79" t="n"/>
      <c r="G254" s="79" t="n"/>
      <c r="H254" s="79" t="n"/>
      <c r="I254" s="79" t="n"/>
      <c r="J254" s="79" t="n"/>
      <c r="K254" s="79" t="n"/>
      <c r="L254" s="79" t="n"/>
      <c r="M254" s="79" t="n"/>
      <c r="N254" s="79" t="n"/>
      <c r="O254" s="79" t="n"/>
      <c r="P254" s="79" t="n"/>
      <c r="Q254" s="79" t="n"/>
      <c r="R254" s="79" t="n"/>
      <c r="S254" s="80">
        <f>IF(A254="","",COUNT(G254:R254))</f>
        <v/>
      </c>
      <c r="T254" s="81">
        <f>IF(OR(A254="",S254&lt;12),"",SUMPRODUCT($G$3:$R$3,G254:R254)/5)</f>
        <v/>
      </c>
      <c r="U254" s="82">
        <f>IF(A254="","",IF(COUNTIF(C254:F254,"Fail")&gt;0,"No-Bid (gate failed)",IF(S254&lt;12,"Incomplete ("&amp;S254&amp;"/12)",IF(T254&gt;='Scoring Guide'!$C$26,"Bid",IF(T254&gt;='Scoring Guide'!$C$27,"Conditional (MD)","No-Bid")))))</f>
        <v/>
      </c>
      <c r="V254" s="79" t="n"/>
      <c r="W254" s="83" t="n"/>
      <c r="X254" s="79" t="n"/>
      <c r="Y254" s="79" t="n"/>
    </row>
    <row r="255" ht="15" customHeight="1" s="51">
      <c r="A255" s="77">
        <f>IF(Pipeline!A255="","",Pipeline!A255)</f>
        <v/>
      </c>
      <c r="B255" s="78">
        <f>IF(A255="","",INDEX(Pipeline!$H:$H,MATCH(A255,Pipeline!$A:$A,0)))</f>
        <v/>
      </c>
      <c r="C255" s="79" t="n"/>
      <c r="D255" s="79" t="n"/>
      <c r="E255" s="79" t="n"/>
      <c r="F255" s="79" t="n"/>
      <c r="G255" s="79" t="n"/>
      <c r="H255" s="79" t="n"/>
      <c r="I255" s="79" t="n"/>
      <c r="J255" s="79" t="n"/>
      <c r="K255" s="79" t="n"/>
      <c r="L255" s="79" t="n"/>
      <c r="M255" s="79" t="n"/>
      <c r="N255" s="79" t="n"/>
      <c r="O255" s="79" t="n"/>
      <c r="P255" s="79" t="n"/>
      <c r="Q255" s="79" t="n"/>
      <c r="R255" s="79" t="n"/>
      <c r="S255" s="80">
        <f>IF(A255="","",COUNT(G255:R255))</f>
        <v/>
      </c>
      <c r="T255" s="81">
        <f>IF(OR(A255="",S255&lt;12),"",SUMPRODUCT($G$3:$R$3,G255:R255)/5)</f>
        <v/>
      </c>
      <c r="U255" s="82">
        <f>IF(A255="","",IF(COUNTIF(C255:F255,"Fail")&gt;0,"No-Bid (gate failed)",IF(S255&lt;12,"Incomplete ("&amp;S255&amp;"/12)",IF(T255&gt;='Scoring Guide'!$C$26,"Bid",IF(T255&gt;='Scoring Guide'!$C$27,"Conditional (MD)","No-Bid")))))</f>
        <v/>
      </c>
      <c r="V255" s="79" t="n"/>
      <c r="W255" s="83" t="n"/>
      <c r="X255" s="79" t="n"/>
      <c r="Y255" s="79" t="n"/>
    </row>
    <row r="256" ht="15" customHeight="1" s="51">
      <c r="A256" s="77">
        <f>IF(Pipeline!A256="","",Pipeline!A256)</f>
        <v/>
      </c>
      <c r="B256" s="78">
        <f>IF(A256="","",INDEX(Pipeline!$H:$H,MATCH(A256,Pipeline!$A:$A,0)))</f>
        <v/>
      </c>
      <c r="C256" s="79" t="n"/>
      <c r="D256" s="79" t="n"/>
      <c r="E256" s="79" t="n"/>
      <c r="F256" s="79" t="n"/>
      <c r="G256" s="79" t="n"/>
      <c r="H256" s="79" t="n"/>
      <c r="I256" s="79" t="n"/>
      <c r="J256" s="79" t="n"/>
      <c r="K256" s="79" t="n"/>
      <c r="L256" s="79" t="n"/>
      <c r="M256" s="79" t="n"/>
      <c r="N256" s="79" t="n"/>
      <c r="O256" s="79" t="n"/>
      <c r="P256" s="79" t="n"/>
      <c r="Q256" s="79" t="n"/>
      <c r="R256" s="79" t="n"/>
      <c r="S256" s="80">
        <f>IF(A256="","",COUNT(G256:R256))</f>
        <v/>
      </c>
      <c r="T256" s="81">
        <f>IF(OR(A256="",S256&lt;12),"",SUMPRODUCT($G$3:$R$3,G256:R256)/5)</f>
        <v/>
      </c>
      <c r="U256" s="82">
        <f>IF(A256="","",IF(COUNTIF(C256:F256,"Fail")&gt;0,"No-Bid (gate failed)",IF(S256&lt;12,"Incomplete ("&amp;S256&amp;"/12)",IF(T256&gt;='Scoring Guide'!$C$26,"Bid",IF(T256&gt;='Scoring Guide'!$C$27,"Conditional (MD)","No-Bid")))))</f>
        <v/>
      </c>
      <c r="V256" s="79" t="n"/>
      <c r="W256" s="83" t="n"/>
      <c r="X256" s="79" t="n"/>
      <c r="Y256" s="79" t="n"/>
    </row>
    <row r="257" ht="15" customHeight="1" s="51">
      <c r="A257" s="77">
        <f>IF(Pipeline!A257="","",Pipeline!A257)</f>
        <v/>
      </c>
      <c r="B257" s="78">
        <f>IF(A257="","",INDEX(Pipeline!$H:$H,MATCH(A257,Pipeline!$A:$A,0)))</f>
        <v/>
      </c>
      <c r="C257" s="79" t="n"/>
      <c r="D257" s="79" t="n"/>
      <c r="E257" s="79" t="n"/>
      <c r="F257" s="79" t="n"/>
      <c r="G257" s="79" t="n"/>
      <c r="H257" s="79" t="n"/>
      <c r="I257" s="79" t="n"/>
      <c r="J257" s="79" t="n"/>
      <c r="K257" s="79" t="n"/>
      <c r="L257" s="79" t="n"/>
      <c r="M257" s="79" t="n"/>
      <c r="N257" s="79" t="n"/>
      <c r="O257" s="79" t="n"/>
      <c r="P257" s="79" t="n"/>
      <c r="Q257" s="79" t="n"/>
      <c r="R257" s="79" t="n"/>
      <c r="S257" s="80">
        <f>IF(A257="","",COUNT(G257:R257))</f>
        <v/>
      </c>
      <c r="T257" s="81">
        <f>IF(OR(A257="",S257&lt;12),"",SUMPRODUCT($G$3:$R$3,G257:R257)/5)</f>
        <v/>
      </c>
      <c r="U257" s="82">
        <f>IF(A257="","",IF(COUNTIF(C257:F257,"Fail")&gt;0,"No-Bid (gate failed)",IF(S257&lt;12,"Incomplete ("&amp;S257&amp;"/12)",IF(T257&gt;='Scoring Guide'!$C$26,"Bid",IF(T257&gt;='Scoring Guide'!$C$27,"Conditional (MD)","No-Bid")))))</f>
        <v/>
      </c>
      <c r="V257" s="79" t="n"/>
      <c r="W257" s="83" t="n"/>
      <c r="X257" s="79" t="n"/>
      <c r="Y257" s="79" t="n"/>
    </row>
    <row r="258" ht="15" customHeight="1" s="51">
      <c r="A258" s="77">
        <f>IF(Pipeline!A258="","",Pipeline!A258)</f>
        <v/>
      </c>
      <c r="B258" s="78">
        <f>IF(A258="","",INDEX(Pipeline!$H:$H,MATCH(A258,Pipeline!$A:$A,0)))</f>
        <v/>
      </c>
      <c r="C258" s="79" t="n"/>
      <c r="D258" s="79" t="n"/>
      <c r="E258" s="79" t="n"/>
      <c r="F258" s="79" t="n"/>
      <c r="G258" s="79" t="n"/>
      <c r="H258" s="79" t="n"/>
      <c r="I258" s="79" t="n"/>
      <c r="J258" s="79" t="n"/>
      <c r="K258" s="79" t="n"/>
      <c r="L258" s="79" t="n"/>
      <c r="M258" s="79" t="n"/>
      <c r="N258" s="79" t="n"/>
      <c r="O258" s="79" t="n"/>
      <c r="P258" s="79" t="n"/>
      <c r="Q258" s="79" t="n"/>
      <c r="R258" s="79" t="n"/>
      <c r="S258" s="80">
        <f>IF(A258="","",COUNT(G258:R258))</f>
        <v/>
      </c>
      <c r="T258" s="81">
        <f>IF(OR(A258="",S258&lt;12),"",SUMPRODUCT($G$3:$R$3,G258:R258)/5)</f>
        <v/>
      </c>
      <c r="U258" s="82">
        <f>IF(A258="","",IF(COUNTIF(C258:F258,"Fail")&gt;0,"No-Bid (gate failed)",IF(S258&lt;12,"Incomplete ("&amp;S258&amp;"/12)",IF(T258&gt;='Scoring Guide'!$C$26,"Bid",IF(T258&gt;='Scoring Guide'!$C$27,"Conditional (MD)","No-Bid")))))</f>
        <v/>
      </c>
      <c r="V258" s="79" t="n"/>
      <c r="W258" s="83" t="n"/>
      <c r="X258" s="79" t="n"/>
      <c r="Y258" s="79" t="n"/>
    </row>
    <row r="259" ht="15" customHeight="1" s="51">
      <c r="A259" s="77">
        <f>IF(Pipeline!A259="","",Pipeline!A259)</f>
        <v/>
      </c>
      <c r="B259" s="78">
        <f>IF(A259="","",INDEX(Pipeline!$H:$H,MATCH(A259,Pipeline!$A:$A,0)))</f>
        <v/>
      </c>
      <c r="C259" s="79" t="n"/>
      <c r="D259" s="79" t="n"/>
      <c r="E259" s="79" t="n"/>
      <c r="F259" s="79" t="n"/>
      <c r="G259" s="79" t="n"/>
      <c r="H259" s="79" t="n"/>
      <c r="I259" s="79" t="n"/>
      <c r="J259" s="79" t="n"/>
      <c r="K259" s="79" t="n"/>
      <c r="L259" s="79" t="n"/>
      <c r="M259" s="79" t="n"/>
      <c r="N259" s="79" t="n"/>
      <c r="O259" s="79" t="n"/>
      <c r="P259" s="79" t="n"/>
      <c r="Q259" s="79" t="n"/>
      <c r="R259" s="79" t="n"/>
      <c r="S259" s="80">
        <f>IF(A259="","",COUNT(G259:R259))</f>
        <v/>
      </c>
      <c r="T259" s="81">
        <f>IF(OR(A259="",S259&lt;12),"",SUMPRODUCT($G$3:$R$3,G259:R259)/5)</f>
        <v/>
      </c>
      <c r="U259" s="82">
        <f>IF(A259="","",IF(COUNTIF(C259:F259,"Fail")&gt;0,"No-Bid (gate failed)",IF(S259&lt;12,"Incomplete ("&amp;S259&amp;"/12)",IF(T259&gt;='Scoring Guide'!$C$26,"Bid",IF(T259&gt;='Scoring Guide'!$C$27,"Conditional (MD)","No-Bid")))))</f>
        <v/>
      </c>
      <c r="V259" s="79" t="n"/>
      <c r="W259" s="83" t="n"/>
      <c r="X259" s="79" t="n"/>
      <c r="Y259" s="79" t="n"/>
    </row>
    <row r="260" ht="15" customHeight="1" s="51">
      <c r="A260" s="77">
        <f>IF(Pipeline!A260="","",Pipeline!A260)</f>
        <v/>
      </c>
      <c r="B260" s="78">
        <f>IF(A260="","",INDEX(Pipeline!$H:$H,MATCH(A260,Pipeline!$A:$A,0)))</f>
        <v/>
      </c>
      <c r="C260" s="79" t="n"/>
      <c r="D260" s="79" t="n"/>
      <c r="E260" s="79" t="n"/>
      <c r="F260" s="79" t="n"/>
      <c r="G260" s="79" t="n"/>
      <c r="H260" s="79" t="n"/>
      <c r="I260" s="79" t="n"/>
      <c r="J260" s="79" t="n"/>
      <c r="K260" s="79" t="n"/>
      <c r="L260" s="79" t="n"/>
      <c r="M260" s="79" t="n"/>
      <c r="N260" s="79" t="n"/>
      <c r="O260" s="79" t="n"/>
      <c r="P260" s="79" t="n"/>
      <c r="Q260" s="79" t="n"/>
      <c r="R260" s="79" t="n"/>
      <c r="S260" s="80">
        <f>IF(A260="","",COUNT(G260:R260))</f>
        <v/>
      </c>
      <c r="T260" s="81">
        <f>IF(OR(A260="",S260&lt;12),"",SUMPRODUCT($G$3:$R$3,G260:R260)/5)</f>
        <v/>
      </c>
      <c r="U260" s="82">
        <f>IF(A260="","",IF(COUNTIF(C260:F260,"Fail")&gt;0,"No-Bid (gate failed)",IF(S260&lt;12,"Incomplete ("&amp;S260&amp;"/12)",IF(T260&gt;='Scoring Guide'!$C$26,"Bid",IF(T260&gt;='Scoring Guide'!$C$27,"Conditional (MD)","No-Bid")))))</f>
        <v/>
      </c>
      <c r="V260" s="79" t="n"/>
      <c r="W260" s="83" t="n"/>
      <c r="X260" s="79" t="n"/>
      <c r="Y260" s="79" t="n"/>
    </row>
    <row r="261" ht="15" customHeight="1" s="51">
      <c r="A261" s="77">
        <f>IF(Pipeline!A261="","",Pipeline!A261)</f>
        <v/>
      </c>
      <c r="B261" s="78">
        <f>IF(A261="","",INDEX(Pipeline!$H:$H,MATCH(A261,Pipeline!$A:$A,0)))</f>
        <v/>
      </c>
      <c r="C261" s="79" t="n"/>
      <c r="D261" s="79" t="n"/>
      <c r="E261" s="79" t="n"/>
      <c r="F261" s="79" t="n"/>
      <c r="G261" s="79" t="n"/>
      <c r="H261" s="79" t="n"/>
      <c r="I261" s="79" t="n"/>
      <c r="J261" s="79" t="n"/>
      <c r="K261" s="79" t="n"/>
      <c r="L261" s="79" t="n"/>
      <c r="M261" s="79" t="n"/>
      <c r="N261" s="79" t="n"/>
      <c r="O261" s="79" t="n"/>
      <c r="P261" s="79" t="n"/>
      <c r="Q261" s="79" t="n"/>
      <c r="R261" s="79" t="n"/>
      <c r="S261" s="80">
        <f>IF(A261="","",COUNT(G261:R261))</f>
        <v/>
      </c>
      <c r="T261" s="81">
        <f>IF(OR(A261="",S261&lt;12),"",SUMPRODUCT($G$3:$R$3,G261:R261)/5)</f>
        <v/>
      </c>
      <c r="U261" s="82">
        <f>IF(A261="","",IF(COUNTIF(C261:F261,"Fail")&gt;0,"No-Bid (gate failed)",IF(S261&lt;12,"Incomplete ("&amp;S261&amp;"/12)",IF(T261&gt;='Scoring Guide'!$C$26,"Bid",IF(T261&gt;='Scoring Guide'!$C$27,"Conditional (MD)","No-Bid")))))</f>
        <v/>
      </c>
      <c r="V261" s="79" t="n"/>
      <c r="W261" s="83" t="n"/>
      <c r="X261" s="79" t="n"/>
      <c r="Y261" s="79" t="n"/>
    </row>
    <row r="262" ht="15" customHeight="1" s="51">
      <c r="A262" s="77">
        <f>IF(Pipeline!A262="","",Pipeline!A262)</f>
        <v/>
      </c>
      <c r="B262" s="78">
        <f>IF(A262="","",INDEX(Pipeline!$H:$H,MATCH(A262,Pipeline!$A:$A,0)))</f>
        <v/>
      </c>
      <c r="C262" s="79" t="n"/>
      <c r="D262" s="79" t="n"/>
      <c r="E262" s="79" t="n"/>
      <c r="F262" s="79" t="n"/>
      <c r="G262" s="79" t="n"/>
      <c r="H262" s="79" t="n"/>
      <c r="I262" s="79" t="n"/>
      <c r="J262" s="79" t="n"/>
      <c r="K262" s="79" t="n"/>
      <c r="L262" s="79" t="n"/>
      <c r="M262" s="79" t="n"/>
      <c r="N262" s="79" t="n"/>
      <c r="O262" s="79" t="n"/>
      <c r="P262" s="79" t="n"/>
      <c r="Q262" s="79" t="n"/>
      <c r="R262" s="79" t="n"/>
      <c r="S262" s="80">
        <f>IF(A262="","",COUNT(G262:R262))</f>
        <v/>
      </c>
      <c r="T262" s="81">
        <f>IF(OR(A262="",S262&lt;12),"",SUMPRODUCT($G$3:$R$3,G262:R262)/5)</f>
        <v/>
      </c>
      <c r="U262" s="82">
        <f>IF(A262="","",IF(COUNTIF(C262:F262,"Fail")&gt;0,"No-Bid (gate failed)",IF(S262&lt;12,"Incomplete ("&amp;S262&amp;"/12)",IF(T262&gt;='Scoring Guide'!$C$26,"Bid",IF(T262&gt;='Scoring Guide'!$C$27,"Conditional (MD)","No-Bid")))))</f>
        <v/>
      </c>
      <c r="V262" s="79" t="n"/>
      <c r="W262" s="83" t="n"/>
      <c r="X262" s="79" t="n"/>
      <c r="Y262" s="79" t="n"/>
    </row>
    <row r="263" ht="15" customHeight="1" s="51">
      <c r="A263" s="77">
        <f>IF(Pipeline!A263="","",Pipeline!A263)</f>
        <v/>
      </c>
      <c r="B263" s="78">
        <f>IF(A263="","",INDEX(Pipeline!$H:$H,MATCH(A263,Pipeline!$A:$A,0)))</f>
        <v/>
      </c>
      <c r="C263" s="79" t="n"/>
      <c r="D263" s="79" t="n"/>
      <c r="E263" s="79" t="n"/>
      <c r="F263" s="79" t="n"/>
      <c r="G263" s="79" t="n"/>
      <c r="H263" s="79" t="n"/>
      <c r="I263" s="79" t="n"/>
      <c r="J263" s="79" t="n"/>
      <c r="K263" s="79" t="n"/>
      <c r="L263" s="79" t="n"/>
      <c r="M263" s="79" t="n"/>
      <c r="N263" s="79" t="n"/>
      <c r="O263" s="79" t="n"/>
      <c r="P263" s="79" t="n"/>
      <c r="Q263" s="79" t="n"/>
      <c r="R263" s="79" t="n"/>
      <c r="S263" s="80">
        <f>IF(A263="","",COUNT(G263:R263))</f>
        <v/>
      </c>
      <c r="T263" s="81">
        <f>IF(OR(A263="",S263&lt;12),"",SUMPRODUCT($G$3:$R$3,G263:R263)/5)</f>
        <v/>
      </c>
      <c r="U263" s="82">
        <f>IF(A263="","",IF(COUNTIF(C263:F263,"Fail")&gt;0,"No-Bid (gate failed)",IF(S263&lt;12,"Incomplete ("&amp;S263&amp;"/12)",IF(T263&gt;='Scoring Guide'!$C$26,"Bid",IF(T263&gt;='Scoring Guide'!$C$27,"Conditional (MD)","No-Bid")))))</f>
        <v/>
      </c>
      <c r="V263" s="79" t="n"/>
      <c r="W263" s="83" t="n"/>
      <c r="X263" s="79" t="n"/>
      <c r="Y263" s="79" t="n"/>
    </row>
    <row r="264" ht="15" customHeight="1" s="51">
      <c r="A264" s="77">
        <f>IF(Pipeline!A264="","",Pipeline!A264)</f>
        <v/>
      </c>
      <c r="B264" s="78">
        <f>IF(A264="","",INDEX(Pipeline!$H:$H,MATCH(A264,Pipeline!$A:$A,0)))</f>
        <v/>
      </c>
      <c r="C264" s="79" t="n"/>
      <c r="D264" s="79" t="n"/>
      <c r="E264" s="79" t="n"/>
      <c r="F264" s="79" t="n"/>
      <c r="G264" s="79" t="n"/>
      <c r="H264" s="79" t="n"/>
      <c r="I264" s="79" t="n"/>
      <c r="J264" s="79" t="n"/>
      <c r="K264" s="79" t="n"/>
      <c r="L264" s="79" t="n"/>
      <c r="M264" s="79" t="n"/>
      <c r="N264" s="79" t="n"/>
      <c r="O264" s="79" t="n"/>
      <c r="P264" s="79" t="n"/>
      <c r="Q264" s="79" t="n"/>
      <c r="R264" s="79" t="n"/>
      <c r="S264" s="80">
        <f>IF(A264="","",COUNT(G264:R264))</f>
        <v/>
      </c>
      <c r="T264" s="81">
        <f>IF(OR(A264="",S264&lt;12),"",SUMPRODUCT($G$3:$R$3,G264:R264)/5)</f>
        <v/>
      </c>
      <c r="U264" s="82">
        <f>IF(A264="","",IF(COUNTIF(C264:F264,"Fail")&gt;0,"No-Bid (gate failed)",IF(S264&lt;12,"Incomplete ("&amp;S264&amp;"/12)",IF(T264&gt;='Scoring Guide'!$C$26,"Bid",IF(T264&gt;='Scoring Guide'!$C$27,"Conditional (MD)","No-Bid")))))</f>
        <v/>
      </c>
      <c r="V264" s="79" t="n"/>
      <c r="W264" s="83" t="n"/>
      <c r="X264" s="79" t="n"/>
      <c r="Y264" s="79" t="n"/>
    </row>
    <row r="265" ht="15" customHeight="1" s="51">
      <c r="A265" s="77">
        <f>IF(Pipeline!A265="","",Pipeline!A265)</f>
        <v/>
      </c>
      <c r="B265" s="78">
        <f>IF(A265="","",INDEX(Pipeline!$H:$H,MATCH(A265,Pipeline!$A:$A,0)))</f>
        <v/>
      </c>
      <c r="C265" s="79" t="n"/>
      <c r="D265" s="79" t="n"/>
      <c r="E265" s="79" t="n"/>
      <c r="F265" s="79" t="n"/>
      <c r="G265" s="79" t="n"/>
      <c r="H265" s="79" t="n"/>
      <c r="I265" s="79" t="n"/>
      <c r="J265" s="79" t="n"/>
      <c r="K265" s="79" t="n"/>
      <c r="L265" s="79" t="n"/>
      <c r="M265" s="79" t="n"/>
      <c r="N265" s="79" t="n"/>
      <c r="O265" s="79" t="n"/>
      <c r="P265" s="79" t="n"/>
      <c r="Q265" s="79" t="n"/>
      <c r="R265" s="79" t="n"/>
      <c r="S265" s="80">
        <f>IF(A265="","",COUNT(G265:R265))</f>
        <v/>
      </c>
      <c r="T265" s="81">
        <f>IF(OR(A265="",S265&lt;12),"",SUMPRODUCT($G$3:$R$3,G265:R265)/5)</f>
        <v/>
      </c>
      <c r="U265" s="82">
        <f>IF(A265="","",IF(COUNTIF(C265:F265,"Fail")&gt;0,"No-Bid (gate failed)",IF(S265&lt;12,"Incomplete ("&amp;S265&amp;"/12)",IF(T265&gt;='Scoring Guide'!$C$26,"Bid",IF(T265&gt;='Scoring Guide'!$C$27,"Conditional (MD)","No-Bid")))))</f>
        <v/>
      </c>
      <c r="V265" s="79" t="n"/>
      <c r="W265" s="83" t="n"/>
      <c r="X265" s="79" t="n"/>
      <c r="Y265" s="79" t="n"/>
    </row>
    <row r="266" ht="15" customHeight="1" s="51">
      <c r="A266" s="77">
        <f>IF(Pipeline!A266="","",Pipeline!A266)</f>
        <v/>
      </c>
      <c r="B266" s="78">
        <f>IF(A266="","",INDEX(Pipeline!$H:$H,MATCH(A266,Pipeline!$A:$A,0)))</f>
        <v/>
      </c>
      <c r="C266" s="79" t="n"/>
      <c r="D266" s="79" t="n"/>
      <c r="E266" s="79" t="n"/>
      <c r="F266" s="79" t="n"/>
      <c r="G266" s="79" t="n"/>
      <c r="H266" s="79" t="n"/>
      <c r="I266" s="79" t="n"/>
      <c r="J266" s="79" t="n"/>
      <c r="K266" s="79" t="n"/>
      <c r="L266" s="79" t="n"/>
      <c r="M266" s="79" t="n"/>
      <c r="N266" s="79" t="n"/>
      <c r="O266" s="79" t="n"/>
      <c r="P266" s="79" t="n"/>
      <c r="Q266" s="79" t="n"/>
      <c r="R266" s="79" t="n"/>
      <c r="S266" s="80">
        <f>IF(A266="","",COUNT(G266:R266))</f>
        <v/>
      </c>
      <c r="T266" s="81">
        <f>IF(OR(A266="",S266&lt;12),"",SUMPRODUCT($G$3:$R$3,G266:R266)/5)</f>
        <v/>
      </c>
      <c r="U266" s="82">
        <f>IF(A266="","",IF(COUNTIF(C266:F266,"Fail")&gt;0,"No-Bid (gate failed)",IF(S266&lt;12,"Incomplete ("&amp;S266&amp;"/12)",IF(T266&gt;='Scoring Guide'!$C$26,"Bid",IF(T266&gt;='Scoring Guide'!$C$27,"Conditional (MD)","No-Bid")))))</f>
        <v/>
      </c>
      <c r="V266" s="79" t="n"/>
      <c r="W266" s="83" t="n"/>
      <c r="X266" s="79" t="n"/>
      <c r="Y266" s="79" t="n"/>
    </row>
    <row r="267" ht="15" customHeight="1" s="51">
      <c r="A267" s="77">
        <f>IF(Pipeline!A267="","",Pipeline!A267)</f>
        <v/>
      </c>
      <c r="B267" s="78">
        <f>IF(A267="","",INDEX(Pipeline!$H:$H,MATCH(A267,Pipeline!$A:$A,0)))</f>
        <v/>
      </c>
      <c r="C267" s="79" t="n"/>
      <c r="D267" s="79" t="n"/>
      <c r="E267" s="79" t="n"/>
      <c r="F267" s="79" t="n"/>
      <c r="G267" s="79" t="n"/>
      <c r="H267" s="79" t="n"/>
      <c r="I267" s="79" t="n"/>
      <c r="J267" s="79" t="n"/>
      <c r="K267" s="79" t="n"/>
      <c r="L267" s="79" t="n"/>
      <c r="M267" s="79" t="n"/>
      <c r="N267" s="79" t="n"/>
      <c r="O267" s="79" t="n"/>
      <c r="P267" s="79" t="n"/>
      <c r="Q267" s="79" t="n"/>
      <c r="R267" s="79" t="n"/>
      <c r="S267" s="80">
        <f>IF(A267="","",COUNT(G267:R267))</f>
        <v/>
      </c>
      <c r="T267" s="81">
        <f>IF(OR(A267="",S267&lt;12),"",SUMPRODUCT($G$3:$R$3,G267:R267)/5)</f>
        <v/>
      </c>
      <c r="U267" s="82">
        <f>IF(A267="","",IF(COUNTIF(C267:F267,"Fail")&gt;0,"No-Bid (gate failed)",IF(S267&lt;12,"Incomplete ("&amp;S267&amp;"/12)",IF(T267&gt;='Scoring Guide'!$C$26,"Bid",IF(T267&gt;='Scoring Guide'!$C$27,"Conditional (MD)","No-Bid")))))</f>
        <v/>
      </c>
      <c r="V267" s="79" t="n"/>
      <c r="W267" s="83" t="n"/>
      <c r="X267" s="79" t="n"/>
      <c r="Y267" s="79" t="n"/>
    </row>
    <row r="268" ht="15" customHeight="1" s="51">
      <c r="A268" s="77">
        <f>IF(Pipeline!A268="","",Pipeline!A268)</f>
        <v/>
      </c>
      <c r="B268" s="78">
        <f>IF(A268="","",INDEX(Pipeline!$H:$H,MATCH(A268,Pipeline!$A:$A,0)))</f>
        <v/>
      </c>
      <c r="C268" s="79" t="n"/>
      <c r="D268" s="79" t="n"/>
      <c r="E268" s="79" t="n"/>
      <c r="F268" s="79" t="n"/>
      <c r="G268" s="79" t="n"/>
      <c r="H268" s="79" t="n"/>
      <c r="I268" s="79" t="n"/>
      <c r="J268" s="79" t="n"/>
      <c r="K268" s="79" t="n"/>
      <c r="L268" s="79" t="n"/>
      <c r="M268" s="79" t="n"/>
      <c r="N268" s="79" t="n"/>
      <c r="O268" s="79" t="n"/>
      <c r="P268" s="79" t="n"/>
      <c r="Q268" s="79" t="n"/>
      <c r="R268" s="79" t="n"/>
      <c r="S268" s="80">
        <f>IF(A268="","",COUNT(G268:R268))</f>
        <v/>
      </c>
      <c r="T268" s="81">
        <f>IF(OR(A268="",S268&lt;12),"",SUMPRODUCT($G$3:$R$3,G268:R268)/5)</f>
        <v/>
      </c>
      <c r="U268" s="82">
        <f>IF(A268="","",IF(COUNTIF(C268:F268,"Fail")&gt;0,"No-Bid (gate failed)",IF(S268&lt;12,"Incomplete ("&amp;S268&amp;"/12)",IF(T268&gt;='Scoring Guide'!$C$26,"Bid",IF(T268&gt;='Scoring Guide'!$C$27,"Conditional (MD)","No-Bid")))))</f>
        <v/>
      </c>
      <c r="V268" s="79" t="n"/>
      <c r="W268" s="83" t="n"/>
      <c r="X268" s="79" t="n"/>
      <c r="Y268" s="79" t="n"/>
    </row>
    <row r="269" ht="15" customHeight="1" s="51">
      <c r="A269" s="77">
        <f>IF(Pipeline!A269="","",Pipeline!A269)</f>
        <v/>
      </c>
      <c r="B269" s="78">
        <f>IF(A269="","",INDEX(Pipeline!$H:$H,MATCH(A269,Pipeline!$A:$A,0)))</f>
        <v/>
      </c>
      <c r="C269" s="79" t="n"/>
      <c r="D269" s="79" t="n"/>
      <c r="E269" s="79" t="n"/>
      <c r="F269" s="79" t="n"/>
      <c r="G269" s="79" t="n"/>
      <c r="H269" s="79" t="n"/>
      <c r="I269" s="79" t="n"/>
      <c r="J269" s="79" t="n"/>
      <c r="K269" s="79" t="n"/>
      <c r="L269" s="79" t="n"/>
      <c r="M269" s="79" t="n"/>
      <c r="N269" s="79" t="n"/>
      <c r="O269" s="79" t="n"/>
      <c r="P269" s="79" t="n"/>
      <c r="Q269" s="79" t="n"/>
      <c r="R269" s="79" t="n"/>
      <c r="S269" s="80">
        <f>IF(A269="","",COUNT(G269:R269))</f>
        <v/>
      </c>
      <c r="T269" s="81">
        <f>IF(OR(A269="",S269&lt;12),"",SUMPRODUCT($G$3:$R$3,G269:R269)/5)</f>
        <v/>
      </c>
      <c r="U269" s="82">
        <f>IF(A269="","",IF(COUNTIF(C269:F269,"Fail")&gt;0,"No-Bid (gate failed)",IF(S269&lt;12,"Incomplete ("&amp;S269&amp;"/12)",IF(T269&gt;='Scoring Guide'!$C$26,"Bid",IF(T269&gt;='Scoring Guide'!$C$27,"Conditional (MD)","No-Bid")))))</f>
        <v/>
      </c>
      <c r="V269" s="79" t="n"/>
      <c r="W269" s="83" t="n"/>
      <c r="X269" s="79" t="n"/>
      <c r="Y269" s="79" t="n"/>
    </row>
    <row r="270" ht="15" customHeight="1" s="51">
      <c r="A270" s="77">
        <f>IF(Pipeline!A270="","",Pipeline!A270)</f>
        <v/>
      </c>
      <c r="B270" s="78">
        <f>IF(A270="","",INDEX(Pipeline!$H:$H,MATCH(A270,Pipeline!$A:$A,0)))</f>
        <v/>
      </c>
      <c r="C270" s="79" t="n"/>
      <c r="D270" s="79" t="n"/>
      <c r="E270" s="79" t="n"/>
      <c r="F270" s="79" t="n"/>
      <c r="G270" s="79" t="n"/>
      <c r="H270" s="79" t="n"/>
      <c r="I270" s="79" t="n"/>
      <c r="J270" s="79" t="n"/>
      <c r="K270" s="79" t="n"/>
      <c r="L270" s="79" t="n"/>
      <c r="M270" s="79" t="n"/>
      <c r="N270" s="79" t="n"/>
      <c r="O270" s="79" t="n"/>
      <c r="P270" s="79" t="n"/>
      <c r="Q270" s="79" t="n"/>
      <c r="R270" s="79" t="n"/>
      <c r="S270" s="80">
        <f>IF(A270="","",COUNT(G270:R270))</f>
        <v/>
      </c>
      <c r="T270" s="81">
        <f>IF(OR(A270="",S270&lt;12),"",SUMPRODUCT($G$3:$R$3,G270:R270)/5)</f>
        <v/>
      </c>
      <c r="U270" s="82">
        <f>IF(A270="","",IF(COUNTIF(C270:F270,"Fail")&gt;0,"No-Bid (gate failed)",IF(S270&lt;12,"Incomplete ("&amp;S270&amp;"/12)",IF(T270&gt;='Scoring Guide'!$C$26,"Bid",IF(T270&gt;='Scoring Guide'!$C$27,"Conditional (MD)","No-Bid")))))</f>
        <v/>
      </c>
      <c r="V270" s="79" t="n"/>
      <c r="W270" s="83" t="n"/>
      <c r="X270" s="79" t="n"/>
      <c r="Y270" s="79" t="n"/>
    </row>
    <row r="271" ht="15" customHeight="1" s="51">
      <c r="A271" s="77">
        <f>IF(Pipeline!A271="","",Pipeline!A271)</f>
        <v/>
      </c>
      <c r="B271" s="78">
        <f>IF(A271="","",INDEX(Pipeline!$H:$H,MATCH(A271,Pipeline!$A:$A,0)))</f>
        <v/>
      </c>
      <c r="C271" s="79" t="n"/>
      <c r="D271" s="79" t="n"/>
      <c r="E271" s="79" t="n"/>
      <c r="F271" s="79" t="n"/>
      <c r="G271" s="79" t="n"/>
      <c r="H271" s="79" t="n"/>
      <c r="I271" s="79" t="n"/>
      <c r="J271" s="79" t="n"/>
      <c r="K271" s="79" t="n"/>
      <c r="L271" s="79" t="n"/>
      <c r="M271" s="79" t="n"/>
      <c r="N271" s="79" t="n"/>
      <c r="O271" s="79" t="n"/>
      <c r="P271" s="79" t="n"/>
      <c r="Q271" s="79" t="n"/>
      <c r="R271" s="79" t="n"/>
      <c r="S271" s="80">
        <f>IF(A271="","",COUNT(G271:R271))</f>
        <v/>
      </c>
      <c r="T271" s="81">
        <f>IF(OR(A271="",S271&lt;12),"",SUMPRODUCT($G$3:$R$3,G271:R271)/5)</f>
        <v/>
      </c>
      <c r="U271" s="82">
        <f>IF(A271="","",IF(COUNTIF(C271:F271,"Fail")&gt;0,"No-Bid (gate failed)",IF(S271&lt;12,"Incomplete ("&amp;S271&amp;"/12)",IF(T271&gt;='Scoring Guide'!$C$26,"Bid",IF(T271&gt;='Scoring Guide'!$C$27,"Conditional (MD)","No-Bid")))))</f>
        <v/>
      </c>
      <c r="V271" s="79" t="n"/>
      <c r="W271" s="83" t="n"/>
      <c r="X271" s="79" t="n"/>
      <c r="Y271" s="79" t="n"/>
    </row>
    <row r="272" ht="15" customHeight="1" s="51">
      <c r="A272" s="77">
        <f>IF(Pipeline!A272="","",Pipeline!A272)</f>
        <v/>
      </c>
      <c r="B272" s="78">
        <f>IF(A272="","",INDEX(Pipeline!$H:$H,MATCH(A272,Pipeline!$A:$A,0)))</f>
        <v/>
      </c>
      <c r="C272" s="79" t="n"/>
      <c r="D272" s="79" t="n"/>
      <c r="E272" s="79" t="n"/>
      <c r="F272" s="79" t="n"/>
      <c r="G272" s="79" t="n"/>
      <c r="H272" s="79" t="n"/>
      <c r="I272" s="79" t="n"/>
      <c r="J272" s="79" t="n"/>
      <c r="K272" s="79" t="n"/>
      <c r="L272" s="79" t="n"/>
      <c r="M272" s="79" t="n"/>
      <c r="N272" s="79" t="n"/>
      <c r="O272" s="79" t="n"/>
      <c r="P272" s="79" t="n"/>
      <c r="Q272" s="79" t="n"/>
      <c r="R272" s="79" t="n"/>
      <c r="S272" s="80">
        <f>IF(A272="","",COUNT(G272:R272))</f>
        <v/>
      </c>
      <c r="T272" s="81">
        <f>IF(OR(A272="",S272&lt;12),"",SUMPRODUCT($G$3:$R$3,G272:R272)/5)</f>
        <v/>
      </c>
      <c r="U272" s="82">
        <f>IF(A272="","",IF(COUNTIF(C272:F272,"Fail")&gt;0,"No-Bid (gate failed)",IF(S272&lt;12,"Incomplete ("&amp;S272&amp;"/12)",IF(T272&gt;='Scoring Guide'!$C$26,"Bid",IF(T272&gt;='Scoring Guide'!$C$27,"Conditional (MD)","No-Bid")))))</f>
        <v/>
      </c>
      <c r="V272" s="79" t="n"/>
      <c r="W272" s="83" t="n"/>
      <c r="X272" s="79" t="n"/>
      <c r="Y272" s="79" t="n"/>
    </row>
    <row r="273" ht="15" customHeight="1" s="51">
      <c r="A273" s="77">
        <f>IF(Pipeline!A273="","",Pipeline!A273)</f>
        <v/>
      </c>
      <c r="B273" s="78">
        <f>IF(A273="","",INDEX(Pipeline!$H:$H,MATCH(A273,Pipeline!$A:$A,0)))</f>
        <v/>
      </c>
      <c r="C273" s="79" t="n"/>
      <c r="D273" s="79" t="n"/>
      <c r="E273" s="79" t="n"/>
      <c r="F273" s="79" t="n"/>
      <c r="G273" s="79" t="n"/>
      <c r="H273" s="79" t="n"/>
      <c r="I273" s="79" t="n"/>
      <c r="J273" s="79" t="n"/>
      <c r="K273" s="79" t="n"/>
      <c r="L273" s="79" t="n"/>
      <c r="M273" s="79" t="n"/>
      <c r="N273" s="79" t="n"/>
      <c r="O273" s="79" t="n"/>
      <c r="P273" s="79" t="n"/>
      <c r="Q273" s="79" t="n"/>
      <c r="R273" s="79" t="n"/>
      <c r="S273" s="80">
        <f>IF(A273="","",COUNT(G273:R273))</f>
        <v/>
      </c>
      <c r="T273" s="81">
        <f>IF(OR(A273="",S273&lt;12),"",SUMPRODUCT($G$3:$R$3,G273:R273)/5)</f>
        <v/>
      </c>
      <c r="U273" s="82">
        <f>IF(A273="","",IF(COUNTIF(C273:F273,"Fail")&gt;0,"No-Bid (gate failed)",IF(S273&lt;12,"Incomplete ("&amp;S273&amp;"/12)",IF(T273&gt;='Scoring Guide'!$C$26,"Bid",IF(T273&gt;='Scoring Guide'!$C$27,"Conditional (MD)","No-Bid")))))</f>
        <v/>
      </c>
      <c r="V273" s="79" t="n"/>
      <c r="W273" s="83" t="n"/>
      <c r="X273" s="79" t="n"/>
      <c r="Y273" s="79" t="n"/>
    </row>
    <row r="274" ht="15" customHeight="1" s="51">
      <c r="A274" s="77">
        <f>IF(Pipeline!A274="","",Pipeline!A274)</f>
        <v/>
      </c>
      <c r="B274" s="78">
        <f>IF(A274="","",INDEX(Pipeline!$H:$H,MATCH(A274,Pipeline!$A:$A,0)))</f>
        <v/>
      </c>
      <c r="C274" s="79" t="n"/>
      <c r="D274" s="79" t="n"/>
      <c r="E274" s="79" t="n"/>
      <c r="F274" s="79" t="n"/>
      <c r="G274" s="79" t="n"/>
      <c r="H274" s="79" t="n"/>
      <c r="I274" s="79" t="n"/>
      <c r="J274" s="79" t="n"/>
      <c r="K274" s="79" t="n"/>
      <c r="L274" s="79" t="n"/>
      <c r="M274" s="79" t="n"/>
      <c r="N274" s="79" t="n"/>
      <c r="O274" s="79" t="n"/>
      <c r="P274" s="79" t="n"/>
      <c r="Q274" s="79" t="n"/>
      <c r="R274" s="79" t="n"/>
      <c r="S274" s="80">
        <f>IF(A274="","",COUNT(G274:R274))</f>
        <v/>
      </c>
      <c r="T274" s="81">
        <f>IF(OR(A274="",S274&lt;12),"",SUMPRODUCT($G$3:$R$3,G274:R274)/5)</f>
        <v/>
      </c>
      <c r="U274" s="82">
        <f>IF(A274="","",IF(COUNTIF(C274:F274,"Fail")&gt;0,"No-Bid (gate failed)",IF(S274&lt;12,"Incomplete ("&amp;S274&amp;"/12)",IF(T274&gt;='Scoring Guide'!$C$26,"Bid",IF(T274&gt;='Scoring Guide'!$C$27,"Conditional (MD)","No-Bid")))))</f>
        <v/>
      </c>
      <c r="V274" s="79" t="n"/>
      <c r="W274" s="83" t="n"/>
      <c r="X274" s="79" t="n"/>
      <c r="Y274" s="79" t="n"/>
    </row>
    <row r="275" ht="15" customHeight="1" s="51">
      <c r="A275" s="77">
        <f>IF(Pipeline!A275="","",Pipeline!A275)</f>
        <v/>
      </c>
      <c r="B275" s="78">
        <f>IF(A275="","",INDEX(Pipeline!$H:$H,MATCH(A275,Pipeline!$A:$A,0)))</f>
        <v/>
      </c>
      <c r="C275" s="79" t="n"/>
      <c r="D275" s="79" t="n"/>
      <c r="E275" s="79" t="n"/>
      <c r="F275" s="79" t="n"/>
      <c r="G275" s="79" t="n"/>
      <c r="H275" s="79" t="n"/>
      <c r="I275" s="79" t="n"/>
      <c r="J275" s="79" t="n"/>
      <c r="K275" s="79" t="n"/>
      <c r="L275" s="79" t="n"/>
      <c r="M275" s="79" t="n"/>
      <c r="N275" s="79" t="n"/>
      <c r="O275" s="79" t="n"/>
      <c r="P275" s="79" t="n"/>
      <c r="Q275" s="79" t="n"/>
      <c r="R275" s="79" t="n"/>
      <c r="S275" s="80">
        <f>IF(A275="","",COUNT(G275:R275))</f>
        <v/>
      </c>
      <c r="T275" s="81">
        <f>IF(OR(A275="",S275&lt;12),"",SUMPRODUCT($G$3:$R$3,G275:R275)/5)</f>
        <v/>
      </c>
      <c r="U275" s="82">
        <f>IF(A275="","",IF(COUNTIF(C275:F275,"Fail")&gt;0,"No-Bid (gate failed)",IF(S275&lt;12,"Incomplete ("&amp;S275&amp;"/12)",IF(T275&gt;='Scoring Guide'!$C$26,"Bid",IF(T275&gt;='Scoring Guide'!$C$27,"Conditional (MD)","No-Bid")))))</f>
        <v/>
      </c>
      <c r="V275" s="79" t="n"/>
      <c r="W275" s="83" t="n"/>
      <c r="X275" s="79" t="n"/>
      <c r="Y275" s="79" t="n"/>
    </row>
    <row r="276" ht="15" customHeight="1" s="51">
      <c r="A276" s="77">
        <f>IF(Pipeline!A276="","",Pipeline!A276)</f>
        <v/>
      </c>
      <c r="B276" s="78">
        <f>IF(A276="","",INDEX(Pipeline!$H:$H,MATCH(A276,Pipeline!$A:$A,0)))</f>
        <v/>
      </c>
      <c r="C276" s="79" t="n"/>
      <c r="D276" s="79" t="n"/>
      <c r="E276" s="79" t="n"/>
      <c r="F276" s="79" t="n"/>
      <c r="G276" s="79" t="n"/>
      <c r="H276" s="79" t="n"/>
      <c r="I276" s="79" t="n"/>
      <c r="J276" s="79" t="n"/>
      <c r="K276" s="79" t="n"/>
      <c r="L276" s="79" t="n"/>
      <c r="M276" s="79" t="n"/>
      <c r="N276" s="79" t="n"/>
      <c r="O276" s="79" t="n"/>
      <c r="P276" s="79" t="n"/>
      <c r="Q276" s="79" t="n"/>
      <c r="R276" s="79" t="n"/>
      <c r="S276" s="80">
        <f>IF(A276="","",COUNT(G276:R276))</f>
        <v/>
      </c>
      <c r="T276" s="81">
        <f>IF(OR(A276="",S276&lt;12),"",SUMPRODUCT($G$3:$R$3,G276:R276)/5)</f>
        <v/>
      </c>
      <c r="U276" s="82">
        <f>IF(A276="","",IF(COUNTIF(C276:F276,"Fail")&gt;0,"No-Bid (gate failed)",IF(S276&lt;12,"Incomplete ("&amp;S276&amp;"/12)",IF(T276&gt;='Scoring Guide'!$C$26,"Bid",IF(T276&gt;='Scoring Guide'!$C$27,"Conditional (MD)","No-Bid")))))</f>
        <v/>
      </c>
      <c r="V276" s="79" t="n"/>
      <c r="W276" s="83" t="n"/>
      <c r="X276" s="79" t="n"/>
      <c r="Y276" s="79" t="n"/>
    </row>
    <row r="277" ht="15" customHeight="1" s="51">
      <c r="A277" s="77">
        <f>IF(Pipeline!A277="","",Pipeline!A277)</f>
        <v/>
      </c>
      <c r="B277" s="78">
        <f>IF(A277="","",INDEX(Pipeline!$H:$H,MATCH(A277,Pipeline!$A:$A,0)))</f>
        <v/>
      </c>
      <c r="C277" s="79" t="n"/>
      <c r="D277" s="79" t="n"/>
      <c r="E277" s="79" t="n"/>
      <c r="F277" s="79" t="n"/>
      <c r="G277" s="79" t="n"/>
      <c r="H277" s="79" t="n"/>
      <c r="I277" s="79" t="n"/>
      <c r="J277" s="79" t="n"/>
      <c r="K277" s="79" t="n"/>
      <c r="L277" s="79" t="n"/>
      <c r="M277" s="79" t="n"/>
      <c r="N277" s="79" t="n"/>
      <c r="O277" s="79" t="n"/>
      <c r="P277" s="79" t="n"/>
      <c r="Q277" s="79" t="n"/>
      <c r="R277" s="79" t="n"/>
      <c r="S277" s="80">
        <f>IF(A277="","",COUNT(G277:R277))</f>
        <v/>
      </c>
      <c r="T277" s="81">
        <f>IF(OR(A277="",S277&lt;12),"",SUMPRODUCT($G$3:$R$3,G277:R277)/5)</f>
        <v/>
      </c>
      <c r="U277" s="82">
        <f>IF(A277="","",IF(COUNTIF(C277:F277,"Fail")&gt;0,"No-Bid (gate failed)",IF(S277&lt;12,"Incomplete ("&amp;S277&amp;"/12)",IF(T277&gt;='Scoring Guide'!$C$26,"Bid",IF(T277&gt;='Scoring Guide'!$C$27,"Conditional (MD)","No-Bid")))))</f>
        <v/>
      </c>
      <c r="V277" s="79" t="n"/>
      <c r="W277" s="83" t="n"/>
      <c r="X277" s="79" t="n"/>
      <c r="Y277" s="79" t="n"/>
    </row>
    <row r="278" ht="15" customHeight="1" s="51">
      <c r="A278" s="77">
        <f>IF(Pipeline!A278="","",Pipeline!A278)</f>
        <v/>
      </c>
      <c r="B278" s="78">
        <f>IF(A278="","",INDEX(Pipeline!$H:$H,MATCH(A278,Pipeline!$A:$A,0)))</f>
        <v/>
      </c>
      <c r="C278" s="79" t="n"/>
      <c r="D278" s="79" t="n"/>
      <c r="E278" s="79" t="n"/>
      <c r="F278" s="79" t="n"/>
      <c r="G278" s="79" t="n"/>
      <c r="H278" s="79" t="n"/>
      <c r="I278" s="79" t="n"/>
      <c r="J278" s="79" t="n"/>
      <c r="K278" s="79" t="n"/>
      <c r="L278" s="79" t="n"/>
      <c r="M278" s="79" t="n"/>
      <c r="N278" s="79" t="n"/>
      <c r="O278" s="79" t="n"/>
      <c r="P278" s="79" t="n"/>
      <c r="Q278" s="79" t="n"/>
      <c r="R278" s="79" t="n"/>
      <c r="S278" s="80">
        <f>IF(A278="","",COUNT(G278:R278))</f>
        <v/>
      </c>
      <c r="T278" s="81">
        <f>IF(OR(A278="",S278&lt;12),"",SUMPRODUCT($G$3:$R$3,G278:R278)/5)</f>
        <v/>
      </c>
      <c r="U278" s="82">
        <f>IF(A278="","",IF(COUNTIF(C278:F278,"Fail")&gt;0,"No-Bid (gate failed)",IF(S278&lt;12,"Incomplete ("&amp;S278&amp;"/12)",IF(T278&gt;='Scoring Guide'!$C$26,"Bid",IF(T278&gt;='Scoring Guide'!$C$27,"Conditional (MD)","No-Bid")))))</f>
        <v/>
      </c>
      <c r="V278" s="79" t="n"/>
      <c r="W278" s="83" t="n"/>
      <c r="X278" s="79" t="n"/>
      <c r="Y278" s="79" t="n"/>
    </row>
    <row r="279" ht="15" customHeight="1" s="51">
      <c r="A279" s="77">
        <f>IF(Pipeline!A279="","",Pipeline!A279)</f>
        <v/>
      </c>
      <c r="B279" s="78">
        <f>IF(A279="","",INDEX(Pipeline!$H:$H,MATCH(A279,Pipeline!$A:$A,0)))</f>
        <v/>
      </c>
      <c r="C279" s="79" t="n"/>
      <c r="D279" s="79" t="n"/>
      <c r="E279" s="79" t="n"/>
      <c r="F279" s="79" t="n"/>
      <c r="G279" s="79" t="n"/>
      <c r="H279" s="79" t="n"/>
      <c r="I279" s="79" t="n"/>
      <c r="J279" s="79" t="n"/>
      <c r="K279" s="79" t="n"/>
      <c r="L279" s="79" t="n"/>
      <c r="M279" s="79" t="n"/>
      <c r="N279" s="79" t="n"/>
      <c r="O279" s="79" t="n"/>
      <c r="P279" s="79" t="n"/>
      <c r="Q279" s="79" t="n"/>
      <c r="R279" s="79" t="n"/>
      <c r="S279" s="80">
        <f>IF(A279="","",COUNT(G279:R279))</f>
        <v/>
      </c>
      <c r="T279" s="81">
        <f>IF(OR(A279="",S279&lt;12),"",SUMPRODUCT($G$3:$R$3,G279:R279)/5)</f>
        <v/>
      </c>
      <c r="U279" s="82">
        <f>IF(A279="","",IF(COUNTIF(C279:F279,"Fail")&gt;0,"No-Bid (gate failed)",IF(S279&lt;12,"Incomplete ("&amp;S279&amp;"/12)",IF(T279&gt;='Scoring Guide'!$C$26,"Bid",IF(T279&gt;='Scoring Guide'!$C$27,"Conditional (MD)","No-Bid")))))</f>
        <v/>
      </c>
      <c r="V279" s="79" t="n"/>
      <c r="W279" s="83" t="n"/>
      <c r="X279" s="79" t="n"/>
      <c r="Y279" s="79" t="n"/>
    </row>
    <row r="280" ht="15" customHeight="1" s="51">
      <c r="A280" s="77">
        <f>IF(Pipeline!A280="","",Pipeline!A280)</f>
        <v/>
      </c>
      <c r="B280" s="78">
        <f>IF(A280="","",INDEX(Pipeline!$H:$H,MATCH(A280,Pipeline!$A:$A,0)))</f>
        <v/>
      </c>
      <c r="C280" s="79" t="n"/>
      <c r="D280" s="79" t="n"/>
      <c r="E280" s="79" t="n"/>
      <c r="F280" s="79" t="n"/>
      <c r="G280" s="79" t="n"/>
      <c r="H280" s="79" t="n"/>
      <c r="I280" s="79" t="n"/>
      <c r="J280" s="79" t="n"/>
      <c r="K280" s="79" t="n"/>
      <c r="L280" s="79" t="n"/>
      <c r="M280" s="79" t="n"/>
      <c r="N280" s="79" t="n"/>
      <c r="O280" s="79" t="n"/>
      <c r="P280" s="79" t="n"/>
      <c r="Q280" s="79" t="n"/>
      <c r="R280" s="79" t="n"/>
      <c r="S280" s="80">
        <f>IF(A280="","",COUNT(G280:R280))</f>
        <v/>
      </c>
      <c r="T280" s="81">
        <f>IF(OR(A280="",S280&lt;12),"",SUMPRODUCT($G$3:$R$3,G280:R280)/5)</f>
        <v/>
      </c>
      <c r="U280" s="82">
        <f>IF(A280="","",IF(COUNTIF(C280:F280,"Fail")&gt;0,"No-Bid (gate failed)",IF(S280&lt;12,"Incomplete ("&amp;S280&amp;"/12)",IF(T280&gt;='Scoring Guide'!$C$26,"Bid",IF(T280&gt;='Scoring Guide'!$C$27,"Conditional (MD)","No-Bid")))))</f>
        <v/>
      </c>
      <c r="V280" s="79" t="n"/>
      <c r="W280" s="83" t="n"/>
      <c r="X280" s="79" t="n"/>
      <c r="Y280" s="79" t="n"/>
    </row>
    <row r="281" ht="15" customHeight="1" s="51">
      <c r="A281" s="77">
        <f>IF(Pipeline!A281="","",Pipeline!A281)</f>
        <v/>
      </c>
      <c r="B281" s="78">
        <f>IF(A281="","",INDEX(Pipeline!$H:$H,MATCH(A281,Pipeline!$A:$A,0)))</f>
        <v/>
      </c>
      <c r="C281" s="79" t="n"/>
      <c r="D281" s="79" t="n"/>
      <c r="E281" s="79" t="n"/>
      <c r="F281" s="79" t="n"/>
      <c r="G281" s="79" t="n"/>
      <c r="H281" s="79" t="n"/>
      <c r="I281" s="79" t="n"/>
      <c r="J281" s="79" t="n"/>
      <c r="K281" s="79" t="n"/>
      <c r="L281" s="79" t="n"/>
      <c r="M281" s="79" t="n"/>
      <c r="N281" s="79" t="n"/>
      <c r="O281" s="79" t="n"/>
      <c r="P281" s="79" t="n"/>
      <c r="Q281" s="79" t="n"/>
      <c r="R281" s="79" t="n"/>
      <c r="S281" s="80">
        <f>IF(A281="","",COUNT(G281:R281))</f>
        <v/>
      </c>
      <c r="T281" s="81">
        <f>IF(OR(A281="",S281&lt;12),"",SUMPRODUCT($G$3:$R$3,G281:R281)/5)</f>
        <v/>
      </c>
      <c r="U281" s="82">
        <f>IF(A281="","",IF(COUNTIF(C281:F281,"Fail")&gt;0,"No-Bid (gate failed)",IF(S281&lt;12,"Incomplete ("&amp;S281&amp;"/12)",IF(T281&gt;='Scoring Guide'!$C$26,"Bid",IF(T281&gt;='Scoring Guide'!$C$27,"Conditional (MD)","No-Bid")))))</f>
        <v/>
      </c>
      <c r="V281" s="79" t="n"/>
      <c r="W281" s="83" t="n"/>
      <c r="X281" s="79" t="n"/>
      <c r="Y281" s="79" t="n"/>
    </row>
    <row r="282" ht="15" customHeight="1" s="51">
      <c r="A282" s="77">
        <f>IF(Pipeline!A282="","",Pipeline!A282)</f>
        <v/>
      </c>
      <c r="B282" s="78">
        <f>IF(A282="","",INDEX(Pipeline!$H:$H,MATCH(A282,Pipeline!$A:$A,0)))</f>
        <v/>
      </c>
      <c r="C282" s="79" t="n"/>
      <c r="D282" s="79" t="n"/>
      <c r="E282" s="79" t="n"/>
      <c r="F282" s="79" t="n"/>
      <c r="G282" s="79" t="n"/>
      <c r="H282" s="79" t="n"/>
      <c r="I282" s="79" t="n"/>
      <c r="J282" s="79" t="n"/>
      <c r="K282" s="79" t="n"/>
      <c r="L282" s="79" t="n"/>
      <c r="M282" s="79" t="n"/>
      <c r="N282" s="79" t="n"/>
      <c r="O282" s="79" t="n"/>
      <c r="P282" s="79" t="n"/>
      <c r="Q282" s="79" t="n"/>
      <c r="R282" s="79" t="n"/>
      <c r="S282" s="80">
        <f>IF(A282="","",COUNT(G282:R282))</f>
        <v/>
      </c>
      <c r="T282" s="81">
        <f>IF(OR(A282="",S282&lt;12),"",SUMPRODUCT($G$3:$R$3,G282:R282)/5)</f>
        <v/>
      </c>
      <c r="U282" s="82">
        <f>IF(A282="","",IF(COUNTIF(C282:F282,"Fail")&gt;0,"No-Bid (gate failed)",IF(S282&lt;12,"Incomplete ("&amp;S282&amp;"/12)",IF(T282&gt;='Scoring Guide'!$C$26,"Bid",IF(T282&gt;='Scoring Guide'!$C$27,"Conditional (MD)","No-Bid")))))</f>
        <v/>
      </c>
      <c r="V282" s="79" t="n"/>
      <c r="W282" s="83" t="n"/>
      <c r="X282" s="79" t="n"/>
      <c r="Y282" s="79" t="n"/>
    </row>
    <row r="283" ht="15" customHeight="1" s="51">
      <c r="A283" s="77">
        <f>IF(Pipeline!A283="","",Pipeline!A283)</f>
        <v/>
      </c>
      <c r="B283" s="78">
        <f>IF(A283="","",INDEX(Pipeline!$H:$H,MATCH(A283,Pipeline!$A:$A,0)))</f>
        <v/>
      </c>
      <c r="C283" s="79" t="n"/>
      <c r="D283" s="79" t="n"/>
      <c r="E283" s="79" t="n"/>
      <c r="F283" s="79" t="n"/>
      <c r="G283" s="79" t="n"/>
      <c r="H283" s="79" t="n"/>
      <c r="I283" s="79" t="n"/>
      <c r="J283" s="79" t="n"/>
      <c r="K283" s="79" t="n"/>
      <c r="L283" s="79" t="n"/>
      <c r="M283" s="79" t="n"/>
      <c r="N283" s="79" t="n"/>
      <c r="O283" s="79" t="n"/>
      <c r="P283" s="79" t="n"/>
      <c r="Q283" s="79" t="n"/>
      <c r="R283" s="79" t="n"/>
      <c r="S283" s="80">
        <f>IF(A283="","",COUNT(G283:R283))</f>
        <v/>
      </c>
      <c r="T283" s="81">
        <f>IF(OR(A283="",S283&lt;12),"",SUMPRODUCT($G$3:$R$3,G283:R283)/5)</f>
        <v/>
      </c>
      <c r="U283" s="82">
        <f>IF(A283="","",IF(COUNTIF(C283:F283,"Fail")&gt;0,"No-Bid (gate failed)",IF(S283&lt;12,"Incomplete ("&amp;S283&amp;"/12)",IF(T283&gt;='Scoring Guide'!$C$26,"Bid",IF(T283&gt;='Scoring Guide'!$C$27,"Conditional (MD)","No-Bid")))))</f>
        <v/>
      </c>
      <c r="V283" s="79" t="n"/>
      <c r="W283" s="83" t="n"/>
      <c r="X283" s="79" t="n"/>
      <c r="Y283" s="79" t="n"/>
    </row>
    <row r="284" ht="15" customHeight="1" s="51">
      <c r="A284" s="77">
        <f>IF(Pipeline!A284="","",Pipeline!A284)</f>
        <v/>
      </c>
      <c r="B284" s="78">
        <f>IF(A284="","",INDEX(Pipeline!$H:$H,MATCH(A284,Pipeline!$A:$A,0)))</f>
        <v/>
      </c>
      <c r="C284" s="79" t="n"/>
      <c r="D284" s="79" t="n"/>
      <c r="E284" s="79" t="n"/>
      <c r="F284" s="79" t="n"/>
      <c r="G284" s="79" t="n"/>
      <c r="H284" s="79" t="n"/>
      <c r="I284" s="79" t="n"/>
      <c r="J284" s="79" t="n"/>
      <c r="K284" s="79" t="n"/>
      <c r="L284" s="79" t="n"/>
      <c r="M284" s="79" t="n"/>
      <c r="N284" s="79" t="n"/>
      <c r="O284" s="79" t="n"/>
      <c r="P284" s="79" t="n"/>
      <c r="Q284" s="79" t="n"/>
      <c r="R284" s="79" t="n"/>
      <c r="S284" s="80">
        <f>IF(A284="","",COUNT(G284:R284))</f>
        <v/>
      </c>
      <c r="T284" s="81">
        <f>IF(OR(A284="",S284&lt;12),"",SUMPRODUCT($G$3:$R$3,G284:R284)/5)</f>
        <v/>
      </c>
      <c r="U284" s="82">
        <f>IF(A284="","",IF(COUNTIF(C284:F284,"Fail")&gt;0,"No-Bid (gate failed)",IF(S284&lt;12,"Incomplete ("&amp;S284&amp;"/12)",IF(T284&gt;='Scoring Guide'!$C$26,"Bid",IF(T284&gt;='Scoring Guide'!$C$27,"Conditional (MD)","No-Bid")))))</f>
        <v/>
      </c>
      <c r="V284" s="79" t="n"/>
      <c r="W284" s="83" t="n"/>
      <c r="X284" s="79" t="n"/>
      <c r="Y284" s="79" t="n"/>
    </row>
    <row r="285" ht="15" customHeight="1" s="51">
      <c r="A285" s="77">
        <f>IF(Pipeline!A285="","",Pipeline!A285)</f>
        <v/>
      </c>
      <c r="B285" s="78">
        <f>IF(A285="","",INDEX(Pipeline!$H:$H,MATCH(A285,Pipeline!$A:$A,0)))</f>
        <v/>
      </c>
      <c r="C285" s="79" t="n"/>
      <c r="D285" s="79" t="n"/>
      <c r="E285" s="79" t="n"/>
      <c r="F285" s="79" t="n"/>
      <c r="G285" s="79" t="n"/>
      <c r="H285" s="79" t="n"/>
      <c r="I285" s="79" t="n"/>
      <c r="J285" s="79" t="n"/>
      <c r="K285" s="79" t="n"/>
      <c r="L285" s="79" t="n"/>
      <c r="M285" s="79" t="n"/>
      <c r="N285" s="79" t="n"/>
      <c r="O285" s="79" t="n"/>
      <c r="P285" s="79" t="n"/>
      <c r="Q285" s="79" t="n"/>
      <c r="R285" s="79" t="n"/>
      <c r="S285" s="80">
        <f>IF(A285="","",COUNT(G285:R285))</f>
        <v/>
      </c>
      <c r="T285" s="81">
        <f>IF(OR(A285="",S285&lt;12),"",SUMPRODUCT($G$3:$R$3,G285:R285)/5)</f>
        <v/>
      </c>
      <c r="U285" s="82">
        <f>IF(A285="","",IF(COUNTIF(C285:F285,"Fail")&gt;0,"No-Bid (gate failed)",IF(S285&lt;12,"Incomplete ("&amp;S285&amp;"/12)",IF(T285&gt;='Scoring Guide'!$C$26,"Bid",IF(T285&gt;='Scoring Guide'!$C$27,"Conditional (MD)","No-Bid")))))</f>
        <v/>
      </c>
      <c r="V285" s="79" t="n"/>
      <c r="W285" s="83" t="n"/>
      <c r="X285" s="79" t="n"/>
      <c r="Y285" s="79" t="n"/>
    </row>
    <row r="286" ht="15" customHeight="1" s="51">
      <c r="A286" s="77">
        <f>IF(Pipeline!A286="","",Pipeline!A286)</f>
        <v/>
      </c>
      <c r="B286" s="78">
        <f>IF(A286="","",INDEX(Pipeline!$H:$H,MATCH(A286,Pipeline!$A:$A,0)))</f>
        <v/>
      </c>
      <c r="C286" s="79" t="n"/>
      <c r="D286" s="79" t="n"/>
      <c r="E286" s="79" t="n"/>
      <c r="F286" s="79" t="n"/>
      <c r="G286" s="79" t="n"/>
      <c r="H286" s="79" t="n"/>
      <c r="I286" s="79" t="n"/>
      <c r="J286" s="79" t="n"/>
      <c r="K286" s="79" t="n"/>
      <c r="L286" s="79" t="n"/>
      <c r="M286" s="79" t="n"/>
      <c r="N286" s="79" t="n"/>
      <c r="O286" s="79" t="n"/>
      <c r="P286" s="79" t="n"/>
      <c r="Q286" s="79" t="n"/>
      <c r="R286" s="79" t="n"/>
      <c r="S286" s="80">
        <f>IF(A286="","",COUNT(G286:R286))</f>
        <v/>
      </c>
      <c r="T286" s="81">
        <f>IF(OR(A286="",S286&lt;12),"",SUMPRODUCT($G$3:$R$3,G286:R286)/5)</f>
        <v/>
      </c>
      <c r="U286" s="82">
        <f>IF(A286="","",IF(COUNTIF(C286:F286,"Fail")&gt;0,"No-Bid (gate failed)",IF(S286&lt;12,"Incomplete ("&amp;S286&amp;"/12)",IF(T286&gt;='Scoring Guide'!$C$26,"Bid",IF(T286&gt;='Scoring Guide'!$C$27,"Conditional (MD)","No-Bid")))))</f>
        <v/>
      </c>
      <c r="V286" s="79" t="n"/>
      <c r="W286" s="83" t="n"/>
      <c r="X286" s="79" t="n"/>
      <c r="Y286" s="79" t="n"/>
    </row>
    <row r="287" ht="15" customHeight="1" s="51">
      <c r="A287" s="77">
        <f>IF(Pipeline!A287="","",Pipeline!A287)</f>
        <v/>
      </c>
      <c r="B287" s="78">
        <f>IF(A287="","",INDEX(Pipeline!$H:$H,MATCH(A287,Pipeline!$A:$A,0)))</f>
        <v/>
      </c>
      <c r="C287" s="79" t="n"/>
      <c r="D287" s="79" t="n"/>
      <c r="E287" s="79" t="n"/>
      <c r="F287" s="79" t="n"/>
      <c r="G287" s="79" t="n"/>
      <c r="H287" s="79" t="n"/>
      <c r="I287" s="79" t="n"/>
      <c r="J287" s="79" t="n"/>
      <c r="K287" s="79" t="n"/>
      <c r="L287" s="79" t="n"/>
      <c r="M287" s="79" t="n"/>
      <c r="N287" s="79" t="n"/>
      <c r="O287" s="79" t="n"/>
      <c r="P287" s="79" t="n"/>
      <c r="Q287" s="79" t="n"/>
      <c r="R287" s="79" t="n"/>
      <c r="S287" s="80">
        <f>IF(A287="","",COUNT(G287:R287))</f>
        <v/>
      </c>
      <c r="T287" s="81">
        <f>IF(OR(A287="",S287&lt;12),"",SUMPRODUCT($G$3:$R$3,G287:R287)/5)</f>
        <v/>
      </c>
      <c r="U287" s="82">
        <f>IF(A287="","",IF(COUNTIF(C287:F287,"Fail")&gt;0,"No-Bid (gate failed)",IF(S287&lt;12,"Incomplete ("&amp;S287&amp;"/12)",IF(T287&gt;='Scoring Guide'!$C$26,"Bid",IF(T287&gt;='Scoring Guide'!$C$27,"Conditional (MD)","No-Bid")))))</f>
        <v/>
      </c>
      <c r="V287" s="79" t="n"/>
      <c r="W287" s="83" t="n"/>
      <c r="X287" s="79" t="n"/>
      <c r="Y287" s="79" t="n"/>
    </row>
    <row r="288" ht="15" customHeight="1" s="51">
      <c r="A288" s="77">
        <f>IF(Pipeline!A288="","",Pipeline!A288)</f>
        <v/>
      </c>
      <c r="B288" s="78">
        <f>IF(A288="","",INDEX(Pipeline!$H:$H,MATCH(A288,Pipeline!$A:$A,0)))</f>
        <v/>
      </c>
      <c r="C288" s="79" t="n"/>
      <c r="D288" s="79" t="n"/>
      <c r="E288" s="79" t="n"/>
      <c r="F288" s="79" t="n"/>
      <c r="G288" s="79" t="n"/>
      <c r="H288" s="79" t="n"/>
      <c r="I288" s="79" t="n"/>
      <c r="J288" s="79" t="n"/>
      <c r="K288" s="79" t="n"/>
      <c r="L288" s="79" t="n"/>
      <c r="M288" s="79" t="n"/>
      <c r="N288" s="79" t="n"/>
      <c r="O288" s="79" t="n"/>
      <c r="P288" s="79" t="n"/>
      <c r="Q288" s="79" t="n"/>
      <c r="R288" s="79" t="n"/>
      <c r="S288" s="80">
        <f>IF(A288="","",COUNT(G288:R288))</f>
        <v/>
      </c>
      <c r="T288" s="81">
        <f>IF(OR(A288="",S288&lt;12),"",SUMPRODUCT($G$3:$R$3,G288:R288)/5)</f>
        <v/>
      </c>
      <c r="U288" s="82">
        <f>IF(A288="","",IF(COUNTIF(C288:F288,"Fail")&gt;0,"No-Bid (gate failed)",IF(S288&lt;12,"Incomplete ("&amp;S288&amp;"/12)",IF(T288&gt;='Scoring Guide'!$C$26,"Bid",IF(T288&gt;='Scoring Guide'!$C$27,"Conditional (MD)","No-Bid")))))</f>
        <v/>
      </c>
      <c r="V288" s="79" t="n"/>
      <c r="W288" s="83" t="n"/>
      <c r="X288" s="79" t="n"/>
      <c r="Y288" s="79" t="n"/>
    </row>
    <row r="289" ht="15" customHeight="1" s="51">
      <c r="A289" s="77">
        <f>IF(Pipeline!A289="","",Pipeline!A289)</f>
        <v/>
      </c>
      <c r="B289" s="78">
        <f>IF(A289="","",INDEX(Pipeline!$H:$H,MATCH(A289,Pipeline!$A:$A,0)))</f>
        <v/>
      </c>
      <c r="C289" s="79" t="n"/>
      <c r="D289" s="79" t="n"/>
      <c r="E289" s="79" t="n"/>
      <c r="F289" s="79" t="n"/>
      <c r="G289" s="79" t="n"/>
      <c r="H289" s="79" t="n"/>
      <c r="I289" s="79" t="n"/>
      <c r="J289" s="79" t="n"/>
      <c r="K289" s="79" t="n"/>
      <c r="L289" s="79" t="n"/>
      <c r="M289" s="79" t="n"/>
      <c r="N289" s="79" t="n"/>
      <c r="O289" s="79" t="n"/>
      <c r="P289" s="79" t="n"/>
      <c r="Q289" s="79" t="n"/>
      <c r="R289" s="79" t="n"/>
      <c r="S289" s="80">
        <f>IF(A289="","",COUNT(G289:R289))</f>
        <v/>
      </c>
      <c r="T289" s="81">
        <f>IF(OR(A289="",S289&lt;12),"",SUMPRODUCT($G$3:$R$3,G289:R289)/5)</f>
        <v/>
      </c>
      <c r="U289" s="82">
        <f>IF(A289="","",IF(COUNTIF(C289:F289,"Fail")&gt;0,"No-Bid (gate failed)",IF(S289&lt;12,"Incomplete ("&amp;S289&amp;"/12)",IF(T289&gt;='Scoring Guide'!$C$26,"Bid",IF(T289&gt;='Scoring Guide'!$C$27,"Conditional (MD)","No-Bid")))))</f>
        <v/>
      </c>
      <c r="V289" s="79" t="n"/>
      <c r="W289" s="83" t="n"/>
      <c r="X289" s="79" t="n"/>
      <c r="Y289" s="79" t="n"/>
    </row>
    <row r="290" ht="15" customHeight="1" s="51">
      <c r="A290" s="77">
        <f>IF(Pipeline!A290="","",Pipeline!A290)</f>
        <v/>
      </c>
      <c r="B290" s="78">
        <f>IF(A290="","",INDEX(Pipeline!$H:$H,MATCH(A290,Pipeline!$A:$A,0)))</f>
        <v/>
      </c>
      <c r="C290" s="79" t="n"/>
      <c r="D290" s="79" t="n"/>
      <c r="E290" s="79" t="n"/>
      <c r="F290" s="79" t="n"/>
      <c r="G290" s="79" t="n"/>
      <c r="H290" s="79" t="n"/>
      <c r="I290" s="79" t="n"/>
      <c r="J290" s="79" t="n"/>
      <c r="K290" s="79" t="n"/>
      <c r="L290" s="79" t="n"/>
      <c r="M290" s="79" t="n"/>
      <c r="N290" s="79" t="n"/>
      <c r="O290" s="79" t="n"/>
      <c r="P290" s="79" t="n"/>
      <c r="Q290" s="79" t="n"/>
      <c r="R290" s="79" t="n"/>
      <c r="S290" s="80">
        <f>IF(A290="","",COUNT(G290:R290))</f>
        <v/>
      </c>
      <c r="T290" s="81">
        <f>IF(OR(A290="",S290&lt;12),"",SUMPRODUCT($G$3:$R$3,G290:R290)/5)</f>
        <v/>
      </c>
      <c r="U290" s="82">
        <f>IF(A290="","",IF(COUNTIF(C290:F290,"Fail")&gt;0,"No-Bid (gate failed)",IF(S290&lt;12,"Incomplete ("&amp;S290&amp;"/12)",IF(T290&gt;='Scoring Guide'!$C$26,"Bid",IF(T290&gt;='Scoring Guide'!$C$27,"Conditional (MD)","No-Bid")))))</f>
        <v/>
      </c>
      <c r="V290" s="79" t="n"/>
      <c r="W290" s="83" t="n"/>
      <c r="X290" s="79" t="n"/>
      <c r="Y290" s="79" t="n"/>
    </row>
    <row r="291" ht="15" customHeight="1" s="51">
      <c r="A291" s="77">
        <f>IF(Pipeline!A291="","",Pipeline!A291)</f>
        <v/>
      </c>
      <c r="B291" s="78">
        <f>IF(A291="","",INDEX(Pipeline!$H:$H,MATCH(A291,Pipeline!$A:$A,0)))</f>
        <v/>
      </c>
      <c r="C291" s="79" t="n"/>
      <c r="D291" s="79" t="n"/>
      <c r="E291" s="79" t="n"/>
      <c r="F291" s="79" t="n"/>
      <c r="G291" s="79" t="n"/>
      <c r="H291" s="79" t="n"/>
      <c r="I291" s="79" t="n"/>
      <c r="J291" s="79" t="n"/>
      <c r="K291" s="79" t="n"/>
      <c r="L291" s="79" t="n"/>
      <c r="M291" s="79" t="n"/>
      <c r="N291" s="79" t="n"/>
      <c r="O291" s="79" t="n"/>
      <c r="P291" s="79" t="n"/>
      <c r="Q291" s="79" t="n"/>
      <c r="R291" s="79" t="n"/>
      <c r="S291" s="80">
        <f>IF(A291="","",COUNT(G291:R291))</f>
        <v/>
      </c>
      <c r="T291" s="81">
        <f>IF(OR(A291="",S291&lt;12),"",SUMPRODUCT($G$3:$R$3,G291:R291)/5)</f>
        <v/>
      </c>
      <c r="U291" s="82">
        <f>IF(A291="","",IF(COUNTIF(C291:F291,"Fail")&gt;0,"No-Bid (gate failed)",IF(S291&lt;12,"Incomplete ("&amp;S291&amp;"/12)",IF(T291&gt;='Scoring Guide'!$C$26,"Bid",IF(T291&gt;='Scoring Guide'!$C$27,"Conditional (MD)","No-Bid")))))</f>
        <v/>
      </c>
      <c r="V291" s="79" t="n"/>
      <c r="W291" s="83" t="n"/>
      <c r="X291" s="79" t="n"/>
      <c r="Y291" s="79" t="n"/>
    </row>
    <row r="292" ht="15" customHeight="1" s="51">
      <c r="A292" s="77">
        <f>IF(Pipeline!A292="","",Pipeline!A292)</f>
        <v/>
      </c>
      <c r="B292" s="78">
        <f>IF(A292="","",INDEX(Pipeline!$H:$H,MATCH(A292,Pipeline!$A:$A,0)))</f>
        <v/>
      </c>
      <c r="C292" s="79" t="n"/>
      <c r="D292" s="79" t="n"/>
      <c r="E292" s="79" t="n"/>
      <c r="F292" s="79" t="n"/>
      <c r="G292" s="79" t="n"/>
      <c r="H292" s="79" t="n"/>
      <c r="I292" s="79" t="n"/>
      <c r="J292" s="79" t="n"/>
      <c r="K292" s="79" t="n"/>
      <c r="L292" s="79" t="n"/>
      <c r="M292" s="79" t="n"/>
      <c r="N292" s="79" t="n"/>
      <c r="O292" s="79" t="n"/>
      <c r="P292" s="79" t="n"/>
      <c r="Q292" s="79" t="n"/>
      <c r="R292" s="79" t="n"/>
      <c r="S292" s="80">
        <f>IF(A292="","",COUNT(G292:R292))</f>
        <v/>
      </c>
      <c r="T292" s="81">
        <f>IF(OR(A292="",S292&lt;12),"",SUMPRODUCT($G$3:$R$3,G292:R292)/5)</f>
        <v/>
      </c>
      <c r="U292" s="82">
        <f>IF(A292="","",IF(COUNTIF(C292:F292,"Fail")&gt;0,"No-Bid (gate failed)",IF(S292&lt;12,"Incomplete ("&amp;S292&amp;"/12)",IF(T292&gt;='Scoring Guide'!$C$26,"Bid",IF(T292&gt;='Scoring Guide'!$C$27,"Conditional (MD)","No-Bid")))))</f>
        <v/>
      </c>
      <c r="V292" s="79" t="n"/>
      <c r="W292" s="83" t="n"/>
      <c r="X292" s="79" t="n"/>
      <c r="Y292" s="79" t="n"/>
    </row>
    <row r="293" ht="15" customHeight="1" s="51">
      <c r="A293" s="77">
        <f>IF(Pipeline!A293="","",Pipeline!A293)</f>
        <v/>
      </c>
      <c r="B293" s="78">
        <f>IF(A293="","",INDEX(Pipeline!$H:$H,MATCH(A293,Pipeline!$A:$A,0)))</f>
        <v/>
      </c>
      <c r="C293" s="79" t="n"/>
      <c r="D293" s="79" t="n"/>
      <c r="E293" s="79" t="n"/>
      <c r="F293" s="79" t="n"/>
      <c r="G293" s="79" t="n"/>
      <c r="H293" s="79" t="n"/>
      <c r="I293" s="79" t="n"/>
      <c r="J293" s="79" t="n"/>
      <c r="K293" s="79" t="n"/>
      <c r="L293" s="79" t="n"/>
      <c r="M293" s="79" t="n"/>
      <c r="N293" s="79" t="n"/>
      <c r="O293" s="79" t="n"/>
      <c r="P293" s="79" t="n"/>
      <c r="Q293" s="79" t="n"/>
      <c r="R293" s="79" t="n"/>
      <c r="S293" s="80">
        <f>IF(A293="","",COUNT(G293:R293))</f>
        <v/>
      </c>
      <c r="T293" s="81">
        <f>IF(OR(A293="",S293&lt;12),"",SUMPRODUCT($G$3:$R$3,G293:R293)/5)</f>
        <v/>
      </c>
      <c r="U293" s="82">
        <f>IF(A293="","",IF(COUNTIF(C293:F293,"Fail")&gt;0,"No-Bid (gate failed)",IF(S293&lt;12,"Incomplete ("&amp;S293&amp;"/12)",IF(T293&gt;='Scoring Guide'!$C$26,"Bid",IF(T293&gt;='Scoring Guide'!$C$27,"Conditional (MD)","No-Bid")))))</f>
        <v/>
      </c>
      <c r="V293" s="79" t="n"/>
      <c r="W293" s="83" t="n"/>
      <c r="X293" s="79" t="n"/>
      <c r="Y293" s="79" t="n"/>
    </row>
    <row r="294" ht="15" customHeight="1" s="51">
      <c r="A294" s="77">
        <f>IF(Pipeline!A294="","",Pipeline!A294)</f>
        <v/>
      </c>
      <c r="B294" s="78">
        <f>IF(A294="","",INDEX(Pipeline!$H:$H,MATCH(A294,Pipeline!$A:$A,0)))</f>
        <v/>
      </c>
      <c r="C294" s="79" t="n"/>
      <c r="D294" s="79" t="n"/>
      <c r="E294" s="79" t="n"/>
      <c r="F294" s="79" t="n"/>
      <c r="G294" s="79" t="n"/>
      <c r="H294" s="79" t="n"/>
      <c r="I294" s="79" t="n"/>
      <c r="J294" s="79" t="n"/>
      <c r="K294" s="79" t="n"/>
      <c r="L294" s="79" t="n"/>
      <c r="M294" s="79" t="n"/>
      <c r="N294" s="79" t="n"/>
      <c r="O294" s="79" t="n"/>
      <c r="P294" s="79" t="n"/>
      <c r="Q294" s="79" t="n"/>
      <c r="R294" s="79" t="n"/>
      <c r="S294" s="80">
        <f>IF(A294="","",COUNT(G294:R294))</f>
        <v/>
      </c>
      <c r="T294" s="81">
        <f>IF(OR(A294="",S294&lt;12),"",SUMPRODUCT($G$3:$R$3,G294:R294)/5)</f>
        <v/>
      </c>
      <c r="U294" s="82">
        <f>IF(A294="","",IF(COUNTIF(C294:F294,"Fail")&gt;0,"No-Bid (gate failed)",IF(S294&lt;12,"Incomplete ("&amp;S294&amp;"/12)",IF(T294&gt;='Scoring Guide'!$C$26,"Bid",IF(T294&gt;='Scoring Guide'!$C$27,"Conditional (MD)","No-Bid")))))</f>
        <v/>
      </c>
      <c r="V294" s="79" t="n"/>
      <c r="W294" s="83" t="n"/>
      <c r="X294" s="79" t="n"/>
      <c r="Y294" s="79" t="n"/>
    </row>
    <row r="295" ht="15" customHeight="1" s="51">
      <c r="A295" s="77">
        <f>IF(Pipeline!A295="","",Pipeline!A295)</f>
        <v/>
      </c>
      <c r="B295" s="78">
        <f>IF(A295="","",INDEX(Pipeline!$H:$H,MATCH(A295,Pipeline!$A:$A,0)))</f>
        <v/>
      </c>
      <c r="C295" s="79" t="n"/>
      <c r="D295" s="79" t="n"/>
      <c r="E295" s="79" t="n"/>
      <c r="F295" s="79" t="n"/>
      <c r="G295" s="79" t="n"/>
      <c r="H295" s="79" t="n"/>
      <c r="I295" s="79" t="n"/>
      <c r="J295" s="79" t="n"/>
      <c r="K295" s="79" t="n"/>
      <c r="L295" s="79" t="n"/>
      <c r="M295" s="79" t="n"/>
      <c r="N295" s="79" t="n"/>
      <c r="O295" s="79" t="n"/>
      <c r="P295" s="79" t="n"/>
      <c r="Q295" s="79" t="n"/>
      <c r="R295" s="79" t="n"/>
      <c r="S295" s="80">
        <f>IF(A295="","",COUNT(G295:R295))</f>
        <v/>
      </c>
      <c r="T295" s="81">
        <f>IF(OR(A295="",S295&lt;12),"",SUMPRODUCT($G$3:$R$3,G295:R295)/5)</f>
        <v/>
      </c>
      <c r="U295" s="82">
        <f>IF(A295="","",IF(COUNTIF(C295:F295,"Fail")&gt;0,"No-Bid (gate failed)",IF(S295&lt;12,"Incomplete ("&amp;S295&amp;"/12)",IF(T295&gt;='Scoring Guide'!$C$26,"Bid",IF(T295&gt;='Scoring Guide'!$C$27,"Conditional (MD)","No-Bid")))))</f>
        <v/>
      </c>
      <c r="V295" s="79" t="n"/>
      <c r="W295" s="83" t="n"/>
      <c r="X295" s="79" t="n"/>
      <c r="Y295" s="79" t="n"/>
    </row>
    <row r="296" ht="15" customHeight="1" s="51">
      <c r="A296" s="77">
        <f>IF(Pipeline!A296="","",Pipeline!A296)</f>
        <v/>
      </c>
      <c r="B296" s="78">
        <f>IF(A296="","",INDEX(Pipeline!$H:$H,MATCH(A296,Pipeline!$A:$A,0)))</f>
        <v/>
      </c>
      <c r="C296" s="79" t="n"/>
      <c r="D296" s="79" t="n"/>
      <c r="E296" s="79" t="n"/>
      <c r="F296" s="79" t="n"/>
      <c r="G296" s="79" t="n"/>
      <c r="H296" s="79" t="n"/>
      <c r="I296" s="79" t="n"/>
      <c r="J296" s="79" t="n"/>
      <c r="K296" s="79" t="n"/>
      <c r="L296" s="79" t="n"/>
      <c r="M296" s="79" t="n"/>
      <c r="N296" s="79" t="n"/>
      <c r="O296" s="79" t="n"/>
      <c r="P296" s="79" t="n"/>
      <c r="Q296" s="79" t="n"/>
      <c r="R296" s="79" t="n"/>
      <c r="S296" s="80">
        <f>IF(A296="","",COUNT(G296:R296))</f>
        <v/>
      </c>
      <c r="T296" s="81">
        <f>IF(OR(A296="",S296&lt;12),"",SUMPRODUCT($G$3:$R$3,G296:R296)/5)</f>
        <v/>
      </c>
      <c r="U296" s="82">
        <f>IF(A296="","",IF(COUNTIF(C296:F296,"Fail")&gt;0,"No-Bid (gate failed)",IF(S296&lt;12,"Incomplete ("&amp;S296&amp;"/12)",IF(T296&gt;='Scoring Guide'!$C$26,"Bid",IF(T296&gt;='Scoring Guide'!$C$27,"Conditional (MD)","No-Bid")))))</f>
        <v/>
      </c>
      <c r="V296" s="79" t="n"/>
      <c r="W296" s="83" t="n"/>
      <c r="X296" s="79" t="n"/>
      <c r="Y296" s="79" t="n"/>
    </row>
    <row r="297" ht="15" customHeight="1" s="51">
      <c r="A297" s="77">
        <f>IF(Pipeline!A297="","",Pipeline!A297)</f>
        <v/>
      </c>
      <c r="B297" s="78">
        <f>IF(A297="","",INDEX(Pipeline!$H:$H,MATCH(A297,Pipeline!$A:$A,0)))</f>
        <v/>
      </c>
      <c r="C297" s="79" t="n"/>
      <c r="D297" s="79" t="n"/>
      <c r="E297" s="79" t="n"/>
      <c r="F297" s="79" t="n"/>
      <c r="G297" s="79" t="n"/>
      <c r="H297" s="79" t="n"/>
      <c r="I297" s="79" t="n"/>
      <c r="J297" s="79" t="n"/>
      <c r="K297" s="79" t="n"/>
      <c r="L297" s="79" t="n"/>
      <c r="M297" s="79" t="n"/>
      <c r="N297" s="79" t="n"/>
      <c r="O297" s="79" t="n"/>
      <c r="P297" s="79" t="n"/>
      <c r="Q297" s="79" t="n"/>
      <c r="R297" s="79" t="n"/>
      <c r="S297" s="80">
        <f>IF(A297="","",COUNT(G297:R297))</f>
        <v/>
      </c>
      <c r="T297" s="81">
        <f>IF(OR(A297="",S297&lt;12),"",SUMPRODUCT($G$3:$R$3,G297:R297)/5)</f>
        <v/>
      </c>
      <c r="U297" s="82">
        <f>IF(A297="","",IF(COUNTIF(C297:F297,"Fail")&gt;0,"No-Bid (gate failed)",IF(S297&lt;12,"Incomplete ("&amp;S297&amp;"/12)",IF(T297&gt;='Scoring Guide'!$C$26,"Bid",IF(T297&gt;='Scoring Guide'!$C$27,"Conditional (MD)","No-Bid")))))</f>
        <v/>
      </c>
      <c r="V297" s="79" t="n"/>
      <c r="W297" s="83" t="n"/>
      <c r="X297" s="79" t="n"/>
      <c r="Y297" s="79" t="n"/>
    </row>
    <row r="298" ht="15" customHeight="1" s="51">
      <c r="A298" s="77">
        <f>IF(Pipeline!A298="","",Pipeline!A298)</f>
        <v/>
      </c>
      <c r="B298" s="78">
        <f>IF(A298="","",INDEX(Pipeline!$H:$H,MATCH(A298,Pipeline!$A:$A,0)))</f>
        <v/>
      </c>
      <c r="C298" s="79" t="n"/>
      <c r="D298" s="79" t="n"/>
      <c r="E298" s="79" t="n"/>
      <c r="F298" s="79" t="n"/>
      <c r="G298" s="79" t="n"/>
      <c r="H298" s="79" t="n"/>
      <c r="I298" s="79" t="n"/>
      <c r="J298" s="79" t="n"/>
      <c r="K298" s="79" t="n"/>
      <c r="L298" s="79" t="n"/>
      <c r="M298" s="79" t="n"/>
      <c r="N298" s="79" t="n"/>
      <c r="O298" s="79" t="n"/>
      <c r="P298" s="79" t="n"/>
      <c r="Q298" s="79" t="n"/>
      <c r="R298" s="79" t="n"/>
      <c r="S298" s="80">
        <f>IF(A298="","",COUNT(G298:R298))</f>
        <v/>
      </c>
      <c r="T298" s="81">
        <f>IF(OR(A298="",S298&lt;12),"",SUMPRODUCT($G$3:$R$3,G298:R298)/5)</f>
        <v/>
      </c>
      <c r="U298" s="82">
        <f>IF(A298="","",IF(COUNTIF(C298:F298,"Fail")&gt;0,"No-Bid (gate failed)",IF(S298&lt;12,"Incomplete ("&amp;S298&amp;"/12)",IF(T298&gt;='Scoring Guide'!$C$26,"Bid",IF(T298&gt;='Scoring Guide'!$C$27,"Conditional (MD)","No-Bid")))))</f>
        <v/>
      </c>
      <c r="V298" s="79" t="n"/>
      <c r="W298" s="83" t="n"/>
      <c r="X298" s="79" t="n"/>
      <c r="Y298" s="79" t="n"/>
    </row>
    <row r="299" ht="15" customHeight="1" s="51">
      <c r="A299" s="77">
        <f>IF(Pipeline!A299="","",Pipeline!A299)</f>
        <v/>
      </c>
      <c r="B299" s="78">
        <f>IF(A299="","",INDEX(Pipeline!$H:$H,MATCH(A299,Pipeline!$A:$A,0)))</f>
        <v/>
      </c>
      <c r="C299" s="79" t="n"/>
      <c r="D299" s="79" t="n"/>
      <c r="E299" s="79" t="n"/>
      <c r="F299" s="79" t="n"/>
      <c r="G299" s="79" t="n"/>
      <c r="H299" s="79" t="n"/>
      <c r="I299" s="79" t="n"/>
      <c r="J299" s="79" t="n"/>
      <c r="K299" s="79" t="n"/>
      <c r="L299" s="79" t="n"/>
      <c r="M299" s="79" t="n"/>
      <c r="N299" s="79" t="n"/>
      <c r="O299" s="79" t="n"/>
      <c r="P299" s="79" t="n"/>
      <c r="Q299" s="79" t="n"/>
      <c r="R299" s="79" t="n"/>
      <c r="S299" s="80">
        <f>IF(A299="","",COUNT(G299:R299))</f>
        <v/>
      </c>
      <c r="T299" s="81">
        <f>IF(OR(A299="",S299&lt;12),"",SUMPRODUCT($G$3:$R$3,G299:R299)/5)</f>
        <v/>
      </c>
      <c r="U299" s="82">
        <f>IF(A299="","",IF(COUNTIF(C299:F299,"Fail")&gt;0,"No-Bid (gate failed)",IF(S299&lt;12,"Incomplete ("&amp;S299&amp;"/12)",IF(T299&gt;='Scoring Guide'!$C$26,"Bid",IF(T299&gt;='Scoring Guide'!$C$27,"Conditional (MD)","No-Bid")))))</f>
        <v/>
      </c>
      <c r="V299" s="79" t="n"/>
      <c r="W299" s="83" t="n"/>
      <c r="X299" s="79" t="n"/>
      <c r="Y299" s="79" t="n"/>
    </row>
    <row r="300" ht="15" customHeight="1" s="51">
      <c r="A300" s="77">
        <f>IF(Pipeline!A300="","",Pipeline!A300)</f>
        <v/>
      </c>
      <c r="B300" s="78">
        <f>IF(A300="","",INDEX(Pipeline!$H:$H,MATCH(A300,Pipeline!$A:$A,0)))</f>
        <v/>
      </c>
      <c r="C300" s="79" t="n"/>
      <c r="D300" s="79" t="n"/>
      <c r="E300" s="79" t="n"/>
      <c r="F300" s="79" t="n"/>
      <c r="G300" s="79" t="n"/>
      <c r="H300" s="79" t="n"/>
      <c r="I300" s="79" t="n"/>
      <c r="J300" s="79" t="n"/>
      <c r="K300" s="79" t="n"/>
      <c r="L300" s="79" t="n"/>
      <c r="M300" s="79" t="n"/>
      <c r="N300" s="79" t="n"/>
      <c r="O300" s="79" t="n"/>
      <c r="P300" s="79" t="n"/>
      <c r="Q300" s="79" t="n"/>
      <c r="R300" s="79" t="n"/>
      <c r="S300" s="80">
        <f>IF(A300="","",COUNT(G300:R300))</f>
        <v/>
      </c>
      <c r="T300" s="81">
        <f>IF(OR(A300="",S300&lt;12),"",SUMPRODUCT($G$3:$R$3,G300:R300)/5)</f>
        <v/>
      </c>
      <c r="U300" s="82">
        <f>IF(A300="","",IF(COUNTIF(C300:F300,"Fail")&gt;0,"No-Bid (gate failed)",IF(S300&lt;12,"Incomplete ("&amp;S300&amp;"/12)",IF(T300&gt;='Scoring Guide'!$C$26,"Bid",IF(T300&gt;='Scoring Guide'!$C$27,"Conditional (MD)","No-Bid")))))</f>
        <v/>
      </c>
      <c r="V300" s="79" t="n"/>
      <c r="W300" s="83" t="n"/>
      <c r="X300" s="79" t="n"/>
      <c r="Y300" s="79" t="n"/>
    </row>
    <row r="301" ht="15" customHeight="1" s="51">
      <c r="A301" s="77">
        <f>IF(Pipeline!A301="","",Pipeline!A301)</f>
        <v/>
      </c>
      <c r="B301" s="78">
        <f>IF(A301="","",INDEX(Pipeline!$H:$H,MATCH(A301,Pipeline!$A:$A,0)))</f>
        <v/>
      </c>
      <c r="C301" s="79" t="n"/>
      <c r="D301" s="79" t="n"/>
      <c r="E301" s="79" t="n"/>
      <c r="F301" s="79" t="n"/>
      <c r="G301" s="79" t="n"/>
      <c r="H301" s="79" t="n"/>
      <c r="I301" s="79" t="n"/>
      <c r="J301" s="79" t="n"/>
      <c r="K301" s="79" t="n"/>
      <c r="L301" s="79" t="n"/>
      <c r="M301" s="79" t="n"/>
      <c r="N301" s="79" t="n"/>
      <c r="O301" s="79" t="n"/>
      <c r="P301" s="79" t="n"/>
      <c r="Q301" s="79" t="n"/>
      <c r="R301" s="79" t="n"/>
      <c r="S301" s="80">
        <f>IF(A301="","",COUNT(G301:R301))</f>
        <v/>
      </c>
      <c r="T301" s="81">
        <f>IF(OR(A301="",S301&lt;12),"",SUMPRODUCT($G$3:$R$3,G301:R301)/5)</f>
        <v/>
      </c>
      <c r="U301" s="82">
        <f>IF(A301="","",IF(COUNTIF(C301:F301,"Fail")&gt;0,"No-Bid (gate failed)",IF(S301&lt;12,"Incomplete ("&amp;S301&amp;"/12)",IF(T301&gt;='Scoring Guide'!$C$26,"Bid",IF(T301&gt;='Scoring Guide'!$C$27,"Conditional (MD)","No-Bid")))))</f>
        <v/>
      </c>
      <c r="V301" s="79" t="n"/>
      <c r="W301" s="83" t="n"/>
      <c r="X301" s="79" t="n"/>
      <c r="Y301" s="79" t="n"/>
    </row>
    <row r="302" ht="15" customHeight="1" s="51">
      <c r="A302" s="77">
        <f>IF(Pipeline!A302="","",Pipeline!A302)</f>
        <v/>
      </c>
      <c r="B302" s="78">
        <f>IF(A302="","",INDEX(Pipeline!$H:$H,MATCH(A302,Pipeline!$A:$A,0)))</f>
        <v/>
      </c>
      <c r="C302" s="79" t="n"/>
      <c r="D302" s="79" t="n"/>
      <c r="E302" s="79" t="n"/>
      <c r="F302" s="79" t="n"/>
      <c r="G302" s="79" t="n"/>
      <c r="H302" s="79" t="n"/>
      <c r="I302" s="79" t="n"/>
      <c r="J302" s="79" t="n"/>
      <c r="K302" s="79" t="n"/>
      <c r="L302" s="79" t="n"/>
      <c r="M302" s="79" t="n"/>
      <c r="N302" s="79" t="n"/>
      <c r="O302" s="79" t="n"/>
      <c r="P302" s="79" t="n"/>
      <c r="Q302" s="79" t="n"/>
      <c r="R302" s="79" t="n"/>
      <c r="S302" s="80">
        <f>IF(A302="","",COUNT(G302:R302))</f>
        <v/>
      </c>
      <c r="T302" s="81">
        <f>IF(OR(A302="",S302&lt;12),"",SUMPRODUCT($G$3:$R$3,G302:R302)/5)</f>
        <v/>
      </c>
      <c r="U302" s="82">
        <f>IF(A302="","",IF(COUNTIF(C302:F302,"Fail")&gt;0,"No-Bid (gate failed)",IF(S302&lt;12,"Incomplete ("&amp;S302&amp;"/12)",IF(T302&gt;='Scoring Guide'!$C$26,"Bid",IF(T302&gt;='Scoring Guide'!$C$27,"Conditional (MD)","No-Bid")))))</f>
        <v/>
      </c>
      <c r="V302" s="79" t="n"/>
      <c r="W302" s="83" t="n"/>
      <c r="X302" s="79" t="n"/>
      <c r="Y302" s="79" t="n"/>
    </row>
    <row r="303" ht="15" customHeight="1" s="51">
      <c r="A303" s="77">
        <f>IF(Pipeline!A303="","",Pipeline!A303)</f>
        <v/>
      </c>
      <c r="B303" s="78">
        <f>IF(A303="","",INDEX(Pipeline!$H:$H,MATCH(A303,Pipeline!$A:$A,0)))</f>
        <v/>
      </c>
      <c r="C303" s="79" t="n"/>
      <c r="D303" s="79" t="n"/>
      <c r="E303" s="79" t="n"/>
      <c r="F303" s="79" t="n"/>
      <c r="G303" s="79" t="n"/>
      <c r="H303" s="79" t="n"/>
      <c r="I303" s="79" t="n"/>
      <c r="J303" s="79" t="n"/>
      <c r="K303" s="79" t="n"/>
      <c r="L303" s="79" t="n"/>
      <c r="M303" s="79" t="n"/>
      <c r="N303" s="79" t="n"/>
      <c r="O303" s="79" t="n"/>
      <c r="P303" s="79" t="n"/>
      <c r="Q303" s="79" t="n"/>
      <c r="R303" s="79" t="n"/>
      <c r="S303" s="80">
        <f>IF(A303="","",COUNT(G303:R303))</f>
        <v/>
      </c>
      <c r="T303" s="81">
        <f>IF(OR(A303="",S303&lt;12),"",SUMPRODUCT($G$3:$R$3,G303:R303)/5)</f>
        <v/>
      </c>
      <c r="U303" s="82">
        <f>IF(A303="","",IF(COUNTIF(C303:F303,"Fail")&gt;0,"No-Bid (gate failed)",IF(S303&lt;12,"Incomplete ("&amp;S303&amp;"/12)",IF(T303&gt;='Scoring Guide'!$C$26,"Bid",IF(T303&gt;='Scoring Guide'!$C$27,"Conditional (MD)","No-Bid")))))</f>
        <v/>
      </c>
      <c r="V303" s="79" t="n"/>
      <c r="W303" s="83" t="n"/>
      <c r="X303" s="79" t="n"/>
      <c r="Y303" s="79" t="n"/>
    </row>
    <row r="304" ht="15" customHeight="1" s="51">
      <c r="A304" s="77">
        <f>IF(Pipeline!A304="","",Pipeline!A304)</f>
        <v/>
      </c>
      <c r="B304" s="78">
        <f>IF(A304="","",INDEX(Pipeline!$H:$H,MATCH(A304,Pipeline!$A:$A,0)))</f>
        <v/>
      </c>
      <c r="C304" s="79" t="n"/>
      <c r="D304" s="79" t="n"/>
      <c r="E304" s="79" t="n"/>
      <c r="F304" s="79" t="n"/>
      <c r="G304" s="79" t="n"/>
      <c r="H304" s="79" t="n"/>
      <c r="I304" s="79" t="n"/>
      <c r="J304" s="79" t="n"/>
      <c r="K304" s="79" t="n"/>
      <c r="L304" s="79" t="n"/>
      <c r="M304" s="79" t="n"/>
      <c r="N304" s="79" t="n"/>
      <c r="O304" s="79" t="n"/>
      <c r="P304" s="79" t="n"/>
      <c r="Q304" s="79" t="n"/>
      <c r="R304" s="79" t="n"/>
      <c r="S304" s="80">
        <f>IF(A304="","",COUNT(G304:R304))</f>
        <v/>
      </c>
      <c r="T304" s="81">
        <f>IF(OR(A304="",S304&lt;12),"",SUMPRODUCT($G$3:$R$3,G304:R304)/5)</f>
        <v/>
      </c>
      <c r="U304" s="82">
        <f>IF(A304="","",IF(COUNTIF(C304:F304,"Fail")&gt;0,"No-Bid (gate failed)",IF(S304&lt;12,"Incomplete ("&amp;S304&amp;"/12)",IF(T304&gt;='Scoring Guide'!$C$26,"Bid",IF(T304&gt;='Scoring Guide'!$C$27,"Conditional (MD)","No-Bid")))))</f>
        <v/>
      </c>
      <c r="V304" s="79" t="n"/>
      <c r="W304" s="83" t="n"/>
      <c r="X304" s="79" t="n"/>
      <c r="Y304" s="79" t="n"/>
    </row>
    <row r="305" ht="15" customHeight="1" s="51">
      <c r="A305" s="77">
        <f>IF(Pipeline!A305="","",Pipeline!A305)</f>
        <v/>
      </c>
      <c r="B305" s="78">
        <f>IF(A305="","",INDEX(Pipeline!$H:$H,MATCH(A305,Pipeline!$A:$A,0)))</f>
        <v/>
      </c>
      <c r="C305" s="79" t="n"/>
      <c r="D305" s="79" t="n"/>
      <c r="E305" s="79" t="n"/>
      <c r="F305" s="79" t="n"/>
      <c r="G305" s="79" t="n"/>
      <c r="H305" s="79" t="n"/>
      <c r="I305" s="79" t="n"/>
      <c r="J305" s="79" t="n"/>
      <c r="K305" s="79" t="n"/>
      <c r="L305" s="79" t="n"/>
      <c r="M305" s="79" t="n"/>
      <c r="N305" s="79" t="n"/>
      <c r="O305" s="79" t="n"/>
      <c r="P305" s="79" t="n"/>
      <c r="Q305" s="79" t="n"/>
      <c r="R305" s="79" t="n"/>
      <c r="S305" s="80">
        <f>IF(A305="","",COUNT(G305:R305))</f>
        <v/>
      </c>
      <c r="T305" s="81">
        <f>IF(OR(A305="",S305&lt;12),"",SUMPRODUCT($G$3:$R$3,G305:R305)/5)</f>
        <v/>
      </c>
      <c r="U305" s="82">
        <f>IF(A305="","",IF(COUNTIF(C305:F305,"Fail")&gt;0,"No-Bid (gate failed)",IF(S305&lt;12,"Incomplete ("&amp;S305&amp;"/12)",IF(T305&gt;='Scoring Guide'!$C$26,"Bid",IF(T305&gt;='Scoring Guide'!$C$27,"Conditional (MD)","No-Bid")))))</f>
        <v/>
      </c>
      <c r="V305" s="79" t="n"/>
      <c r="W305" s="83" t="n"/>
      <c r="X305" s="79" t="n"/>
      <c r="Y305" s="79" t="n"/>
    </row>
    <row r="306" ht="15" customHeight="1" s="51">
      <c r="A306" s="77">
        <f>IF(Pipeline!A306="","",Pipeline!A306)</f>
        <v/>
      </c>
      <c r="B306" s="78">
        <f>IF(A306="","",INDEX(Pipeline!$H:$H,MATCH(A306,Pipeline!$A:$A,0)))</f>
        <v/>
      </c>
      <c r="C306" s="79" t="n"/>
      <c r="D306" s="79" t="n"/>
      <c r="E306" s="79" t="n"/>
      <c r="F306" s="79" t="n"/>
      <c r="G306" s="79" t="n"/>
      <c r="H306" s="79" t="n"/>
      <c r="I306" s="79" t="n"/>
      <c r="J306" s="79" t="n"/>
      <c r="K306" s="79" t="n"/>
      <c r="L306" s="79" t="n"/>
      <c r="M306" s="79" t="n"/>
      <c r="N306" s="79" t="n"/>
      <c r="O306" s="79" t="n"/>
      <c r="P306" s="79" t="n"/>
      <c r="Q306" s="79" t="n"/>
      <c r="R306" s="79" t="n"/>
      <c r="S306" s="80">
        <f>IF(A306="","",COUNT(G306:R306))</f>
        <v/>
      </c>
      <c r="T306" s="81">
        <f>IF(OR(A306="",S306&lt;12),"",SUMPRODUCT($G$3:$R$3,G306:R306)/5)</f>
        <v/>
      </c>
      <c r="U306" s="82">
        <f>IF(A306="","",IF(COUNTIF(C306:F306,"Fail")&gt;0,"No-Bid (gate failed)",IF(S306&lt;12,"Incomplete ("&amp;S306&amp;"/12)",IF(T306&gt;='Scoring Guide'!$C$26,"Bid",IF(T306&gt;='Scoring Guide'!$C$27,"Conditional (MD)","No-Bid")))))</f>
        <v/>
      </c>
      <c r="V306" s="79" t="n"/>
      <c r="W306" s="83" t="n"/>
      <c r="X306" s="79" t="n"/>
      <c r="Y306" s="79" t="n"/>
    </row>
    <row r="307" ht="15" customHeight="1" s="51">
      <c r="A307" s="77">
        <f>IF(Pipeline!A307="","",Pipeline!A307)</f>
        <v/>
      </c>
      <c r="B307" s="78">
        <f>IF(A307="","",INDEX(Pipeline!$H:$H,MATCH(A307,Pipeline!$A:$A,0)))</f>
        <v/>
      </c>
      <c r="C307" s="79" t="n"/>
      <c r="D307" s="79" t="n"/>
      <c r="E307" s="79" t="n"/>
      <c r="F307" s="79" t="n"/>
      <c r="G307" s="79" t="n"/>
      <c r="H307" s="79" t="n"/>
      <c r="I307" s="79" t="n"/>
      <c r="J307" s="79" t="n"/>
      <c r="K307" s="79" t="n"/>
      <c r="L307" s="79" t="n"/>
      <c r="M307" s="79" t="n"/>
      <c r="N307" s="79" t="n"/>
      <c r="O307" s="79" t="n"/>
      <c r="P307" s="79" t="n"/>
      <c r="Q307" s="79" t="n"/>
      <c r="R307" s="79" t="n"/>
      <c r="S307" s="80">
        <f>IF(A307="","",COUNT(G307:R307))</f>
        <v/>
      </c>
      <c r="T307" s="81">
        <f>IF(OR(A307="",S307&lt;12),"",SUMPRODUCT($G$3:$R$3,G307:R307)/5)</f>
        <v/>
      </c>
      <c r="U307" s="82">
        <f>IF(A307="","",IF(COUNTIF(C307:F307,"Fail")&gt;0,"No-Bid (gate failed)",IF(S307&lt;12,"Incomplete ("&amp;S307&amp;"/12)",IF(T307&gt;='Scoring Guide'!$C$26,"Bid",IF(T307&gt;='Scoring Guide'!$C$27,"Conditional (MD)","No-Bid")))))</f>
        <v/>
      </c>
      <c r="V307" s="79" t="n"/>
      <c r="W307" s="83" t="n"/>
      <c r="X307" s="79" t="n"/>
      <c r="Y307" s="79" t="n"/>
    </row>
    <row r="308" ht="15" customHeight="1" s="51">
      <c r="A308" s="77">
        <f>IF(Pipeline!A308="","",Pipeline!A308)</f>
        <v/>
      </c>
      <c r="B308" s="78">
        <f>IF(A308="","",INDEX(Pipeline!$H:$H,MATCH(A308,Pipeline!$A:$A,0)))</f>
        <v/>
      </c>
      <c r="C308" s="79" t="n"/>
      <c r="D308" s="79" t="n"/>
      <c r="E308" s="79" t="n"/>
      <c r="F308" s="79" t="n"/>
      <c r="G308" s="79" t="n"/>
      <c r="H308" s="79" t="n"/>
      <c r="I308" s="79" t="n"/>
      <c r="J308" s="79" t="n"/>
      <c r="K308" s="79" t="n"/>
      <c r="L308" s="79" t="n"/>
      <c r="M308" s="79" t="n"/>
      <c r="N308" s="79" t="n"/>
      <c r="O308" s="79" t="n"/>
      <c r="P308" s="79" t="n"/>
      <c r="Q308" s="79" t="n"/>
      <c r="R308" s="79" t="n"/>
      <c r="S308" s="80">
        <f>IF(A308="","",COUNT(G308:R308))</f>
        <v/>
      </c>
      <c r="T308" s="81">
        <f>IF(OR(A308="",S308&lt;12),"",SUMPRODUCT($G$3:$R$3,G308:R308)/5)</f>
        <v/>
      </c>
      <c r="U308" s="82">
        <f>IF(A308="","",IF(COUNTIF(C308:F308,"Fail")&gt;0,"No-Bid (gate failed)",IF(S308&lt;12,"Incomplete ("&amp;S308&amp;"/12)",IF(T308&gt;='Scoring Guide'!$C$26,"Bid",IF(T308&gt;='Scoring Guide'!$C$27,"Conditional (MD)","No-Bid")))))</f>
        <v/>
      </c>
      <c r="V308" s="79" t="n"/>
      <c r="W308" s="83" t="n"/>
      <c r="X308" s="79" t="n"/>
      <c r="Y308" s="79" t="n"/>
    </row>
    <row r="309" ht="15" customHeight="1" s="51">
      <c r="A309" s="77">
        <f>IF(Pipeline!A309="","",Pipeline!A309)</f>
        <v/>
      </c>
      <c r="B309" s="78">
        <f>IF(A309="","",INDEX(Pipeline!$H:$H,MATCH(A309,Pipeline!$A:$A,0)))</f>
        <v/>
      </c>
      <c r="C309" s="79" t="n"/>
      <c r="D309" s="79" t="n"/>
      <c r="E309" s="79" t="n"/>
      <c r="F309" s="79" t="n"/>
      <c r="G309" s="79" t="n"/>
      <c r="H309" s="79" t="n"/>
      <c r="I309" s="79" t="n"/>
      <c r="J309" s="79" t="n"/>
      <c r="K309" s="79" t="n"/>
      <c r="L309" s="79" t="n"/>
      <c r="M309" s="79" t="n"/>
      <c r="N309" s="79" t="n"/>
      <c r="O309" s="79" t="n"/>
      <c r="P309" s="79" t="n"/>
      <c r="Q309" s="79" t="n"/>
      <c r="R309" s="79" t="n"/>
      <c r="S309" s="80">
        <f>IF(A309="","",COUNT(G309:R309))</f>
        <v/>
      </c>
      <c r="T309" s="81">
        <f>IF(OR(A309="",S309&lt;12),"",SUMPRODUCT($G$3:$R$3,G309:R309)/5)</f>
        <v/>
      </c>
      <c r="U309" s="82">
        <f>IF(A309="","",IF(COUNTIF(C309:F309,"Fail")&gt;0,"No-Bid (gate failed)",IF(S309&lt;12,"Incomplete ("&amp;S309&amp;"/12)",IF(T309&gt;='Scoring Guide'!$C$26,"Bid",IF(T309&gt;='Scoring Guide'!$C$27,"Conditional (MD)","No-Bid")))))</f>
        <v/>
      </c>
      <c r="V309" s="79" t="n"/>
      <c r="W309" s="83" t="n"/>
      <c r="X309" s="79" t="n"/>
      <c r="Y309" s="79" t="n"/>
    </row>
    <row r="310" ht="15" customHeight="1" s="51">
      <c r="A310" s="77">
        <f>IF(Pipeline!A310="","",Pipeline!A310)</f>
        <v/>
      </c>
      <c r="B310" s="78">
        <f>IF(A310="","",INDEX(Pipeline!$H:$H,MATCH(A310,Pipeline!$A:$A,0)))</f>
        <v/>
      </c>
      <c r="C310" s="79" t="n"/>
      <c r="D310" s="79" t="n"/>
      <c r="E310" s="79" t="n"/>
      <c r="F310" s="79" t="n"/>
      <c r="G310" s="79" t="n"/>
      <c r="H310" s="79" t="n"/>
      <c r="I310" s="79" t="n"/>
      <c r="J310" s="79" t="n"/>
      <c r="K310" s="79" t="n"/>
      <c r="L310" s="79" t="n"/>
      <c r="M310" s="79" t="n"/>
      <c r="N310" s="79" t="n"/>
      <c r="O310" s="79" t="n"/>
      <c r="P310" s="79" t="n"/>
      <c r="Q310" s="79" t="n"/>
      <c r="R310" s="79" t="n"/>
      <c r="S310" s="80">
        <f>IF(A310="","",COUNT(G310:R310))</f>
        <v/>
      </c>
      <c r="T310" s="81">
        <f>IF(OR(A310="",S310&lt;12),"",SUMPRODUCT($G$3:$R$3,G310:R310)/5)</f>
        <v/>
      </c>
      <c r="U310" s="82">
        <f>IF(A310="","",IF(COUNTIF(C310:F310,"Fail")&gt;0,"No-Bid (gate failed)",IF(S310&lt;12,"Incomplete ("&amp;S310&amp;"/12)",IF(T310&gt;='Scoring Guide'!$C$26,"Bid",IF(T310&gt;='Scoring Guide'!$C$27,"Conditional (MD)","No-Bid")))))</f>
        <v/>
      </c>
      <c r="V310" s="79" t="n"/>
      <c r="W310" s="83" t="n"/>
      <c r="X310" s="79" t="n"/>
      <c r="Y310" s="79" t="n"/>
    </row>
    <row r="311" ht="15" customHeight="1" s="51">
      <c r="A311" s="77">
        <f>IF(Pipeline!A311="","",Pipeline!A311)</f>
        <v/>
      </c>
      <c r="B311" s="78">
        <f>IF(A311="","",INDEX(Pipeline!$H:$H,MATCH(A311,Pipeline!$A:$A,0)))</f>
        <v/>
      </c>
      <c r="C311" s="79" t="n"/>
      <c r="D311" s="79" t="n"/>
      <c r="E311" s="79" t="n"/>
      <c r="F311" s="79" t="n"/>
      <c r="G311" s="79" t="n"/>
      <c r="H311" s="79" t="n"/>
      <c r="I311" s="79" t="n"/>
      <c r="J311" s="79" t="n"/>
      <c r="K311" s="79" t="n"/>
      <c r="L311" s="79" t="n"/>
      <c r="M311" s="79" t="n"/>
      <c r="N311" s="79" t="n"/>
      <c r="O311" s="79" t="n"/>
      <c r="P311" s="79" t="n"/>
      <c r="Q311" s="79" t="n"/>
      <c r="R311" s="79" t="n"/>
      <c r="S311" s="80">
        <f>IF(A311="","",COUNT(G311:R311))</f>
        <v/>
      </c>
      <c r="T311" s="81">
        <f>IF(OR(A311="",S311&lt;12),"",SUMPRODUCT($G$3:$R$3,G311:R311)/5)</f>
        <v/>
      </c>
      <c r="U311" s="82">
        <f>IF(A311="","",IF(COUNTIF(C311:F311,"Fail")&gt;0,"No-Bid (gate failed)",IF(S311&lt;12,"Incomplete ("&amp;S311&amp;"/12)",IF(T311&gt;='Scoring Guide'!$C$26,"Bid",IF(T311&gt;='Scoring Guide'!$C$27,"Conditional (MD)","No-Bid")))))</f>
        <v/>
      </c>
      <c r="V311" s="79" t="n"/>
      <c r="W311" s="83" t="n"/>
      <c r="X311" s="79" t="n"/>
      <c r="Y311" s="79" t="n"/>
    </row>
    <row r="312" ht="15" customHeight="1" s="51">
      <c r="A312" s="77">
        <f>IF(Pipeline!A312="","",Pipeline!A312)</f>
        <v/>
      </c>
      <c r="B312" s="78">
        <f>IF(A312="","",INDEX(Pipeline!$H:$H,MATCH(A312,Pipeline!$A:$A,0)))</f>
        <v/>
      </c>
      <c r="C312" s="79" t="n"/>
      <c r="D312" s="79" t="n"/>
      <c r="E312" s="79" t="n"/>
      <c r="F312" s="79" t="n"/>
      <c r="G312" s="79" t="n"/>
      <c r="H312" s="79" t="n"/>
      <c r="I312" s="79" t="n"/>
      <c r="J312" s="79" t="n"/>
      <c r="K312" s="79" t="n"/>
      <c r="L312" s="79" t="n"/>
      <c r="M312" s="79" t="n"/>
      <c r="N312" s="79" t="n"/>
      <c r="O312" s="79" t="n"/>
      <c r="P312" s="79" t="n"/>
      <c r="Q312" s="79" t="n"/>
      <c r="R312" s="79" t="n"/>
      <c r="S312" s="80">
        <f>IF(A312="","",COUNT(G312:R312))</f>
        <v/>
      </c>
      <c r="T312" s="81">
        <f>IF(OR(A312="",S312&lt;12),"",SUMPRODUCT($G$3:$R$3,G312:R312)/5)</f>
        <v/>
      </c>
      <c r="U312" s="82">
        <f>IF(A312="","",IF(COUNTIF(C312:F312,"Fail")&gt;0,"No-Bid (gate failed)",IF(S312&lt;12,"Incomplete ("&amp;S312&amp;"/12)",IF(T312&gt;='Scoring Guide'!$C$26,"Bid",IF(T312&gt;='Scoring Guide'!$C$27,"Conditional (MD)","No-Bid")))))</f>
        <v/>
      </c>
      <c r="V312" s="79" t="n"/>
      <c r="W312" s="83" t="n"/>
      <c r="X312" s="79" t="n"/>
      <c r="Y312" s="79" t="n"/>
    </row>
    <row r="313" ht="15" customHeight="1" s="51">
      <c r="A313" s="77">
        <f>IF(Pipeline!A313="","",Pipeline!A313)</f>
        <v/>
      </c>
      <c r="B313" s="78">
        <f>IF(A313="","",INDEX(Pipeline!$H:$H,MATCH(A313,Pipeline!$A:$A,0)))</f>
        <v/>
      </c>
      <c r="C313" s="79" t="n"/>
      <c r="D313" s="79" t="n"/>
      <c r="E313" s="79" t="n"/>
      <c r="F313" s="79" t="n"/>
      <c r="G313" s="79" t="n"/>
      <c r="H313" s="79" t="n"/>
      <c r="I313" s="79" t="n"/>
      <c r="J313" s="79" t="n"/>
      <c r="K313" s="79" t="n"/>
      <c r="L313" s="79" t="n"/>
      <c r="M313" s="79" t="n"/>
      <c r="N313" s="79" t="n"/>
      <c r="O313" s="79" t="n"/>
      <c r="P313" s="79" t="n"/>
      <c r="Q313" s="79" t="n"/>
      <c r="R313" s="79" t="n"/>
      <c r="S313" s="80">
        <f>IF(A313="","",COUNT(G313:R313))</f>
        <v/>
      </c>
      <c r="T313" s="81">
        <f>IF(OR(A313="",S313&lt;12),"",SUMPRODUCT($G$3:$R$3,G313:R313)/5)</f>
        <v/>
      </c>
      <c r="U313" s="82">
        <f>IF(A313="","",IF(COUNTIF(C313:F313,"Fail")&gt;0,"No-Bid (gate failed)",IF(S313&lt;12,"Incomplete ("&amp;S313&amp;"/12)",IF(T313&gt;='Scoring Guide'!$C$26,"Bid",IF(T313&gt;='Scoring Guide'!$C$27,"Conditional (MD)","No-Bid")))))</f>
        <v/>
      </c>
      <c r="V313" s="79" t="n"/>
      <c r="W313" s="83" t="n"/>
      <c r="X313" s="79" t="n"/>
      <c r="Y313" s="79" t="n"/>
    </row>
    <row r="314" ht="15" customHeight="1" s="51">
      <c r="A314" s="77">
        <f>IF(Pipeline!A314="","",Pipeline!A314)</f>
        <v/>
      </c>
      <c r="B314" s="78">
        <f>IF(A314="","",INDEX(Pipeline!$H:$H,MATCH(A314,Pipeline!$A:$A,0)))</f>
        <v/>
      </c>
      <c r="C314" s="79" t="n"/>
      <c r="D314" s="79" t="n"/>
      <c r="E314" s="79" t="n"/>
      <c r="F314" s="79" t="n"/>
      <c r="G314" s="79" t="n"/>
      <c r="H314" s="79" t="n"/>
      <c r="I314" s="79" t="n"/>
      <c r="J314" s="79" t="n"/>
      <c r="K314" s="79" t="n"/>
      <c r="L314" s="79" t="n"/>
      <c r="M314" s="79" t="n"/>
      <c r="N314" s="79" t="n"/>
      <c r="O314" s="79" t="n"/>
      <c r="P314" s="79" t="n"/>
      <c r="Q314" s="79" t="n"/>
      <c r="R314" s="79" t="n"/>
      <c r="S314" s="80">
        <f>IF(A314="","",COUNT(G314:R314))</f>
        <v/>
      </c>
      <c r="T314" s="81">
        <f>IF(OR(A314="",S314&lt;12),"",SUMPRODUCT($G$3:$R$3,G314:R314)/5)</f>
        <v/>
      </c>
      <c r="U314" s="82">
        <f>IF(A314="","",IF(COUNTIF(C314:F314,"Fail")&gt;0,"No-Bid (gate failed)",IF(S314&lt;12,"Incomplete ("&amp;S314&amp;"/12)",IF(T314&gt;='Scoring Guide'!$C$26,"Bid",IF(T314&gt;='Scoring Guide'!$C$27,"Conditional (MD)","No-Bid")))))</f>
        <v/>
      </c>
      <c r="V314" s="79" t="n"/>
      <c r="W314" s="83" t="n"/>
      <c r="X314" s="79" t="n"/>
      <c r="Y314" s="79" t="n"/>
    </row>
    <row r="315" ht="15" customHeight="1" s="51">
      <c r="A315" s="77">
        <f>IF(Pipeline!A315="","",Pipeline!A315)</f>
        <v/>
      </c>
      <c r="B315" s="78">
        <f>IF(A315="","",INDEX(Pipeline!$H:$H,MATCH(A315,Pipeline!$A:$A,0)))</f>
        <v/>
      </c>
      <c r="C315" s="79" t="n"/>
      <c r="D315" s="79" t="n"/>
      <c r="E315" s="79" t="n"/>
      <c r="F315" s="79" t="n"/>
      <c r="G315" s="79" t="n"/>
      <c r="H315" s="79" t="n"/>
      <c r="I315" s="79" t="n"/>
      <c r="J315" s="79" t="n"/>
      <c r="K315" s="79" t="n"/>
      <c r="L315" s="79" t="n"/>
      <c r="M315" s="79" t="n"/>
      <c r="N315" s="79" t="n"/>
      <c r="O315" s="79" t="n"/>
      <c r="P315" s="79" t="n"/>
      <c r="Q315" s="79" t="n"/>
      <c r="R315" s="79" t="n"/>
      <c r="S315" s="80">
        <f>IF(A315="","",COUNT(G315:R315))</f>
        <v/>
      </c>
      <c r="T315" s="81">
        <f>IF(OR(A315="",S315&lt;12),"",SUMPRODUCT($G$3:$R$3,G315:R315)/5)</f>
        <v/>
      </c>
      <c r="U315" s="82">
        <f>IF(A315="","",IF(COUNTIF(C315:F315,"Fail")&gt;0,"No-Bid (gate failed)",IF(S315&lt;12,"Incomplete ("&amp;S315&amp;"/12)",IF(T315&gt;='Scoring Guide'!$C$26,"Bid",IF(T315&gt;='Scoring Guide'!$C$27,"Conditional (MD)","No-Bid")))))</f>
        <v/>
      </c>
      <c r="V315" s="79" t="n"/>
      <c r="W315" s="83" t="n"/>
      <c r="X315" s="79" t="n"/>
      <c r="Y315" s="79" t="n"/>
    </row>
    <row r="316" ht="15" customHeight="1" s="51">
      <c r="A316" s="77">
        <f>IF(Pipeline!A316="","",Pipeline!A316)</f>
        <v/>
      </c>
      <c r="B316" s="78">
        <f>IF(A316="","",INDEX(Pipeline!$H:$H,MATCH(A316,Pipeline!$A:$A,0)))</f>
        <v/>
      </c>
      <c r="C316" s="79" t="n"/>
      <c r="D316" s="79" t="n"/>
      <c r="E316" s="79" t="n"/>
      <c r="F316" s="79" t="n"/>
      <c r="G316" s="79" t="n"/>
      <c r="H316" s="79" t="n"/>
      <c r="I316" s="79" t="n"/>
      <c r="J316" s="79" t="n"/>
      <c r="K316" s="79" t="n"/>
      <c r="L316" s="79" t="n"/>
      <c r="M316" s="79" t="n"/>
      <c r="N316" s="79" t="n"/>
      <c r="O316" s="79" t="n"/>
      <c r="P316" s="79" t="n"/>
      <c r="Q316" s="79" t="n"/>
      <c r="R316" s="79" t="n"/>
      <c r="S316" s="80">
        <f>IF(A316="","",COUNT(G316:R316))</f>
        <v/>
      </c>
      <c r="T316" s="81">
        <f>IF(OR(A316="",S316&lt;12),"",SUMPRODUCT($G$3:$R$3,G316:R316)/5)</f>
        <v/>
      </c>
      <c r="U316" s="82">
        <f>IF(A316="","",IF(COUNTIF(C316:F316,"Fail")&gt;0,"No-Bid (gate failed)",IF(S316&lt;12,"Incomplete ("&amp;S316&amp;"/12)",IF(T316&gt;='Scoring Guide'!$C$26,"Bid",IF(T316&gt;='Scoring Guide'!$C$27,"Conditional (MD)","No-Bid")))))</f>
        <v/>
      </c>
      <c r="V316" s="79" t="n"/>
      <c r="W316" s="83" t="n"/>
      <c r="X316" s="79" t="n"/>
      <c r="Y316" s="79" t="n"/>
    </row>
    <row r="317" ht="15" customHeight="1" s="51">
      <c r="A317" s="77">
        <f>IF(Pipeline!A317="","",Pipeline!A317)</f>
        <v/>
      </c>
      <c r="B317" s="78">
        <f>IF(A317="","",INDEX(Pipeline!$H:$H,MATCH(A317,Pipeline!$A:$A,0)))</f>
        <v/>
      </c>
      <c r="C317" s="79" t="n"/>
      <c r="D317" s="79" t="n"/>
      <c r="E317" s="79" t="n"/>
      <c r="F317" s="79" t="n"/>
      <c r="G317" s="79" t="n"/>
      <c r="H317" s="79" t="n"/>
      <c r="I317" s="79" t="n"/>
      <c r="J317" s="79" t="n"/>
      <c r="K317" s="79" t="n"/>
      <c r="L317" s="79" t="n"/>
      <c r="M317" s="79" t="n"/>
      <c r="N317" s="79" t="n"/>
      <c r="O317" s="79" t="n"/>
      <c r="P317" s="79" t="n"/>
      <c r="Q317" s="79" t="n"/>
      <c r="R317" s="79" t="n"/>
      <c r="S317" s="80">
        <f>IF(A317="","",COUNT(G317:R317))</f>
        <v/>
      </c>
      <c r="T317" s="81">
        <f>IF(OR(A317="",S317&lt;12),"",SUMPRODUCT($G$3:$R$3,G317:R317)/5)</f>
        <v/>
      </c>
      <c r="U317" s="82">
        <f>IF(A317="","",IF(COUNTIF(C317:F317,"Fail")&gt;0,"No-Bid (gate failed)",IF(S317&lt;12,"Incomplete ("&amp;S317&amp;"/12)",IF(T317&gt;='Scoring Guide'!$C$26,"Bid",IF(T317&gt;='Scoring Guide'!$C$27,"Conditional (MD)","No-Bid")))))</f>
        <v/>
      </c>
      <c r="V317" s="79" t="n"/>
      <c r="W317" s="83" t="n"/>
      <c r="X317" s="79" t="n"/>
      <c r="Y317" s="79" t="n"/>
    </row>
    <row r="318" ht="15" customHeight="1" s="51">
      <c r="A318" s="77">
        <f>IF(Pipeline!A318="","",Pipeline!A318)</f>
        <v/>
      </c>
      <c r="B318" s="78">
        <f>IF(A318="","",INDEX(Pipeline!$H:$H,MATCH(A318,Pipeline!$A:$A,0)))</f>
        <v/>
      </c>
      <c r="C318" s="79" t="n"/>
      <c r="D318" s="79" t="n"/>
      <c r="E318" s="79" t="n"/>
      <c r="F318" s="79" t="n"/>
      <c r="G318" s="79" t="n"/>
      <c r="H318" s="79" t="n"/>
      <c r="I318" s="79" t="n"/>
      <c r="J318" s="79" t="n"/>
      <c r="K318" s="79" t="n"/>
      <c r="L318" s="79" t="n"/>
      <c r="M318" s="79" t="n"/>
      <c r="N318" s="79" t="n"/>
      <c r="O318" s="79" t="n"/>
      <c r="P318" s="79" t="n"/>
      <c r="Q318" s="79" t="n"/>
      <c r="R318" s="79" t="n"/>
      <c r="S318" s="80">
        <f>IF(A318="","",COUNT(G318:R318))</f>
        <v/>
      </c>
      <c r="T318" s="81">
        <f>IF(OR(A318="",S318&lt;12),"",SUMPRODUCT($G$3:$R$3,G318:R318)/5)</f>
        <v/>
      </c>
      <c r="U318" s="82">
        <f>IF(A318="","",IF(COUNTIF(C318:F318,"Fail")&gt;0,"No-Bid (gate failed)",IF(S318&lt;12,"Incomplete ("&amp;S318&amp;"/12)",IF(T318&gt;='Scoring Guide'!$C$26,"Bid",IF(T318&gt;='Scoring Guide'!$C$27,"Conditional (MD)","No-Bid")))))</f>
        <v/>
      </c>
      <c r="V318" s="79" t="n"/>
      <c r="W318" s="83" t="n"/>
      <c r="X318" s="79" t="n"/>
      <c r="Y318" s="79" t="n"/>
    </row>
    <row r="319" ht="15" customHeight="1" s="51">
      <c r="A319" s="77">
        <f>IF(Pipeline!A319="","",Pipeline!A319)</f>
        <v/>
      </c>
      <c r="B319" s="78">
        <f>IF(A319="","",INDEX(Pipeline!$H:$H,MATCH(A319,Pipeline!$A:$A,0)))</f>
        <v/>
      </c>
      <c r="C319" s="79" t="n"/>
      <c r="D319" s="79" t="n"/>
      <c r="E319" s="79" t="n"/>
      <c r="F319" s="79" t="n"/>
      <c r="G319" s="79" t="n"/>
      <c r="H319" s="79" t="n"/>
      <c r="I319" s="79" t="n"/>
      <c r="J319" s="79" t="n"/>
      <c r="K319" s="79" t="n"/>
      <c r="L319" s="79" t="n"/>
      <c r="M319" s="79" t="n"/>
      <c r="N319" s="79" t="n"/>
      <c r="O319" s="79" t="n"/>
      <c r="P319" s="79" t="n"/>
      <c r="Q319" s="79" t="n"/>
      <c r="R319" s="79" t="n"/>
      <c r="S319" s="80">
        <f>IF(A319="","",COUNT(G319:R319))</f>
        <v/>
      </c>
      <c r="T319" s="81">
        <f>IF(OR(A319="",S319&lt;12),"",SUMPRODUCT($G$3:$R$3,G319:R319)/5)</f>
        <v/>
      </c>
      <c r="U319" s="82">
        <f>IF(A319="","",IF(COUNTIF(C319:F319,"Fail")&gt;0,"No-Bid (gate failed)",IF(S319&lt;12,"Incomplete ("&amp;S319&amp;"/12)",IF(T319&gt;='Scoring Guide'!$C$26,"Bid",IF(T319&gt;='Scoring Guide'!$C$27,"Conditional (MD)","No-Bid")))))</f>
        <v/>
      </c>
      <c r="V319" s="79" t="n"/>
      <c r="W319" s="83" t="n"/>
      <c r="X319" s="79" t="n"/>
      <c r="Y319" s="79" t="n"/>
    </row>
    <row r="320" ht="15" customHeight="1" s="51">
      <c r="A320" s="77">
        <f>IF(Pipeline!A320="","",Pipeline!A320)</f>
        <v/>
      </c>
      <c r="B320" s="78">
        <f>IF(A320="","",INDEX(Pipeline!$H:$H,MATCH(A320,Pipeline!$A:$A,0)))</f>
        <v/>
      </c>
      <c r="C320" s="79" t="n"/>
      <c r="D320" s="79" t="n"/>
      <c r="E320" s="79" t="n"/>
      <c r="F320" s="79" t="n"/>
      <c r="G320" s="79" t="n"/>
      <c r="H320" s="79" t="n"/>
      <c r="I320" s="79" t="n"/>
      <c r="J320" s="79" t="n"/>
      <c r="K320" s="79" t="n"/>
      <c r="L320" s="79" t="n"/>
      <c r="M320" s="79" t="n"/>
      <c r="N320" s="79" t="n"/>
      <c r="O320" s="79" t="n"/>
      <c r="P320" s="79" t="n"/>
      <c r="Q320" s="79" t="n"/>
      <c r="R320" s="79" t="n"/>
      <c r="S320" s="80">
        <f>IF(A320="","",COUNT(G320:R320))</f>
        <v/>
      </c>
      <c r="T320" s="81">
        <f>IF(OR(A320="",S320&lt;12),"",SUMPRODUCT($G$3:$R$3,G320:R320)/5)</f>
        <v/>
      </c>
      <c r="U320" s="82">
        <f>IF(A320="","",IF(COUNTIF(C320:F320,"Fail")&gt;0,"No-Bid (gate failed)",IF(S320&lt;12,"Incomplete ("&amp;S320&amp;"/12)",IF(T320&gt;='Scoring Guide'!$C$26,"Bid",IF(T320&gt;='Scoring Guide'!$C$27,"Conditional (MD)","No-Bid")))))</f>
        <v/>
      </c>
      <c r="V320" s="79" t="n"/>
      <c r="W320" s="83" t="n"/>
      <c r="X320" s="79" t="n"/>
      <c r="Y320" s="79" t="n"/>
    </row>
    <row r="321" ht="15" customHeight="1" s="51">
      <c r="A321" s="77">
        <f>IF(Pipeline!A321="","",Pipeline!A321)</f>
        <v/>
      </c>
      <c r="B321" s="78">
        <f>IF(A321="","",INDEX(Pipeline!$H:$H,MATCH(A321,Pipeline!$A:$A,0)))</f>
        <v/>
      </c>
      <c r="C321" s="79" t="n"/>
      <c r="D321" s="79" t="n"/>
      <c r="E321" s="79" t="n"/>
      <c r="F321" s="79" t="n"/>
      <c r="G321" s="79" t="n"/>
      <c r="H321" s="79" t="n"/>
      <c r="I321" s="79" t="n"/>
      <c r="J321" s="79" t="n"/>
      <c r="K321" s="79" t="n"/>
      <c r="L321" s="79" t="n"/>
      <c r="M321" s="79" t="n"/>
      <c r="N321" s="79" t="n"/>
      <c r="O321" s="79" t="n"/>
      <c r="P321" s="79" t="n"/>
      <c r="Q321" s="79" t="n"/>
      <c r="R321" s="79" t="n"/>
      <c r="S321" s="80">
        <f>IF(A321="","",COUNT(G321:R321))</f>
        <v/>
      </c>
      <c r="T321" s="81">
        <f>IF(OR(A321="",S321&lt;12),"",SUMPRODUCT($G$3:$R$3,G321:R321)/5)</f>
        <v/>
      </c>
      <c r="U321" s="82">
        <f>IF(A321="","",IF(COUNTIF(C321:F321,"Fail")&gt;0,"No-Bid (gate failed)",IF(S321&lt;12,"Incomplete ("&amp;S321&amp;"/12)",IF(T321&gt;='Scoring Guide'!$C$26,"Bid",IF(T321&gt;='Scoring Guide'!$C$27,"Conditional (MD)","No-Bid")))))</f>
        <v/>
      </c>
      <c r="V321" s="79" t="n"/>
      <c r="W321" s="83" t="n"/>
      <c r="X321" s="79" t="n"/>
      <c r="Y321" s="79" t="n"/>
    </row>
    <row r="322" ht="15" customHeight="1" s="51">
      <c r="A322" s="77">
        <f>IF(Pipeline!A322="","",Pipeline!A322)</f>
        <v/>
      </c>
      <c r="B322" s="78">
        <f>IF(A322="","",INDEX(Pipeline!$H:$H,MATCH(A322,Pipeline!$A:$A,0)))</f>
        <v/>
      </c>
      <c r="C322" s="79" t="n"/>
      <c r="D322" s="79" t="n"/>
      <c r="E322" s="79" t="n"/>
      <c r="F322" s="79" t="n"/>
      <c r="G322" s="79" t="n"/>
      <c r="H322" s="79" t="n"/>
      <c r="I322" s="79" t="n"/>
      <c r="J322" s="79" t="n"/>
      <c r="K322" s="79" t="n"/>
      <c r="L322" s="79" t="n"/>
      <c r="M322" s="79" t="n"/>
      <c r="N322" s="79" t="n"/>
      <c r="O322" s="79" t="n"/>
      <c r="P322" s="79" t="n"/>
      <c r="Q322" s="79" t="n"/>
      <c r="R322" s="79" t="n"/>
      <c r="S322" s="80">
        <f>IF(A322="","",COUNT(G322:R322))</f>
        <v/>
      </c>
      <c r="T322" s="81">
        <f>IF(OR(A322="",S322&lt;12),"",SUMPRODUCT($G$3:$R$3,G322:R322)/5)</f>
        <v/>
      </c>
      <c r="U322" s="82">
        <f>IF(A322="","",IF(COUNTIF(C322:F322,"Fail")&gt;0,"No-Bid (gate failed)",IF(S322&lt;12,"Incomplete ("&amp;S322&amp;"/12)",IF(T322&gt;='Scoring Guide'!$C$26,"Bid",IF(T322&gt;='Scoring Guide'!$C$27,"Conditional (MD)","No-Bid")))))</f>
        <v/>
      </c>
      <c r="V322" s="79" t="n"/>
      <c r="W322" s="83" t="n"/>
      <c r="X322" s="79" t="n"/>
      <c r="Y322" s="79" t="n"/>
    </row>
    <row r="323" ht="15" customHeight="1" s="51">
      <c r="A323" s="77">
        <f>IF(Pipeline!A323="","",Pipeline!A323)</f>
        <v/>
      </c>
      <c r="B323" s="78">
        <f>IF(A323="","",INDEX(Pipeline!$H:$H,MATCH(A323,Pipeline!$A:$A,0)))</f>
        <v/>
      </c>
      <c r="C323" s="79" t="n"/>
      <c r="D323" s="79" t="n"/>
      <c r="E323" s="79" t="n"/>
      <c r="F323" s="79" t="n"/>
      <c r="G323" s="79" t="n"/>
      <c r="H323" s="79" t="n"/>
      <c r="I323" s="79" t="n"/>
      <c r="J323" s="79" t="n"/>
      <c r="K323" s="79" t="n"/>
      <c r="L323" s="79" t="n"/>
      <c r="M323" s="79" t="n"/>
      <c r="N323" s="79" t="n"/>
      <c r="O323" s="79" t="n"/>
      <c r="P323" s="79" t="n"/>
      <c r="Q323" s="79" t="n"/>
      <c r="R323" s="79" t="n"/>
      <c r="S323" s="80">
        <f>IF(A323="","",COUNT(G323:R323))</f>
        <v/>
      </c>
      <c r="T323" s="81">
        <f>IF(OR(A323="",S323&lt;12),"",SUMPRODUCT($G$3:$R$3,G323:R323)/5)</f>
        <v/>
      </c>
      <c r="U323" s="82">
        <f>IF(A323="","",IF(COUNTIF(C323:F323,"Fail")&gt;0,"No-Bid (gate failed)",IF(S323&lt;12,"Incomplete ("&amp;S323&amp;"/12)",IF(T323&gt;='Scoring Guide'!$C$26,"Bid",IF(T323&gt;='Scoring Guide'!$C$27,"Conditional (MD)","No-Bid")))))</f>
        <v/>
      </c>
      <c r="V323" s="79" t="n"/>
      <c r="W323" s="83" t="n"/>
      <c r="X323" s="79" t="n"/>
      <c r="Y323" s="79" t="n"/>
    </row>
    <row r="324" ht="15" customHeight="1" s="51">
      <c r="A324" s="77">
        <f>IF(Pipeline!A324="","",Pipeline!A324)</f>
        <v/>
      </c>
      <c r="B324" s="78">
        <f>IF(A324="","",INDEX(Pipeline!$H:$H,MATCH(A324,Pipeline!$A:$A,0)))</f>
        <v/>
      </c>
      <c r="C324" s="79" t="n"/>
      <c r="D324" s="79" t="n"/>
      <c r="E324" s="79" t="n"/>
      <c r="F324" s="79" t="n"/>
      <c r="G324" s="79" t="n"/>
      <c r="H324" s="79" t="n"/>
      <c r="I324" s="79" t="n"/>
      <c r="J324" s="79" t="n"/>
      <c r="K324" s="79" t="n"/>
      <c r="L324" s="79" t="n"/>
      <c r="M324" s="79" t="n"/>
      <c r="N324" s="79" t="n"/>
      <c r="O324" s="79" t="n"/>
      <c r="P324" s="79" t="n"/>
      <c r="Q324" s="79" t="n"/>
      <c r="R324" s="79" t="n"/>
      <c r="S324" s="80">
        <f>IF(A324="","",COUNT(G324:R324))</f>
        <v/>
      </c>
      <c r="T324" s="81">
        <f>IF(OR(A324="",S324&lt;12),"",SUMPRODUCT($G$3:$R$3,G324:R324)/5)</f>
        <v/>
      </c>
      <c r="U324" s="82">
        <f>IF(A324="","",IF(COUNTIF(C324:F324,"Fail")&gt;0,"No-Bid (gate failed)",IF(S324&lt;12,"Incomplete ("&amp;S324&amp;"/12)",IF(T324&gt;='Scoring Guide'!$C$26,"Bid",IF(T324&gt;='Scoring Guide'!$C$27,"Conditional (MD)","No-Bid")))))</f>
        <v/>
      </c>
      <c r="V324" s="79" t="n"/>
      <c r="W324" s="83" t="n"/>
      <c r="X324" s="79" t="n"/>
      <c r="Y324" s="79" t="n"/>
    </row>
    <row r="325" ht="15" customHeight="1" s="51">
      <c r="A325" s="77">
        <f>IF(Pipeline!A325="","",Pipeline!A325)</f>
        <v/>
      </c>
      <c r="B325" s="78">
        <f>IF(A325="","",INDEX(Pipeline!$H:$H,MATCH(A325,Pipeline!$A:$A,0)))</f>
        <v/>
      </c>
      <c r="C325" s="79" t="n"/>
      <c r="D325" s="79" t="n"/>
      <c r="E325" s="79" t="n"/>
      <c r="F325" s="79" t="n"/>
      <c r="G325" s="79" t="n"/>
      <c r="H325" s="79" t="n"/>
      <c r="I325" s="79" t="n"/>
      <c r="J325" s="79" t="n"/>
      <c r="K325" s="79" t="n"/>
      <c r="L325" s="79" t="n"/>
      <c r="M325" s="79" t="n"/>
      <c r="N325" s="79" t="n"/>
      <c r="O325" s="79" t="n"/>
      <c r="P325" s="79" t="n"/>
      <c r="Q325" s="79" t="n"/>
      <c r="R325" s="79" t="n"/>
      <c r="S325" s="80">
        <f>IF(A325="","",COUNT(G325:R325))</f>
        <v/>
      </c>
      <c r="T325" s="81">
        <f>IF(OR(A325="",S325&lt;12),"",SUMPRODUCT($G$3:$R$3,G325:R325)/5)</f>
        <v/>
      </c>
      <c r="U325" s="82">
        <f>IF(A325="","",IF(COUNTIF(C325:F325,"Fail")&gt;0,"No-Bid (gate failed)",IF(S325&lt;12,"Incomplete ("&amp;S325&amp;"/12)",IF(T325&gt;='Scoring Guide'!$C$26,"Bid",IF(T325&gt;='Scoring Guide'!$C$27,"Conditional (MD)","No-Bid")))))</f>
        <v/>
      </c>
      <c r="V325" s="79" t="n"/>
      <c r="W325" s="83" t="n"/>
      <c r="X325" s="79" t="n"/>
      <c r="Y325" s="79" t="n"/>
    </row>
    <row r="326" ht="15" customHeight="1" s="51">
      <c r="A326" s="77">
        <f>IF(Pipeline!A326="","",Pipeline!A326)</f>
        <v/>
      </c>
      <c r="B326" s="78">
        <f>IF(A326="","",INDEX(Pipeline!$H:$H,MATCH(A326,Pipeline!$A:$A,0)))</f>
        <v/>
      </c>
      <c r="C326" s="79" t="n"/>
      <c r="D326" s="79" t="n"/>
      <c r="E326" s="79" t="n"/>
      <c r="F326" s="79" t="n"/>
      <c r="G326" s="79" t="n"/>
      <c r="H326" s="79" t="n"/>
      <c r="I326" s="79" t="n"/>
      <c r="J326" s="79" t="n"/>
      <c r="K326" s="79" t="n"/>
      <c r="L326" s="79" t="n"/>
      <c r="M326" s="79" t="n"/>
      <c r="N326" s="79" t="n"/>
      <c r="O326" s="79" t="n"/>
      <c r="P326" s="79" t="n"/>
      <c r="Q326" s="79" t="n"/>
      <c r="R326" s="79" t="n"/>
      <c r="S326" s="80">
        <f>IF(A326="","",COUNT(G326:R326))</f>
        <v/>
      </c>
      <c r="T326" s="81">
        <f>IF(OR(A326="",S326&lt;12),"",SUMPRODUCT($G$3:$R$3,G326:R326)/5)</f>
        <v/>
      </c>
      <c r="U326" s="82">
        <f>IF(A326="","",IF(COUNTIF(C326:F326,"Fail")&gt;0,"No-Bid (gate failed)",IF(S326&lt;12,"Incomplete ("&amp;S326&amp;"/12)",IF(T326&gt;='Scoring Guide'!$C$26,"Bid",IF(T326&gt;='Scoring Guide'!$C$27,"Conditional (MD)","No-Bid")))))</f>
        <v/>
      </c>
      <c r="V326" s="79" t="n"/>
      <c r="W326" s="83" t="n"/>
      <c r="X326" s="79" t="n"/>
      <c r="Y326" s="79" t="n"/>
    </row>
    <row r="327" ht="15" customHeight="1" s="51">
      <c r="A327" s="77">
        <f>IF(Pipeline!A327="","",Pipeline!A327)</f>
        <v/>
      </c>
      <c r="B327" s="78">
        <f>IF(A327="","",INDEX(Pipeline!$H:$H,MATCH(A327,Pipeline!$A:$A,0)))</f>
        <v/>
      </c>
      <c r="C327" s="79" t="n"/>
      <c r="D327" s="79" t="n"/>
      <c r="E327" s="79" t="n"/>
      <c r="F327" s="79" t="n"/>
      <c r="G327" s="79" t="n"/>
      <c r="H327" s="79" t="n"/>
      <c r="I327" s="79" t="n"/>
      <c r="J327" s="79" t="n"/>
      <c r="K327" s="79" t="n"/>
      <c r="L327" s="79" t="n"/>
      <c r="M327" s="79" t="n"/>
      <c r="N327" s="79" t="n"/>
      <c r="O327" s="79" t="n"/>
      <c r="P327" s="79" t="n"/>
      <c r="Q327" s="79" t="n"/>
      <c r="R327" s="79" t="n"/>
      <c r="S327" s="80">
        <f>IF(A327="","",COUNT(G327:R327))</f>
        <v/>
      </c>
      <c r="T327" s="81">
        <f>IF(OR(A327="",S327&lt;12),"",SUMPRODUCT($G$3:$R$3,G327:R327)/5)</f>
        <v/>
      </c>
      <c r="U327" s="82">
        <f>IF(A327="","",IF(COUNTIF(C327:F327,"Fail")&gt;0,"No-Bid (gate failed)",IF(S327&lt;12,"Incomplete ("&amp;S327&amp;"/12)",IF(T327&gt;='Scoring Guide'!$C$26,"Bid",IF(T327&gt;='Scoring Guide'!$C$27,"Conditional (MD)","No-Bid")))))</f>
        <v/>
      </c>
      <c r="V327" s="79" t="n"/>
      <c r="W327" s="83" t="n"/>
      <c r="X327" s="79" t="n"/>
      <c r="Y327" s="79" t="n"/>
    </row>
    <row r="328" ht="15" customHeight="1" s="51">
      <c r="A328" s="77">
        <f>IF(Pipeline!A328="","",Pipeline!A328)</f>
        <v/>
      </c>
      <c r="B328" s="78">
        <f>IF(A328="","",INDEX(Pipeline!$H:$H,MATCH(A328,Pipeline!$A:$A,0)))</f>
        <v/>
      </c>
      <c r="C328" s="79" t="n"/>
      <c r="D328" s="79" t="n"/>
      <c r="E328" s="79" t="n"/>
      <c r="F328" s="79" t="n"/>
      <c r="G328" s="79" t="n"/>
      <c r="H328" s="79" t="n"/>
      <c r="I328" s="79" t="n"/>
      <c r="J328" s="79" t="n"/>
      <c r="K328" s="79" t="n"/>
      <c r="L328" s="79" t="n"/>
      <c r="M328" s="79" t="n"/>
      <c r="N328" s="79" t="n"/>
      <c r="O328" s="79" t="n"/>
      <c r="P328" s="79" t="n"/>
      <c r="Q328" s="79" t="n"/>
      <c r="R328" s="79" t="n"/>
      <c r="S328" s="80">
        <f>IF(A328="","",COUNT(G328:R328))</f>
        <v/>
      </c>
      <c r="T328" s="81">
        <f>IF(OR(A328="",S328&lt;12),"",SUMPRODUCT($G$3:$R$3,G328:R328)/5)</f>
        <v/>
      </c>
      <c r="U328" s="82">
        <f>IF(A328="","",IF(COUNTIF(C328:F328,"Fail")&gt;0,"No-Bid (gate failed)",IF(S328&lt;12,"Incomplete ("&amp;S328&amp;"/12)",IF(T328&gt;='Scoring Guide'!$C$26,"Bid",IF(T328&gt;='Scoring Guide'!$C$27,"Conditional (MD)","No-Bid")))))</f>
        <v/>
      </c>
      <c r="V328" s="79" t="n"/>
      <c r="W328" s="83" t="n"/>
      <c r="X328" s="79" t="n"/>
      <c r="Y328" s="79" t="n"/>
    </row>
    <row r="329" ht="15" customHeight="1" s="51">
      <c r="A329" s="77">
        <f>IF(Pipeline!A329="","",Pipeline!A329)</f>
        <v/>
      </c>
      <c r="B329" s="78">
        <f>IF(A329="","",INDEX(Pipeline!$H:$H,MATCH(A329,Pipeline!$A:$A,0)))</f>
        <v/>
      </c>
      <c r="C329" s="79" t="n"/>
      <c r="D329" s="79" t="n"/>
      <c r="E329" s="79" t="n"/>
      <c r="F329" s="79" t="n"/>
      <c r="G329" s="79" t="n"/>
      <c r="H329" s="79" t="n"/>
      <c r="I329" s="79" t="n"/>
      <c r="J329" s="79" t="n"/>
      <c r="K329" s="79" t="n"/>
      <c r="L329" s="79" t="n"/>
      <c r="M329" s="79" t="n"/>
      <c r="N329" s="79" t="n"/>
      <c r="O329" s="79" t="n"/>
      <c r="P329" s="79" t="n"/>
      <c r="Q329" s="79" t="n"/>
      <c r="R329" s="79" t="n"/>
      <c r="S329" s="80">
        <f>IF(A329="","",COUNT(G329:R329))</f>
        <v/>
      </c>
      <c r="T329" s="81">
        <f>IF(OR(A329="",S329&lt;12),"",SUMPRODUCT($G$3:$R$3,G329:R329)/5)</f>
        <v/>
      </c>
      <c r="U329" s="82">
        <f>IF(A329="","",IF(COUNTIF(C329:F329,"Fail")&gt;0,"No-Bid (gate failed)",IF(S329&lt;12,"Incomplete ("&amp;S329&amp;"/12)",IF(T329&gt;='Scoring Guide'!$C$26,"Bid",IF(T329&gt;='Scoring Guide'!$C$27,"Conditional (MD)","No-Bid")))))</f>
        <v/>
      </c>
      <c r="V329" s="79" t="n"/>
      <c r="W329" s="83" t="n"/>
      <c r="X329" s="79" t="n"/>
      <c r="Y329" s="79" t="n"/>
    </row>
    <row r="330" ht="15" customHeight="1" s="51">
      <c r="A330" s="77">
        <f>IF(Pipeline!A330="","",Pipeline!A330)</f>
        <v/>
      </c>
      <c r="B330" s="78">
        <f>IF(A330="","",INDEX(Pipeline!$H:$H,MATCH(A330,Pipeline!$A:$A,0)))</f>
        <v/>
      </c>
      <c r="C330" s="79" t="n"/>
      <c r="D330" s="79" t="n"/>
      <c r="E330" s="79" t="n"/>
      <c r="F330" s="79" t="n"/>
      <c r="G330" s="79" t="n"/>
      <c r="H330" s="79" t="n"/>
      <c r="I330" s="79" t="n"/>
      <c r="J330" s="79" t="n"/>
      <c r="K330" s="79" t="n"/>
      <c r="L330" s="79" t="n"/>
      <c r="M330" s="79" t="n"/>
      <c r="N330" s="79" t="n"/>
      <c r="O330" s="79" t="n"/>
      <c r="P330" s="79" t="n"/>
      <c r="Q330" s="79" t="n"/>
      <c r="R330" s="79" t="n"/>
      <c r="S330" s="80">
        <f>IF(A330="","",COUNT(G330:R330))</f>
        <v/>
      </c>
      <c r="T330" s="81">
        <f>IF(OR(A330="",S330&lt;12),"",SUMPRODUCT($G$3:$R$3,G330:R330)/5)</f>
        <v/>
      </c>
      <c r="U330" s="82">
        <f>IF(A330="","",IF(COUNTIF(C330:F330,"Fail")&gt;0,"No-Bid (gate failed)",IF(S330&lt;12,"Incomplete ("&amp;S330&amp;"/12)",IF(T330&gt;='Scoring Guide'!$C$26,"Bid",IF(T330&gt;='Scoring Guide'!$C$27,"Conditional (MD)","No-Bid")))))</f>
        <v/>
      </c>
      <c r="V330" s="79" t="n"/>
      <c r="W330" s="83" t="n"/>
      <c r="X330" s="79" t="n"/>
      <c r="Y330" s="79" t="n"/>
    </row>
    <row r="331" ht="15" customHeight="1" s="51">
      <c r="A331" s="77">
        <f>IF(Pipeline!A331="","",Pipeline!A331)</f>
        <v/>
      </c>
      <c r="B331" s="78">
        <f>IF(A331="","",INDEX(Pipeline!$H:$H,MATCH(A331,Pipeline!$A:$A,0)))</f>
        <v/>
      </c>
      <c r="C331" s="79" t="n"/>
      <c r="D331" s="79" t="n"/>
      <c r="E331" s="79" t="n"/>
      <c r="F331" s="79" t="n"/>
      <c r="G331" s="79" t="n"/>
      <c r="H331" s="79" t="n"/>
      <c r="I331" s="79" t="n"/>
      <c r="J331" s="79" t="n"/>
      <c r="K331" s="79" t="n"/>
      <c r="L331" s="79" t="n"/>
      <c r="M331" s="79" t="n"/>
      <c r="N331" s="79" t="n"/>
      <c r="O331" s="79" t="n"/>
      <c r="P331" s="79" t="n"/>
      <c r="Q331" s="79" t="n"/>
      <c r="R331" s="79" t="n"/>
      <c r="S331" s="80">
        <f>IF(A331="","",COUNT(G331:R331))</f>
        <v/>
      </c>
      <c r="T331" s="81">
        <f>IF(OR(A331="",S331&lt;12),"",SUMPRODUCT($G$3:$R$3,G331:R331)/5)</f>
        <v/>
      </c>
      <c r="U331" s="82">
        <f>IF(A331="","",IF(COUNTIF(C331:F331,"Fail")&gt;0,"No-Bid (gate failed)",IF(S331&lt;12,"Incomplete ("&amp;S331&amp;"/12)",IF(T331&gt;='Scoring Guide'!$C$26,"Bid",IF(T331&gt;='Scoring Guide'!$C$27,"Conditional (MD)","No-Bid")))))</f>
        <v/>
      </c>
      <c r="V331" s="79" t="n"/>
      <c r="W331" s="83" t="n"/>
      <c r="X331" s="79" t="n"/>
      <c r="Y331" s="79" t="n"/>
    </row>
    <row r="332" ht="15" customHeight="1" s="51">
      <c r="A332" s="77">
        <f>IF(Pipeline!A332="","",Pipeline!A332)</f>
        <v/>
      </c>
      <c r="B332" s="78">
        <f>IF(A332="","",INDEX(Pipeline!$H:$H,MATCH(A332,Pipeline!$A:$A,0)))</f>
        <v/>
      </c>
      <c r="C332" s="79" t="n"/>
      <c r="D332" s="79" t="n"/>
      <c r="E332" s="79" t="n"/>
      <c r="F332" s="79" t="n"/>
      <c r="G332" s="79" t="n"/>
      <c r="H332" s="79" t="n"/>
      <c r="I332" s="79" t="n"/>
      <c r="J332" s="79" t="n"/>
      <c r="K332" s="79" t="n"/>
      <c r="L332" s="79" t="n"/>
      <c r="M332" s="79" t="n"/>
      <c r="N332" s="79" t="n"/>
      <c r="O332" s="79" t="n"/>
      <c r="P332" s="79" t="n"/>
      <c r="Q332" s="79" t="n"/>
      <c r="R332" s="79" t="n"/>
      <c r="S332" s="80">
        <f>IF(A332="","",COUNT(G332:R332))</f>
        <v/>
      </c>
      <c r="T332" s="81">
        <f>IF(OR(A332="",S332&lt;12),"",SUMPRODUCT($G$3:$R$3,G332:R332)/5)</f>
        <v/>
      </c>
      <c r="U332" s="82">
        <f>IF(A332="","",IF(COUNTIF(C332:F332,"Fail")&gt;0,"No-Bid (gate failed)",IF(S332&lt;12,"Incomplete ("&amp;S332&amp;"/12)",IF(T332&gt;='Scoring Guide'!$C$26,"Bid",IF(T332&gt;='Scoring Guide'!$C$27,"Conditional (MD)","No-Bid")))))</f>
        <v/>
      </c>
      <c r="V332" s="79" t="n"/>
      <c r="W332" s="83" t="n"/>
      <c r="X332" s="79" t="n"/>
      <c r="Y332" s="79" t="n"/>
    </row>
    <row r="333" ht="15" customHeight="1" s="51">
      <c r="A333" s="77">
        <f>IF(Pipeline!A333="","",Pipeline!A333)</f>
        <v/>
      </c>
      <c r="B333" s="78">
        <f>IF(A333="","",INDEX(Pipeline!$H:$H,MATCH(A333,Pipeline!$A:$A,0)))</f>
        <v/>
      </c>
      <c r="C333" s="79" t="n"/>
      <c r="D333" s="79" t="n"/>
      <c r="E333" s="79" t="n"/>
      <c r="F333" s="79" t="n"/>
      <c r="G333" s="79" t="n"/>
      <c r="H333" s="79" t="n"/>
      <c r="I333" s="79" t="n"/>
      <c r="J333" s="79" t="n"/>
      <c r="K333" s="79" t="n"/>
      <c r="L333" s="79" t="n"/>
      <c r="M333" s="79" t="n"/>
      <c r="N333" s="79" t="n"/>
      <c r="O333" s="79" t="n"/>
      <c r="P333" s="79" t="n"/>
      <c r="Q333" s="79" t="n"/>
      <c r="R333" s="79" t="n"/>
      <c r="S333" s="80">
        <f>IF(A333="","",COUNT(G333:R333))</f>
        <v/>
      </c>
      <c r="T333" s="81">
        <f>IF(OR(A333="",S333&lt;12),"",SUMPRODUCT($G$3:$R$3,G333:R333)/5)</f>
        <v/>
      </c>
      <c r="U333" s="82">
        <f>IF(A333="","",IF(COUNTIF(C333:F333,"Fail")&gt;0,"No-Bid (gate failed)",IF(S333&lt;12,"Incomplete ("&amp;S333&amp;"/12)",IF(T333&gt;='Scoring Guide'!$C$26,"Bid",IF(T333&gt;='Scoring Guide'!$C$27,"Conditional (MD)","No-Bid")))))</f>
        <v/>
      </c>
      <c r="V333" s="79" t="n"/>
      <c r="W333" s="83" t="n"/>
      <c r="X333" s="79" t="n"/>
      <c r="Y333" s="79" t="n"/>
    </row>
    <row r="334" ht="15" customHeight="1" s="51">
      <c r="A334" s="77">
        <f>IF(Pipeline!A334="","",Pipeline!A334)</f>
        <v/>
      </c>
      <c r="B334" s="78">
        <f>IF(A334="","",INDEX(Pipeline!$H:$H,MATCH(A334,Pipeline!$A:$A,0)))</f>
        <v/>
      </c>
      <c r="C334" s="79" t="n"/>
      <c r="D334" s="79" t="n"/>
      <c r="E334" s="79" t="n"/>
      <c r="F334" s="79" t="n"/>
      <c r="G334" s="79" t="n"/>
      <c r="H334" s="79" t="n"/>
      <c r="I334" s="79" t="n"/>
      <c r="J334" s="79" t="n"/>
      <c r="K334" s="79" t="n"/>
      <c r="L334" s="79" t="n"/>
      <c r="M334" s="79" t="n"/>
      <c r="N334" s="79" t="n"/>
      <c r="O334" s="79" t="n"/>
      <c r="P334" s="79" t="n"/>
      <c r="Q334" s="79" t="n"/>
      <c r="R334" s="79" t="n"/>
      <c r="S334" s="80">
        <f>IF(A334="","",COUNT(G334:R334))</f>
        <v/>
      </c>
      <c r="T334" s="81">
        <f>IF(OR(A334="",S334&lt;12),"",SUMPRODUCT($G$3:$R$3,G334:R334)/5)</f>
        <v/>
      </c>
      <c r="U334" s="82">
        <f>IF(A334="","",IF(COUNTIF(C334:F334,"Fail")&gt;0,"No-Bid (gate failed)",IF(S334&lt;12,"Incomplete ("&amp;S334&amp;"/12)",IF(T334&gt;='Scoring Guide'!$C$26,"Bid",IF(T334&gt;='Scoring Guide'!$C$27,"Conditional (MD)","No-Bid")))))</f>
        <v/>
      </c>
      <c r="V334" s="79" t="n"/>
      <c r="W334" s="83" t="n"/>
      <c r="X334" s="79" t="n"/>
      <c r="Y334" s="79" t="n"/>
    </row>
    <row r="335" ht="15" customHeight="1" s="51">
      <c r="A335" s="77">
        <f>IF(Pipeline!A335="","",Pipeline!A335)</f>
        <v/>
      </c>
      <c r="B335" s="78">
        <f>IF(A335="","",INDEX(Pipeline!$H:$H,MATCH(A335,Pipeline!$A:$A,0)))</f>
        <v/>
      </c>
      <c r="C335" s="79" t="n"/>
      <c r="D335" s="79" t="n"/>
      <c r="E335" s="79" t="n"/>
      <c r="F335" s="79" t="n"/>
      <c r="G335" s="79" t="n"/>
      <c r="H335" s="79" t="n"/>
      <c r="I335" s="79" t="n"/>
      <c r="J335" s="79" t="n"/>
      <c r="K335" s="79" t="n"/>
      <c r="L335" s="79" t="n"/>
      <c r="M335" s="79" t="n"/>
      <c r="N335" s="79" t="n"/>
      <c r="O335" s="79" t="n"/>
      <c r="P335" s="79" t="n"/>
      <c r="Q335" s="79" t="n"/>
      <c r="R335" s="79" t="n"/>
      <c r="S335" s="80">
        <f>IF(A335="","",COUNT(G335:R335))</f>
        <v/>
      </c>
      <c r="T335" s="81">
        <f>IF(OR(A335="",S335&lt;12),"",SUMPRODUCT($G$3:$R$3,G335:R335)/5)</f>
        <v/>
      </c>
      <c r="U335" s="82">
        <f>IF(A335="","",IF(COUNTIF(C335:F335,"Fail")&gt;0,"No-Bid (gate failed)",IF(S335&lt;12,"Incomplete ("&amp;S335&amp;"/12)",IF(T335&gt;='Scoring Guide'!$C$26,"Bid",IF(T335&gt;='Scoring Guide'!$C$27,"Conditional (MD)","No-Bid")))))</f>
        <v/>
      </c>
      <c r="V335" s="79" t="n"/>
      <c r="W335" s="83" t="n"/>
      <c r="X335" s="79" t="n"/>
      <c r="Y335" s="79" t="n"/>
    </row>
    <row r="336" ht="15" customHeight="1" s="51">
      <c r="A336" s="77">
        <f>IF(Pipeline!A336="","",Pipeline!A336)</f>
        <v/>
      </c>
      <c r="B336" s="78">
        <f>IF(A336="","",INDEX(Pipeline!$H:$H,MATCH(A336,Pipeline!$A:$A,0)))</f>
        <v/>
      </c>
      <c r="C336" s="79" t="n"/>
      <c r="D336" s="79" t="n"/>
      <c r="E336" s="79" t="n"/>
      <c r="F336" s="79" t="n"/>
      <c r="G336" s="79" t="n"/>
      <c r="H336" s="79" t="n"/>
      <c r="I336" s="79" t="n"/>
      <c r="J336" s="79" t="n"/>
      <c r="K336" s="79" t="n"/>
      <c r="L336" s="79" t="n"/>
      <c r="M336" s="79" t="n"/>
      <c r="N336" s="79" t="n"/>
      <c r="O336" s="79" t="n"/>
      <c r="P336" s="79" t="n"/>
      <c r="Q336" s="79" t="n"/>
      <c r="R336" s="79" t="n"/>
      <c r="S336" s="80">
        <f>IF(A336="","",COUNT(G336:R336))</f>
        <v/>
      </c>
      <c r="T336" s="81">
        <f>IF(OR(A336="",S336&lt;12),"",SUMPRODUCT($G$3:$R$3,G336:R336)/5)</f>
        <v/>
      </c>
      <c r="U336" s="82">
        <f>IF(A336="","",IF(COUNTIF(C336:F336,"Fail")&gt;0,"No-Bid (gate failed)",IF(S336&lt;12,"Incomplete ("&amp;S336&amp;"/12)",IF(T336&gt;='Scoring Guide'!$C$26,"Bid",IF(T336&gt;='Scoring Guide'!$C$27,"Conditional (MD)","No-Bid")))))</f>
        <v/>
      </c>
      <c r="V336" s="79" t="n"/>
      <c r="W336" s="83" t="n"/>
      <c r="X336" s="79" t="n"/>
      <c r="Y336" s="79" t="n"/>
    </row>
    <row r="337" ht="15" customHeight="1" s="51">
      <c r="A337" s="77">
        <f>IF(Pipeline!A337="","",Pipeline!A337)</f>
        <v/>
      </c>
      <c r="B337" s="78">
        <f>IF(A337="","",INDEX(Pipeline!$H:$H,MATCH(A337,Pipeline!$A:$A,0)))</f>
        <v/>
      </c>
      <c r="C337" s="79" t="n"/>
      <c r="D337" s="79" t="n"/>
      <c r="E337" s="79" t="n"/>
      <c r="F337" s="79" t="n"/>
      <c r="G337" s="79" t="n"/>
      <c r="H337" s="79" t="n"/>
      <c r="I337" s="79" t="n"/>
      <c r="J337" s="79" t="n"/>
      <c r="K337" s="79" t="n"/>
      <c r="L337" s="79" t="n"/>
      <c r="M337" s="79" t="n"/>
      <c r="N337" s="79" t="n"/>
      <c r="O337" s="79" t="n"/>
      <c r="P337" s="79" t="n"/>
      <c r="Q337" s="79" t="n"/>
      <c r="R337" s="79" t="n"/>
      <c r="S337" s="80">
        <f>IF(A337="","",COUNT(G337:R337))</f>
        <v/>
      </c>
      <c r="T337" s="81">
        <f>IF(OR(A337="",S337&lt;12),"",SUMPRODUCT($G$3:$R$3,G337:R337)/5)</f>
        <v/>
      </c>
      <c r="U337" s="82">
        <f>IF(A337="","",IF(COUNTIF(C337:F337,"Fail")&gt;0,"No-Bid (gate failed)",IF(S337&lt;12,"Incomplete ("&amp;S337&amp;"/12)",IF(T337&gt;='Scoring Guide'!$C$26,"Bid",IF(T337&gt;='Scoring Guide'!$C$27,"Conditional (MD)","No-Bid")))))</f>
        <v/>
      </c>
      <c r="V337" s="79" t="n"/>
      <c r="W337" s="83" t="n"/>
      <c r="X337" s="79" t="n"/>
      <c r="Y337" s="79" t="n"/>
    </row>
    <row r="338" ht="15" customHeight="1" s="51">
      <c r="A338" s="77">
        <f>IF(Pipeline!A338="","",Pipeline!A338)</f>
        <v/>
      </c>
      <c r="B338" s="78">
        <f>IF(A338="","",INDEX(Pipeline!$H:$H,MATCH(A338,Pipeline!$A:$A,0)))</f>
        <v/>
      </c>
      <c r="C338" s="79" t="n"/>
      <c r="D338" s="79" t="n"/>
      <c r="E338" s="79" t="n"/>
      <c r="F338" s="79" t="n"/>
      <c r="G338" s="79" t="n"/>
      <c r="H338" s="79" t="n"/>
      <c r="I338" s="79" t="n"/>
      <c r="J338" s="79" t="n"/>
      <c r="K338" s="79" t="n"/>
      <c r="L338" s="79" t="n"/>
      <c r="M338" s="79" t="n"/>
      <c r="N338" s="79" t="n"/>
      <c r="O338" s="79" t="n"/>
      <c r="P338" s="79" t="n"/>
      <c r="Q338" s="79" t="n"/>
      <c r="R338" s="79" t="n"/>
      <c r="S338" s="80">
        <f>IF(A338="","",COUNT(G338:R338))</f>
        <v/>
      </c>
      <c r="T338" s="81">
        <f>IF(OR(A338="",S338&lt;12),"",SUMPRODUCT($G$3:$R$3,G338:R338)/5)</f>
        <v/>
      </c>
      <c r="U338" s="82">
        <f>IF(A338="","",IF(COUNTIF(C338:F338,"Fail")&gt;0,"No-Bid (gate failed)",IF(S338&lt;12,"Incomplete ("&amp;S338&amp;"/12)",IF(T338&gt;='Scoring Guide'!$C$26,"Bid",IF(T338&gt;='Scoring Guide'!$C$27,"Conditional (MD)","No-Bid")))))</f>
        <v/>
      </c>
      <c r="V338" s="79" t="n"/>
      <c r="W338" s="83" t="n"/>
      <c r="X338" s="79" t="n"/>
      <c r="Y338" s="79" t="n"/>
    </row>
    <row r="339" ht="15" customHeight="1" s="51">
      <c r="A339" s="77">
        <f>IF(Pipeline!A339="","",Pipeline!A339)</f>
        <v/>
      </c>
      <c r="B339" s="78">
        <f>IF(A339="","",INDEX(Pipeline!$H:$H,MATCH(A339,Pipeline!$A:$A,0)))</f>
        <v/>
      </c>
      <c r="C339" s="79" t="n"/>
      <c r="D339" s="79" t="n"/>
      <c r="E339" s="79" t="n"/>
      <c r="F339" s="79" t="n"/>
      <c r="G339" s="79" t="n"/>
      <c r="H339" s="79" t="n"/>
      <c r="I339" s="79" t="n"/>
      <c r="J339" s="79" t="n"/>
      <c r="K339" s="79" t="n"/>
      <c r="L339" s="79" t="n"/>
      <c r="M339" s="79" t="n"/>
      <c r="N339" s="79" t="n"/>
      <c r="O339" s="79" t="n"/>
      <c r="P339" s="79" t="n"/>
      <c r="Q339" s="79" t="n"/>
      <c r="R339" s="79" t="n"/>
      <c r="S339" s="80">
        <f>IF(A339="","",COUNT(G339:R339))</f>
        <v/>
      </c>
      <c r="T339" s="81">
        <f>IF(OR(A339="",S339&lt;12),"",SUMPRODUCT($G$3:$R$3,G339:R339)/5)</f>
        <v/>
      </c>
      <c r="U339" s="82">
        <f>IF(A339="","",IF(COUNTIF(C339:F339,"Fail")&gt;0,"No-Bid (gate failed)",IF(S339&lt;12,"Incomplete ("&amp;S339&amp;"/12)",IF(T339&gt;='Scoring Guide'!$C$26,"Bid",IF(T339&gt;='Scoring Guide'!$C$27,"Conditional (MD)","No-Bid")))))</f>
        <v/>
      </c>
      <c r="V339" s="79" t="n"/>
      <c r="W339" s="83" t="n"/>
      <c r="X339" s="79" t="n"/>
      <c r="Y339" s="79" t="n"/>
    </row>
    <row r="340" ht="15" customHeight="1" s="51">
      <c r="A340" s="77">
        <f>IF(Pipeline!A340="","",Pipeline!A340)</f>
        <v/>
      </c>
      <c r="B340" s="78">
        <f>IF(A340="","",INDEX(Pipeline!$H:$H,MATCH(A340,Pipeline!$A:$A,0)))</f>
        <v/>
      </c>
      <c r="C340" s="79" t="n"/>
      <c r="D340" s="79" t="n"/>
      <c r="E340" s="79" t="n"/>
      <c r="F340" s="79" t="n"/>
      <c r="G340" s="79" t="n"/>
      <c r="H340" s="79" t="n"/>
      <c r="I340" s="79" t="n"/>
      <c r="J340" s="79" t="n"/>
      <c r="K340" s="79" t="n"/>
      <c r="L340" s="79" t="n"/>
      <c r="M340" s="79" t="n"/>
      <c r="N340" s="79" t="n"/>
      <c r="O340" s="79" t="n"/>
      <c r="P340" s="79" t="n"/>
      <c r="Q340" s="79" t="n"/>
      <c r="R340" s="79" t="n"/>
      <c r="S340" s="80">
        <f>IF(A340="","",COUNT(G340:R340))</f>
        <v/>
      </c>
      <c r="T340" s="81">
        <f>IF(OR(A340="",S340&lt;12),"",SUMPRODUCT($G$3:$R$3,G340:R340)/5)</f>
        <v/>
      </c>
      <c r="U340" s="82">
        <f>IF(A340="","",IF(COUNTIF(C340:F340,"Fail")&gt;0,"No-Bid (gate failed)",IF(S340&lt;12,"Incomplete ("&amp;S340&amp;"/12)",IF(T340&gt;='Scoring Guide'!$C$26,"Bid",IF(T340&gt;='Scoring Guide'!$C$27,"Conditional (MD)","No-Bid")))))</f>
        <v/>
      </c>
      <c r="V340" s="79" t="n"/>
      <c r="W340" s="83" t="n"/>
      <c r="X340" s="79" t="n"/>
      <c r="Y340" s="79" t="n"/>
    </row>
    <row r="341" ht="15" customHeight="1" s="51">
      <c r="A341" s="77">
        <f>IF(Pipeline!A341="","",Pipeline!A341)</f>
        <v/>
      </c>
      <c r="B341" s="78">
        <f>IF(A341="","",INDEX(Pipeline!$H:$H,MATCH(A341,Pipeline!$A:$A,0)))</f>
        <v/>
      </c>
      <c r="C341" s="79" t="n"/>
      <c r="D341" s="79" t="n"/>
      <c r="E341" s="79" t="n"/>
      <c r="F341" s="79" t="n"/>
      <c r="G341" s="79" t="n"/>
      <c r="H341" s="79" t="n"/>
      <c r="I341" s="79" t="n"/>
      <c r="J341" s="79" t="n"/>
      <c r="K341" s="79" t="n"/>
      <c r="L341" s="79" t="n"/>
      <c r="M341" s="79" t="n"/>
      <c r="N341" s="79" t="n"/>
      <c r="O341" s="79" t="n"/>
      <c r="P341" s="79" t="n"/>
      <c r="Q341" s="79" t="n"/>
      <c r="R341" s="79" t="n"/>
      <c r="S341" s="80">
        <f>IF(A341="","",COUNT(G341:R341))</f>
        <v/>
      </c>
      <c r="T341" s="81">
        <f>IF(OR(A341="",S341&lt;12),"",SUMPRODUCT($G$3:$R$3,G341:R341)/5)</f>
        <v/>
      </c>
      <c r="U341" s="82">
        <f>IF(A341="","",IF(COUNTIF(C341:F341,"Fail")&gt;0,"No-Bid (gate failed)",IF(S341&lt;12,"Incomplete ("&amp;S341&amp;"/12)",IF(T341&gt;='Scoring Guide'!$C$26,"Bid",IF(T341&gt;='Scoring Guide'!$C$27,"Conditional (MD)","No-Bid")))))</f>
        <v/>
      </c>
      <c r="V341" s="79" t="n"/>
      <c r="W341" s="83" t="n"/>
      <c r="X341" s="79" t="n"/>
      <c r="Y341" s="79" t="n"/>
    </row>
    <row r="342" ht="15" customHeight="1" s="51">
      <c r="A342" s="77">
        <f>IF(Pipeline!A342="","",Pipeline!A342)</f>
        <v/>
      </c>
      <c r="B342" s="78">
        <f>IF(A342="","",INDEX(Pipeline!$H:$H,MATCH(A342,Pipeline!$A:$A,0)))</f>
        <v/>
      </c>
      <c r="C342" s="79" t="n"/>
      <c r="D342" s="79" t="n"/>
      <c r="E342" s="79" t="n"/>
      <c r="F342" s="79" t="n"/>
      <c r="G342" s="79" t="n"/>
      <c r="H342" s="79" t="n"/>
      <c r="I342" s="79" t="n"/>
      <c r="J342" s="79" t="n"/>
      <c r="K342" s="79" t="n"/>
      <c r="L342" s="79" t="n"/>
      <c r="M342" s="79" t="n"/>
      <c r="N342" s="79" t="n"/>
      <c r="O342" s="79" t="n"/>
      <c r="P342" s="79" t="n"/>
      <c r="Q342" s="79" t="n"/>
      <c r="R342" s="79" t="n"/>
      <c r="S342" s="80">
        <f>IF(A342="","",COUNT(G342:R342))</f>
        <v/>
      </c>
      <c r="T342" s="81">
        <f>IF(OR(A342="",S342&lt;12),"",SUMPRODUCT($G$3:$R$3,G342:R342)/5)</f>
        <v/>
      </c>
      <c r="U342" s="82">
        <f>IF(A342="","",IF(COUNTIF(C342:F342,"Fail")&gt;0,"No-Bid (gate failed)",IF(S342&lt;12,"Incomplete ("&amp;S342&amp;"/12)",IF(T342&gt;='Scoring Guide'!$C$26,"Bid",IF(T342&gt;='Scoring Guide'!$C$27,"Conditional (MD)","No-Bid")))))</f>
        <v/>
      </c>
      <c r="V342" s="79" t="n"/>
      <c r="W342" s="83" t="n"/>
      <c r="X342" s="79" t="n"/>
      <c r="Y342" s="79" t="n"/>
    </row>
    <row r="343" ht="15" customHeight="1" s="51">
      <c r="A343" s="77">
        <f>IF(Pipeline!A343="","",Pipeline!A343)</f>
        <v/>
      </c>
      <c r="B343" s="78">
        <f>IF(A343="","",INDEX(Pipeline!$H:$H,MATCH(A343,Pipeline!$A:$A,0)))</f>
        <v/>
      </c>
      <c r="C343" s="79" t="n"/>
      <c r="D343" s="79" t="n"/>
      <c r="E343" s="79" t="n"/>
      <c r="F343" s="79" t="n"/>
      <c r="G343" s="79" t="n"/>
      <c r="H343" s="79" t="n"/>
      <c r="I343" s="79" t="n"/>
      <c r="J343" s="79" t="n"/>
      <c r="K343" s="79" t="n"/>
      <c r="L343" s="79" t="n"/>
      <c r="M343" s="79" t="n"/>
      <c r="N343" s="79" t="n"/>
      <c r="O343" s="79" t="n"/>
      <c r="P343" s="79" t="n"/>
      <c r="Q343" s="79" t="n"/>
      <c r="R343" s="79" t="n"/>
      <c r="S343" s="80">
        <f>IF(A343="","",COUNT(G343:R343))</f>
        <v/>
      </c>
      <c r="T343" s="81">
        <f>IF(OR(A343="",S343&lt;12),"",SUMPRODUCT($G$3:$R$3,G343:R343)/5)</f>
        <v/>
      </c>
      <c r="U343" s="82">
        <f>IF(A343="","",IF(COUNTIF(C343:F343,"Fail")&gt;0,"No-Bid (gate failed)",IF(S343&lt;12,"Incomplete ("&amp;S343&amp;"/12)",IF(T343&gt;='Scoring Guide'!$C$26,"Bid",IF(T343&gt;='Scoring Guide'!$C$27,"Conditional (MD)","No-Bid")))))</f>
        <v/>
      </c>
      <c r="V343" s="79" t="n"/>
      <c r="W343" s="83" t="n"/>
      <c r="X343" s="79" t="n"/>
      <c r="Y343" s="79" t="n"/>
    </row>
    <row r="344" ht="15" customHeight="1" s="51">
      <c r="A344" s="77">
        <f>IF(Pipeline!A344="","",Pipeline!A344)</f>
        <v/>
      </c>
      <c r="B344" s="78">
        <f>IF(A344="","",INDEX(Pipeline!$H:$H,MATCH(A344,Pipeline!$A:$A,0)))</f>
        <v/>
      </c>
      <c r="C344" s="79" t="n"/>
      <c r="D344" s="79" t="n"/>
      <c r="E344" s="79" t="n"/>
      <c r="F344" s="79" t="n"/>
      <c r="G344" s="79" t="n"/>
      <c r="H344" s="79" t="n"/>
      <c r="I344" s="79" t="n"/>
      <c r="J344" s="79" t="n"/>
      <c r="K344" s="79" t="n"/>
      <c r="L344" s="79" t="n"/>
      <c r="M344" s="79" t="n"/>
      <c r="N344" s="79" t="n"/>
      <c r="O344" s="79" t="n"/>
      <c r="P344" s="79" t="n"/>
      <c r="Q344" s="79" t="n"/>
      <c r="R344" s="79" t="n"/>
      <c r="S344" s="80">
        <f>IF(A344="","",COUNT(G344:R344))</f>
        <v/>
      </c>
      <c r="T344" s="81">
        <f>IF(OR(A344="",S344&lt;12),"",SUMPRODUCT($G$3:$R$3,G344:R344)/5)</f>
        <v/>
      </c>
      <c r="U344" s="82">
        <f>IF(A344="","",IF(COUNTIF(C344:F344,"Fail")&gt;0,"No-Bid (gate failed)",IF(S344&lt;12,"Incomplete ("&amp;S344&amp;"/12)",IF(T344&gt;='Scoring Guide'!$C$26,"Bid",IF(T344&gt;='Scoring Guide'!$C$27,"Conditional (MD)","No-Bid")))))</f>
        <v/>
      </c>
      <c r="V344" s="79" t="n"/>
      <c r="W344" s="83" t="n"/>
      <c r="X344" s="79" t="n"/>
      <c r="Y344" s="79" t="n"/>
    </row>
    <row r="345" ht="15" customHeight="1" s="51">
      <c r="A345" s="77">
        <f>IF(Pipeline!A345="","",Pipeline!A345)</f>
        <v/>
      </c>
      <c r="B345" s="78">
        <f>IF(A345="","",INDEX(Pipeline!$H:$H,MATCH(A345,Pipeline!$A:$A,0)))</f>
        <v/>
      </c>
      <c r="C345" s="79" t="n"/>
      <c r="D345" s="79" t="n"/>
      <c r="E345" s="79" t="n"/>
      <c r="F345" s="79" t="n"/>
      <c r="G345" s="79" t="n"/>
      <c r="H345" s="79" t="n"/>
      <c r="I345" s="79" t="n"/>
      <c r="J345" s="79" t="n"/>
      <c r="K345" s="79" t="n"/>
      <c r="L345" s="79" t="n"/>
      <c r="M345" s="79" t="n"/>
      <c r="N345" s="79" t="n"/>
      <c r="O345" s="79" t="n"/>
      <c r="P345" s="79" t="n"/>
      <c r="Q345" s="79" t="n"/>
      <c r="R345" s="79" t="n"/>
      <c r="S345" s="80">
        <f>IF(A345="","",COUNT(G345:R345))</f>
        <v/>
      </c>
      <c r="T345" s="81">
        <f>IF(OR(A345="",S345&lt;12),"",SUMPRODUCT($G$3:$R$3,G345:R345)/5)</f>
        <v/>
      </c>
      <c r="U345" s="82">
        <f>IF(A345="","",IF(COUNTIF(C345:F345,"Fail")&gt;0,"No-Bid (gate failed)",IF(S345&lt;12,"Incomplete ("&amp;S345&amp;"/12)",IF(T345&gt;='Scoring Guide'!$C$26,"Bid",IF(T345&gt;='Scoring Guide'!$C$27,"Conditional (MD)","No-Bid")))))</f>
        <v/>
      </c>
      <c r="V345" s="79" t="n"/>
      <c r="W345" s="83" t="n"/>
      <c r="X345" s="79" t="n"/>
      <c r="Y345" s="79" t="n"/>
    </row>
    <row r="346" ht="15" customHeight="1" s="51">
      <c r="A346" s="77">
        <f>IF(Pipeline!A346="","",Pipeline!A346)</f>
        <v/>
      </c>
      <c r="B346" s="78">
        <f>IF(A346="","",INDEX(Pipeline!$H:$H,MATCH(A346,Pipeline!$A:$A,0)))</f>
        <v/>
      </c>
      <c r="C346" s="79" t="n"/>
      <c r="D346" s="79" t="n"/>
      <c r="E346" s="79" t="n"/>
      <c r="F346" s="79" t="n"/>
      <c r="G346" s="79" t="n"/>
      <c r="H346" s="79" t="n"/>
      <c r="I346" s="79" t="n"/>
      <c r="J346" s="79" t="n"/>
      <c r="K346" s="79" t="n"/>
      <c r="L346" s="79" t="n"/>
      <c r="M346" s="79" t="n"/>
      <c r="N346" s="79" t="n"/>
      <c r="O346" s="79" t="n"/>
      <c r="P346" s="79" t="n"/>
      <c r="Q346" s="79" t="n"/>
      <c r="R346" s="79" t="n"/>
      <c r="S346" s="80">
        <f>IF(A346="","",COUNT(G346:R346))</f>
        <v/>
      </c>
      <c r="T346" s="81">
        <f>IF(OR(A346="",S346&lt;12),"",SUMPRODUCT($G$3:$R$3,G346:R346)/5)</f>
        <v/>
      </c>
      <c r="U346" s="82">
        <f>IF(A346="","",IF(COUNTIF(C346:F346,"Fail")&gt;0,"No-Bid (gate failed)",IF(S346&lt;12,"Incomplete ("&amp;S346&amp;"/12)",IF(T346&gt;='Scoring Guide'!$C$26,"Bid",IF(T346&gt;='Scoring Guide'!$C$27,"Conditional (MD)","No-Bid")))))</f>
        <v/>
      </c>
      <c r="V346" s="79" t="n"/>
      <c r="W346" s="83" t="n"/>
      <c r="X346" s="79" t="n"/>
      <c r="Y346" s="79" t="n"/>
    </row>
    <row r="347" ht="15" customHeight="1" s="51">
      <c r="A347" s="77">
        <f>IF(Pipeline!A347="","",Pipeline!A347)</f>
        <v/>
      </c>
      <c r="B347" s="78">
        <f>IF(A347="","",INDEX(Pipeline!$H:$H,MATCH(A347,Pipeline!$A:$A,0)))</f>
        <v/>
      </c>
      <c r="C347" s="79" t="n"/>
      <c r="D347" s="79" t="n"/>
      <c r="E347" s="79" t="n"/>
      <c r="F347" s="79" t="n"/>
      <c r="G347" s="79" t="n"/>
      <c r="H347" s="79" t="n"/>
      <c r="I347" s="79" t="n"/>
      <c r="J347" s="79" t="n"/>
      <c r="K347" s="79" t="n"/>
      <c r="L347" s="79" t="n"/>
      <c r="M347" s="79" t="n"/>
      <c r="N347" s="79" t="n"/>
      <c r="O347" s="79" t="n"/>
      <c r="P347" s="79" t="n"/>
      <c r="Q347" s="79" t="n"/>
      <c r="R347" s="79" t="n"/>
      <c r="S347" s="80">
        <f>IF(A347="","",COUNT(G347:R347))</f>
        <v/>
      </c>
      <c r="T347" s="81">
        <f>IF(OR(A347="",S347&lt;12),"",SUMPRODUCT($G$3:$R$3,G347:R347)/5)</f>
        <v/>
      </c>
      <c r="U347" s="82">
        <f>IF(A347="","",IF(COUNTIF(C347:F347,"Fail")&gt;0,"No-Bid (gate failed)",IF(S347&lt;12,"Incomplete ("&amp;S347&amp;"/12)",IF(T347&gt;='Scoring Guide'!$C$26,"Bid",IF(T347&gt;='Scoring Guide'!$C$27,"Conditional (MD)","No-Bid")))))</f>
        <v/>
      </c>
      <c r="V347" s="79" t="n"/>
      <c r="W347" s="83" t="n"/>
      <c r="X347" s="79" t="n"/>
      <c r="Y347" s="79" t="n"/>
    </row>
    <row r="348" ht="15" customHeight="1" s="51">
      <c r="A348" s="77">
        <f>IF(Pipeline!A348="","",Pipeline!A348)</f>
        <v/>
      </c>
      <c r="B348" s="78">
        <f>IF(A348="","",INDEX(Pipeline!$H:$H,MATCH(A348,Pipeline!$A:$A,0)))</f>
        <v/>
      </c>
      <c r="C348" s="79" t="n"/>
      <c r="D348" s="79" t="n"/>
      <c r="E348" s="79" t="n"/>
      <c r="F348" s="79" t="n"/>
      <c r="G348" s="79" t="n"/>
      <c r="H348" s="79" t="n"/>
      <c r="I348" s="79" t="n"/>
      <c r="J348" s="79" t="n"/>
      <c r="K348" s="79" t="n"/>
      <c r="L348" s="79" t="n"/>
      <c r="M348" s="79" t="n"/>
      <c r="N348" s="79" t="n"/>
      <c r="O348" s="79" t="n"/>
      <c r="P348" s="79" t="n"/>
      <c r="Q348" s="79" t="n"/>
      <c r="R348" s="79" t="n"/>
      <c r="S348" s="80">
        <f>IF(A348="","",COUNT(G348:R348))</f>
        <v/>
      </c>
      <c r="T348" s="81">
        <f>IF(OR(A348="",S348&lt;12),"",SUMPRODUCT($G$3:$R$3,G348:R348)/5)</f>
        <v/>
      </c>
      <c r="U348" s="82">
        <f>IF(A348="","",IF(COUNTIF(C348:F348,"Fail")&gt;0,"No-Bid (gate failed)",IF(S348&lt;12,"Incomplete ("&amp;S348&amp;"/12)",IF(T348&gt;='Scoring Guide'!$C$26,"Bid",IF(T348&gt;='Scoring Guide'!$C$27,"Conditional (MD)","No-Bid")))))</f>
        <v/>
      </c>
      <c r="V348" s="79" t="n"/>
      <c r="W348" s="83" t="n"/>
      <c r="X348" s="79" t="n"/>
      <c r="Y348" s="79" t="n"/>
    </row>
    <row r="349" ht="15" customHeight="1" s="51">
      <c r="A349" s="77">
        <f>IF(Pipeline!A349="","",Pipeline!A349)</f>
        <v/>
      </c>
      <c r="B349" s="78">
        <f>IF(A349="","",INDEX(Pipeline!$H:$H,MATCH(A349,Pipeline!$A:$A,0)))</f>
        <v/>
      </c>
      <c r="C349" s="79" t="n"/>
      <c r="D349" s="79" t="n"/>
      <c r="E349" s="79" t="n"/>
      <c r="F349" s="79" t="n"/>
      <c r="G349" s="79" t="n"/>
      <c r="H349" s="79" t="n"/>
      <c r="I349" s="79" t="n"/>
      <c r="J349" s="79" t="n"/>
      <c r="K349" s="79" t="n"/>
      <c r="L349" s="79" t="n"/>
      <c r="M349" s="79" t="n"/>
      <c r="N349" s="79" t="n"/>
      <c r="O349" s="79" t="n"/>
      <c r="P349" s="79" t="n"/>
      <c r="Q349" s="79" t="n"/>
      <c r="R349" s="79" t="n"/>
      <c r="S349" s="80">
        <f>IF(A349="","",COUNT(G349:R349))</f>
        <v/>
      </c>
      <c r="T349" s="81">
        <f>IF(OR(A349="",S349&lt;12),"",SUMPRODUCT($G$3:$R$3,G349:R349)/5)</f>
        <v/>
      </c>
      <c r="U349" s="82">
        <f>IF(A349="","",IF(COUNTIF(C349:F349,"Fail")&gt;0,"No-Bid (gate failed)",IF(S349&lt;12,"Incomplete ("&amp;S349&amp;"/12)",IF(T349&gt;='Scoring Guide'!$C$26,"Bid",IF(T349&gt;='Scoring Guide'!$C$27,"Conditional (MD)","No-Bid")))))</f>
        <v/>
      </c>
      <c r="V349" s="79" t="n"/>
      <c r="W349" s="83" t="n"/>
      <c r="X349" s="79" t="n"/>
      <c r="Y349" s="79" t="n"/>
    </row>
    <row r="350" ht="15" customHeight="1" s="51">
      <c r="A350" s="77">
        <f>IF(Pipeline!A350="","",Pipeline!A350)</f>
        <v/>
      </c>
      <c r="B350" s="78">
        <f>IF(A350="","",INDEX(Pipeline!$H:$H,MATCH(A350,Pipeline!$A:$A,0)))</f>
        <v/>
      </c>
      <c r="C350" s="79" t="n"/>
      <c r="D350" s="79" t="n"/>
      <c r="E350" s="79" t="n"/>
      <c r="F350" s="79" t="n"/>
      <c r="G350" s="79" t="n"/>
      <c r="H350" s="79" t="n"/>
      <c r="I350" s="79" t="n"/>
      <c r="J350" s="79" t="n"/>
      <c r="K350" s="79" t="n"/>
      <c r="L350" s="79" t="n"/>
      <c r="M350" s="79" t="n"/>
      <c r="N350" s="79" t="n"/>
      <c r="O350" s="79" t="n"/>
      <c r="P350" s="79" t="n"/>
      <c r="Q350" s="79" t="n"/>
      <c r="R350" s="79" t="n"/>
      <c r="S350" s="80">
        <f>IF(A350="","",COUNT(G350:R350))</f>
        <v/>
      </c>
      <c r="T350" s="81">
        <f>IF(OR(A350="",S350&lt;12),"",SUMPRODUCT($G$3:$R$3,G350:R350)/5)</f>
        <v/>
      </c>
      <c r="U350" s="82">
        <f>IF(A350="","",IF(COUNTIF(C350:F350,"Fail")&gt;0,"No-Bid (gate failed)",IF(S350&lt;12,"Incomplete ("&amp;S350&amp;"/12)",IF(T350&gt;='Scoring Guide'!$C$26,"Bid",IF(T350&gt;='Scoring Guide'!$C$27,"Conditional (MD)","No-Bid")))))</f>
        <v/>
      </c>
      <c r="V350" s="79" t="n"/>
      <c r="W350" s="83" t="n"/>
      <c r="X350" s="79" t="n"/>
      <c r="Y350" s="79" t="n"/>
    </row>
    <row r="351" ht="15" customHeight="1" s="51">
      <c r="A351" s="77">
        <f>IF(Pipeline!A351="","",Pipeline!A351)</f>
        <v/>
      </c>
      <c r="B351" s="78">
        <f>IF(A351="","",INDEX(Pipeline!$H:$H,MATCH(A351,Pipeline!$A:$A,0)))</f>
        <v/>
      </c>
      <c r="C351" s="79" t="n"/>
      <c r="D351" s="79" t="n"/>
      <c r="E351" s="79" t="n"/>
      <c r="F351" s="79" t="n"/>
      <c r="G351" s="79" t="n"/>
      <c r="H351" s="79" t="n"/>
      <c r="I351" s="79" t="n"/>
      <c r="J351" s="79" t="n"/>
      <c r="K351" s="79" t="n"/>
      <c r="L351" s="79" t="n"/>
      <c r="M351" s="79" t="n"/>
      <c r="N351" s="79" t="n"/>
      <c r="O351" s="79" t="n"/>
      <c r="P351" s="79" t="n"/>
      <c r="Q351" s="79" t="n"/>
      <c r="R351" s="79" t="n"/>
      <c r="S351" s="80">
        <f>IF(A351="","",COUNT(G351:R351))</f>
        <v/>
      </c>
      <c r="T351" s="81">
        <f>IF(OR(A351="",S351&lt;12),"",SUMPRODUCT($G$3:$R$3,G351:R351)/5)</f>
        <v/>
      </c>
      <c r="U351" s="82">
        <f>IF(A351="","",IF(COUNTIF(C351:F351,"Fail")&gt;0,"No-Bid (gate failed)",IF(S351&lt;12,"Incomplete ("&amp;S351&amp;"/12)",IF(T351&gt;='Scoring Guide'!$C$26,"Bid",IF(T351&gt;='Scoring Guide'!$C$27,"Conditional (MD)","No-Bid")))))</f>
        <v/>
      </c>
      <c r="V351" s="79" t="n"/>
      <c r="W351" s="83" t="n"/>
      <c r="X351" s="79" t="n"/>
      <c r="Y351" s="79" t="n"/>
    </row>
    <row r="352" ht="15" customHeight="1" s="51">
      <c r="A352" s="77">
        <f>IF(Pipeline!A352="","",Pipeline!A352)</f>
        <v/>
      </c>
      <c r="B352" s="78">
        <f>IF(A352="","",INDEX(Pipeline!$H:$H,MATCH(A352,Pipeline!$A:$A,0)))</f>
        <v/>
      </c>
      <c r="C352" s="79" t="n"/>
      <c r="D352" s="79" t="n"/>
      <c r="E352" s="79" t="n"/>
      <c r="F352" s="79" t="n"/>
      <c r="G352" s="79" t="n"/>
      <c r="H352" s="79" t="n"/>
      <c r="I352" s="79" t="n"/>
      <c r="J352" s="79" t="n"/>
      <c r="K352" s="79" t="n"/>
      <c r="L352" s="79" t="n"/>
      <c r="M352" s="79" t="n"/>
      <c r="N352" s="79" t="n"/>
      <c r="O352" s="79" t="n"/>
      <c r="P352" s="79" t="n"/>
      <c r="Q352" s="79" t="n"/>
      <c r="R352" s="79" t="n"/>
      <c r="S352" s="80">
        <f>IF(A352="","",COUNT(G352:R352))</f>
        <v/>
      </c>
      <c r="T352" s="81">
        <f>IF(OR(A352="",S352&lt;12),"",SUMPRODUCT($G$3:$R$3,G352:R352)/5)</f>
        <v/>
      </c>
      <c r="U352" s="82">
        <f>IF(A352="","",IF(COUNTIF(C352:F352,"Fail")&gt;0,"No-Bid (gate failed)",IF(S352&lt;12,"Incomplete ("&amp;S352&amp;"/12)",IF(T352&gt;='Scoring Guide'!$C$26,"Bid",IF(T352&gt;='Scoring Guide'!$C$27,"Conditional (MD)","No-Bid")))))</f>
        <v/>
      </c>
      <c r="V352" s="79" t="n"/>
      <c r="W352" s="83" t="n"/>
      <c r="X352" s="79" t="n"/>
      <c r="Y352" s="79" t="n"/>
    </row>
    <row r="353" ht="15" customHeight="1" s="51">
      <c r="A353" s="77">
        <f>IF(Pipeline!A353="","",Pipeline!A353)</f>
        <v/>
      </c>
      <c r="B353" s="78">
        <f>IF(A353="","",INDEX(Pipeline!$H:$H,MATCH(A353,Pipeline!$A:$A,0)))</f>
        <v/>
      </c>
      <c r="C353" s="79" t="n"/>
      <c r="D353" s="79" t="n"/>
      <c r="E353" s="79" t="n"/>
      <c r="F353" s="79" t="n"/>
      <c r="G353" s="79" t="n"/>
      <c r="H353" s="79" t="n"/>
      <c r="I353" s="79" t="n"/>
      <c r="J353" s="79" t="n"/>
      <c r="K353" s="79" t="n"/>
      <c r="L353" s="79" t="n"/>
      <c r="M353" s="79" t="n"/>
      <c r="N353" s="79" t="n"/>
      <c r="O353" s="79" t="n"/>
      <c r="P353" s="79" t="n"/>
      <c r="Q353" s="79" t="n"/>
      <c r="R353" s="79" t="n"/>
      <c r="S353" s="80">
        <f>IF(A353="","",COUNT(G353:R353))</f>
        <v/>
      </c>
      <c r="T353" s="81">
        <f>IF(OR(A353="",S353&lt;12),"",SUMPRODUCT($G$3:$R$3,G353:R353)/5)</f>
        <v/>
      </c>
      <c r="U353" s="82">
        <f>IF(A353="","",IF(COUNTIF(C353:F353,"Fail")&gt;0,"No-Bid (gate failed)",IF(S353&lt;12,"Incomplete ("&amp;S353&amp;"/12)",IF(T353&gt;='Scoring Guide'!$C$26,"Bid",IF(T353&gt;='Scoring Guide'!$C$27,"Conditional (MD)","No-Bid")))))</f>
        <v/>
      </c>
      <c r="V353" s="79" t="n"/>
      <c r="W353" s="83" t="n"/>
      <c r="X353" s="79" t="n"/>
      <c r="Y353" s="79" t="n"/>
    </row>
    <row r="354" ht="15" customHeight="1" s="51">
      <c r="A354" s="77">
        <f>IF(Pipeline!A354="","",Pipeline!A354)</f>
        <v/>
      </c>
      <c r="B354" s="78">
        <f>IF(A354="","",INDEX(Pipeline!$H:$H,MATCH(A354,Pipeline!$A:$A,0)))</f>
        <v/>
      </c>
      <c r="C354" s="79" t="n"/>
      <c r="D354" s="79" t="n"/>
      <c r="E354" s="79" t="n"/>
      <c r="F354" s="79" t="n"/>
      <c r="G354" s="79" t="n"/>
      <c r="H354" s="79" t="n"/>
      <c r="I354" s="79" t="n"/>
      <c r="J354" s="79" t="n"/>
      <c r="K354" s="79" t="n"/>
      <c r="L354" s="79" t="n"/>
      <c r="M354" s="79" t="n"/>
      <c r="N354" s="79" t="n"/>
      <c r="O354" s="79" t="n"/>
      <c r="P354" s="79" t="n"/>
      <c r="Q354" s="79" t="n"/>
      <c r="R354" s="79" t="n"/>
      <c r="S354" s="80">
        <f>IF(A354="","",COUNT(G354:R354))</f>
        <v/>
      </c>
      <c r="T354" s="81">
        <f>IF(OR(A354="",S354&lt;12),"",SUMPRODUCT($G$3:$R$3,G354:R354)/5)</f>
        <v/>
      </c>
      <c r="U354" s="82">
        <f>IF(A354="","",IF(COUNTIF(C354:F354,"Fail")&gt;0,"No-Bid (gate failed)",IF(S354&lt;12,"Incomplete ("&amp;S354&amp;"/12)",IF(T354&gt;='Scoring Guide'!$C$26,"Bid",IF(T354&gt;='Scoring Guide'!$C$27,"Conditional (MD)","No-Bid")))))</f>
        <v/>
      </c>
      <c r="V354" s="79" t="n"/>
      <c r="W354" s="83" t="n"/>
      <c r="X354" s="79" t="n"/>
      <c r="Y354" s="79" t="n"/>
    </row>
    <row r="355" ht="15" customHeight="1" s="51">
      <c r="A355" s="77">
        <f>IF(Pipeline!A355="","",Pipeline!A355)</f>
        <v/>
      </c>
      <c r="B355" s="78">
        <f>IF(A355="","",INDEX(Pipeline!$H:$H,MATCH(A355,Pipeline!$A:$A,0)))</f>
        <v/>
      </c>
      <c r="C355" s="79" t="n"/>
      <c r="D355" s="79" t="n"/>
      <c r="E355" s="79" t="n"/>
      <c r="F355" s="79" t="n"/>
      <c r="G355" s="79" t="n"/>
      <c r="H355" s="79" t="n"/>
      <c r="I355" s="79" t="n"/>
      <c r="J355" s="79" t="n"/>
      <c r="K355" s="79" t="n"/>
      <c r="L355" s="79" t="n"/>
      <c r="M355" s="79" t="n"/>
      <c r="N355" s="79" t="n"/>
      <c r="O355" s="79" t="n"/>
      <c r="P355" s="79" t="n"/>
      <c r="Q355" s="79" t="n"/>
      <c r="R355" s="79" t="n"/>
      <c r="S355" s="80">
        <f>IF(A355="","",COUNT(G355:R355))</f>
        <v/>
      </c>
      <c r="T355" s="81">
        <f>IF(OR(A355="",S355&lt;12),"",SUMPRODUCT($G$3:$R$3,G355:R355)/5)</f>
        <v/>
      </c>
      <c r="U355" s="82">
        <f>IF(A355="","",IF(COUNTIF(C355:F355,"Fail")&gt;0,"No-Bid (gate failed)",IF(S355&lt;12,"Incomplete ("&amp;S355&amp;"/12)",IF(T355&gt;='Scoring Guide'!$C$26,"Bid",IF(T355&gt;='Scoring Guide'!$C$27,"Conditional (MD)","No-Bid")))))</f>
        <v/>
      </c>
      <c r="V355" s="79" t="n"/>
      <c r="W355" s="83" t="n"/>
      <c r="X355" s="79" t="n"/>
      <c r="Y355" s="79" t="n"/>
    </row>
    <row r="356" ht="15" customHeight="1" s="51">
      <c r="A356" s="77">
        <f>IF(Pipeline!A356="","",Pipeline!A356)</f>
        <v/>
      </c>
      <c r="B356" s="78">
        <f>IF(A356="","",INDEX(Pipeline!$H:$H,MATCH(A356,Pipeline!$A:$A,0)))</f>
        <v/>
      </c>
      <c r="C356" s="79" t="n"/>
      <c r="D356" s="79" t="n"/>
      <c r="E356" s="79" t="n"/>
      <c r="F356" s="79" t="n"/>
      <c r="G356" s="79" t="n"/>
      <c r="H356" s="79" t="n"/>
      <c r="I356" s="79" t="n"/>
      <c r="J356" s="79" t="n"/>
      <c r="K356" s="79" t="n"/>
      <c r="L356" s="79" t="n"/>
      <c r="M356" s="79" t="n"/>
      <c r="N356" s="79" t="n"/>
      <c r="O356" s="79" t="n"/>
      <c r="P356" s="79" t="n"/>
      <c r="Q356" s="79" t="n"/>
      <c r="R356" s="79" t="n"/>
      <c r="S356" s="80">
        <f>IF(A356="","",COUNT(G356:R356))</f>
        <v/>
      </c>
      <c r="T356" s="81">
        <f>IF(OR(A356="",S356&lt;12),"",SUMPRODUCT($G$3:$R$3,G356:R356)/5)</f>
        <v/>
      </c>
      <c r="U356" s="82">
        <f>IF(A356="","",IF(COUNTIF(C356:F356,"Fail")&gt;0,"No-Bid (gate failed)",IF(S356&lt;12,"Incomplete ("&amp;S356&amp;"/12)",IF(T356&gt;='Scoring Guide'!$C$26,"Bid",IF(T356&gt;='Scoring Guide'!$C$27,"Conditional (MD)","No-Bid")))))</f>
        <v/>
      </c>
      <c r="V356" s="79" t="n"/>
      <c r="W356" s="83" t="n"/>
      <c r="X356" s="79" t="n"/>
      <c r="Y356" s="79" t="n"/>
    </row>
    <row r="357" ht="15" customHeight="1" s="51">
      <c r="A357" s="77">
        <f>IF(Pipeline!A357="","",Pipeline!A357)</f>
        <v/>
      </c>
      <c r="B357" s="78">
        <f>IF(A357="","",INDEX(Pipeline!$H:$H,MATCH(A357,Pipeline!$A:$A,0)))</f>
        <v/>
      </c>
      <c r="C357" s="79" t="n"/>
      <c r="D357" s="79" t="n"/>
      <c r="E357" s="79" t="n"/>
      <c r="F357" s="79" t="n"/>
      <c r="G357" s="79" t="n"/>
      <c r="H357" s="79" t="n"/>
      <c r="I357" s="79" t="n"/>
      <c r="J357" s="79" t="n"/>
      <c r="K357" s="79" t="n"/>
      <c r="L357" s="79" t="n"/>
      <c r="M357" s="79" t="n"/>
      <c r="N357" s="79" t="n"/>
      <c r="O357" s="79" t="n"/>
      <c r="P357" s="79" t="n"/>
      <c r="Q357" s="79" t="n"/>
      <c r="R357" s="79" t="n"/>
      <c r="S357" s="80">
        <f>IF(A357="","",COUNT(G357:R357))</f>
        <v/>
      </c>
      <c r="T357" s="81">
        <f>IF(OR(A357="",S357&lt;12),"",SUMPRODUCT($G$3:$R$3,G357:R357)/5)</f>
        <v/>
      </c>
      <c r="U357" s="82">
        <f>IF(A357="","",IF(COUNTIF(C357:F357,"Fail")&gt;0,"No-Bid (gate failed)",IF(S357&lt;12,"Incomplete ("&amp;S357&amp;"/12)",IF(T357&gt;='Scoring Guide'!$C$26,"Bid",IF(T357&gt;='Scoring Guide'!$C$27,"Conditional (MD)","No-Bid")))))</f>
        <v/>
      </c>
      <c r="V357" s="79" t="n"/>
      <c r="W357" s="83" t="n"/>
      <c r="X357" s="79" t="n"/>
      <c r="Y357" s="79" t="n"/>
    </row>
    <row r="358" ht="15" customHeight="1" s="51">
      <c r="A358" s="77">
        <f>IF(Pipeline!A358="","",Pipeline!A358)</f>
        <v/>
      </c>
      <c r="B358" s="78">
        <f>IF(A358="","",INDEX(Pipeline!$H:$H,MATCH(A358,Pipeline!$A:$A,0)))</f>
        <v/>
      </c>
      <c r="C358" s="79" t="n"/>
      <c r="D358" s="79" t="n"/>
      <c r="E358" s="79" t="n"/>
      <c r="F358" s="79" t="n"/>
      <c r="G358" s="79" t="n"/>
      <c r="H358" s="79" t="n"/>
      <c r="I358" s="79" t="n"/>
      <c r="J358" s="79" t="n"/>
      <c r="K358" s="79" t="n"/>
      <c r="L358" s="79" t="n"/>
      <c r="M358" s="79" t="n"/>
      <c r="N358" s="79" t="n"/>
      <c r="O358" s="79" t="n"/>
      <c r="P358" s="79" t="n"/>
      <c r="Q358" s="79" t="n"/>
      <c r="R358" s="79" t="n"/>
      <c r="S358" s="80">
        <f>IF(A358="","",COUNT(G358:R358))</f>
        <v/>
      </c>
      <c r="T358" s="81">
        <f>IF(OR(A358="",S358&lt;12),"",SUMPRODUCT($G$3:$R$3,G358:R358)/5)</f>
        <v/>
      </c>
      <c r="U358" s="82">
        <f>IF(A358="","",IF(COUNTIF(C358:F358,"Fail")&gt;0,"No-Bid (gate failed)",IF(S358&lt;12,"Incomplete ("&amp;S358&amp;"/12)",IF(T358&gt;='Scoring Guide'!$C$26,"Bid",IF(T358&gt;='Scoring Guide'!$C$27,"Conditional (MD)","No-Bid")))))</f>
        <v/>
      </c>
      <c r="V358" s="79" t="n"/>
      <c r="W358" s="83" t="n"/>
      <c r="X358" s="79" t="n"/>
      <c r="Y358" s="79" t="n"/>
    </row>
    <row r="359" ht="15" customHeight="1" s="51">
      <c r="A359" s="77">
        <f>IF(Pipeline!A359="","",Pipeline!A359)</f>
        <v/>
      </c>
      <c r="B359" s="78">
        <f>IF(A359="","",INDEX(Pipeline!$H:$H,MATCH(A359,Pipeline!$A:$A,0)))</f>
        <v/>
      </c>
      <c r="C359" s="79" t="n"/>
      <c r="D359" s="79" t="n"/>
      <c r="E359" s="79" t="n"/>
      <c r="F359" s="79" t="n"/>
      <c r="G359" s="79" t="n"/>
      <c r="H359" s="79" t="n"/>
      <c r="I359" s="79" t="n"/>
      <c r="J359" s="79" t="n"/>
      <c r="K359" s="79" t="n"/>
      <c r="L359" s="79" t="n"/>
      <c r="M359" s="79" t="n"/>
      <c r="N359" s="79" t="n"/>
      <c r="O359" s="79" t="n"/>
      <c r="P359" s="79" t="n"/>
      <c r="Q359" s="79" t="n"/>
      <c r="R359" s="79" t="n"/>
      <c r="S359" s="80">
        <f>IF(A359="","",COUNT(G359:R359))</f>
        <v/>
      </c>
      <c r="T359" s="81">
        <f>IF(OR(A359="",S359&lt;12),"",SUMPRODUCT($G$3:$R$3,G359:R359)/5)</f>
        <v/>
      </c>
      <c r="U359" s="82">
        <f>IF(A359="","",IF(COUNTIF(C359:F359,"Fail")&gt;0,"No-Bid (gate failed)",IF(S359&lt;12,"Incomplete ("&amp;S359&amp;"/12)",IF(T359&gt;='Scoring Guide'!$C$26,"Bid",IF(T359&gt;='Scoring Guide'!$C$27,"Conditional (MD)","No-Bid")))))</f>
        <v/>
      </c>
      <c r="V359" s="79" t="n"/>
      <c r="W359" s="83" t="n"/>
      <c r="X359" s="79" t="n"/>
      <c r="Y359" s="79" t="n"/>
    </row>
    <row r="360" ht="15" customHeight="1" s="51">
      <c r="A360" s="77">
        <f>IF(Pipeline!A360="","",Pipeline!A360)</f>
        <v/>
      </c>
      <c r="B360" s="78">
        <f>IF(A360="","",INDEX(Pipeline!$H:$H,MATCH(A360,Pipeline!$A:$A,0)))</f>
        <v/>
      </c>
      <c r="C360" s="79" t="n"/>
      <c r="D360" s="79" t="n"/>
      <c r="E360" s="79" t="n"/>
      <c r="F360" s="79" t="n"/>
      <c r="G360" s="79" t="n"/>
      <c r="H360" s="79" t="n"/>
      <c r="I360" s="79" t="n"/>
      <c r="J360" s="79" t="n"/>
      <c r="K360" s="79" t="n"/>
      <c r="L360" s="79" t="n"/>
      <c r="M360" s="79" t="n"/>
      <c r="N360" s="79" t="n"/>
      <c r="O360" s="79" t="n"/>
      <c r="P360" s="79" t="n"/>
      <c r="Q360" s="79" t="n"/>
      <c r="R360" s="79" t="n"/>
      <c r="S360" s="80">
        <f>IF(A360="","",COUNT(G360:R360))</f>
        <v/>
      </c>
      <c r="T360" s="81">
        <f>IF(OR(A360="",S360&lt;12),"",SUMPRODUCT($G$3:$R$3,G360:R360)/5)</f>
        <v/>
      </c>
      <c r="U360" s="82">
        <f>IF(A360="","",IF(COUNTIF(C360:F360,"Fail")&gt;0,"No-Bid (gate failed)",IF(S360&lt;12,"Incomplete ("&amp;S360&amp;"/12)",IF(T360&gt;='Scoring Guide'!$C$26,"Bid",IF(T360&gt;='Scoring Guide'!$C$27,"Conditional (MD)","No-Bid")))))</f>
        <v/>
      </c>
      <c r="V360" s="79" t="n"/>
      <c r="W360" s="83" t="n"/>
      <c r="X360" s="79" t="n"/>
      <c r="Y360" s="79" t="n"/>
    </row>
    <row r="361" ht="15" customHeight="1" s="51">
      <c r="A361" s="77">
        <f>IF(Pipeline!A361="","",Pipeline!A361)</f>
        <v/>
      </c>
      <c r="B361" s="78">
        <f>IF(A361="","",INDEX(Pipeline!$H:$H,MATCH(A361,Pipeline!$A:$A,0)))</f>
        <v/>
      </c>
      <c r="C361" s="79" t="n"/>
      <c r="D361" s="79" t="n"/>
      <c r="E361" s="79" t="n"/>
      <c r="F361" s="79" t="n"/>
      <c r="G361" s="79" t="n"/>
      <c r="H361" s="79" t="n"/>
      <c r="I361" s="79" t="n"/>
      <c r="J361" s="79" t="n"/>
      <c r="K361" s="79" t="n"/>
      <c r="L361" s="79" t="n"/>
      <c r="M361" s="79" t="n"/>
      <c r="N361" s="79" t="n"/>
      <c r="O361" s="79" t="n"/>
      <c r="P361" s="79" t="n"/>
      <c r="Q361" s="79" t="n"/>
      <c r="R361" s="79" t="n"/>
      <c r="S361" s="80">
        <f>IF(A361="","",COUNT(G361:R361))</f>
        <v/>
      </c>
      <c r="T361" s="81">
        <f>IF(OR(A361="",S361&lt;12),"",SUMPRODUCT($G$3:$R$3,G361:R361)/5)</f>
        <v/>
      </c>
      <c r="U361" s="82">
        <f>IF(A361="","",IF(COUNTIF(C361:F361,"Fail")&gt;0,"No-Bid (gate failed)",IF(S361&lt;12,"Incomplete ("&amp;S361&amp;"/12)",IF(T361&gt;='Scoring Guide'!$C$26,"Bid",IF(T361&gt;='Scoring Guide'!$C$27,"Conditional (MD)","No-Bid")))))</f>
        <v/>
      </c>
      <c r="V361" s="79" t="n"/>
      <c r="W361" s="83" t="n"/>
      <c r="X361" s="79" t="n"/>
      <c r="Y361" s="79" t="n"/>
    </row>
    <row r="362" ht="15" customHeight="1" s="51">
      <c r="A362" s="77">
        <f>IF(Pipeline!A362="","",Pipeline!A362)</f>
        <v/>
      </c>
      <c r="B362" s="78">
        <f>IF(A362="","",INDEX(Pipeline!$H:$H,MATCH(A362,Pipeline!$A:$A,0)))</f>
        <v/>
      </c>
      <c r="C362" s="79" t="n"/>
      <c r="D362" s="79" t="n"/>
      <c r="E362" s="79" t="n"/>
      <c r="F362" s="79" t="n"/>
      <c r="G362" s="79" t="n"/>
      <c r="H362" s="79" t="n"/>
      <c r="I362" s="79" t="n"/>
      <c r="J362" s="79" t="n"/>
      <c r="K362" s="79" t="n"/>
      <c r="L362" s="79" t="n"/>
      <c r="M362" s="79" t="n"/>
      <c r="N362" s="79" t="n"/>
      <c r="O362" s="79" t="n"/>
      <c r="P362" s="79" t="n"/>
      <c r="Q362" s="79" t="n"/>
      <c r="R362" s="79" t="n"/>
      <c r="S362" s="80">
        <f>IF(A362="","",COUNT(G362:R362))</f>
        <v/>
      </c>
      <c r="T362" s="81">
        <f>IF(OR(A362="",S362&lt;12),"",SUMPRODUCT($G$3:$R$3,G362:R362)/5)</f>
        <v/>
      </c>
      <c r="U362" s="82">
        <f>IF(A362="","",IF(COUNTIF(C362:F362,"Fail")&gt;0,"No-Bid (gate failed)",IF(S362&lt;12,"Incomplete ("&amp;S362&amp;"/12)",IF(T362&gt;='Scoring Guide'!$C$26,"Bid",IF(T362&gt;='Scoring Guide'!$C$27,"Conditional (MD)","No-Bid")))))</f>
        <v/>
      </c>
      <c r="V362" s="79" t="n"/>
      <c r="W362" s="83" t="n"/>
      <c r="X362" s="79" t="n"/>
      <c r="Y362" s="79" t="n"/>
    </row>
    <row r="363" ht="15" customHeight="1" s="51">
      <c r="A363" s="77">
        <f>IF(Pipeline!A363="","",Pipeline!A363)</f>
        <v/>
      </c>
      <c r="B363" s="78">
        <f>IF(A363="","",INDEX(Pipeline!$H:$H,MATCH(A363,Pipeline!$A:$A,0)))</f>
        <v/>
      </c>
      <c r="C363" s="79" t="n"/>
      <c r="D363" s="79" t="n"/>
      <c r="E363" s="79" t="n"/>
      <c r="F363" s="79" t="n"/>
      <c r="G363" s="79" t="n"/>
      <c r="H363" s="79" t="n"/>
      <c r="I363" s="79" t="n"/>
      <c r="J363" s="79" t="n"/>
      <c r="K363" s="79" t="n"/>
      <c r="L363" s="79" t="n"/>
      <c r="M363" s="79" t="n"/>
      <c r="N363" s="79" t="n"/>
      <c r="O363" s="79" t="n"/>
      <c r="P363" s="79" t="n"/>
      <c r="Q363" s="79" t="n"/>
      <c r="R363" s="79" t="n"/>
      <c r="S363" s="80">
        <f>IF(A363="","",COUNT(G363:R363))</f>
        <v/>
      </c>
      <c r="T363" s="81">
        <f>IF(OR(A363="",S363&lt;12),"",SUMPRODUCT($G$3:$R$3,G363:R363)/5)</f>
        <v/>
      </c>
      <c r="U363" s="82">
        <f>IF(A363="","",IF(COUNTIF(C363:F363,"Fail")&gt;0,"No-Bid (gate failed)",IF(S363&lt;12,"Incomplete ("&amp;S363&amp;"/12)",IF(T363&gt;='Scoring Guide'!$C$26,"Bid",IF(T363&gt;='Scoring Guide'!$C$27,"Conditional (MD)","No-Bid")))))</f>
        <v/>
      </c>
      <c r="V363" s="79" t="n"/>
      <c r="W363" s="83" t="n"/>
      <c r="X363" s="79" t="n"/>
      <c r="Y363" s="79" t="n"/>
    </row>
    <row r="364" ht="15" customHeight="1" s="51">
      <c r="A364" s="77">
        <f>IF(Pipeline!A364="","",Pipeline!A364)</f>
        <v/>
      </c>
      <c r="B364" s="78">
        <f>IF(A364="","",INDEX(Pipeline!$H:$H,MATCH(A364,Pipeline!$A:$A,0)))</f>
        <v/>
      </c>
      <c r="C364" s="79" t="n"/>
      <c r="D364" s="79" t="n"/>
      <c r="E364" s="79" t="n"/>
      <c r="F364" s="79" t="n"/>
      <c r="G364" s="79" t="n"/>
      <c r="H364" s="79" t="n"/>
      <c r="I364" s="79" t="n"/>
      <c r="J364" s="79" t="n"/>
      <c r="K364" s="79" t="n"/>
      <c r="L364" s="79" t="n"/>
      <c r="M364" s="79" t="n"/>
      <c r="N364" s="79" t="n"/>
      <c r="O364" s="79" t="n"/>
      <c r="P364" s="79" t="n"/>
      <c r="Q364" s="79" t="n"/>
      <c r="R364" s="79" t="n"/>
      <c r="S364" s="80">
        <f>IF(A364="","",COUNT(G364:R364))</f>
        <v/>
      </c>
      <c r="T364" s="81">
        <f>IF(OR(A364="",S364&lt;12),"",SUMPRODUCT($G$3:$R$3,G364:R364)/5)</f>
        <v/>
      </c>
      <c r="U364" s="82">
        <f>IF(A364="","",IF(COUNTIF(C364:F364,"Fail")&gt;0,"No-Bid (gate failed)",IF(S364&lt;12,"Incomplete ("&amp;S364&amp;"/12)",IF(T364&gt;='Scoring Guide'!$C$26,"Bid",IF(T364&gt;='Scoring Guide'!$C$27,"Conditional (MD)","No-Bid")))))</f>
        <v/>
      </c>
      <c r="V364" s="79" t="n"/>
      <c r="W364" s="83" t="n"/>
      <c r="X364" s="79" t="n"/>
      <c r="Y364" s="79" t="n"/>
    </row>
    <row r="365" ht="15" customHeight="1" s="51">
      <c r="A365" s="77">
        <f>IF(Pipeline!A365="","",Pipeline!A365)</f>
        <v/>
      </c>
      <c r="B365" s="78">
        <f>IF(A365="","",INDEX(Pipeline!$H:$H,MATCH(A365,Pipeline!$A:$A,0)))</f>
        <v/>
      </c>
      <c r="C365" s="79" t="n"/>
      <c r="D365" s="79" t="n"/>
      <c r="E365" s="79" t="n"/>
      <c r="F365" s="79" t="n"/>
      <c r="G365" s="79" t="n"/>
      <c r="H365" s="79" t="n"/>
      <c r="I365" s="79" t="n"/>
      <c r="J365" s="79" t="n"/>
      <c r="K365" s="79" t="n"/>
      <c r="L365" s="79" t="n"/>
      <c r="M365" s="79" t="n"/>
      <c r="N365" s="79" t="n"/>
      <c r="O365" s="79" t="n"/>
      <c r="P365" s="79" t="n"/>
      <c r="Q365" s="79" t="n"/>
      <c r="R365" s="79" t="n"/>
      <c r="S365" s="80">
        <f>IF(A365="","",COUNT(G365:R365))</f>
        <v/>
      </c>
      <c r="T365" s="81">
        <f>IF(OR(A365="",S365&lt;12),"",SUMPRODUCT($G$3:$R$3,G365:R365)/5)</f>
        <v/>
      </c>
      <c r="U365" s="82">
        <f>IF(A365="","",IF(COUNTIF(C365:F365,"Fail")&gt;0,"No-Bid (gate failed)",IF(S365&lt;12,"Incomplete ("&amp;S365&amp;"/12)",IF(T365&gt;='Scoring Guide'!$C$26,"Bid",IF(T365&gt;='Scoring Guide'!$C$27,"Conditional (MD)","No-Bid")))))</f>
        <v/>
      </c>
      <c r="V365" s="79" t="n"/>
      <c r="W365" s="83" t="n"/>
      <c r="X365" s="79" t="n"/>
      <c r="Y365" s="79" t="n"/>
    </row>
    <row r="366" ht="15" customHeight="1" s="51">
      <c r="A366" s="77">
        <f>IF(Pipeline!A366="","",Pipeline!A366)</f>
        <v/>
      </c>
      <c r="B366" s="78">
        <f>IF(A366="","",INDEX(Pipeline!$H:$H,MATCH(A366,Pipeline!$A:$A,0)))</f>
        <v/>
      </c>
      <c r="C366" s="79" t="n"/>
      <c r="D366" s="79" t="n"/>
      <c r="E366" s="79" t="n"/>
      <c r="F366" s="79" t="n"/>
      <c r="G366" s="79" t="n"/>
      <c r="H366" s="79" t="n"/>
      <c r="I366" s="79" t="n"/>
      <c r="J366" s="79" t="n"/>
      <c r="K366" s="79" t="n"/>
      <c r="L366" s="79" t="n"/>
      <c r="M366" s="79" t="n"/>
      <c r="N366" s="79" t="n"/>
      <c r="O366" s="79" t="n"/>
      <c r="P366" s="79" t="n"/>
      <c r="Q366" s="79" t="n"/>
      <c r="R366" s="79" t="n"/>
      <c r="S366" s="80">
        <f>IF(A366="","",COUNT(G366:R366))</f>
        <v/>
      </c>
      <c r="T366" s="81">
        <f>IF(OR(A366="",S366&lt;12),"",SUMPRODUCT($G$3:$R$3,G366:R366)/5)</f>
        <v/>
      </c>
      <c r="U366" s="82">
        <f>IF(A366="","",IF(COUNTIF(C366:F366,"Fail")&gt;0,"No-Bid (gate failed)",IF(S366&lt;12,"Incomplete ("&amp;S366&amp;"/12)",IF(T366&gt;='Scoring Guide'!$C$26,"Bid",IF(T366&gt;='Scoring Guide'!$C$27,"Conditional (MD)","No-Bid")))))</f>
        <v/>
      </c>
      <c r="V366" s="79" t="n"/>
      <c r="W366" s="83" t="n"/>
      <c r="X366" s="79" t="n"/>
      <c r="Y366" s="79" t="n"/>
    </row>
    <row r="367" ht="15" customHeight="1" s="51">
      <c r="A367" s="77">
        <f>IF(Pipeline!A367="","",Pipeline!A367)</f>
        <v/>
      </c>
      <c r="B367" s="78">
        <f>IF(A367="","",INDEX(Pipeline!$H:$H,MATCH(A367,Pipeline!$A:$A,0)))</f>
        <v/>
      </c>
      <c r="C367" s="79" t="n"/>
      <c r="D367" s="79" t="n"/>
      <c r="E367" s="79" t="n"/>
      <c r="F367" s="79" t="n"/>
      <c r="G367" s="79" t="n"/>
      <c r="H367" s="79" t="n"/>
      <c r="I367" s="79" t="n"/>
      <c r="J367" s="79" t="n"/>
      <c r="K367" s="79" t="n"/>
      <c r="L367" s="79" t="n"/>
      <c r="M367" s="79" t="n"/>
      <c r="N367" s="79" t="n"/>
      <c r="O367" s="79" t="n"/>
      <c r="P367" s="79" t="n"/>
      <c r="Q367" s="79" t="n"/>
      <c r="R367" s="79" t="n"/>
      <c r="S367" s="80">
        <f>IF(A367="","",COUNT(G367:R367))</f>
        <v/>
      </c>
      <c r="T367" s="81">
        <f>IF(OR(A367="",S367&lt;12),"",SUMPRODUCT($G$3:$R$3,G367:R367)/5)</f>
        <v/>
      </c>
      <c r="U367" s="82">
        <f>IF(A367="","",IF(COUNTIF(C367:F367,"Fail")&gt;0,"No-Bid (gate failed)",IF(S367&lt;12,"Incomplete ("&amp;S367&amp;"/12)",IF(T367&gt;='Scoring Guide'!$C$26,"Bid",IF(T367&gt;='Scoring Guide'!$C$27,"Conditional (MD)","No-Bid")))))</f>
        <v/>
      </c>
      <c r="V367" s="79" t="n"/>
      <c r="W367" s="83" t="n"/>
      <c r="X367" s="79" t="n"/>
      <c r="Y367" s="79" t="n"/>
    </row>
    <row r="368" ht="15" customHeight="1" s="51">
      <c r="A368" s="77">
        <f>IF(Pipeline!A368="","",Pipeline!A368)</f>
        <v/>
      </c>
      <c r="B368" s="78">
        <f>IF(A368="","",INDEX(Pipeline!$H:$H,MATCH(A368,Pipeline!$A:$A,0)))</f>
        <v/>
      </c>
      <c r="C368" s="79" t="n"/>
      <c r="D368" s="79" t="n"/>
      <c r="E368" s="79" t="n"/>
      <c r="F368" s="79" t="n"/>
      <c r="G368" s="79" t="n"/>
      <c r="H368" s="79" t="n"/>
      <c r="I368" s="79" t="n"/>
      <c r="J368" s="79" t="n"/>
      <c r="K368" s="79" t="n"/>
      <c r="L368" s="79" t="n"/>
      <c r="M368" s="79" t="n"/>
      <c r="N368" s="79" t="n"/>
      <c r="O368" s="79" t="n"/>
      <c r="P368" s="79" t="n"/>
      <c r="Q368" s="79" t="n"/>
      <c r="R368" s="79" t="n"/>
      <c r="S368" s="80">
        <f>IF(A368="","",COUNT(G368:R368))</f>
        <v/>
      </c>
      <c r="T368" s="81">
        <f>IF(OR(A368="",S368&lt;12),"",SUMPRODUCT($G$3:$R$3,G368:R368)/5)</f>
        <v/>
      </c>
      <c r="U368" s="82">
        <f>IF(A368="","",IF(COUNTIF(C368:F368,"Fail")&gt;0,"No-Bid (gate failed)",IF(S368&lt;12,"Incomplete ("&amp;S368&amp;"/12)",IF(T368&gt;='Scoring Guide'!$C$26,"Bid",IF(T368&gt;='Scoring Guide'!$C$27,"Conditional (MD)","No-Bid")))))</f>
        <v/>
      </c>
      <c r="V368" s="79" t="n"/>
      <c r="W368" s="83" t="n"/>
      <c r="X368" s="79" t="n"/>
      <c r="Y368" s="79" t="n"/>
    </row>
    <row r="369" ht="15" customHeight="1" s="51">
      <c r="A369" s="77">
        <f>IF(Pipeline!A369="","",Pipeline!A369)</f>
        <v/>
      </c>
      <c r="B369" s="78">
        <f>IF(A369="","",INDEX(Pipeline!$H:$H,MATCH(A369,Pipeline!$A:$A,0)))</f>
        <v/>
      </c>
      <c r="C369" s="79" t="n"/>
      <c r="D369" s="79" t="n"/>
      <c r="E369" s="79" t="n"/>
      <c r="F369" s="79" t="n"/>
      <c r="G369" s="79" t="n"/>
      <c r="H369" s="79" t="n"/>
      <c r="I369" s="79" t="n"/>
      <c r="J369" s="79" t="n"/>
      <c r="K369" s="79" t="n"/>
      <c r="L369" s="79" t="n"/>
      <c r="M369" s="79" t="n"/>
      <c r="N369" s="79" t="n"/>
      <c r="O369" s="79" t="n"/>
      <c r="P369" s="79" t="n"/>
      <c r="Q369" s="79" t="n"/>
      <c r="R369" s="79" t="n"/>
      <c r="S369" s="80">
        <f>IF(A369="","",COUNT(G369:R369))</f>
        <v/>
      </c>
      <c r="T369" s="81">
        <f>IF(OR(A369="",S369&lt;12),"",SUMPRODUCT($G$3:$R$3,G369:R369)/5)</f>
        <v/>
      </c>
      <c r="U369" s="82">
        <f>IF(A369="","",IF(COUNTIF(C369:F369,"Fail")&gt;0,"No-Bid (gate failed)",IF(S369&lt;12,"Incomplete ("&amp;S369&amp;"/12)",IF(T369&gt;='Scoring Guide'!$C$26,"Bid",IF(T369&gt;='Scoring Guide'!$C$27,"Conditional (MD)","No-Bid")))))</f>
        <v/>
      </c>
      <c r="V369" s="79" t="n"/>
      <c r="W369" s="83" t="n"/>
      <c r="X369" s="79" t="n"/>
      <c r="Y369" s="79" t="n"/>
    </row>
    <row r="370" ht="15" customHeight="1" s="51">
      <c r="A370" s="77">
        <f>IF(Pipeline!A370="","",Pipeline!A370)</f>
        <v/>
      </c>
      <c r="B370" s="78">
        <f>IF(A370="","",INDEX(Pipeline!$H:$H,MATCH(A370,Pipeline!$A:$A,0)))</f>
        <v/>
      </c>
      <c r="C370" s="79" t="n"/>
      <c r="D370" s="79" t="n"/>
      <c r="E370" s="79" t="n"/>
      <c r="F370" s="79" t="n"/>
      <c r="G370" s="79" t="n"/>
      <c r="H370" s="79" t="n"/>
      <c r="I370" s="79" t="n"/>
      <c r="J370" s="79" t="n"/>
      <c r="K370" s="79" t="n"/>
      <c r="L370" s="79" t="n"/>
      <c r="M370" s="79" t="n"/>
      <c r="N370" s="79" t="n"/>
      <c r="O370" s="79" t="n"/>
      <c r="P370" s="79" t="n"/>
      <c r="Q370" s="79" t="n"/>
      <c r="R370" s="79" t="n"/>
      <c r="S370" s="80">
        <f>IF(A370="","",COUNT(G370:R370))</f>
        <v/>
      </c>
      <c r="T370" s="81">
        <f>IF(OR(A370="",S370&lt;12),"",SUMPRODUCT($G$3:$R$3,G370:R370)/5)</f>
        <v/>
      </c>
      <c r="U370" s="82">
        <f>IF(A370="","",IF(COUNTIF(C370:F370,"Fail")&gt;0,"No-Bid (gate failed)",IF(S370&lt;12,"Incomplete ("&amp;S370&amp;"/12)",IF(T370&gt;='Scoring Guide'!$C$26,"Bid",IF(T370&gt;='Scoring Guide'!$C$27,"Conditional (MD)","No-Bid")))))</f>
        <v/>
      </c>
      <c r="V370" s="79" t="n"/>
      <c r="W370" s="83" t="n"/>
      <c r="X370" s="79" t="n"/>
      <c r="Y370" s="79" t="n"/>
    </row>
    <row r="371" ht="15" customHeight="1" s="51">
      <c r="A371" s="77">
        <f>IF(Pipeline!A371="","",Pipeline!A371)</f>
        <v/>
      </c>
      <c r="B371" s="78">
        <f>IF(A371="","",INDEX(Pipeline!$H:$H,MATCH(A371,Pipeline!$A:$A,0)))</f>
        <v/>
      </c>
      <c r="C371" s="79" t="n"/>
      <c r="D371" s="79" t="n"/>
      <c r="E371" s="79" t="n"/>
      <c r="F371" s="79" t="n"/>
      <c r="G371" s="79" t="n"/>
      <c r="H371" s="79" t="n"/>
      <c r="I371" s="79" t="n"/>
      <c r="J371" s="79" t="n"/>
      <c r="K371" s="79" t="n"/>
      <c r="L371" s="79" t="n"/>
      <c r="M371" s="79" t="n"/>
      <c r="N371" s="79" t="n"/>
      <c r="O371" s="79" t="n"/>
      <c r="P371" s="79" t="n"/>
      <c r="Q371" s="79" t="n"/>
      <c r="R371" s="79" t="n"/>
      <c r="S371" s="80">
        <f>IF(A371="","",COUNT(G371:R371))</f>
        <v/>
      </c>
      <c r="T371" s="81">
        <f>IF(OR(A371="",S371&lt;12),"",SUMPRODUCT($G$3:$R$3,G371:R371)/5)</f>
        <v/>
      </c>
      <c r="U371" s="82">
        <f>IF(A371="","",IF(COUNTIF(C371:F371,"Fail")&gt;0,"No-Bid (gate failed)",IF(S371&lt;12,"Incomplete ("&amp;S371&amp;"/12)",IF(T371&gt;='Scoring Guide'!$C$26,"Bid",IF(T371&gt;='Scoring Guide'!$C$27,"Conditional (MD)","No-Bid")))))</f>
        <v/>
      </c>
      <c r="V371" s="79" t="n"/>
      <c r="W371" s="83" t="n"/>
      <c r="X371" s="79" t="n"/>
      <c r="Y371" s="79" t="n"/>
    </row>
    <row r="372" ht="15" customHeight="1" s="51">
      <c r="A372" s="77">
        <f>IF(Pipeline!A372="","",Pipeline!A372)</f>
        <v/>
      </c>
      <c r="B372" s="78">
        <f>IF(A372="","",INDEX(Pipeline!$H:$H,MATCH(A372,Pipeline!$A:$A,0)))</f>
        <v/>
      </c>
      <c r="C372" s="79" t="n"/>
      <c r="D372" s="79" t="n"/>
      <c r="E372" s="79" t="n"/>
      <c r="F372" s="79" t="n"/>
      <c r="G372" s="79" t="n"/>
      <c r="H372" s="79" t="n"/>
      <c r="I372" s="79" t="n"/>
      <c r="J372" s="79" t="n"/>
      <c r="K372" s="79" t="n"/>
      <c r="L372" s="79" t="n"/>
      <c r="M372" s="79" t="n"/>
      <c r="N372" s="79" t="n"/>
      <c r="O372" s="79" t="n"/>
      <c r="P372" s="79" t="n"/>
      <c r="Q372" s="79" t="n"/>
      <c r="R372" s="79" t="n"/>
      <c r="S372" s="80">
        <f>IF(A372="","",COUNT(G372:R372))</f>
        <v/>
      </c>
      <c r="T372" s="81">
        <f>IF(OR(A372="",S372&lt;12),"",SUMPRODUCT($G$3:$R$3,G372:R372)/5)</f>
        <v/>
      </c>
      <c r="U372" s="82">
        <f>IF(A372="","",IF(COUNTIF(C372:F372,"Fail")&gt;0,"No-Bid (gate failed)",IF(S372&lt;12,"Incomplete ("&amp;S372&amp;"/12)",IF(T372&gt;='Scoring Guide'!$C$26,"Bid",IF(T372&gt;='Scoring Guide'!$C$27,"Conditional (MD)","No-Bid")))))</f>
        <v/>
      </c>
      <c r="V372" s="79" t="n"/>
      <c r="W372" s="83" t="n"/>
      <c r="X372" s="79" t="n"/>
      <c r="Y372" s="79" t="n"/>
    </row>
    <row r="373" ht="15" customHeight="1" s="51">
      <c r="A373" s="77">
        <f>IF(Pipeline!A373="","",Pipeline!A373)</f>
        <v/>
      </c>
      <c r="B373" s="78">
        <f>IF(A373="","",INDEX(Pipeline!$H:$H,MATCH(A373,Pipeline!$A:$A,0)))</f>
        <v/>
      </c>
      <c r="C373" s="79" t="n"/>
      <c r="D373" s="79" t="n"/>
      <c r="E373" s="79" t="n"/>
      <c r="F373" s="79" t="n"/>
      <c r="G373" s="79" t="n"/>
      <c r="H373" s="79" t="n"/>
      <c r="I373" s="79" t="n"/>
      <c r="J373" s="79" t="n"/>
      <c r="K373" s="79" t="n"/>
      <c r="L373" s="79" t="n"/>
      <c r="M373" s="79" t="n"/>
      <c r="N373" s="79" t="n"/>
      <c r="O373" s="79" t="n"/>
      <c r="P373" s="79" t="n"/>
      <c r="Q373" s="79" t="n"/>
      <c r="R373" s="79" t="n"/>
      <c r="S373" s="80">
        <f>IF(A373="","",COUNT(G373:R373))</f>
        <v/>
      </c>
      <c r="T373" s="81">
        <f>IF(OR(A373="",S373&lt;12),"",SUMPRODUCT($G$3:$R$3,G373:R373)/5)</f>
        <v/>
      </c>
      <c r="U373" s="82">
        <f>IF(A373="","",IF(COUNTIF(C373:F373,"Fail")&gt;0,"No-Bid (gate failed)",IF(S373&lt;12,"Incomplete ("&amp;S373&amp;"/12)",IF(T373&gt;='Scoring Guide'!$C$26,"Bid",IF(T373&gt;='Scoring Guide'!$C$27,"Conditional (MD)","No-Bid")))))</f>
        <v/>
      </c>
      <c r="V373" s="79" t="n"/>
      <c r="W373" s="83" t="n"/>
      <c r="X373" s="79" t="n"/>
      <c r="Y373" s="79" t="n"/>
    </row>
    <row r="374" ht="15" customHeight="1" s="51">
      <c r="A374" s="77">
        <f>IF(Pipeline!A374="","",Pipeline!A374)</f>
        <v/>
      </c>
      <c r="B374" s="78">
        <f>IF(A374="","",INDEX(Pipeline!$H:$H,MATCH(A374,Pipeline!$A:$A,0)))</f>
        <v/>
      </c>
      <c r="C374" s="79" t="n"/>
      <c r="D374" s="79" t="n"/>
      <c r="E374" s="79" t="n"/>
      <c r="F374" s="79" t="n"/>
      <c r="G374" s="79" t="n"/>
      <c r="H374" s="79" t="n"/>
      <c r="I374" s="79" t="n"/>
      <c r="J374" s="79" t="n"/>
      <c r="K374" s="79" t="n"/>
      <c r="L374" s="79" t="n"/>
      <c r="M374" s="79" t="n"/>
      <c r="N374" s="79" t="n"/>
      <c r="O374" s="79" t="n"/>
      <c r="P374" s="79" t="n"/>
      <c r="Q374" s="79" t="n"/>
      <c r="R374" s="79" t="n"/>
      <c r="S374" s="80">
        <f>IF(A374="","",COUNT(G374:R374))</f>
        <v/>
      </c>
      <c r="T374" s="81">
        <f>IF(OR(A374="",S374&lt;12),"",SUMPRODUCT($G$3:$R$3,G374:R374)/5)</f>
        <v/>
      </c>
      <c r="U374" s="82">
        <f>IF(A374="","",IF(COUNTIF(C374:F374,"Fail")&gt;0,"No-Bid (gate failed)",IF(S374&lt;12,"Incomplete ("&amp;S374&amp;"/12)",IF(T374&gt;='Scoring Guide'!$C$26,"Bid",IF(T374&gt;='Scoring Guide'!$C$27,"Conditional (MD)","No-Bid")))))</f>
        <v/>
      </c>
      <c r="V374" s="79" t="n"/>
      <c r="W374" s="83" t="n"/>
      <c r="X374" s="79" t="n"/>
      <c r="Y374" s="79" t="n"/>
    </row>
    <row r="375" ht="15" customHeight="1" s="51">
      <c r="A375" s="77">
        <f>IF(Pipeline!A375="","",Pipeline!A375)</f>
        <v/>
      </c>
      <c r="B375" s="78">
        <f>IF(A375="","",INDEX(Pipeline!$H:$H,MATCH(A375,Pipeline!$A:$A,0)))</f>
        <v/>
      </c>
      <c r="C375" s="79" t="n"/>
      <c r="D375" s="79" t="n"/>
      <c r="E375" s="79" t="n"/>
      <c r="F375" s="79" t="n"/>
      <c r="G375" s="79" t="n"/>
      <c r="H375" s="79" t="n"/>
      <c r="I375" s="79" t="n"/>
      <c r="J375" s="79" t="n"/>
      <c r="K375" s="79" t="n"/>
      <c r="L375" s="79" t="n"/>
      <c r="M375" s="79" t="n"/>
      <c r="N375" s="79" t="n"/>
      <c r="O375" s="79" t="n"/>
      <c r="P375" s="79" t="n"/>
      <c r="Q375" s="79" t="n"/>
      <c r="R375" s="79" t="n"/>
      <c r="S375" s="80">
        <f>IF(A375="","",COUNT(G375:R375))</f>
        <v/>
      </c>
      <c r="T375" s="81">
        <f>IF(OR(A375="",S375&lt;12),"",SUMPRODUCT($G$3:$R$3,G375:R375)/5)</f>
        <v/>
      </c>
      <c r="U375" s="82">
        <f>IF(A375="","",IF(COUNTIF(C375:F375,"Fail")&gt;0,"No-Bid (gate failed)",IF(S375&lt;12,"Incomplete ("&amp;S375&amp;"/12)",IF(T375&gt;='Scoring Guide'!$C$26,"Bid",IF(T375&gt;='Scoring Guide'!$C$27,"Conditional (MD)","No-Bid")))))</f>
        <v/>
      </c>
      <c r="V375" s="79" t="n"/>
      <c r="W375" s="83" t="n"/>
      <c r="X375" s="79" t="n"/>
      <c r="Y375" s="79" t="n"/>
    </row>
    <row r="376" ht="15" customHeight="1" s="51">
      <c r="A376" s="77">
        <f>IF(Pipeline!A376="","",Pipeline!A376)</f>
        <v/>
      </c>
      <c r="B376" s="78">
        <f>IF(A376="","",INDEX(Pipeline!$H:$H,MATCH(A376,Pipeline!$A:$A,0)))</f>
        <v/>
      </c>
      <c r="C376" s="79" t="n"/>
      <c r="D376" s="79" t="n"/>
      <c r="E376" s="79" t="n"/>
      <c r="F376" s="79" t="n"/>
      <c r="G376" s="79" t="n"/>
      <c r="H376" s="79" t="n"/>
      <c r="I376" s="79" t="n"/>
      <c r="J376" s="79" t="n"/>
      <c r="K376" s="79" t="n"/>
      <c r="L376" s="79" t="n"/>
      <c r="M376" s="79" t="n"/>
      <c r="N376" s="79" t="n"/>
      <c r="O376" s="79" t="n"/>
      <c r="P376" s="79" t="n"/>
      <c r="Q376" s="79" t="n"/>
      <c r="R376" s="79" t="n"/>
      <c r="S376" s="80">
        <f>IF(A376="","",COUNT(G376:R376))</f>
        <v/>
      </c>
      <c r="T376" s="81">
        <f>IF(OR(A376="",S376&lt;12),"",SUMPRODUCT($G$3:$R$3,G376:R376)/5)</f>
        <v/>
      </c>
      <c r="U376" s="82">
        <f>IF(A376="","",IF(COUNTIF(C376:F376,"Fail")&gt;0,"No-Bid (gate failed)",IF(S376&lt;12,"Incomplete ("&amp;S376&amp;"/12)",IF(T376&gt;='Scoring Guide'!$C$26,"Bid",IF(T376&gt;='Scoring Guide'!$C$27,"Conditional (MD)","No-Bid")))))</f>
        <v/>
      </c>
      <c r="V376" s="79" t="n"/>
      <c r="W376" s="83" t="n"/>
      <c r="X376" s="79" t="n"/>
      <c r="Y376" s="79" t="n"/>
    </row>
    <row r="377" ht="15" customHeight="1" s="51">
      <c r="A377" s="77">
        <f>IF(Pipeline!A377="","",Pipeline!A377)</f>
        <v/>
      </c>
      <c r="B377" s="78">
        <f>IF(A377="","",INDEX(Pipeline!$H:$H,MATCH(A377,Pipeline!$A:$A,0)))</f>
        <v/>
      </c>
      <c r="C377" s="79" t="n"/>
      <c r="D377" s="79" t="n"/>
      <c r="E377" s="79" t="n"/>
      <c r="F377" s="79" t="n"/>
      <c r="G377" s="79" t="n"/>
      <c r="H377" s="79" t="n"/>
      <c r="I377" s="79" t="n"/>
      <c r="J377" s="79" t="n"/>
      <c r="K377" s="79" t="n"/>
      <c r="L377" s="79" t="n"/>
      <c r="M377" s="79" t="n"/>
      <c r="N377" s="79" t="n"/>
      <c r="O377" s="79" t="n"/>
      <c r="P377" s="79" t="n"/>
      <c r="Q377" s="79" t="n"/>
      <c r="R377" s="79" t="n"/>
      <c r="S377" s="80">
        <f>IF(A377="","",COUNT(G377:R377))</f>
        <v/>
      </c>
      <c r="T377" s="81">
        <f>IF(OR(A377="",S377&lt;12),"",SUMPRODUCT($G$3:$R$3,G377:R377)/5)</f>
        <v/>
      </c>
      <c r="U377" s="82">
        <f>IF(A377="","",IF(COUNTIF(C377:F377,"Fail")&gt;0,"No-Bid (gate failed)",IF(S377&lt;12,"Incomplete ("&amp;S377&amp;"/12)",IF(T377&gt;='Scoring Guide'!$C$26,"Bid",IF(T377&gt;='Scoring Guide'!$C$27,"Conditional (MD)","No-Bid")))))</f>
        <v/>
      </c>
      <c r="V377" s="79" t="n"/>
      <c r="W377" s="83" t="n"/>
      <c r="X377" s="79" t="n"/>
      <c r="Y377" s="79" t="n"/>
    </row>
    <row r="378" ht="15" customHeight="1" s="51">
      <c r="A378" s="77">
        <f>IF(Pipeline!A378="","",Pipeline!A378)</f>
        <v/>
      </c>
      <c r="B378" s="78">
        <f>IF(A378="","",INDEX(Pipeline!$H:$H,MATCH(A378,Pipeline!$A:$A,0)))</f>
        <v/>
      </c>
      <c r="C378" s="79" t="n"/>
      <c r="D378" s="79" t="n"/>
      <c r="E378" s="79" t="n"/>
      <c r="F378" s="79" t="n"/>
      <c r="G378" s="79" t="n"/>
      <c r="H378" s="79" t="n"/>
      <c r="I378" s="79" t="n"/>
      <c r="J378" s="79" t="n"/>
      <c r="K378" s="79" t="n"/>
      <c r="L378" s="79" t="n"/>
      <c r="M378" s="79" t="n"/>
      <c r="N378" s="79" t="n"/>
      <c r="O378" s="79" t="n"/>
      <c r="P378" s="79" t="n"/>
      <c r="Q378" s="79" t="n"/>
      <c r="R378" s="79" t="n"/>
      <c r="S378" s="80">
        <f>IF(A378="","",COUNT(G378:R378))</f>
        <v/>
      </c>
      <c r="T378" s="81">
        <f>IF(OR(A378="",S378&lt;12),"",SUMPRODUCT($G$3:$R$3,G378:R378)/5)</f>
        <v/>
      </c>
      <c r="U378" s="82">
        <f>IF(A378="","",IF(COUNTIF(C378:F378,"Fail")&gt;0,"No-Bid (gate failed)",IF(S378&lt;12,"Incomplete ("&amp;S378&amp;"/12)",IF(T378&gt;='Scoring Guide'!$C$26,"Bid",IF(T378&gt;='Scoring Guide'!$C$27,"Conditional (MD)","No-Bid")))))</f>
        <v/>
      </c>
      <c r="V378" s="79" t="n"/>
      <c r="W378" s="83" t="n"/>
      <c r="X378" s="79" t="n"/>
      <c r="Y378" s="79" t="n"/>
    </row>
    <row r="379" ht="15" customHeight="1" s="51">
      <c r="A379" s="77">
        <f>IF(Pipeline!A379="","",Pipeline!A379)</f>
        <v/>
      </c>
      <c r="B379" s="78">
        <f>IF(A379="","",INDEX(Pipeline!$H:$H,MATCH(A379,Pipeline!$A:$A,0)))</f>
        <v/>
      </c>
      <c r="C379" s="79" t="n"/>
      <c r="D379" s="79" t="n"/>
      <c r="E379" s="79" t="n"/>
      <c r="F379" s="79" t="n"/>
      <c r="G379" s="79" t="n"/>
      <c r="H379" s="79" t="n"/>
      <c r="I379" s="79" t="n"/>
      <c r="J379" s="79" t="n"/>
      <c r="K379" s="79" t="n"/>
      <c r="L379" s="79" t="n"/>
      <c r="M379" s="79" t="n"/>
      <c r="N379" s="79" t="n"/>
      <c r="O379" s="79" t="n"/>
      <c r="P379" s="79" t="n"/>
      <c r="Q379" s="79" t="n"/>
      <c r="R379" s="79" t="n"/>
      <c r="S379" s="80">
        <f>IF(A379="","",COUNT(G379:R379))</f>
        <v/>
      </c>
      <c r="T379" s="81">
        <f>IF(OR(A379="",S379&lt;12),"",SUMPRODUCT($G$3:$R$3,G379:R379)/5)</f>
        <v/>
      </c>
      <c r="U379" s="82">
        <f>IF(A379="","",IF(COUNTIF(C379:F379,"Fail")&gt;0,"No-Bid (gate failed)",IF(S379&lt;12,"Incomplete ("&amp;S379&amp;"/12)",IF(T379&gt;='Scoring Guide'!$C$26,"Bid",IF(T379&gt;='Scoring Guide'!$C$27,"Conditional (MD)","No-Bid")))))</f>
        <v/>
      </c>
      <c r="V379" s="79" t="n"/>
      <c r="W379" s="83" t="n"/>
      <c r="X379" s="79" t="n"/>
      <c r="Y379" s="79" t="n"/>
    </row>
    <row r="380" ht="15" customHeight="1" s="51">
      <c r="A380" s="77">
        <f>IF(Pipeline!A380="","",Pipeline!A380)</f>
        <v/>
      </c>
      <c r="B380" s="78">
        <f>IF(A380="","",INDEX(Pipeline!$H:$H,MATCH(A380,Pipeline!$A:$A,0)))</f>
        <v/>
      </c>
      <c r="C380" s="79" t="n"/>
      <c r="D380" s="79" t="n"/>
      <c r="E380" s="79" t="n"/>
      <c r="F380" s="79" t="n"/>
      <c r="G380" s="79" t="n"/>
      <c r="H380" s="79" t="n"/>
      <c r="I380" s="79" t="n"/>
      <c r="J380" s="79" t="n"/>
      <c r="K380" s="79" t="n"/>
      <c r="L380" s="79" t="n"/>
      <c r="M380" s="79" t="n"/>
      <c r="N380" s="79" t="n"/>
      <c r="O380" s="79" t="n"/>
      <c r="P380" s="79" t="n"/>
      <c r="Q380" s="79" t="n"/>
      <c r="R380" s="79" t="n"/>
      <c r="S380" s="80">
        <f>IF(A380="","",COUNT(G380:R380))</f>
        <v/>
      </c>
      <c r="T380" s="81">
        <f>IF(OR(A380="",S380&lt;12),"",SUMPRODUCT($G$3:$R$3,G380:R380)/5)</f>
        <v/>
      </c>
      <c r="U380" s="82">
        <f>IF(A380="","",IF(COUNTIF(C380:F380,"Fail")&gt;0,"No-Bid (gate failed)",IF(S380&lt;12,"Incomplete ("&amp;S380&amp;"/12)",IF(T380&gt;='Scoring Guide'!$C$26,"Bid",IF(T380&gt;='Scoring Guide'!$C$27,"Conditional (MD)","No-Bid")))))</f>
        <v/>
      </c>
      <c r="V380" s="79" t="n"/>
      <c r="W380" s="83" t="n"/>
      <c r="X380" s="79" t="n"/>
      <c r="Y380" s="79" t="n"/>
    </row>
    <row r="381" ht="15" customHeight="1" s="51">
      <c r="A381" s="77">
        <f>IF(Pipeline!A381="","",Pipeline!A381)</f>
        <v/>
      </c>
      <c r="B381" s="78">
        <f>IF(A381="","",INDEX(Pipeline!$H:$H,MATCH(A381,Pipeline!$A:$A,0)))</f>
        <v/>
      </c>
      <c r="C381" s="79" t="n"/>
      <c r="D381" s="79" t="n"/>
      <c r="E381" s="79" t="n"/>
      <c r="F381" s="79" t="n"/>
      <c r="G381" s="79" t="n"/>
      <c r="H381" s="79" t="n"/>
      <c r="I381" s="79" t="n"/>
      <c r="J381" s="79" t="n"/>
      <c r="K381" s="79" t="n"/>
      <c r="L381" s="79" t="n"/>
      <c r="M381" s="79" t="n"/>
      <c r="N381" s="79" t="n"/>
      <c r="O381" s="79" t="n"/>
      <c r="P381" s="79" t="n"/>
      <c r="Q381" s="79" t="n"/>
      <c r="R381" s="79" t="n"/>
      <c r="S381" s="80">
        <f>IF(A381="","",COUNT(G381:R381))</f>
        <v/>
      </c>
      <c r="T381" s="81">
        <f>IF(OR(A381="",S381&lt;12),"",SUMPRODUCT($G$3:$R$3,G381:R381)/5)</f>
        <v/>
      </c>
      <c r="U381" s="82">
        <f>IF(A381="","",IF(COUNTIF(C381:F381,"Fail")&gt;0,"No-Bid (gate failed)",IF(S381&lt;12,"Incomplete ("&amp;S381&amp;"/12)",IF(T381&gt;='Scoring Guide'!$C$26,"Bid",IF(T381&gt;='Scoring Guide'!$C$27,"Conditional (MD)","No-Bid")))))</f>
        <v/>
      </c>
      <c r="V381" s="79" t="n"/>
      <c r="W381" s="83" t="n"/>
      <c r="X381" s="79" t="n"/>
      <c r="Y381" s="79" t="n"/>
    </row>
    <row r="382" ht="15" customHeight="1" s="51">
      <c r="A382" s="77">
        <f>IF(Pipeline!A382="","",Pipeline!A382)</f>
        <v/>
      </c>
      <c r="B382" s="78">
        <f>IF(A382="","",INDEX(Pipeline!$H:$H,MATCH(A382,Pipeline!$A:$A,0)))</f>
        <v/>
      </c>
      <c r="C382" s="79" t="n"/>
      <c r="D382" s="79" t="n"/>
      <c r="E382" s="79" t="n"/>
      <c r="F382" s="79" t="n"/>
      <c r="G382" s="79" t="n"/>
      <c r="H382" s="79" t="n"/>
      <c r="I382" s="79" t="n"/>
      <c r="J382" s="79" t="n"/>
      <c r="K382" s="79" t="n"/>
      <c r="L382" s="79" t="n"/>
      <c r="M382" s="79" t="n"/>
      <c r="N382" s="79" t="n"/>
      <c r="O382" s="79" t="n"/>
      <c r="P382" s="79" t="n"/>
      <c r="Q382" s="79" t="n"/>
      <c r="R382" s="79" t="n"/>
      <c r="S382" s="80">
        <f>IF(A382="","",COUNT(G382:R382))</f>
        <v/>
      </c>
      <c r="T382" s="81">
        <f>IF(OR(A382="",S382&lt;12),"",SUMPRODUCT($G$3:$R$3,G382:R382)/5)</f>
        <v/>
      </c>
      <c r="U382" s="82">
        <f>IF(A382="","",IF(COUNTIF(C382:F382,"Fail")&gt;0,"No-Bid (gate failed)",IF(S382&lt;12,"Incomplete ("&amp;S382&amp;"/12)",IF(T382&gt;='Scoring Guide'!$C$26,"Bid",IF(T382&gt;='Scoring Guide'!$C$27,"Conditional (MD)","No-Bid")))))</f>
        <v/>
      </c>
      <c r="V382" s="79" t="n"/>
      <c r="W382" s="83" t="n"/>
      <c r="X382" s="79" t="n"/>
      <c r="Y382" s="79" t="n"/>
    </row>
    <row r="383" ht="15" customHeight="1" s="51">
      <c r="A383" s="77">
        <f>IF(Pipeline!A383="","",Pipeline!A383)</f>
        <v/>
      </c>
      <c r="B383" s="78">
        <f>IF(A383="","",INDEX(Pipeline!$H:$H,MATCH(A383,Pipeline!$A:$A,0)))</f>
        <v/>
      </c>
      <c r="C383" s="79" t="n"/>
      <c r="D383" s="79" t="n"/>
      <c r="E383" s="79" t="n"/>
      <c r="F383" s="79" t="n"/>
      <c r="G383" s="79" t="n"/>
      <c r="H383" s="79" t="n"/>
      <c r="I383" s="79" t="n"/>
      <c r="J383" s="79" t="n"/>
      <c r="K383" s="79" t="n"/>
      <c r="L383" s="79" t="n"/>
      <c r="M383" s="79" t="n"/>
      <c r="N383" s="79" t="n"/>
      <c r="O383" s="79" t="n"/>
      <c r="P383" s="79" t="n"/>
      <c r="Q383" s="79" t="n"/>
      <c r="R383" s="79" t="n"/>
      <c r="S383" s="80">
        <f>IF(A383="","",COUNT(G383:R383))</f>
        <v/>
      </c>
      <c r="T383" s="81">
        <f>IF(OR(A383="",S383&lt;12),"",SUMPRODUCT($G$3:$R$3,G383:R383)/5)</f>
        <v/>
      </c>
      <c r="U383" s="82">
        <f>IF(A383="","",IF(COUNTIF(C383:F383,"Fail")&gt;0,"No-Bid (gate failed)",IF(S383&lt;12,"Incomplete ("&amp;S383&amp;"/12)",IF(T383&gt;='Scoring Guide'!$C$26,"Bid",IF(T383&gt;='Scoring Guide'!$C$27,"Conditional (MD)","No-Bid")))))</f>
        <v/>
      </c>
      <c r="V383" s="79" t="n"/>
      <c r="W383" s="83" t="n"/>
      <c r="X383" s="79" t="n"/>
      <c r="Y383" s="79" t="n"/>
    </row>
    <row r="384" ht="15" customHeight="1" s="51">
      <c r="A384" s="77">
        <f>IF(Pipeline!A384="","",Pipeline!A384)</f>
        <v/>
      </c>
      <c r="B384" s="78">
        <f>IF(A384="","",INDEX(Pipeline!$H:$H,MATCH(A384,Pipeline!$A:$A,0)))</f>
        <v/>
      </c>
      <c r="C384" s="79" t="n"/>
      <c r="D384" s="79" t="n"/>
      <c r="E384" s="79" t="n"/>
      <c r="F384" s="79" t="n"/>
      <c r="G384" s="79" t="n"/>
      <c r="H384" s="79" t="n"/>
      <c r="I384" s="79" t="n"/>
      <c r="J384" s="79" t="n"/>
      <c r="K384" s="79" t="n"/>
      <c r="L384" s="79" t="n"/>
      <c r="M384" s="79" t="n"/>
      <c r="N384" s="79" t="n"/>
      <c r="O384" s="79" t="n"/>
      <c r="P384" s="79" t="n"/>
      <c r="Q384" s="79" t="n"/>
      <c r="R384" s="79" t="n"/>
      <c r="S384" s="80">
        <f>IF(A384="","",COUNT(G384:R384))</f>
        <v/>
      </c>
      <c r="T384" s="81">
        <f>IF(OR(A384="",S384&lt;12),"",SUMPRODUCT($G$3:$R$3,G384:R384)/5)</f>
        <v/>
      </c>
      <c r="U384" s="82">
        <f>IF(A384="","",IF(COUNTIF(C384:F384,"Fail")&gt;0,"No-Bid (gate failed)",IF(S384&lt;12,"Incomplete ("&amp;S384&amp;"/12)",IF(T384&gt;='Scoring Guide'!$C$26,"Bid",IF(T384&gt;='Scoring Guide'!$C$27,"Conditional (MD)","No-Bid")))))</f>
        <v/>
      </c>
      <c r="V384" s="79" t="n"/>
      <c r="W384" s="83" t="n"/>
      <c r="X384" s="79" t="n"/>
      <c r="Y384" s="79" t="n"/>
    </row>
    <row r="385" ht="15" customHeight="1" s="51">
      <c r="A385" s="77">
        <f>IF(Pipeline!A385="","",Pipeline!A385)</f>
        <v/>
      </c>
      <c r="B385" s="78">
        <f>IF(A385="","",INDEX(Pipeline!$H:$H,MATCH(A385,Pipeline!$A:$A,0)))</f>
        <v/>
      </c>
      <c r="C385" s="79" t="n"/>
      <c r="D385" s="79" t="n"/>
      <c r="E385" s="79" t="n"/>
      <c r="F385" s="79" t="n"/>
      <c r="G385" s="79" t="n"/>
      <c r="H385" s="79" t="n"/>
      <c r="I385" s="79" t="n"/>
      <c r="J385" s="79" t="n"/>
      <c r="K385" s="79" t="n"/>
      <c r="L385" s="79" t="n"/>
      <c r="M385" s="79" t="n"/>
      <c r="N385" s="79" t="n"/>
      <c r="O385" s="79" t="n"/>
      <c r="P385" s="79" t="n"/>
      <c r="Q385" s="79" t="n"/>
      <c r="R385" s="79" t="n"/>
      <c r="S385" s="80">
        <f>IF(A385="","",COUNT(G385:R385))</f>
        <v/>
      </c>
      <c r="T385" s="81">
        <f>IF(OR(A385="",S385&lt;12),"",SUMPRODUCT($G$3:$R$3,G385:R385)/5)</f>
        <v/>
      </c>
      <c r="U385" s="82">
        <f>IF(A385="","",IF(COUNTIF(C385:F385,"Fail")&gt;0,"No-Bid (gate failed)",IF(S385&lt;12,"Incomplete ("&amp;S385&amp;"/12)",IF(T385&gt;='Scoring Guide'!$C$26,"Bid",IF(T385&gt;='Scoring Guide'!$C$27,"Conditional (MD)","No-Bid")))))</f>
        <v/>
      </c>
      <c r="V385" s="79" t="n"/>
      <c r="W385" s="83" t="n"/>
      <c r="X385" s="79" t="n"/>
      <c r="Y385" s="79" t="n"/>
    </row>
    <row r="386" ht="15" customHeight="1" s="51">
      <c r="A386" s="77">
        <f>IF(Pipeline!A386="","",Pipeline!A386)</f>
        <v/>
      </c>
      <c r="B386" s="78">
        <f>IF(A386="","",INDEX(Pipeline!$H:$H,MATCH(A386,Pipeline!$A:$A,0)))</f>
        <v/>
      </c>
      <c r="C386" s="79" t="n"/>
      <c r="D386" s="79" t="n"/>
      <c r="E386" s="79" t="n"/>
      <c r="F386" s="79" t="n"/>
      <c r="G386" s="79" t="n"/>
      <c r="H386" s="79" t="n"/>
      <c r="I386" s="79" t="n"/>
      <c r="J386" s="79" t="n"/>
      <c r="K386" s="79" t="n"/>
      <c r="L386" s="79" t="n"/>
      <c r="M386" s="79" t="n"/>
      <c r="N386" s="79" t="n"/>
      <c r="O386" s="79" t="n"/>
      <c r="P386" s="79" t="n"/>
      <c r="Q386" s="79" t="n"/>
      <c r="R386" s="79" t="n"/>
      <c r="S386" s="80">
        <f>IF(A386="","",COUNT(G386:R386))</f>
        <v/>
      </c>
      <c r="T386" s="81">
        <f>IF(OR(A386="",S386&lt;12),"",SUMPRODUCT($G$3:$R$3,G386:R386)/5)</f>
        <v/>
      </c>
      <c r="U386" s="82">
        <f>IF(A386="","",IF(COUNTIF(C386:F386,"Fail")&gt;0,"No-Bid (gate failed)",IF(S386&lt;12,"Incomplete ("&amp;S386&amp;"/12)",IF(T386&gt;='Scoring Guide'!$C$26,"Bid",IF(T386&gt;='Scoring Guide'!$C$27,"Conditional (MD)","No-Bid")))))</f>
        <v/>
      </c>
      <c r="V386" s="79" t="n"/>
      <c r="W386" s="83" t="n"/>
      <c r="X386" s="79" t="n"/>
      <c r="Y386" s="79" t="n"/>
    </row>
    <row r="387" ht="15" customHeight="1" s="51">
      <c r="A387" s="77">
        <f>IF(Pipeline!A387="","",Pipeline!A387)</f>
        <v/>
      </c>
      <c r="B387" s="78">
        <f>IF(A387="","",INDEX(Pipeline!$H:$H,MATCH(A387,Pipeline!$A:$A,0)))</f>
        <v/>
      </c>
      <c r="C387" s="79" t="n"/>
      <c r="D387" s="79" t="n"/>
      <c r="E387" s="79" t="n"/>
      <c r="F387" s="79" t="n"/>
      <c r="G387" s="79" t="n"/>
      <c r="H387" s="79" t="n"/>
      <c r="I387" s="79" t="n"/>
      <c r="J387" s="79" t="n"/>
      <c r="K387" s="79" t="n"/>
      <c r="L387" s="79" t="n"/>
      <c r="M387" s="79" t="n"/>
      <c r="N387" s="79" t="n"/>
      <c r="O387" s="79" t="n"/>
      <c r="P387" s="79" t="n"/>
      <c r="Q387" s="79" t="n"/>
      <c r="R387" s="79" t="n"/>
      <c r="S387" s="80">
        <f>IF(A387="","",COUNT(G387:R387))</f>
        <v/>
      </c>
      <c r="T387" s="81">
        <f>IF(OR(A387="",S387&lt;12),"",SUMPRODUCT($G$3:$R$3,G387:R387)/5)</f>
        <v/>
      </c>
      <c r="U387" s="82">
        <f>IF(A387="","",IF(COUNTIF(C387:F387,"Fail")&gt;0,"No-Bid (gate failed)",IF(S387&lt;12,"Incomplete ("&amp;S387&amp;"/12)",IF(T387&gt;='Scoring Guide'!$C$26,"Bid",IF(T387&gt;='Scoring Guide'!$C$27,"Conditional (MD)","No-Bid")))))</f>
        <v/>
      </c>
      <c r="V387" s="79" t="n"/>
      <c r="W387" s="83" t="n"/>
      <c r="X387" s="79" t="n"/>
      <c r="Y387" s="79" t="n"/>
    </row>
    <row r="388" ht="15" customHeight="1" s="51">
      <c r="A388" s="77">
        <f>IF(Pipeline!A388="","",Pipeline!A388)</f>
        <v/>
      </c>
      <c r="B388" s="78">
        <f>IF(A388="","",INDEX(Pipeline!$H:$H,MATCH(A388,Pipeline!$A:$A,0)))</f>
        <v/>
      </c>
      <c r="C388" s="79" t="n"/>
      <c r="D388" s="79" t="n"/>
      <c r="E388" s="79" t="n"/>
      <c r="F388" s="79" t="n"/>
      <c r="G388" s="79" t="n"/>
      <c r="H388" s="79" t="n"/>
      <c r="I388" s="79" t="n"/>
      <c r="J388" s="79" t="n"/>
      <c r="K388" s="79" t="n"/>
      <c r="L388" s="79" t="n"/>
      <c r="M388" s="79" t="n"/>
      <c r="N388" s="79" t="n"/>
      <c r="O388" s="79" t="n"/>
      <c r="P388" s="79" t="n"/>
      <c r="Q388" s="79" t="n"/>
      <c r="R388" s="79" t="n"/>
      <c r="S388" s="80">
        <f>IF(A388="","",COUNT(G388:R388))</f>
        <v/>
      </c>
      <c r="T388" s="81">
        <f>IF(OR(A388="",S388&lt;12),"",SUMPRODUCT($G$3:$R$3,G388:R388)/5)</f>
        <v/>
      </c>
      <c r="U388" s="82">
        <f>IF(A388="","",IF(COUNTIF(C388:F388,"Fail")&gt;0,"No-Bid (gate failed)",IF(S388&lt;12,"Incomplete ("&amp;S388&amp;"/12)",IF(T388&gt;='Scoring Guide'!$C$26,"Bid",IF(T388&gt;='Scoring Guide'!$C$27,"Conditional (MD)","No-Bid")))))</f>
        <v/>
      </c>
      <c r="V388" s="79" t="n"/>
      <c r="W388" s="83" t="n"/>
      <c r="X388" s="79" t="n"/>
      <c r="Y388" s="79" t="n"/>
    </row>
    <row r="389" ht="15" customHeight="1" s="51">
      <c r="A389" s="77">
        <f>IF(Pipeline!A389="","",Pipeline!A389)</f>
        <v/>
      </c>
      <c r="B389" s="78">
        <f>IF(A389="","",INDEX(Pipeline!$H:$H,MATCH(A389,Pipeline!$A:$A,0)))</f>
        <v/>
      </c>
      <c r="C389" s="79" t="n"/>
      <c r="D389" s="79" t="n"/>
      <c r="E389" s="79" t="n"/>
      <c r="F389" s="79" t="n"/>
      <c r="G389" s="79" t="n"/>
      <c r="H389" s="79" t="n"/>
      <c r="I389" s="79" t="n"/>
      <c r="J389" s="79" t="n"/>
      <c r="K389" s="79" t="n"/>
      <c r="L389" s="79" t="n"/>
      <c r="M389" s="79" t="n"/>
      <c r="N389" s="79" t="n"/>
      <c r="O389" s="79" t="n"/>
      <c r="P389" s="79" t="n"/>
      <c r="Q389" s="79" t="n"/>
      <c r="R389" s="79" t="n"/>
      <c r="S389" s="80">
        <f>IF(A389="","",COUNT(G389:R389))</f>
        <v/>
      </c>
      <c r="T389" s="81">
        <f>IF(OR(A389="",S389&lt;12),"",SUMPRODUCT($G$3:$R$3,G389:R389)/5)</f>
        <v/>
      </c>
      <c r="U389" s="82">
        <f>IF(A389="","",IF(COUNTIF(C389:F389,"Fail")&gt;0,"No-Bid (gate failed)",IF(S389&lt;12,"Incomplete ("&amp;S389&amp;"/12)",IF(T389&gt;='Scoring Guide'!$C$26,"Bid",IF(T389&gt;='Scoring Guide'!$C$27,"Conditional (MD)","No-Bid")))))</f>
        <v/>
      </c>
      <c r="V389" s="79" t="n"/>
      <c r="W389" s="83" t="n"/>
      <c r="X389" s="79" t="n"/>
      <c r="Y389" s="79" t="n"/>
    </row>
    <row r="390" ht="15" customHeight="1" s="51">
      <c r="A390" s="77">
        <f>IF(Pipeline!A390="","",Pipeline!A390)</f>
        <v/>
      </c>
      <c r="B390" s="78">
        <f>IF(A390="","",INDEX(Pipeline!$H:$H,MATCH(A390,Pipeline!$A:$A,0)))</f>
        <v/>
      </c>
      <c r="C390" s="79" t="n"/>
      <c r="D390" s="79" t="n"/>
      <c r="E390" s="79" t="n"/>
      <c r="F390" s="79" t="n"/>
      <c r="G390" s="79" t="n"/>
      <c r="H390" s="79" t="n"/>
      <c r="I390" s="79" t="n"/>
      <c r="J390" s="79" t="n"/>
      <c r="K390" s="79" t="n"/>
      <c r="L390" s="79" t="n"/>
      <c r="M390" s="79" t="n"/>
      <c r="N390" s="79" t="n"/>
      <c r="O390" s="79" t="n"/>
      <c r="P390" s="79" t="n"/>
      <c r="Q390" s="79" t="n"/>
      <c r="R390" s="79" t="n"/>
      <c r="S390" s="80">
        <f>IF(A390="","",COUNT(G390:R390))</f>
        <v/>
      </c>
      <c r="T390" s="81">
        <f>IF(OR(A390="",S390&lt;12),"",SUMPRODUCT($G$3:$R$3,G390:R390)/5)</f>
        <v/>
      </c>
      <c r="U390" s="82">
        <f>IF(A390="","",IF(COUNTIF(C390:F390,"Fail")&gt;0,"No-Bid (gate failed)",IF(S390&lt;12,"Incomplete ("&amp;S390&amp;"/12)",IF(T390&gt;='Scoring Guide'!$C$26,"Bid",IF(T390&gt;='Scoring Guide'!$C$27,"Conditional (MD)","No-Bid")))))</f>
        <v/>
      </c>
      <c r="V390" s="79" t="n"/>
      <c r="W390" s="83" t="n"/>
      <c r="X390" s="79" t="n"/>
      <c r="Y390" s="79" t="n"/>
    </row>
    <row r="391" ht="15" customHeight="1" s="51">
      <c r="A391" s="77">
        <f>IF(Pipeline!A391="","",Pipeline!A391)</f>
        <v/>
      </c>
      <c r="B391" s="78">
        <f>IF(A391="","",INDEX(Pipeline!$H:$H,MATCH(A391,Pipeline!$A:$A,0)))</f>
        <v/>
      </c>
      <c r="C391" s="79" t="n"/>
      <c r="D391" s="79" t="n"/>
      <c r="E391" s="79" t="n"/>
      <c r="F391" s="79" t="n"/>
      <c r="G391" s="79" t="n"/>
      <c r="H391" s="79" t="n"/>
      <c r="I391" s="79" t="n"/>
      <c r="J391" s="79" t="n"/>
      <c r="K391" s="79" t="n"/>
      <c r="L391" s="79" t="n"/>
      <c r="M391" s="79" t="n"/>
      <c r="N391" s="79" t="n"/>
      <c r="O391" s="79" t="n"/>
      <c r="P391" s="79" t="n"/>
      <c r="Q391" s="79" t="n"/>
      <c r="R391" s="79" t="n"/>
      <c r="S391" s="80">
        <f>IF(A391="","",COUNT(G391:R391))</f>
        <v/>
      </c>
      <c r="T391" s="81">
        <f>IF(OR(A391="",S391&lt;12),"",SUMPRODUCT($G$3:$R$3,G391:R391)/5)</f>
        <v/>
      </c>
      <c r="U391" s="82">
        <f>IF(A391="","",IF(COUNTIF(C391:F391,"Fail")&gt;0,"No-Bid (gate failed)",IF(S391&lt;12,"Incomplete ("&amp;S391&amp;"/12)",IF(T391&gt;='Scoring Guide'!$C$26,"Bid",IF(T391&gt;='Scoring Guide'!$C$27,"Conditional (MD)","No-Bid")))))</f>
        <v/>
      </c>
      <c r="V391" s="79" t="n"/>
      <c r="W391" s="83" t="n"/>
      <c r="X391" s="79" t="n"/>
      <c r="Y391" s="79" t="n"/>
    </row>
    <row r="392" ht="15" customHeight="1" s="51">
      <c r="A392" s="77">
        <f>IF(Pipeline!A392="","",Pipeline!A392)</f>
        <v/>
      </c>
      <c r="B392" s="78">
        <f>IF(A392="","",INDEX(Pipeline!$H:$H,MATCH(A392,Pipeline!$A:$A,0)))</f>
        <v/>
      </c>
      <c r="C392" s="79" t="n"/>
      <c r="D392" s="79" t="n"/>
      <c r="E392" s="79" t="n"/>
      <c r="F392" s="79" t="n"/>
      <c r="G392" s="79" t="n"/>
      <c r="H392" s="79" t="n"/>
      <c r="I392" s="79" t="n"/>
      <c r="J392" s="79" t="n"/>
      <c r="K392" s="79" t="n"/>
      <c r="L392" s="79" t="n"/>
      <c r="M392" s="79" t="n"/>
      <c r="N392" s="79" t="n"/>
      <c r="O392" s="79" t="n"/>
      <c r="P392" s="79" t="n"/>
      <c r="Q392" s="79" t="n"/>
      <c r="R392" s="79" t="n"/>
      <c r="S392" s="80">
        <f>IF(A392="","",COUNT(G392:R392))</f>
        <v/>
      </c>
      <c r="T392" s="81">
        <f>IF(OR(A392="",S392&lt;12),"",SUMPRODUCT($G$3:$R$3,G392:R392)/5)</f>
        <v/>
      </c>
      <c r="U392" s="82">
        <f>IF(A392="","",IF(COUNTIF(C392:F392,"Fail")&gt;0,"No-Bid (gate failed)",IF(S392&lt;12,"Incomplete ("&amp;S392&amp;"/12)",IF(T392&gt;='Scoring Guide'!$C$26,"Bid",IF(T392&gt;='Scoring Guide'!$C$27,"Conditional (MD)","No-Bid")))))</f>
        <v/>
      </c>
      <c r="V392" s="79" t="n"/>
      <c r="W392" s="83" t="n"/>
      <c r="X392" s="79" t="n"/>
      <c r="Y392" s="79" t="n"/>
    </row>
    <row r="393" ht="15" customHeight="1" s="51">
      <c r="A393" s="77">
        <f>IF(Pipeline!A393="","",Pipeline!A393)</f>
        <v/>
      </c>
      <c r="B393" s="78">
        <f>IF(A393="","",INDEX(Pipeline!$H:$H,MATCH(A393,Pipeline!$A:$A,0)))</f>
        <v/>
      </c>
      <c r="C393" s="79" t="n"/>
      <c r="D393" s="79" t="n"/>
      <c r="E393" s="79" t="n"/>
      <c r="F393" s="79" t="n"/>
      <c r="G393" s="79" t="n"/>
      <c r="H393" s="79" t="n"/>
      <c r="I393" s="79" t="n"/>
      <c r="J393" s="79" t="n"/>
      <c r="K393" s="79" t="n"/>
      <c r="L393" s="79" t="n"/>
      <c r="M393" s="79" t="n"/>
      <c r="N393" s="79" t="n"/>
      <c r="O393" s="79" t="n"/>
      <c r="P393" s="79" t="n"/>
      <c r="Q393" s="79" t="n"/>
      <c r="R393" s="79" t="n"/>
      <c r="S393" s="80">
        <f>IF(A393="","",COUNT(G393:R393))</f>
        <v/>
      </c>
      <c r="T393" s="81">
        <f>IF(OR(A393="",S393&lt;12),"",SUMPRODUCT($G$3:$R$3,G393:R393)/5)</f>
        <v/>
      </c>
      <c r="U393" s="82">
        <f>IF(A393="","",IF(COUNTIF(C393:F393,"Fail")&gt;0,"No-Bid (gate failed)",IF(S393&lt;12,"Incomplete ("&amp;S393&amp;"/12)",IF(T393&gt;='Scoring Guide'!$C$26,"Bid",IF(T393&gt;='Scoring Guide'!$C$27,"Conditional (MD)","No-Bid")))))</f>
        <v/>
      </c>
      <c r="V393" s="79" t="n"/>
      <c r="W393" s="83" t="n"/>
      <c r="X393" s="79" t="n"/>
      <c r="Y393" s="79" t="n"/>
    </row>
    <row r="394" ht="15" customHeight="1" s="51">
      <c r="A394" s="77">
        <f>IF(Pipeline!A394="","",Pipeline!A394)</f>
        <v/>
      </c>
      <c r="B394" s="78">
        <f>IF(A394="","",INDEX(Pipeline!$H:$H,MATCH(A394,Pipeline!$A:$A,0)))</f>
        <v/>
      </c>
      <c r="C394" s="79" t="n"/>
      <c r="D394" s="79" t="n"/>
      <c r="E394" s="79" t="n"/>
      <c r="F394" s="79" t="n"/>
      <c r="G394" s="79" t="n"/>
      <c r="H394" s="79" t="n"/>
      <c r="I394" s="79" t="n"/>
      <c r="J394" s="79" t="n"/>
      <c r="K394" s="79" t="n"/>
      <c r="L394" s="79" t="n"/>
      <c r="M394" s="79" t="n"/>
      <c r="N394" s="79" t="n"/>
      <c r="O394" s="79" t="n"/>
      <c r="P394" s="79" t="n"/>
      <c r="Q394" s="79" t="n"/>
      <c r="R394" s="79" t="n"/>
      <c r="S394" s="80">
        <f>IF(A394="","",COUNT(G394:R394))</f>
        <v/>
      </c>
      <c r="T394" s="81">
        <f>IF(OR(A394="",S394&lt;12),"",SUMPRODUCT($G$3:$R$3,G394:R394)/5)</f>
        <v/>
      </c>
      <c r="U394" s="82">
        <f>IF(A394="","",IF(COUNTIF(C394:F394,"Fail")&gt;0,"No-Bid (gate failed)",IF(S394&lt;12,"Incomplete ("&amp;S394&amp;"/12)",IF(T394&gt;='Scoring Guide'!$C$26,"Bid",IF(T394&gt;='Scoring Guide'!$C$27,"Conditional (MD)","No-Bid")))))</f>
        <v/>
      </c>
      <c r="V394" s="79" t="n"/>
      <c r="W394" s="83" t="n"/>
      <c r="X394" s="79" t="n"/>
      <c r="Y394" s="79" t="n"/>
    </row>
    <row r="395" ht="15" customHeight="1" s="51">
      <c r="A395" s="77">
        <f>IF(Pipeline!A395="","",Pipeline!A395)</f>
        <v/>
      </c>
      <c r="B395" s="78">
        <f>IF(A395="","",INDEX(Pipeline!$H:$H,MATCH(A395,Pipeline!$A:$A,0)))</f>
        <v/>
      </c>
      <c r="C395" s="79" t="n"/>
      <c r="D395" s="79" t="n"/>
      <c r="E395" s="79" t="n"/>
      <c r="F395" s="79" t="n"/>
      <c r="G395" s="79" t="n"/>
      <c r="H395" s="79" t="n"/>
      <c r="I395" s="79" t="n"/>
      <c r="J395" s="79" t="n"/>
      <c r="K395" s="79" t="n"/>
      <c r="L395" s="79" t="n"/>
      <c r="M395" s="79" t="n"/>
      <c r="N395" s="79" t="n"/>
      <c r="O395" s="79" t="n"/>
      <c r="P395" s="79" t="n"/>
      <c r="Q395" s="79" t="n"/>
      <c r="R395" s="79" t="n"/>
      <c r="S395" s="80">
        <f>IF(A395="","",COUNT(G395:R395))</f>
        <v/>
      </c>
      <c r="T395" s="81">
        <f>IF(OR(A395="",S395&lt;12),"",SUMPRODUCT($G$3:$R$3,G395:R395)/5)</f>
        <v/>
      </c>
      <c r="U395" s="82">
        <f>IF(A395="","",IF(COUNTIF(C395:F395,"Fail")&gt;0,"No-Bid (gate failed)",IF(S395&lt;12,"Incomplete ("&amp;S395&amp;"/12)",IF(T395&gt;='Scoring Guide'!$C$26,"Bid",IF(T395&gt;='Scoring Guide'!$C$27,"Conditional (MD)","No-Bid")))))</f>
        <v/>
      </c>
      <c r="V395" s="79" t="n"/>
      <c r="W395" s="83" t="n"/>
      <c r="X395" s="79" t="n"/>
      <c r="Y395" s="79" t="n"/>
    </row>
    <row r="396" ht="15" customHeight="1" s="51">
      <c r="A396" s="77">
        <f>IF(Pipeline!A396="","",Pipeline!A396)</f>
        <v/>
      </c>
      <c r="B396" s="78">
        <f>IF(A396="","",INDEX(Pipeline!$H:$H,MATCH(A396,Pipeline!$A:$A,0)))</f>
        <v/>
      </c>
      <c r="C396" s="79" t="n"/>
      <c r="D396" s="79" t="n"/>
      <c r="E396" s="79" t="n"/>
      <c r="F396" s="79" t="n"/>
      <c r="G396" s="79" t="n"/>
      <c r="H396" s="79" t="n"/>
      <c r="I396" s="79" t="n"/>
      <c r="J396" s="79" t="n"/>
      <c r="K396" s="79" t="n"/>
      <c r="L396" s="79" t="n"/>
      <c r="M396" s="79" t="n"/>
      <c r="N396" s="79" t="n"/>
      <c r="O396" s="79" t="n"/>
      <c r="P396" s="79" t="n"/>
      <c r="Q396" s="79" t="n"/>
      <c r="R396" s="79" t="n"/>
      <c r="S396" s="80">
        <f>IF(A396="","",COUNT(G396:R396))</f>
        <v/>
      </c>
      <c r="T396" s="81">
        <f>IF(OR(A396="",S396&lt;12),"",SUMPRODUCT($G$3:$R$3,G396:R396)/5)</f>
        <v/>
      </c>
      <c r="U396" s="82">
        <f>IF(A396="","",IF(COUNTIF(C396:F396,"Fail")&gt;0,"No-Bid (gate failed)",IF(S396&lt;12,"Incomplete ("&amp;S396&amp;"/12)",IF(T396&gt;='Scoring Guide'!$C$26,"Bid",IF(T396&gt;='Scoring Guide'!$C$27,"Conditional (MD)","No-Bid")))))</f>
        <v/>
      </c>
      <c r="V396" s="79" t="n"/>
      <c r="W396" s="83" t="n"/>
      <c r="X396" s="79" t="n"/>
      <c r="Y396" s="79" t="n"/>
    </row>
    <row r="397" ht="15" customHeight="1" s="51">
      <c r="A397" s="77">
        <f>IF(Pipeline!A397="","",Pipeline!A397)</f>
        <v/>
      </c>
      <c r="B397" s="78">
        <f>IF(A397="","",INDEX(Pipeline!$H:$H,MATCH(A397,Pipeline!$A:$A,0)))</f>
        <v/>
      </c>
      <c r="C397" s="79" t="n"/>
      <c r="D397" s="79" t="n"/>
      <c r="E397" s="79" t="n"/>
      <c r="F397" s="79" t="n"/>
      <c r="G397" s="79" t="n"/>
      <c r="H397" s="79" t="n"/>
      <c r="I397" s="79" t="n"/>
      <c r="J397" s="79" t="n"/>
      <c r="K397" s="79" t="n"/>
      <c r="L397" s="79" t="n"/>
      <c r="M397" s="79" t="n"/>
      <c r="N397" s="79" t="n"/>
      <c r="O397" s="79" t="n"/>
      <c r="P397" s="79" t="n"/>
      <c r="Q397" s="79" t="n"/>
      <c r="R397" s="79" t="n"/>
      <c r="S397" s="80">
        <f>IF(A397="","",COUNT(G397:R397))</f>
        <v/>
      </c>
      <c r="T397" s="81">
        <f>IF(OR(A397="",S397&lt;12),"",SUMPRODUCT($G$3:$R$3,G397:R397)/5)</f>
        <v/>
      </c>
      <c r="U397" s="82">
        <f>IF(A397="","",IF(COUNTIF(C397:F397,"Fail")&gt;0,"No-Bid (gate failed)",IF(S397&lt;12,"Incomplete ("&amp;S397&amp;"/12)",IF(T397&gt;='Scoring Guide'!$C$26,"Bid",IF(T397&gt;='Scoring Guide'!$C$27,"Conditional (MD)","No-Bid")))))</f>
        <v/>
      </c>
      <c r="V397" s="79" t="n"/>
      <c r="W397" s="83" t="n"/>
      <c r="X397" s="79" t="n"/>
      <c r="Y397" s="79" t="n"/>
    </row>
    <row r="398" ht="15" customHeight="1" s="51">
      <c r="A398" s="77">
        <f>IF(Pipeline!A398="","",Pipeline!A398)</f>
        <v/>
      </c>
      <c r="B398" s="78">
        <f>IF(A398="","",INDEX(Pipeline!$H:$H,MATCH(A398,Pipeline!$A:$A,0)))</f>
        <v/>
      </c>
      <c r="C398" s="79" t="n"/>
      <c r="D398" s="79" t="n"/>
      <c r="E398" s="79" t="n"/>
      <c r="F398" s="79" t="n"/>
      <c r="G398" s="79" t="n"/>
      <c r="H398" s="79" t="n"/>
      <c r="I398" s="79" t="n"/>
      <c r="J398" s="79" t="n"/>
      <c r="K398" s="79" t="n"/>
      <c r="L398" s="79" t="n"/>
      <c r="M398" s="79" t="n"/>
      <c r="N398" s="79" t="n"/>
      <c r="O398" s="79" t="n"/>
      <c r="P398" s="79" t="n"/>
      <c r="Q398" s="79" t="n"/>
      <c r="R398" s="79" t="n"/>
      <c r="S398" s="80">
        <f>IF(A398="","",COUNT(G398:R398))</f>
        <v/>
      </c>
      <c r="T398" s="81">
        <f>IF(OR(A398="",S398&lt;12),"",SUMPRODUCT($G$3:$R$3,G398:R398)/5)</f>
        <v/>
      </c>
      <c r="U398" s="82">
        <f>IF(A398="","",IF(COUNTIF(C398:F398,"Fail")&gt;0,"No-Bid (gate failed)",IF(S398&lt;12,"Incomplete ("&amp;S398&amp;"/12)",IF(T398&gt;='Scoring Guide'!$C$26,"Bid",IF(T398&gt;='Scoring Guide'!$C$27,"Conditional (MD)","No-Bid")))))</f>
        <v/>
      </c>
      <c r="V398" s="79" t="n"/>
      <c r="W398" s="83" t="n"/>
      <c r="X398" s="79" t="n"/>
      <c r="Y398" s="79" t="n"/>
    </row>
    <row r="399" ht="15" customHeight="1" s="51">
      <c r="A399" s="77">
        <f>IF(Pipeline!A399="","",Pipeline!A399)</f>
        <v/>
      </c>
      <c r="B399" s="78">
        <f>IF(A399="","",INDEX(Pipeline!$H:$H,MATCH(A399,Pipeline!$A:$A,0)))</f>
        <v/>
      </c>
      <c r="C399" s="79" t="n"/>
      <c r="D399" s="79" t="n"/>
      <c r="E399" s="79" t="n"/>
      <c r="F399" s="79" t="n"/>
      <c r="G399" s="79" t="n"/>
      <c r="H399" s="79" t="n"/>
      <c r="I399" s="79" t="n"/>
      <c r="J399" s="79" t="n"/>
      <c r="K399" s="79" t="n"/>
      <c r="L399" s="79" t="n"/>
      <c r="M399" s="79" t="n"/>
      <c r="N399" s="79" t="n"/>
      <c r="O399" s="79" t="n"/>
      <c r="P399" s="79" t="n"/>
      <c r="Q399" s="79" t="n"/>
      <c r="R399" s="79" t="n"/>
      <c r="S399" s="80">
        <f>IF(A399="","",COUNT(G399:R399))</f>
        <v/>
      </c>
      <c r="T399" s="81">
        <f>IF(OR(A399="",S399&lt;12),"",SUMPRODUCT($G$3:$R$3,G399:R399)/5)</f>
        <v/>
      </c>
      <c r="U399" s="82">
        <f>IF(A399="","",IF(COUNTIF(C399:F399,"Fail")&gt;0,"No-Bid (gate failed)",IF(S399&lt;12,"Incomplete ("&amp;S399&amp;"/12)",IF(T399&gt;='Scoring Guide'!$C$26,"Bid",IF(T399&gt;='Scoring Guide'!$C$27,"Conditional (MD)","No-Bid")))))</f>
        <v/>
      </c>
      <c r="V399" s="79" t="n"/>
      <c r="W399" s="83" t="n"/>
      <c r="X399" s="79" t="n"/>
      <c r="Y399" s="79" t="n"/>
    </row>
    <row r="400" ht="15" customHeight="1" s="51">
      <c r="A400" s="77">
        <f>IF(Pipeline!A400="","",Pipeline!A400)</f>
        <v/>
      </c>
      <c r="B400" s="78">
        <f>IF(A400="","",INDEX(Pipeline!$H:$H,MATCH(A400,Pipeline!$A:$A,0)))</f>
        <v/>
      </c>
      <c r="C400" s="79" t="n"/>
      <c r="D400" s="79" t="n"/>
      <c r="E400" s="79" t="n"/>
      <c r="F400" s="79" t="n"/>
      <c r="G400" s="79" t="n"/>
      <c r="H400" s="79" t="n"/>
      <c r="I400" s="79" t="n"/>
      <c r="J400" s="79" t="n"/>
      <c r="K400" s="79" t="n"/>
      <c r="L400" s="79" t="n"/>
      <c r="M400" s="79" t="n"/>
      <c r="N400" s="79" t="n"/>
      <c r="O400" s="79" t="n"/>
      <c r="P400" s="79" t="n"/>
      <c r="Q400" s="79" t="n"/>
      <c r="R400" s="79" t="n"/>
      <c r="S400" s="80">
        <f>IF(A400="","",COUNT(G400:R400))</f>
        <v/>
      </c>
      <c r="T400" s="81">
        <f>IF(OR(A400="",S400&lt;12),"",SUMPRODUCT($G$3:$R$3,G400:R400)/5)</f>
        <v/>
      </c>
      <c r="U400" s="82">
        <f>IF(A400="","",IF(COUNTIF(C400:F400,"Fail")&gt;0,"No-Bid (gate failed)",IF(S400&lt;12,"Incomplete ("&amp;S400&amp;"/12)",IF(T400&gt;='Scoring Guide'!$C$26,"Bid",IF(T400&gt;='Scoring Guide'!$C$27,"Conditional (MD)","No-Bid")))))</f>
        <v/>
      </c>
      <c r="V400" s="79" t="n"/>
      <c r="W400" s="83" t="n"/>
      <c r="X400" s="79" t="n"/>
      <c r="Y400" s="79" t="n"/>
    </row>
    <row r="401" ht="15" customHeight="1" s="51">
      <c r="A401" s="77">
        <f>IF(Pipeline!A401="","",Pipeline!A401)</f>
        <v/>
      </c>
      <c r="B401" s="78">
        <f>IF(A401="","",INDEX(Pipeline!$H:$H,MATCH(A401,Pipeline!$A:$A,0)))</f>
        <v/>
      </c>
      <c r="C401" s="79" t="n"/>
      <c r="D401" s="79" t="n"/>
      <c r="E401" s="79" t="n"/>
      <c r="F401" s="79" t="n"/>
      <c r="G401" s="79" t="n"/>
      <c r="H401" s="79" t="n"/>
      <c r="I401" s="79" t="n"/>
      <c r="J401" s="79" t="n"/>
      <c r="K401" s="79" t="n"/>
      <c r="L401" s="79" t="n"/>
      <c r="M401" s="79" t="n"/>
      <c r="N401" s="79" t="n"/>
      <c r="O401" s="79" t="n"/>
      <c r="P401" s="79" t="n"/>
      <c r="Q401" s="79" t="n"/>
      <c r="R401" s="79" t="n"/>
      <c r="S401" s="80">
        <f>IF(A401="","",COUNT(G401:R401))</f>
        <v/>
      </c>
      <c r="T401" s="81">
        <f>IF(OR(A401="",S401&lt;12),"",SUMPRODUCT($G$3:$R$3,G401:R401)/5)</f>
        <v/>
      </c>
      <c r="U401" s="82">
        <f>IF(A401="","",IF(COUNTIF(C401:F401,"Fail")&gt;0,"No-Bid (gate failed)",IF(S401&lt;12,"Incomplete ("&amp;S401&amp;"/12)",IF(T401&gt;='Scoring Guide'!$C$26,"Bid",IF(T401&gt;='Scoring Guide'!$C$27,"Conditional (MD)","No-Bid")))))</f>
        <v/>
      </c>
      <c r="V401" s="79" t="n"/>
      <c r="W401" s="83" t="n"/>
      <c r="X401" s="79" t="n"/>
      <c r="Y401" s="79" t="n"/>
    </row>
    <row r="402" ht="15" customHeight="1" s="51">
      <c r="A402" s="77">
        <f>IF(Pipeline!A402="","",Pipeline!A402)</f>
        <v/>
      </c>
      <c r="B402" s="78">
        <f>IF(A402="","",INDEX(Pipeline!$H:$H,MATCH(A402,Pipeline!$A:$A,0)))</f>
        <v/>
      </c>
      <c r="C402" s="79" t="n"/>
      <c r="D402" s="79" t="n"/>
      <c r="E402" s="79" t="n"/>
      <c r="F402" s="79" t="n"/>
      <c r="G402" s="79" t="n"/>
      <c r="H402" s="79" t="n"/>
      <c r="I402" s="79" t="n"/>
      <c r="J402" s="79" t="n"/>
      <c r="K402" s="79" t="n"/>
      <c r="L402" s="79" t="n"/>
      <c r="M402" s="79" t="n"/>
      <c r="N402" s="79" t="n"/>
      <c r="O402" s="79" t="n"/>
      <c r="P402" s="79" t="n"/>
      <c r="Q402" s="79" t="n"/>
      <c r="R402" s="79" t="n"/>
      <c r="S402" s="80">
        <f>IF(A402="","",COUNT(G402:R402))</f>
        <v/>
      </c>
      <c r="T402" s="81">
        <f>IF(OR(A402="",S402&lt;12),"",SUMPRODUCT($G$3:$R$3,G402:R402)/5)</f>
        <v/>
      </c>
      <c r="U402" s="82">
        <f>IF(A402="","",IF(COUNTIF(C402:F402,"Fail")&gt;0,"No-Bid (gate failed)",IF(S402&lt;12,"Incomplete ("&amp;S402&amp;"/12)",IF(T402&gt;='Scoring Guide'!$C$26,"Bid",IF(T402&gt;='Scoring Guide'!$C$27,"Conditional (MD)","No-Bid")))))</f>
        <v/>
      </c>
      <c r="V402" s="79" t="n"/>
      <c r="W402" s="83" t="n"/>
      <c r="X402" s="79" t="n"/>
      <c r="Y402" s="79" t="n"/>
    </row>
    <row r="403" ht="15" customHeight="1" s="51">
      <c r="A403" s="77">
        <f>IF(Pipeline!A403="","",Pipeline!A403)</f>
        <v/>
      </c>
      <c r="B403" s="78">
        <f>IF(A403="","",INDEX(Pipeline!$H:$H,MATCH(A403,Pipeline!$A:$A,0)))</f>
        <v/>
      </c>
      <c r="C403" s="79" t="n"/>
      <c r="D403" s="79" t="n"/>
      <c r="E403" s="79" t="n"/>
      <c r="F403" s="79" t="n"/>
      <c r="G403" s="79" t="n"/>
      <c r="H403" s="79" t="n"/>
      <c r="I403" s="79" t="n"/>
      <c r="J403" s="79" t="n"/>
      <c r="K403" s="79" t="n"/>
      <c r="L403" s="79" t="n"/>
      <c r="M403" s="79" t="n"/>
      <c r="N403" s="79" t="n"/>
      <c r="O403" s="79" t="n"/>
      <c r="P403" s="79" t="n"/>
      <c r="Q403" s="79" t="n"/>
      <c r="R403" s="79" t="n"/>
      <c r="S403" s="80">
        <f>IF(A403="","",COUNT(G403:R403))</f>
        <v/>
      </c>
      <c r="T403" s="81">
        <f>IF(OR(A403="",S403&lt;12),"",SUMPRODUCT($G$3:$R$3,G403:R403)/5)</f>
        <v/>
      </c>
      <c r="U403" s="82">
        <f>IF(A403="","",IF(COUNTIF(C403:F403,"Fail")&gt;0,"No-Bid (gate failed)",IF(S403&lt;12,"Incomplete ("&amp;S403&amp;"/12)",IF(T403&gt;='Scoring Guide'!$C$26,"Bid",IF(T403&gt;='Scoring Guide'!$C$27,"Conditional (MD)","No-Bid")))))</f>
        <v/>
      </c>
      <c r="V403" s="79" t="n"/>
      <c r="W403" s="83" t="n"/>
      <c r="X403" s="79" t="n"/>
      <c r="Y403" s="79" t="n"/>
    </row>
    <row r="404" ht="15" customHeight="1" s="51">
      <c r="A404" s="77">
        <f>IF(Pipeline!A404="","",Pipeline!A404)</f>
        <v/>
      </c>
      <c r="B404" s="78">
        <f>IF(A404="","",INDEX(Pipeline!$H:$H,MATCH(A404,Pipeline!$A:$A,0)))</f>
        <v/>
      </c>
      <c r="C404" s="79" t="n"/>
      <c r="D404" s="79" t="n"/>
      <c r="E404" s="79" t="n"/>
      <c r="F404" s="79" t="n"/>
      <c r="G404" s="79" t="n"/>
      <c r="H404" s="79" t="n"/>
      <c r="I404" s="79" t="n"/>
      <c r="J404" s="79" t="n"/>
      <c r="K404" s="79" t="n"/>
      <c r="L404" s="79" t="n"/>
      <c r="M404" s="79" t="n"/>
      <c r="N404" s="79" t="n"/>
      <c r="O404" s="79" t="n"/>
      <c r="P404" s="79" t="n"/>
      <c r="Q404" s="79" t="n"/>
      <c r="R404" s="79" t="n"/>
      <c r="S404" s="80">
        <f>IF(A404="","",COUNT(G404:R404))</f>
        <v/>
      </c>
      <c r="T404" s="81">
        <f>IF(OR(A404="",S404&lt;12),"",SUMPRODUCT($G$3:$R$3,G404:R404)/5)</f>
        <v/>
      </c>
      <c r="U404" s="82">
        <f>IF(A404="","",IF(COUNTIF(C404:F404,"Fail")&gt;0,"No-Bid (gate failed)",IF(S404&lt;12,"Incomplete ("&amp;S404&amp;"/12)",IF(T404&gt;='Scoring Guide'!$C$26,"Bid",IF(T404&gt;='Scoring Guide'!$C$27,"Conditional (MD)","No-Bid")))))</f>
        <v/>
      </c>
      <c r="V404" s="79" t="n"/>
      <c r="W404" s="83" t="n"/>
      <c r="X404" s="79" t="n"/>
      <c r="Y404" s="79" t="n"/>
    </row>
    <row r="405" ht="15" customHeight="1" s="51">
      <c r="A405" s="77">
        <f>IF(Pipeline!A405="","",Pipeline!A405)</f>
        <v/>
      </c>
      <c r="B405" s="78">
        <f>IF(A405="","",INDEX(Pipeline!$H:$H,MATCH(A405,Pipeline!$A:$A,0)))</f>
        <v/>
      </c>
      <c r="C405" s="79" t="n"/>
      <c r="D405" s="79" t="n"/>
      <c r="E405" s="79" t="n"/>
      <c r="F405" s="79" t="n"/>
      <c r="G405" s="79" t="n"/>
      <c r="H405" s="79" t="n"/>
      <c r="I405" s="79" t="n"/>
      <c r="J405" s="79" t="n"/>
      <c r="K405" s="79" t="n"/>
      <c r="L405" s="79" t="n"/>
      <c r="M405" s="79" t="n"/>
      <c r="N405" s="79" t="n"/>
      <c r="O405" s="79" t="n"/>
      <c r="P405" s="79" t="n"/>
      <c r="Q405" s="79" t="n"/>
      <c r="R405" s="79" t="n"/>
      <c r="S405" s="80">
        <f>IF(A405="","",COUNT(G405:R405))</f>
        <v/>
      </c>
      <c r="T405" s="81">
        <f>IF(OR(A405="",S405&lt;12),"",SUMPRODUCT($G$3:$R$3,G405:R405)/5)</f>
        <v/>
      </c>
      <c r="U405" s="82">
        <f>IF(A405="","",IF(COUNTIF(C405:F405,"Fail")&gt;0,"No-Bid (gate failed)",IF(S405&lt;12,"Incomplete ("&amp;S405&amp;"/12)",IF(T405&gt;='Scoring Guide'!$C$26,"Bid",IF(T405&gt;='Scoring Guide'!$C$27,"Conditional (MD)","No-Bid")))))</f>
        <v/>
      </c>
      <c r="V405" s="79" t="n"/>
      <c r="W405" s="83" t="n"/>
      <c r="X405" s="79" t="n"/>
      <c r="Y405" s="79" t="n"/>
    </row>
    <row r="406" ht="15" customHeight="1" s="51">
      <c r="A406" s="77">
        <f>IF(Pipeline!A406="","",Pipeline!A406)</f>
        <v/>
      </c>
      <c r="B406" s="78">
        <f>IF(A406="","",INDEX(Pipeline!$H:$H,MATCH(A406,Pipeline!$A:$A,0)))</f>
        <v/>
      </c>
      <c r="C406" s="79" t="n"/>
      <c r="D406" s="79" t="n"/>
      <c r="E406" s="79" t="n"/>
      <c r="F406" s="79" t="n"/>
      <c r="G406" s="79" t="n"/>
      <c r="H406" s="79" t="n"/>
      <c r="I406" s="79" t="n"/>
      <c r="J406" s="79" t="n"/>
      <c r="K406" s="79" t="n"/>
      <c r="L406" s="79" t="n"/>
      <c r="M406" s="79" t="n"/>
      <c r="N406" s="79" t="n"/>
      <c r="O406" s="79" t="n"/>
      <c r="P406" s="79" t="n"/>
      <c r="Q406" s="79" t="n"/>
      <c r="R406" s="79" t="n"/>
      <c r="S406" s="80">
        <f>IF(A406="","",COUNT(G406:R406))</f>
        <v/>
      </c>
      <c r="T406" s="81">
        <f>IF(OR(A406="",S406&lt;12),"",SUMPRODUCT($G$3:$R$3,G406:R406)/5)</f>
        <v/>
      </c>
      <c r="U406" s="82">
        <f>IF(A406="","",IF(COUNTIF(C406:F406,"Fail")&gt;0,"No-Bid (gate failed)",IF(S406&lt;12,"Incomplete ("&amp;S406&amp;"/12)",IF(T406&gt;='Scoring Guide'!$C$26,"Bid",IF(T406&gt;='Scoring Guide'!$C$27,"Conditional (MD)","No-Bid")))))</f>
        <v/>
      </c>
      <c r="V406" s="79" t="n"/>
      <c r="W406" s="83" t="n"/>
      <c r="X406" s="79" t="n"/>
      <c r="Y406" s="79" t="n"/>
    </row>
    <row r="407" ht="15" customHeight="1" s="51">
      <c r="A407" s="77">
        <f>IF(Pipeline!A407="","",Pipeline!A407)</f>
        <v/>
      </c>
      <c r="B407" s="78">
        <f>IF(A407="","",INDEX(Pipeline!$H:$H,MATCH(A407,Pipeline!$A:$A,0)))</f>
        <v/>
      </c>
      <c r="C407" s="79" t="n"/>
      <c r="D407" s="79" t="n"/>
      <c r="E407" s="79" t="n"/>
      <c r="F407" s="79" t="n"/>
      <c r="G407" s="79" t="n"/>
      <c r="H407" s="79" t="n"/>
      <c r="I407" s="79" t="n"/>
      <c r="J407" s="79" t="n"/>
      <c r="K407" s="79" t="n"/>
      <c r="L407" s="79" t="n"/>
      <c r="M407" s="79" t="n"/>
      <c r="N407" s="79" t="n"/>
      <c r="O407" s="79" t="n"/>
      <c r="P407" s="79" t="n"/>
      <c r="Q407" s="79" t="n"/>
      <c r="R407" s="79" t="n"/>
      <c r="S407" s="80">
        <f>IF(A407="","",COUNT(G407:R407))</f>
        <v/>
      </c>
      <c r="T407" s="81">
        <f>IF(OR(A407="",S407&lt;12),"",SUMPRODUCT($G$3:$R$3,G407:R407)/5)</f>
        <v/>
      </c>
      <c r="U407" s="82">
        <f>IF(A407="","",IF(COUNTIF(C407:F407,"Fail")&gt;0,"No-Bid (gate failed)",IF(S407&lt;12,"Incomplete ("&amp;S407&amp;"/12)",IF(T407&gt;='Scoring Guide'!$C$26,"Bid",IF(T407&gt;='Scoring Guide'!$C$27,"Conditional (MD)","No-Bid")))))</f>
        <v/>
      </c>
      <c r="V407" s="79" t="n"/>
      <c r="W407" s="83" t="n"/>
      <c r="X407" s="79" t="n"/>
      <c r="Y407" s="79" t="n"/>
    </row>
    <row r="408" ht="15" customHeight="1" s="51">
      <c r="A408" s="77">
        <f>IF(Pipeline!A408="","",Pipeline!A408)</f>
        <v/>
      </c>
      <c r="B408" s="78">
        <f>IF(A408="","",INDEX(Pipeline!$H:$H,MATCH(A408,Pipeline!$A:$A,0)))</f>
        <v/>
      </c>
      <c r="C408" s="79" t="n"/>
      <c r="D408" s="79" t="n"/>
      <c r="E408" s="79" t="n"/>
      <c r="F408" s="79" t="n"/>
      <c r="G408" s="79" t="n"/>
      <c r="H408" s="79" t="n"/>
      <c r="I408" s="79" t="n"/>
      <c r="J408" s="79" t="n"/>
      <c r="K408" s="79" t="n"/>
      <c r="L408" s="79" t="n"/>
      <c r="M408" s="79" t="n"/>
      <c r="N408" s="79" t="n"/>
      <c r="O408" s="79" t="n"/>
      <c r="P408" s="79" t="n"/>
      <c r="Q408" s="79" t="n"/>
      <c r="R408" s="79" t="n"/>
      <c r="S408" s="80">
        <f>IF(A408="","",COUNT(G408:R408))</f>
        <v/>
      </c>
      <c r="T408" s="81">
        <f>IF(OR(A408="",S408&lt;12),"",SUMPRODUCT($G$3:$R$3,G408:R408)/5)</f>
        <v/>
      </c>
      <c r="U408" s="82">
        <f>IF(A408="","",IF(COUNTIF(C408:F408,"Fail")&gt;0,"No-Bid (gate failed)",IF(S408&lt;12,"Incomplete ("&amp;S408&amp;"/12)",IF(T408&gt;='Scoring Guide'!$C$26,"Bid",IF(T408&gt;='Scoring Guide'!$C$27,"Conditional (MD)","No-Bid")))))</f>
        <v/>
      </c>
      <c r="V408" s="79" t="n"/>
      <c r="W408" s="83" t="n"/>
      <c r="X408" s="79" t="n"/>
      <c r="Y408" s="79" t="n"/>
    </row>
    <row r="409" ht="15" customHeight="1" s="51">
      <c r="A409" s="77">
        <f>IF(Pipeline!A409="","",Pipeline!A409)</f>
        <v/>
      </c>
      <c r="B409" s="78">
        <f>IF(A409="","",INDEX(Pipeline!$H:$H,MATCH(A409,Pipeline!$A:$A,0)))</f>
        <v/>
      </c>
      <c r="C409" s="79" t="n"/>
      <c r="D409" s="79" t="n"/>
      <c r="E409" s="79" t="n"/>
      <c r="F409" s="79" t="n"/>
      <c r="G409" s="79" t="n"/>
      <c r="H409" s="79" t="n"/>
      <c r="I409" s="79" t="n"/>
      <c r="J409" s="79" t="n"/>
      <c r="K409" s="79" t="n"/>
      <c r="L409" s="79" t="n"/>
      <c r="M409" s="79" t="n"/>
      <c r="N409" s="79" t="n"/>
      <c r="O409" s="79" t="n"/>
      <c r="P409" s="79" t="n"/>
      <c r="Q409" s="79" t="n"/>
      <c r="R409" s="79" t="n"/>
      <c r="S409" s="80">
        <f>IF(A409="","",COUNT(G409:R409))</f>
        <v/>
      </c>
      <c r="T409" s="81">
        <f>IF(OR(A409="",S409&lt;12),"",SUMPRODUCT($G$3:$R$3,G409:R409)/5)</f>
        <v/>
      </c>
      <c r="U409" s="82">
        <f>IF(A409="","",IF(COUNTIF(C409:F409,"Fail")&gt;0,"No-Bid (gate failed)",IF(S409&lt;12,"Incomplete ("&amp;S409&amp;"/12)",IF(T409&gt;='Scoring Guide'!$C$26,"Bid",IF(T409&gt;='Scoring Guide'!$C$27,"Conditional (MD)","No-Bid")))))</f>
        <v/>
      </c>
      <c r="V409" s="79" t="n"/>
      <c r="W409" s="83" t="n"/>
      <c r="X409" s="79" t="n"/>
      <c r="Y409" s="79" t="n"/>
    </row>
    <row r="410" ht="15" customHeight="1" s="51">
      <c r="A410" s="77">
        <f>IF(Pipeline!A410="","",Pipeline!A410)</f>
        <v/>
      </c>
      <c r="B410" s="78">
        <f>IF(A410="","",INDEX(Pipeline!$H:$H,MATCH(A410,Pipeline!$A:$A,0)))</f>
        <v/>
      </c>
      <c r="C410" s="79" t="n"/>
      <c r="D410" s="79" t="n"/>
      <c r="E410" s="79" t="n"/>
      <c r="F410" s="79" t="n"/>
      <c r="G410" s="79" t="n"/>
      <c r="H410" s="79" t="n"/>
      <c r="I410" s="79" t="n"/>
      <c r="J410" s="79" t="n"/>
      <c r="K410" s="79" t="n"/>
      <c r="L410" s="79" t="n"/>
      <c r="M410" s="79" t="n"/>
      <c r="N410" s="79" t="n"/>
      <c r="O410" s="79" t="n"/>
      <c r="P410" s="79" t="n"/>
      <c r="Q410" s="79" t="n"/>
      <c r="R410" s="79" t="n"/>
      <c r="S410" s="80">
        <f>IF(A410="","",COUNT(G410:R410))</f>
        <v/>
      </c>
      <c r="T410" s="81">
        <f>IF(OR(A410="",S410&lt;12),"",SUMPRODUCT($G$3:$R$3,G410:R410)/5)</f>
        <v/>
      </c>
      <c r="U410" s="82">
        <f>IF(A410="","",IF(COUNTIF(C410:F410,"Fail")&gt;0,"No-Bid (gate failed)",IF(S410&lt;12,"Incomplete ("&amp;S410&amp;"/12)",IF(T410&gt;='Scoring Guide'!$C$26,"Bid",IF(T410&gt;='Scoring Guide'!$C$27,"Conditional (MD)","No-Bid")))))</f>
        <v/>
      </c>
      <c r="V410" s="79" t="n"/>
      <c r="W410" s="83" t="n"/>
      <c r="X410" s="79" t="n"/>
      <c r="Y410" s="79" t="n"/>
    </row>
    <row r="411" ht="15" customHeight="1" s="51">
      <c r="A411" s="77">
        <f>IF(Pipeline!A411="","",Pipeline!A411)</f>
        <v/>
      </c>
      <c r="B411" s="78">
        <f>IF(A411="","",INDEX(Pipeline!$H:$H,MATCH(A411,Pipeline!$A:$A,0)))</f>
        <v/>
      </c>
      <c r="C411" s="79" t="n"/>
      <c r="D411" s="79" t="n"/>
      <c r="E411" s="79" t="n"/>
      <c r="F411" s="79" t="n"/>
      <c r="G411" s="79" t="n"/>
      <c r="H411" s="79" t="n"/>
      <c r="I411" s="79" t="n"/>
      <c r="J411" s="79" t="n"/>
      <c r="K411" s="79" t="n"/>
      <c r="L411" s="79" t="n"/>
      <c r="M411" s="79" t="n"/>
      <c r="N411" s="79" t="n"/>
      <c r="O411" s="79" t="n"/>
      <c r="P411" s="79" t="n"/>
      <c r="Q411" s="79" t="n"/>
      <c r="R411" s="79" t="n"/>
      <c r="S411" s="80">
        <f>IF(A411="","",COUNT(G411:R411))</f>
        <v/>
      </c>
      <c r="T411" s="81">
        <f>IF(OR(A411="",S411&lt;12),"",SUMPRODUCT($G$3:$R$3,G411:R411)/5)</f>
        <v/>
      </c>
      <c r="U411" s="82">
        <f>IF(A411="","",IF(COUNTIF(C411:F411,"Fail")&gt;0,"No-Bid (gate failed)",IF(S411&lt;12,"Incomplete ("&amp;S411&amp;"/12)",IF(T411&gt;='Scoring Guide'!$C$26,"Bid",IF(T411&gt;='Scoring Guide'!$C$27,"Conditional (MD)","No-Bid")))))</f>
        <v/>
      </c>
      <c r="V411" s="79" t="n"/>
      <c r="W411" s="83" t="n"/>
      <c r="X411" s="79" t="n"/>
      <c r="Y411" s="79" t="n"/>
    </row>
    <row r="412" ht="15" customHeight="1" s="51">
      <c r="A412" s="77">
        <f>IF(Pipeline!A412="","",Pipeline!A412)</f>
        <v/>
      </c>
      <c r="B412" s="78">
        <f>IF(A412="","",INDEX(Pipeline!$H:$H,MATCH(A412,Pipeline!$A:$A,0)))</f>
        <v/>
      </c>
      <c r="C412" s="79" t="n"/>
      <c r="D412" s="79" t="n"/>
      <c r="E412" s="79" t="n"/>
      <c r="F412" s="79" t="n"/>
      <c r="G412" s="79" t="n"/>
      <c r="H412" s="79" t="n"/>
      <c r="I412" s="79" t="n"/>
      <c r="J412" s="79" t="n"/>
      <c r="K412" s="79" t="n"/>
      <c r="L412" s="79" t="n"/>
      <c r="M412" s="79" t="n"/>
      <c r="N412" s="79" t="n"/>
      <c r="O412" s="79" t="n"/>
      <c r="P412" s="79" t="n"/>
      <c r="Q412" s="79" t="n"/>
      <c r="R412" s="79" t="n"/>
      <c r="S412" s="80">
        <f>IF(A412="","",COUNT(G412:R412))</f>
        <v/>
      </c>
      <c r="T412" s="81">
        <f>IF(OR(A412="",S412&lt;12),"",SUMPRODUCT($G$3:$R$3,G412:R412)/5)</f>
        <v/>
      </c>
      <c r="U412" s="82">
        <f>IF(A412="","",IF(COUNTIF(C412:F412,"Fail")&gt;0,"No-Bid (gate failed)",IF(S412&lt;12,"Incomplete ("&amp;S412&amp;"/12)",IF(T412&gt;='Scoring Guide'!$C$26,"Bid",IF(T412&gt;='Scoring Guide'!$C$27,"Conditional (MD)","No-Bid")))))</f>
        <v/>
      </c>
      <c r="V412" s="79" t="n"/>
      <c r="W412" s="83" t="n"/>
      <c r="X412" s="79" t="n"/>
      <c r="Y412" s="79" t="n"/>
    </row>
    <row r="413" ht="15" customHeight="1" s="51">
      <c r="A413" s="77">
        <f>IF(Pipeline!A413="","",Pipeline!A413)</f>
        <v/>
      </c>
      <c r="B413" s="78">
        <f>IF(A413="","",INDEX(Pipeline!$H:$H,MATCH(A413,Pipeline!$A:$A,0)))</f>
        <v/>
      </c>
      <c r="C413" s="79" t="n"/>
      <c r="D413" s="79" t="n"/>
      <c r="E413" s="79" t="n"/>
      <c r="F413" s="79" t="n"/>
      <c r="G413" s="79" t="n"/>
      <c r="H413" s="79" t="n"/>
      <c r="I413" s="79" t="n"/>
      <c r="J413" s="79" t="n"/>
      <c r="K413" s="79" t="n"/>
      <c r="L413" s="79" t="n"/>
      <c r="M413" s="79" t="n"/>
      <c r="N413" s="79" t="n"/>
      <c r="O413" s="79" t="n"/>
      <c r="P413" s="79" t="n"/>
      <c r="Q413" s="79" t="n"/>
      <c r="R413" s="79" t="n"/>
      <c r="S413" s="80">
        <f>IF(A413="","",COUNT(G413:R413))</f>
        <v/>
      </c>
      <c r="T413" s="81">
        <f>IF(OR(A413="",S413&lt;12),"",SUMPRODUCT($G$3:$R$3,G413:R413)/5)</f>
        <v/>
      </c>
      <c r="U413" s="82">
        <f>IF(A413="","",IF(COUNTIF(C413:F413,"Fail")&gt;0,"No-Bid (gate failed)",IF(S413&lt;12,"Incomplete ("&amp;S413&amp;"/12)",IF(T413&gt;='Scoring Guide'!$C$26,"Bid",IF(T413&gt;='Scoring Guide'!$C$27,"Conditional (MD)","No-Bid")))))</f>
        <v/>
      </c>
      <c r="V413" s="79" t="n"/>
      <c r="W413" s="83" t="n"/>
      <c r="X413" s="79" t="n"/>
      <c r="Y413" s="79" t="n"/>
    </row>
    <row r="414" ht="15" customHeight="1" s="51">
      <c r="A414" s="77">
        <f>IF(Pipeline!A414="","",Pipeline!A414)</f>
        <v/>
      </c>
      <c r="B414" s="78">
        <f>IF(A414="","",INDEX(Pipeline!$H:$H,MATCH(A414,Pipeline!$A:$A,0)))</f>
        <v/>
      </c>
      <c r="C414" s="79" t="n"/>
      <c r="D414" s="79" t="n"/>
      <c r="E414" s="79" t="n"/>
      <c r="F414" s="79" t="n"/>
      <c r="G414" s="79" t="n"/>
      <c r="H414" s="79" t="n"/>
      <c r="I414" s="79" t="n"/>
      <c r="J414" s="79" t="n"/>
      <c r="K414" s="79" t="n"/>
      <c r="L414" s="79" t="n"/>
      <c r="M414" s="79" t="n"/>
      <c r="N414" s="79" t="n"/>
      <c r="O414" s="79" t="n"/>
      <c r="P414" s="79" t="n"/>
      <c r="Q414" s="79" t="n"/>
      <c r="R414" s="79" t="n"/>
      <c r="S414" s="80">
        <f>IF(A414="","",COUNT(G414:R414))</f>
        <v/>
      </c>
      <c r="T414" s="81">
        <f>IF(OR(A414="",S414&lt;12),"",SUMPRODUCT($G$3:$R$3,G414:R414)/5)</f>
        <v/>
      </c>
      <c r="U414" s="82">
        <f>IF(A414="","",IF(COUNTIF(C414:F414,"Fail")&gt;0,"No-Bid (gate failed)",IF(S414&lt;12,"Incomplete ("&amp;S414&amp;"/12)",IF(T414&gt;='Scoring Guide'!$C$26,"Bid",IF(T414&gt;='Scoring Guide'!$C$27,"Conditional (MD)","No-Bid")))))</f>
        <v/>
      </c>
      <c r="V414" s="79" t="n"/>
      <c r="W414" s="83" t="n"/>
      <c r="X414" s="79" t="n"/>
      <c r="Y414" s="79" t="n"/>
    </row>
    <row r="415" ht="15" customHeight="1" s="51">
      <c r="A415" s="77">
        <f>IF(Pipeline!A415="","",Pipeline!A415)</f>
        <v/>
      </c>
      <c r="B415" s="78">
        <f>IF(A415="","",INDEX(Pipeline!$H:$H,MATCH(A415,Pipeline!$A:$A,0)))</f>
        <v/>
      </c>
      <c r="C415" s="79" t="n"/>
      <c r="D415" s="79" t="n"/>
      <c r="E415" s="79" t="n"/>
      <c r="F415" s="79" t="n"/>
      <c r="G415" s="79" t="n"/>
      <c r="H415" s="79" t="n"/>
      <c r="I415" s="79" t="n"/>
      <c r="J415" s="79" t="n"/>
      <c r="K415" s="79" t="n"/>
      <c r="L415" s="79" t="n"/>
      <c r="M415" s="79" t="n"/>
      <c r="N415" s="79" t="n"/>
      <c r="O415" s="79" t="n"/>
      <c r="P415" s="79" t="n"/>
      <c r="Q415" s="79" t="n"/>
      <c r="R415" s="79" t="n"/>
      <c r="S415" s="80">
        <f>IF(A415="","",COUNT(G415:R415))</f>
        <v/>
      </c>
      <c r="T415" s="81">
        <f>IF(OR(A415="",S415&lt;12),"",SUMPRODUCT($G$3:$R$3,G415:R415)/5)</f>
        <v/>
      </c>
      <c r="U415" s="82">
        <f>IF(A415="","",IF(COUNTIF(C415:F415,"Fail")&gt;0,"No-Bid (gate failed)",IF(S415&lt;12,"Incomplete ("&amp;S415&amp;"/12)",IF(T415&gt;='Scoring Guide'!$C$26,"Bid",IF(T415&gt;='Scoring Guide'!$C$27,"Conditional (MD)","No-Bid")))))</f>
        <v/>
      </c>
      <c r="V415" s="79" t="n"/>
      <c r="W415" s="83" t="n"/>
      <c r="X415" s="79" t="n"/>
      <c r="Y415" s="79" t="n"/>
    </row>
    <row r="416" ht="15" customHeight="1" s="51">
      <c r="A416" s="77">
        <f>IF(Pipeline!A416="","",Pipeline!A416)</f>
        <v/>
      </c>
      <c r="B416" s="78">
        <f>IF(A416="","",INDEX(Pipeline!$H:$H,MATCH(A416,Pipeline!$A:$A,0)))</f>
        <v/>
      </c>
      <c r="C416" s="79" t="n"/>
      <c r="D416" s="79" t="n"/>
      <c r="E416" s="79" t="n"/>
      <c r="F416" s="79" t="n"/>
      <c r="G416" s="79" t="n"/>
      <c r="H416" s="79" t="n"/>
      <c r="I416" s="79" t="n"/>
      <c r="J416" s="79" t="n"/>
      <c r="K416" s="79" t="n"/>
      <c r="L416" s="79" t="n"/>
      <c r="M416" s="79" t="n"/>
      <c r="N416" s="79" t="n"/>
      <c r="O416" s="79" t="n"/>
      <c r="P416" s="79" t="n"/>
      <c r="Q416" s="79" t="n"/>
      <c r="R416" s="79" t="n"/>
      <c r="S416" s="80">
        <f>IF(A416="","",COUNT(G416:R416))</f>
        <v/>
      </c>
      <c r="T416" s="81">
        <f>IF(OR(A416="",S416&lt;12),"",SUMPRODUCT($G$3:$R$3,G416:R416)/5)</f>
        <v/>
      </c>
      <c r="U416" s="82">
        <f>IF(A416="","",IF(COUNTIF(C416:F416,"Fail")&gt;0,"No-Bid (gate failed)",IF(S416&lt;12,"Incomplete ("&amp;S416&amp;"/12)",IF(T416&gt;='Scoring Guide'!$C$26,"Bid",IF(T416&gt;='Scoring Guide'!$C$27,"Conditional (MD)","No-Bid")))))</f>
        <v/>
      </c>
      <c r="V416" s="79" t="n"/>
      <c r="W416" s="83" t="n"/>
      <c r="X416" s="79" t="n"/>
      <c r="Y416" s="79" t="n"/>
    </row>
    <row r="417" ht="15" customHeight="1" s="51">
      <c r="A417" s="77">
        <f>IF(Pipeline!A417="","",Pipeline!A417)</f>
        <v/>
      </c>
      <c r="B417" s="78">
        <f>IF(A417="","",INDEX(Pipeline!$H:$H,MATCH(A417,Pipeline!$A:$A,0)))</f>
        <v/>
      </c>
      <c r="C417" s="79" t="n"/>
      <c r="D417" s="79" t="n"/>
      <c r="E417" s="79" t="n"/>
      <c r="F417" s="79" t="n"/>
      <c r="G417" s="79" t="n"/>
      <c r="H417" s="79" t="n"/>
      <c r="I417" s="79" t="n"/>
      <c r="J417" s="79" t="n"/>
      <c r="K417" s="79" t="n"/>
      <c r="L417" s="79" t="n"/>
      <c r="M417" s="79" t="n"/>
      <c r="N417" s="79" t="n"/>
      <c r="O417" s="79" t="n"/>
      <c r="P417" s="79" t="n"/>
      <c r="Q417" s="79" t="n"/>
      <c r="R417" s="79" t="n"/>
      <c r="S417" s="80">
        <f>IF(A417="","",COUNT(G417:R417))</f>
        <v/>
      </c>
      <c r="T417" s="81">
        <f>IF(OR(A417="",S417&lt;12),"",SUMPRODUCT($G$3:$R$3,G417:R417)/5)</f>
        <v/>
      </c>
      <c r="U417" s="82">
        <f>IF(A417="","",IF(COUNTIF(C417:F417,"Fail")&gt;0,"No-Bid (gate failed)",IF(S417&lt;12,"Incomplete ("&amp;S417&amp;"/12)",IF(T417&gt;='Scoring Guide'!$C$26,"Bid",IF(T417&gt;='Scoring Guide'!$C$27,"Conditional (MD)","No-Bid")))))</f>
        <v/>
      </c>
      <c r="V417" s="79" t="n"/>
      <c r="W417" s="83" t="n"/>
      <c r="X417" s="79" t="n"/>
      <c r="Y417" s="79" t="n"/>
    </row>
    <row r="418" ht="15" customHeight="1" s="51">
      <c r="A418" s="77">
        <f>IF(Pipeline!A418="","",Pipeline!A418)</f>
        <v/>
      </c>
      <c r="B418" s="78">
        <f>IF(A418="","",INDEX(Pipeline!$H:$H,MATCH(A418,Pipeline!$A:$A,0)))</f>
        <v/>
      </c>
      <c r="C418" s="79" t="n"/>
      <c r="D418" s="79" t="n"/>
      <c r="E418" s="79" t="n"/>
      <c r="F418" s="79" t="n"/>
      <c r="G418" s="79" t="n"/>
      <c r="H418" s="79" t="n"/>
      <c r="I418" s="79" t="n"/>
      <c r="J418" s="79" t="n"/>
      <c r="K418" s="79" t="n"/>
      <c r="L418" s="79" t="n"/>
      <c r="M418" s="79" t="n"/>
      <c r="N418" s="79" t="n"/>
      <c r="O418" s="79" t="n"/>
      <c r="P418" s="79" t="n"/>
      <c r="Q418" s="79" t="n"/>
      <c r="R418" s="79" t="n"/>
      <c r="S418" s="80">
        <f>IF(A418="","",COUNT(G418:R418))</f>
        <v/>
      </c>
      <c r="T418" s="81">
        <f>IF(OR(A418="",S418&lt;12),"",SUMPRODUCT($G$3:$R$3,G418:R418)/5)</f>
        <v/>
      </c>
      <c r="U418" s="82">
        <f>IF(A418="","",IF(COUNTIF(C418:F418,"Fail")&gt;0,"No-Bid (gate failed)",IF(S418&lt;12,"Incomplete ("&amp;S418&amp;"/12)",IF(T418&gt;='Scoring Guide'!$C$26,"Bid",IF(T418&gt;='Scoring Guide'!$C$27,"Conditional (MD)","No-Bid")))))</f>
        <v/>
      </c>
      <c r="V418" s="79" t="n"/>
      <c r="W418" s="83" t="n"/>
      <c r="X418" s="79" t="n"/>
      <c r="Y418" s="79" t="n"/>
    </row>
    <row r="419" ht="15" customHeight="1" s="51">
      <c r="A419" s="77">
        <f>IF(Pipeline!A419="","",Pipeline!A419)</f>
        <v/>
      </c>
      <c r="B419" s="78">
        <f>IF(A419="","",INDEX(Pipeline!$H:$H,MATCH(A419,Pipeline!$A:$A,0)))</f>
        <v/>
      </c>
      <c r="C419" s="79" t="n"/>
      <c r="D419" s="79" t="n"/>
      <c r="E419" s="79" t="n"/>
      <c r="F419" s="79" t="n"/>
      <c r="G419" s="79" t="n"/>
      <c r="H419" s="79" t="n"/>
      <c r="I419" s="79" t="n"/>
      <c r="J419" s="79" t="n"/>
      <c r="K419" s="79" t="n"/>
      <c r="L419" s="79" t="n"/>
      <c r="M419" s="79" t="n"/>
      <c r="N419" s="79" t="n"/>
      <c r="O419" s="79" t="n"/>
      <c r="P419" s="79" t="n"/>
      <c r="Q419" s="79" t="n"/>
      <c r="R419" s="79" t="n"/>
      <c r="S419" s="80">
        <f>IF(A419="","",COUNT(G419:R419))</f>
        <v/>
      </c>
      <c r="T419" s="81">
        <f>IF(OR(A419="",S419&lt;12),"",SUMPRODUCT($G$3:$R$3,G419:R419)/5)</f>
        <v/>
      </c>
      <c r="U419" s="82">
        <f>IF(A419="","",IF(COUNTIF(C419:F419,"Fail")&gt;0,"No-Bid (gate failed)",IF(S419&lt;12,"Incomplete ("&amp;S419&amp;"/12)",IF(T419&gt;='Scoring Guide'!$C$26,"Bid",IF(T419&gt;='Scoring Guide'!$C$27,"Conditional (MD)","No-Bid")))))</f>
        <v/>
      </c>
      <c r="V419" s="79" t="n"/>
      <c r="W419" s="83" t="n"/>
      <c r="X419" s="79" t="n"/>
      <c r="Y419" s="79" t="n"/>
    </row>
    <row r="420" ht="15" customHeight="1" s="51">
      <c r="A420" s="77">
        <f>IF(Pipeline!A420="","",Pipeline!A420)</f>
        <v/>
      </c>
      <c r="B420" s="78">
        <f>IF(A420="","",INDEX(Pipeline!$H:$H,MATCH(A420,Pipeline!$A:$A,0)))</f>
        <v/>
      </c>
      <c r="C420" s="79" t="n"/>
      <c r="D420" s="79" t="n"/>
      <c r="E420" s="79" t="n"/>
      <c r="F420" s="79" t="n"/>
      <c r="G420" s="79" t="n"/>
      <c r="H420" s="79" t="n"/>
      <c r="I420" s="79" t="n"/>
      <c r="J420" s="79" t="n"/>
      <c r="K420" s="79" t="n"/>
      <c r="L420" s="79" t="n"/>
      <c r="M420" s="79" t="n"/>
      <c r="N420" s="79" t="n"/>
      <c r="O420" s="79" t="n"/>
      <c r="P420" s="79" t="n"/>
      <c r="Q420" s="79" t="n"/>
      <c r="R420" s="79" t="n"/>
      <c r="S420" s="80">
        <f>IF(A420="","",COUNT(G420:R420))</f>
        <v/>
      </c>
      <c r="T420" s="81">
        <f>IF(OR(A420="",S420&lt;12),"",SUMPRODUCT($G$3:$R$3,G420:R420)/5)</f>
        <v/>
      </c>
      <c r="U420" s="82">
        <f>IF(A420="","",IF(COUNTIF(C420:F420,"Fail")&gt;0,"No-Bid (gate failed)",IF(S420&lt;12,"Incomplete ("&amp;S420&amp;"/12)",IF(T420&gt;='Scoring Guide'!$C$26,"Bid",IF(T420&gt;='Scoring Guide'!$C$27,"Conditional (MD)","No-Bid")))))</f>
        <v/>
      </c>
      <c r="V420" s="79" t="n"/>
      <c r="W420" s="83" t="n"/>
      <c r="X420" s="79" t="n"/>
      <c r="Y420" s="79" t="n"/>
    </row>
    <row r="421" ht="15" customHeight="1" s="51">
      <c r="A421" s="77">
        <f>IF(Pipeline!A421="","",Pipeline!A421)</f>
        <v/>
      </c>
      <c r="B421" s="78">
        <f>IF(A421="","",INDEX(Pipeline!$H:$H,MATCH(A421,Pipeline!$A:$A,0)))</f>
        <v/>
      </c>
      <c r="C421" s="79" t="n"/>
      <c r="D421" s="79" t="n"/>
      <c r="E421" s="79" t="n"/>
      <c r="F421" s="79" t="n"/>
      <c r="G421" s="79" t="n"/>
      <c r="H421" s="79" t="n"/>
      <c r="I421" s="79" t="n"/>
      <c r="J421" s="79" t="n"/>
      <c r="K421" s="79" t="n"/>
      <c r="L421" s="79" t="n"/>
      <c r="M421" s="79" t="n"/>
      <c r="N421" s="79" t="n"/>
      <c r="O421" s="79" t="n"/>
      <c r="P421" s="79" t="n"/>
      <c r="Q421" s="79" t="n"/>
      <c r="R421" s="79" t="n"/>
      <c r="S421" s="80">
        <f>IF(A421="","",COUNT(G421:R421))</f>
        <v/>
      </c>
      <c r="T421" s="81">
        <f>IF(OR(A421="",S421&lt;12),"",SUMPRODUCT($G$3:$R$3,G421:R421)/5)</f>
        <v/>
      </c>
      <c r="U421" s="82">
        <f>IF(A421="","",IF(COUNTIF(C421:F421,"Fail")&gt;0,"No-Bid (gate failed)",IF(S421&lt;12,"Incomplete ("&amp;S421&amp;"/12)",IF(T421&gt;='Scoring Guide'!$C$26,"Bid",IF(T421&gt;='Scoring Guide'!$C$27,"Conditional (MD)","No-Bid")))))</f>
        <v/>
      </c>
      <c r="V421" s="79" t="n"/>
      <c r="W421" s="83" t="n"/>
      <c r="X421" s="79" t="n"/>
      <c r="Y421" s="79" t="n"/>
    </row>
    <row r="422" ht="15" customHeight="1" s="51">
      <c r="A422" s="77">
        <f>IF(Pipeline!A422="","",Pipeline!A422)</f>
        <v/>
      </c>
      <c r="B422" s="78">
        <f>IF(A422="","",INDEX(Pipeline!$H:$H,MATCH(A422,Pipeline!$A:$A,0)))</f>
        <v/>
      </c>
      <c r="C422" s="79" t="n"/>
      <c r="D422" s="79" t="n"/>
      <c r="E422" s="79" t="n"/>
      <c r="F422" s="79" t="n"/>
      <c r="G422" s="79" t="n"/>
      <c r="H422" s="79" t="n"/>
      <c r="I422" s="79" t="n"/>
      <c r="J422" s="79" t="n"/>
      <c r="K422" s="79" t="n"/>
      <c r="L422" s="79" t="n"/>
      <c r="M422" s="79" t="n"/>
      <c r="N422" s="79" t="n"/>
      <c r="O422" s="79" t="n"/>
      <c r="P422" s="79" t="n"/>
      <c r="Q422" s="79" t="n"/>
      <c r="R422" s="79" t="n"/>
      <c r="S422" s="80">
        <f>IF(A422="","",COUNT(G422:R422))</f>
        <v/>
      </c>
      <c r="T422" s="81">
        <f>IF(OR(A422="",S422&lt;12),"",SUMPRODUCT($G$3:$R$3,G422:R422)/5)</f>
        <v/>
      </c>
      <c r="U422" s="82">
        <f>IF(A422="","",IF(COUNTIF(C422:F422,"Fail")&gt;0,"No-Bid (gate failed)",IF(S422&lt;12,"Incomplete ("&amp;S422&amp;"/12)",IF(T422&gt;='Scoring Guide'!$C$26,"Bid",IF(T422&gt;='Scoring Guide'!$C$27,"Conditional (MD)","No-Bid")))))</f>
        <v/>
      </c>
      <c r="V422" s="79" t="n"/>
      <c r="W422" s="83" t="n"/>
      <c r="X422" s="79" t="n"/>
      <c r="Y422" s="79" t="n"/>
    </row>
    <row r="423" ht="15" customHeight="1" s="51">
      <c r="A423" s="77">
        <f>IF(Pipeline!A423="","",Pipeline!A423)</f>
        <v/>
      </c>
      <c r="B423" s="78">
        <f>IF(A423="","",INDEX(Pipeline!$H:$H,MATCH(A423,Pipeline!$A:$A,0)))</f>
        <v/>
      </c>
      <c r="C423" s="79" t="n"/>
      <c r="D423" s="79" t="n"/>
      <c r="E423" s="79" t="n"/>
      <c r="F423" s="79" t="n"/>
      <c r="G423" s="79" t="n"/>
      <c r="H423" s="79" t="n"/>
      <c r="I423" s="79" t="n"/>
      <c r="J423" s="79" t="n"/>
      <c r="K423" s="79" t="n"/>
      <c r="L423" s="79" t="n"/>
      <c r="M423" s="79" t="n"/>
      <c r="N423" s="79" t="n"/>
      <c r="O423" s="79" t="n"/>
      <c r="P423" s="79" t="n"/>
      <c r="Q423" s="79" t="n"/>
      <c r="R423" s="79" t="n"/>
      <c r="S423" s="80">
        <f>IF(A423="","",COUNT(G423:R423))</f>
        <v/>
      </c>
      <c r="T423" s="81">
        <f>IF(OR(A423="",S423&lt;12),"",SUMPRODUCT($G$3:$R$3,G423:R423)/5)</f>
        <v/>
      </c>
      <c r="U423" s="82">
        <f>IF(A423="","",IF(COUNTIF(C423:F423,"Fail")&gt;0,"No-Bid (gate failed)",IF(S423&lt;12,"Incomplete ("&amp;S423&amp;"/12)",IF(T423&gt;='Scoring Guide'!$C$26,"Bid",IF(T423&gt;='Scoring Guide'!$C$27,"Conditional (MD)","No-Bid")))))</f>
        <v/>
      </c>
      <c r="V423" s="79" t="n"/>
      <c r="W423" s="83" t="n"/>
      <c r="X423" s="79" t="n"/>
      <c r="Y423" s="79" t="n"/>
    </row>
    <row r="424" ht="15" customHeight="1" s="51">
      <c r="A424" s="77">
        <f>IF(Pipeline!A424="","",Pipeline!A424)</f>
        <v/>
      </c>
      <c r="B424" s="78">
        <f>IF(A424="","",INDEX(Pipeline!$H:$H,MATCH(A424,Pipeline!$A:$A,0)))</f>
        <v/>
      </c>
      <c r="C424" s="79" t="n"/>
      <c r="D424" s="79" t="n"/>
      <c r="E424" s="79" t="n"/>
      <c r="F424" s="79" t="n"/>
      <c r="G424" s="79" t="n"/>
      <c r="H424" s="79" t="n"/>
      <c r="I424" s="79" t="n"/>
      <c r="J424" s="79" t="n"/>
      <c r="K424" s="79" t="n"/>
      <c r="L424" s="79" t="n"/>
      <c r="M424" s="79" t="n"/>
      <c r="N424" s="79" t="n"/>
      <c r="O424" s="79" t="n"/>
      <c r="P424" s="79" t="n"/>
      <c r="Q424" s="79" t="n"/>
      <c r="R424" s="79" t="n"/>
      <c r="S424" s="80">
        <f>IF(A424="","",COUNT(G424:R424))</f>
        <v/>
      </c>
      <c r="T424" s="81">
        <f>IF(OR(A424="",S424&lt;12),"",SUMPRODUCT($G$3:$R$3,G424:R424)/5)</f>
        <v/>
      </c>
      <c r="U424" s="82">
        <f>IF(A424="","",IF(COUNTIF(C424:F424,"Fail")&gt;0,"No-Bid (gate failed)",IF(S424&lt;12,"Incomplete ("&amp;S424&amp;"/12)",IF(T424&gt;='Scoring Guide'!$C$26,"Bid",IF(T424&gt;='Scoring Guide'!$C$27,"Conditional (MD)","No-Bid")))))</f>
        <v/>
      </c>
      <c r="V424" s="79" t="n"/>
      <c r="W424" s="83" t="n"/>
      <c r="X424" s="79" t="n"/>
      <c r="Y424" s="79" t="n"/>
    </row>
    <row r="425" ht="15" customHeight="1" s="51">
      <c r="A425" s="77">
        <f>IF(Pipeline!A425="","",Pipeline!A425)</f>
        <v/>
      </c>
      <c r="B425" s="78">
        <f>IF(A425="","",INDEX(Pipeline!$H:$H,MATCH(A425,Pipeline!$A:$A,0)))</f>
        <v/>
      </c>
      <c r="C425" s="79" t="n"/>
      <c r="D425" s="79" t="n"/>
      <c r="E425" s="79" t="n"/>
      <c r="F425" s="79" t="n"/>
      <c r="G425" s="79" t="n"/>
      <c r="H425" s="79" t="n"/>
      <c r="I425" s="79" t="n"/>
      <c r="J425" s="79" t="n"/>
      <c r="K425" s="79" t="n"/>
      <c r="L425" s="79" t="n"/>
      <c r="M425" s="79" t="n"/>
      <c r="N425" s="79" t="n"/>
      <c r="O425" s="79" t="n"/>
      <c r="P425" s="79" t="n"/>
      <c r="Q425" s="79" t="n"/>
      <c r="R425" s="79" t="n"/>
      <c r="S425" s="80">
        <f>IF(A425="","",COUNT(G425:R425))</f>
        <v/>
      </c>
      <c r="T425" s="81">
        <f>IF(OR(A425="",S425&lt;12),"",SUMPRODUCT($G$3:$R$3,G425:R425)/5)</f>
        <v/>
      </c>
      <c r="U425" s="82">
        <f>IF(A425="","",IF(COUNTIF(C425:F425,"Fail")&gt;0,"No-Bid (gate failed)",IF(S425&lt;12,"Incomplete ("&amp;S425&amp;"/12)",IF(T425&gt;='Scoring Guide'!$C$26,"Bid",IF(T425&gt;='Scoring Guide'!$C$27,"Conditional (MD)","No-Bid")))))</f>
        <v/>
      </c>
      <c r="V425" s="79" t="n"/>
      <c r="W425" s="83" t="n"/>
      <c r="X425" s="79" t="n"/>
      <c r="Y425" s="79" t="n"/>
    </row>
    <row r="426" ht="15" customHeight="1" s="51">
      <c r="A426" s="77">
        <f>IF(Pipeline!A426="","",Pipeline!A426)</f>
        <v/>
      </c>
      <c r="B426" s="78">
        <f>IF(A426="","",INDEX(Pipeline!$H:$H,MATCH(A426,Pipeline!$A:$A,0)))</f>
        <v/>
      </c>
      <c r="C426" s="79" t="n"/>
      <c r="D426" s="79" t="n"/>
      <c r="E426" s="79" t="n"/>
      <c r="F426" s="79" t="n"/>
      <c r="G426" s="79" t="n"/>
      <c r="H426" s="79" t="n"/>
      <c r="I426" s="79" t="n"/>
      <c r="J426" s="79" t="n"/>
      <c r="K426" s="79" t="n"/>
      <c r="L426" s="79" t="n"/>
      <c r="M426" s="79" t="n"/>
      <c r="N426" s="79" t="n"/>
      <c r="O426" s="79" t="n"/>
      <c r="P426" s="79" t="n"/>
      <c r="Q426" s="79" t="n"/>
      <c r="R426" s="79" t="n"/>
      <c r="S426" s="80">
        <f>IF(A426="","",COUNT(G426:R426))</f>
        <v/>
      </c>
      <c r="T426" s="81">
        <f>IF(OR(A426="",S426&lt;12),"",SUMPRODUCT($G$3:$R$3,G426:R426)/5)</f>
        <v/>
      </c>
      <c r="U426" s="82">
        <f>IF(A426="","",IF(COUNTIF(C426:F426,"Fail")&gt;0,"No-Bid (gate failed)",IF(S426&lt;12,"Incomplete ("&amp;S426&amp;"/12)",IF(T426&gt;='Scoring Guide'!$C$26,"Bid",IF(T426&gt;='Scoring Guide'!$C$27,"Conditional (MD)","No-Bid")))))</f>
        <v/>
      </c>
      <c r="V426" s="79" t="n"/>
      <c r="W426" s="83" t="n"/>
      <c r="X426" s="79" t="n"/>
      <c r="Y426" s="79" t="n"/>
    </row>
    <row r="427" ht="15" customHeight="1" s="51">
      <c r="A427" s="77">
        <f>IF(Pipeline!A427="","",Pipeline!A427)</f>
        <v/>
      </c>
      <c r="B427" s="78">
        <f>IF(A427="","",INDEX(Pipeline!$H:$H,MATCH(A427,Pipeline!$A:$A,0)))</f>
        <v/>
      </c>
      <c r="C427" s="79" t="n"/>
      <c r="D427" s="79" t="n"/>
      <c r="E427" s="79" t="n"/>
      <c r="F427" s="79" t="n"/>
      <c r="G427" s="79" t="n"/>
      <c r="H427" s="79" t="n"/>
      <c r="I427" s="79" t="n"/>
      <c r="J427" s="79" t="n"/>
      <c r="K427" s="79" t="n"/>
      <c r="L427" s="79" t="n"/>
      <c r="M427" s="79" t="n"/>
      <c r="N427" s="79" t="n"/>
      <c r="O427" s="79" t="n"/>
      <c r="P427" s="79" t="n"/>
      <c r="Q427" s="79" t="n"/>
      <c r="R427" s="79" t="n"/>
      <c r="S427" s="80">
        <f>IF(A427="","",COUNT(G427:R427))</f>
        <v/>
      </c>
      <c r="T427" s="81">
        <f>IF(OR(A427="",S427&lt;12),"",SUMPRODUCT($G$3:$R$3,G427:R427)/5)</f>
        <v/>
      </c>
      <c r="U427" s="82">
        <f>IF(A427="","",IF(COUNTIF(C427:F427,"Fail")&gt;0,"No-Bid (gate failed)",IF(S427&lt;12,"Incomplete ("&amp;S427&amp;"/12)",IF(T427&gt;='Scoring Guide'!$C$26,"Bid",IF(T427&gt;='Scoring Guide'!$C$27,"Conditional (MD)","No-Bid")))))</f>
        <v/>
      </c>
      <c r="V427" s="79" t="n"/>
      <c r="W427" s="83" t="n"/>
      <c r="X427" s="79" t="n"/>
      <c r="Y427" s="79" t="n"/>
    </row>
    <row r="428" ht="15" customHeight="1" s="51">
      <c r="A428" s="77">
        <f>IF(Pipeline!A428="","",Pipeline!A428)</f>
        <v/>
      </c>
      <c r="B428" s="78">
        <f>IF(A428="","",INDEX(Pipeline!$H:$H,MATCH(A428,Pipeline!$A:$A,0)))</f>
        <v/>
      </c>
      <c r="C428" s="79" t="n"/>
      <c r="D428" s="79" t="n"/>
      <c r="E428" s="79" t="n"/>
      <c r="F428" s="79" t="n"/>
      <c r="G428" s="79" t="n"/>
      <c r="H428" s="79" t="n"/>
      <c r="I428" s="79" t="n"/>
      <c r="J428" s="79" t="n"/>
      <c r="K428" s="79" t="n"/>
      <c r="L428" s="79" t="n"/>
      <c r="M428" s="79" t="n"/>
      <c r="N428" s="79" t="n"/>
      <c r="O428" s="79" t="n"/>
      <c r="P428" s="79" t="n"/>
      <c r="Q428" s="79" t="n"/>
      <c r="R428" s="79" t="n"/>
      <c r="S428" s="80">
        <f>IF(A428="","",COUNT(G428:R428))</f>
        <v/>
      </c>
      <c r="T428" s="81">
        <f>IF(OR(A428="",S428&lt;12),"",SUMPRODUCT($G$3:$R$3,G428:R428)/5)</f>
        <v/>
      </c>
      <c r="U428" s="82">
        <f>IF(A428="","",IF(COUNTIF(C428:F428,"Fail")&gt;0,"No-Bid (gate failed)",IF(S428&lt;12,"Incomplete ("&amp;S428&amp;"/12)",IF(T428&gt;='Scoring Guide'!$C$26,"Bid",IF(T428&gt;='Scoring Guide'!$C$27,"Conditional (MD)","No-Bid")))))</f>
        <v/>
      </c>
      <c r="V428" s="79" t="n"/>
      <c r="W428" s="83" t="n"/>
      <c r="X428" s="79" t="n"/>
      <c r="Y428" s="79" t="n"/>
    </row>
    <row r="429" ht="15" customHeight="1" s="51">
      <c r="A429" s="77">
        <f>IF(Pipeline!A429="","",Pipeline!A429)</f>
        <v/>
      </c>
      <c r="B429" s="78">
        <f>IF(A429="","",INDEX(Pipeline!$H:$H,MATCH(A429,Pipeline!$A:$A,0)))</f>
        <v/>
      </c>
      <c r="C429" s="79" t="n"/>
      <c r="D429" s="79" t="n"/>
      <c r="E429" s="79" t="n"/>
      <c r="F429" s="79" t="n"/>
      <c r="G429" s="79" t="n"/>
      <c r="H429" s="79" t="n"/>
      <c r="I429" s="79" t="n"/>
      <c r="J429" s="79" t="n"/>
      <c r="K429" s="79" t="n"/>
      <c r="L429" s="79" t="n"/>
      <c r="M429" s="79" t="n"/>
      <c r="N429" s="79" t="n"/>
      <c r="O429" s="79" t="n"/>
      <c r="P429" s="79" t="n"/>
      <c r="Q429" s="79" t="n"/>
      <c r="R429" s="79" t="n"/>
      <c r="S429" s="80">
        <f>IF(A429="","",COUNT(G429:R429))</f>
        <v/>
      </c>
      <c r="T429" s="81">
        <f>IF(OR(A429="",S429&lt;12),"",SUMPRODUCT($G$3:$R$3,G429:R429)/5)</f>
        <v/>
      </c>
      <c r="U429" s="82">
        <f>IF(A429="","",IF(COUNTIF(C429:F429,"Fail")&gt;0,"No-Bid (gate failed)",IF(S429&lt;12,"Incomplete ("&amp;S429&amp;"/12)",IF(T429&gt;='Scoring Guide'!$C$26,"Bid",IF(T429&gt;='Scoring Guide'!$C$27,"Conditional (MD)","No-Bid")))))</f>
        <v/>
      </c>
      <c r="V429" s="79" t="n"/>
      <c r="W429" s="83" t="n"/>
      <c r="X429" s="79" t="n"/>
      <c r="Y429" s="79" t="n"/>
    </row>
    <row r="430" ht="15" customHeight="1" s="51">
      <c r="A430" s="77">
        <f>IF(Pipeline!A430="","",Pipeline!A430)</f>
        <v/>
      </c>
      <c r="B430" s="78">
        <f>IF(A430="","",INDEX(Pipeline!$H:$H,MATCH(A430,Pipeline!$A:$A,0)))</f>
        <v/>
      </c>
      <c r="C430" s="79" t="n"/>
      <c r="D430" s="79" t="n"/>
      <c r="E430" s="79" t="n"/>
      <c r="F430" s="79" t="n"/>
      <c r="G430" s="79" t="n"/>
      <c r="H430" s="79" t="n"/>
      <c r="I430" s="79" t="n"/>
      <c r="J430" s="79" t="n"/>
      <c r="K430" s="79" t="n"/>
      <c r="L430" s="79" t="n"/>
      <c r="M430" s="79" t="n"/>
      <c r="N430" s="79" t="n"/>
      <c r="O430" s="79" t="n"/>
      <c r="P430" s="79" t="n"/>
      <c r="Q430" s="79" t="n"/>
      <c r="R430" s="79" t="n"/>
      <c r="S430" s="80">
        <f>IF(A430="","",COUNT(G430:R430))</f>
        <v/>
      </c>
      <c r="T430" s="81">
        <f>IF(OR(A430="",S430&lt;12),"",SUMPRODUCT($G$3:$R$3,G430:R430)/5)</f>
        <v/>
      </c>
      <c r="U430" s="82">
        <f>IF(A430="","",IF(COUNTIF(C430:F430,"Fail")&gt;0,"No-Bid (gate failed)",IF(S430&lt;12,"Incomplete ("&amp;S430&amp;"/12)",IF(T430&gt;='Scoring Guide'!$C$26,"Bid",IF(T430&gt;='Scoring Guide'!$C$27,"Conditional (MD)","No-Bid")))))</f>
        <v/>
      </c>
      <c r="V430" s="79" t="n"/>
      <c r="W430" s="83" t="n"/>
      <c r="X430" s="79" t="n"/>
      <c r="Y430" s="79" t="n"/>
    </row>
    <row r="431" ht="15" customHeight="1" s="51">
      <c r="A431" s="77">
        <f>IF(Pipeline!A431="","",Pipeline!A431)</f>
        <v/>
      </c>
      <c r="B431" s="78">
        <f>IF(A431="","",INDEX(Pipeline!$H:$H,MATCH(A431,Pipeline!$A:$A,0)))</f>
        <v/>
      </c>
      <c r="C431" s="79" t="n"/>
      <c r="D431" s="79" t="n"/>
      <c r="E431" s="79" t="n"/>
      <c r="F431" s="79" t="n"/>
      <c r="G431" s="79" t="n"/>
      <c r="H431" s="79" t="n"/>
      <c r="I431" s="79" t="n"/>
      <c r="J431" s="79" t="n"/>
      <c r="K431" s="79" t="n"/>
      <c r="L431" s="79" t="n"/>
      <c r="M431" s="79" t="n"/>
      <c r="N431" s="79" t="n"/>
      <c r="O431" s="79" t="n"/>
      <c r="P431" s="79" t="n"/>
      <c r="Q431" s="79" t="n"/>
      <c r="R431" s="79" t="n"/>
      <c r="S431" s="80">
        <f>IF(A431="","",COUNT(G431:R431))</f>
        <v/>
      </c>
      <c r="T431" s="81">
        <f>IF(OR(A431="",S431&lt;12),"",SUMPRODUCT($G$3:$R$3,G431:R431)/5)</f>
        <v/>
      </c>
      <c r="U431" s="82">
        <f>IF(A431="","",IF(COUNTIF(C431:F431,"Fail")&gt;0,"No-Bid (gate failed)",IF(S431&lt;12,"Incomplete ("&amp;S431&amp;"/12)",IF(T431&gt;='Scoring Guide'!$C$26,"Bid",IF(T431&gt;='Scoring Guide'!$C$27,"Conditional (MD)","No-Bid")))))</f>
        <v/>
      </c>
      <c r="V431" s="79" t="n"/>
      <c r="W431" s="83" t="n"/>
      <c r="X431" s="79" t="n"/>
      <c r="Y431" s="79" t="n"/>
    </row>
    <row r="432" ht="15" customHeight="1" s="51">
      <c r="A432" s="77">
        <f>IF(Pipeline!A432="","",Pipeline!A432)</f>
        <v/>
      </c>
      <c r="B432" s="78">
        <f>IF(A432="","",INDEX(Pipeline!$H:$H,MATCH(A432,Pipeline!$A:$A,0)))</f>
        <v/>
      </c>
      <c r="C432" s="79" t="n"/>
      <c r="D432" s="79" t="n"/>
      <c r="E432" s="79" t="n"/>
      <c r="F432" s="79" t="n"/>
      <c r="G432" s="79" t="n"/>
      <c r="H432" s="79" t="n"/>
      <c r="I432" s="79" t="n"/>
      <c r="J432" s="79" t="n"/>
      <c r="K432" s="79" t="n"/>
      <c r="L432" s="79" t="n"/>
      <c r="M432" s="79" t="n"/>
      <c r="N432" s="79" t="n"/>
      <c r="O432" s="79" t="n"/>
      <c r="P432" s="79" t="n"/>
      <c r="Q432" s="79" t="n"/>
      <c r="R432" s="79" t="n"/>
      <c r="S432" s="80">
        <f>IF(A432="","",COUNT(G432:R432))</f>
        <v/>
      </c>
      <c r="T432" s="81">
        <f>IF(OR(A432="",S432&lt;12),"",SUMPRODUCT($G$3:$R$3,G432:R432)/5)</f>
        <v/>
      </c>
      <c r="U432" s="82">
        <f>IF(A432="","",IF(COUNTIF(C432:F432,"Fail")&gt;0,"No-Bid (gate failed)",IF(S432&lt;12,"Incomplete ("&amp;S432&amp;"/12)",IF(T432&gt;='Scoring Guide'!$C$26,"Bid",IF(T432&gt;='Scoring Guide'!$C$27,"Conditional (MD)","No-Bid")))))</f>
        <v/>
      </c>
      <c r="V432" s="79" t="n"/>
      <c r="W432" s="83" t="n"/>
      <c r="X432" s="79" t="n"/>
      <c r="Y432" s="79" t="n"/>
    </row>
    <row r="433" ht="15" customHeight="1" s="51">
      <c r="A433" s="77">
        <f>IF(Pipeline!A433="","",Pipeline!A433)</f>
        <v/>
      </c>
      <c r="B433" s="78">
        <f>IF(A433="","",INDEX(Pipeline!$H:$H,MATCH(A433,Pipeline!$A:$A,0)))</f>
        <v/>
      </c>
      <c r="C433" s="79" t="n"/>
      <c r="D433" s="79" t="n"/>
      <c r="E433" s="79" t="n"/>
      <c r="F433" s="79" t="n"/>
      <c r="G433" s="79" t="n"/>
      <c r="H433" s="79" t="n"/>
      <c r="I433" s="79" t="n"/>
      <c r="J433" s="79" t="n"/>
      <c r="K433" s="79" t="n"/>
      <c r="L433" s="79" t="n"/>
      <c r="M433" s="79" t="n"/>
      <c r="N433" s="79" t="n"/>
      <c r="O433" s="79" t="n"/>
      <c r="P433" s="79" t="n"/>
      <c r="Q433" s="79" t="n"/>
      <c r="R433" s="79" t="n"/>
      <c r="S433" s="80">
        <f>IF(A433="","",COUNT(G433:R433))</f>
        <v/>
      </c>
      <c r="T433" s="81">
        <f>IF(OR(A433="",S433&lt;12),"",SUMPRODUCT($G$3:$R$3,G433:R433)/5)</f>
        <v/>
      </c>
      <c r="U433" s="82">
        <f>IF(A433="","",IF(COUNTIF(C433:F433,"Fail")&gt;0,"No-Bid (gate failed)",IF(S433&lt;12,"Incomplete ("&amp;S433&amp;"/12)",IF(T433&gt;='Scoring Guide'!$C$26,"Bid",IF(T433&gt;='Scoring Guide'!$C$27,"Conditional (MD)","No-Bid")))))</f>
        <v/>
      </c>
      <c r="V433" s="79" t="n"/>
      <c r="W433" s="83" t="n"/>
      <c r="X433" s="79" t="n"/>
      <c r="Y433" s="79" t="n"/>
    </row>
    <row r="434" ht="15" customHeight="1" s="51">
      <c r="A434" s="77">
        <f>IF(Pipeline!A434="","",Pipeline!A434)</f>
        <v/>
      </c>
      <c r="B434" s="78">
        <f>IF(A434="","",INDEX(Pipeline!$H:$H,MATCH(A434,Pipeline!$A:$A,0)))</f>
        <v/>
      </c>
      <c r="C434" s="79" t="n"/>
      <c r="D434" s="79" t="n"/>
      <c r="E434" s="79" t="n"/>
      <c r="F434" s="79" t="n"/>
      <c r="G434" s="79" t="n"/>
      <c r="H434" s="79" t="n"/>
      <c r="I434" s="79" t="n"/>
      <c r="J434" s="79" t="n"/>
      <c r="K434" s="79" t="n"/>
      <c r="L434" s="79" t="n"/>
      <c r="M434" s="79" t="n"/>
      <c r="N434" s="79" t="n"/>
      <c r="O434" s="79" t="n"/>
      <c r="P434" s="79" t="n"/>
      <c r="Q434" s="79" t="n"/>
      <c r="R434" s="79" t="n"/>
      <c r="S434" s="80">
        <f>IF(A434="","",COUNT(G434:R434))</f>
        <v/>
      </c>
      <c r="T434" s="81">
        <f>IF(OR(A434="",S434&lt;12),"",SUMPRODUCT($G$3:$R$3,G434:R434)/5)</f>
        <v/>
      </c>
      <c r="U434" s="82">
        <f>IF(A434="","",IF(COUNTIF(C434:F434,"Fail")&gt;0,"No-Bid (gate failed)",IF(S434&lt;12,"Incomplete ("&amp;S434&amp;"/12)",IF(T434&gt;='Scoring Guide'!$C$26,"Bid",IF(T434&gt;='Scoring Guide'!$C$27,"Conditional (MD)","No-Bid")))))</f>
        <v/>
      </c>
      <c r="V434" s="79" t="n"/>
      <c r="W434" s="83" t="n"/>
      <c r="X434" s="79" t="n"/>
      <c r="Y434" s="79" t="n"/>
    </row>
    <row r="435" ht="15" customHeight="1" s="51">
      <c r="A435" s="77">
        <f>IF(Pipeline!A435="","",Pipeline!A435)</f>
        <v/>
      </c>
      <c r="B435" s="78">
        <f>IF(A435="","",INDEX(Pipeline!$H:$H,MATCH(A435,Pipeline!$A:$A,0)))</f>
        <v/>
      </c>
      <c r="C435" s="79" t="n"/>
      <c r="D435" s="79" t="n"/>
      <c r="E435" s="79" t="n"/>
      <c r="F435" s="79" t="n"/>
      <c r="G435" s="79" t="n"/>
      <c r="H435" s="79" t="n"/>
      <c r="I435" s="79" t="n"/>
      <c r="J435" s="79" t="n"/>
      <c r="K435" s="79" t="n"/>
      <c r="L435" s="79" t="n"/>
      <c r="M435" s="79" t="n"/>
      <c r="N435" s="79" t="n"/>
      <c r="O435" s="79" t="n"/>
      <c r="P435" s="79" t="n"/>
      <c r="Q435" s="79" t="n"/>
      <c r="R435" s="79" t="n"/>
      <c r="S435" s="80">
        <f>IF(A435="","",COUNT(G435:R435))</f>
        <v/>
      </c>
      <c r="T435" s="81">
        <f>IF(OR(A435="",S435&lt;12),"",SUMPRODUCT($G$3:$R$3,G435:R435)/5)</f>
        <v/>
      </c>
      <c r="U435" s="82">
        <f>IF(A435="","",IF(COUNTIF(C435:F435,"Fail")&gt;0,"No-Bid (gate failed)",IF(S435&lt;12,"Incomplete ("&amp;S435&amp;"/12)",IF(T435&gt;='Scoring Guide'!$C$26,"Bid",IF(T435&gt;='Scoring Guide'!$C$27,"Conditional (MD)","No-Bid")))))</f>
        <v/>
      </c>
      <c r="V435" s="79" t="n"/>
      <c r="W435" s="83" t="n"/>
      <c r="X435" s="79" t="n"/>
      <c r="Y435" s="79" t="n"/>
    </row>
    <row r="436" ht="15" customHeight="1" s="51">
      <c r="A436" s="77">
        <f>IF(Pipeline!A436="","",Pipeline!A436)</f>
        <v/>
      </c>
      <c r="B436" s="78">
        <f>IF(A436="","",INDEX(Pipeline!$H:$H,MATCH(A436,Pipeline!$A:$A,0)))</f>
        <v/>
      </c>
      <c r="C436" s="79" t="n"/>
      <c r="D436" s="79" t="n"/>
      <c r="E436" s="79" t="n"/>
      <c r="F436" s="79" t="n"/>
      <c r="G436" s="79" t="n"/>
      <c r="H436" s="79" t="n"/>
      <c r="I436" s="79" t="n"/>
      <c r="J436" s="79" t="n"/>
      <c r="K436" s="79" t="n"/>
      <c r="L436" s="79" t="n"/>
      <c r="M436" s="79" t="n"/>
      <c r="N436" s="79" t="n"/>
      <c r="O436" s="79" t="n"/>
      <c r="P436" s="79" t="n"/>
      <c r="Q436" s="79" t="n"/>
      <c r="R436" s="79" t="n"/>
      <c r="S436" s="80">
        <f>IF(A436="","",COUNT(G436:R436))</f>
        <v/>
      </c>
      <c r="T436" s="81">
        <f>IF(OR(A436="",S436&lt;12),"",SUMPRODUCT($G$3:$R$3,G436:R436)/5)</f>
        <v/>
      </c>
      <c r="U436" s="82">
        <f>IF(A436="","",IF(COUNTIF(C436:F436,"Fail")&gt;0,"No-Bid (gate failed)",IF(S436&lt;12,"Incomplete ("&amp;S436&amp;"/12)",IF(T436&gt;='Scoring Guide'!$C$26,"Bid",IF(T436&gt;='Scoring Guide'!$C$27,"Conditional (MD)","No-Bid")))))</f>
        <v/>
      </c>
      <c r="V436" s="79" t="n"/>
      <c r="W436" s="83" t="n"/>
      <c r="X436" s="79" t="n"/>
      <c r="Y436" s="79" t="n"/>
    </row>
    <row r="437" ht="15" customHeight="1" s="51">
      <c r="A437" s="77">
        <f>IF(Pipeline!A437="","",Pipeline!A437)</f>
        <v/>
      </c>
      <c r="B437" s="78">
        <f>IF(A437="","",INDEX(Pipeline!$H:$H,MATCH(A437,Pipeline!$A:$A,0)))</f>
        <v/>
      </c>
      <c r="C437" s="79" t="n"/>
      <c r="D437" s="79" t="n"/>
      <c r="E437" s="79" t="n"/>
      <c r="F437" s="79" t="n"/>
      <c r="G437" s="79" t="n"/>
      <c r="H437" s="79" t="n"/>
      <c r="I437" s="79" t="n"/>
      <c r="J437" s="79" t="n"/>
      <c r="K437" s="79" t="n"/>
      <c r="L437" s="79" t="n"/>
      <c r="M437" s="79" t="n"/>
      <c r="N437" s="79" t="n"/>
      <c r="O437" s="79" t="n"/>
      <c r="P437" s="79" t="n"/>
      <c r="Q437" s="79" t="n"/>
      <c r="R437" s="79" t="n"/>
      <c r="S437" s="80">
        <f>IF(A437="","",COUNT(G437:R437))</f>
        <v/>
      </c>
      <c r="T437" s="81">
        <f>IF(OR(A437="",S437&lt;12),"",SUMPRODUCT($G$3:$R$3,G437:R437)/5)</f>
        <v/>
      </c>
      <c r="U437" s="82">
        <f>IF(A437="","",IF(COUNTIF(C437:F437,"Fail")&gt;0,"No-Bid (gate failed)",IF(S437&lt;12,"Incomplete ("&amp;S437&amp;"/12)",IF(T437&gt;='Scoring Guide'!$C$26,"Bid",IF(T437&gt;='Scoring Guide'!$C$27,"Conditional (MD)","No-Bid")))))</f>
        <v/>
      </c>
      <c r="V437" s="79" t="n"/>
      <c r="W437" s="83" t="n"/>
      <c r="X437" s="79" t="n"/>
      <c r="Y437" s="79" t="n"/>
    </row>
    <row r="438" ht="15" customHeight="1" s="51">
      <c r="A438" s="77">
        <f>IF(Pipeline!A438="","",Pipeline!A438)</f>
        <v/>
      </c>
      <c r="B438" s="78">
        <f>IF(A438="","",INDEX(Pipeline!$H:$H,MATCH(A438,Pipeline!$A:$A,0)))</f>
        <v/>
      </c>
      <c r="C438" s="79" t="n"/>
      <c r="D438" s="79" t="n"/>
      <c r="E438" s="79" t="n"/>
      <c r="F438" s="79" t="n"/>
      <c r="G438" s="79" t="n"/>
      <c r="H438" s="79" t="n"/>
      <c r="I438" s="79" t="n"/>
      <c r="J438" s="79" t="n"/>
      <c r="K438" s="79" t="n"/>
      <c r="L438" s="79" t="n"/>
      <c r="M438" s="79" t="n"/>
      <c r="N438" s="79" t="n"/>
      <c r="O438" s="79" t="n"/>
      <c r="P438" s="79" t="n"/>
      <c r="Q438" s="79" t="n"/>
      <c r="R438" s="79" t="n"/>
      <c r="S438" s="80">
        <f>IF(A438="","",COUNT(G438:R438))</f>
        <v/>
      </c>
      <c r="T438" s="81">
        <f>IF(OR(A438="",S438&lt;12),"",SUMPRODUCT($G$3:$R$3,G438:R438)/5)</f>
        <v/>
      </c>
      <c r="U438" s="82">
        <f>IF(A438="","",IF(COUNTIF(C438:F438,"Fail")&gt;0,"No-Bid (gate failed)",IF(S438&lt;12,"Incomplete ("&amp;S438&amp;"/12)",IF(T438&gt;='Scoring Guide'!$C$26,"Bid",IF(T438&gt;='Scoring Guide'!$C$27,"Conditional (MD)","No-Bid")))))</f>
        <v/>
      </c>
      <c r="V438" s="79" t="n"/>
      <c r="W438" s="83" t="n"/>
      <c r="X438" s="79" t="n"/>
      <c r="Y438" s="79" t="n"/>
    </row>
    <row r="439" ht="15" customHeight="1" s="51">
      <c r="A439" s="77">
        <f>IF(Pipeline!A439="","",Pipeline!A439)</f>
        <v/>
      </c>
      <c r="B439" s="78">
        <f>IF(A439="","",INDEX(Pipeline!$H:$H,MATCH(A439,Pipeline!$A:$A,0)))</f>
        <v/>
      </c>
      <c r="C439" s="79" t="n"/>
      <c r="D439" s="79" t="n"/>
      <c r="E439" s="79" t="n"/>
      <c r="F439" s="79" t="n"/>
      <c r="G439" s="79" t="n"/>
      <c r="H439" s="79" t="n"/>
      <c r="I439" s="79" t="n"/>
      <c r="J439" s="79" t="n"/>
      <c r="K439" s="79" t="n"/>
      <c r="L439" s="79" t="n"/>
      <c r="M439" s="79" t="n"/>
      <c r="N439" s="79" t="n"/>
      <c r="O439" s="79" t="n"/>
      <c r="P439" s="79" t="n"/>
      <c r="Q439" s="79" t="n"/>
      <c r="R439" s="79" t="n"/>
      <c r="S439" s="80">
        <f>IF(A439="","",COUNT(G439:R439))</f>
        <v/>
      </c>
      <c r="T439" s="81">
        <f>IF(OR(A439="",S439&lt;12),"",SUMPRODUCT($G$3:$R$3,G439:R439)/5)</f>
        <v/>
      </c>
      <c r="U439" s="82">
        <f>IF(A439="","",IF(COUNTIF(C439:F439,"Fail")&gt;0,"No-Bid (gate failed)",IF(S439&lt;12,"Incomplete ("&amp;S439&amp;"/12)",IF(T439&gt;='Scoring Guide'!$C$26,"Bid",IF(T439&gt;='Scoring Guide'!$C$27,"Conditional (MD)","No-Bid")))))</f>
        <v/>
      </c>
      <c r="V439" s="79" t="n"/>
      <c r="W439" s="83" t="n"/>
      <c r="X439" s="79" t="n"/>
      <c r="Y439" s="79" t="n"/>
    </row>
    <row r="440" ht="15" customHeight="1" s="51">
      <c r="A440" s="77">
        <f>IF(Pipeline!A440="","",Pipeline!A440)</f>
        <v/>
      </c>
      <c r="B440" s="78">
        <f>IF(A440="","",INDEX(Pipeline!$H:$H,MATCH(A440,Pipeline!$A:$A,0)))</f>
        <v/>
      </c>
      <c r="C440" s="79" t="n"/>
      <c r="D440" s="79" t="n"/>
      <c r="E440" s="79" t="n"/>
      <c r="F440" s="79" t="n"/>
      <c r="G440" s="79" t="n"/>
      <c r="H440" s="79" t="n"/>
      <c r="I440" s="79" t="n"/>
      <c r="J440" s="79" t="n"/>
      <c r="K440" s="79" t="n"/>
      <c r="L440" s="79" t="n"/>
      <c r="M440" s="79" t="n"/>
      <c r="N440" s="79" t="n"/>
      <c r="O440" s="79" t="n"/>
      <c r="P440" s="79" t="n"/>
      <c r="Q440" s="79" t="n"/>
      <c r="R440" s="79" t="n"/>
      <c r="S440" s="80">
        <f>IF(A440="","",COUNT(G440:R440))</f>
        <v/>
      </c>
      <c r="T440" s="81">
        <f>IF(OR(A440="",S440&lt;12),"",SUMPRODUCT($G$3:$R$3,G440:R440)/5)</f>
        <v/>
      </c>
      <c r="U440" s="82">
        <f>IF(A440="","",IF(COUNTIF(C440:F440,"Fail")&gt;0,"No-Bid (gate failed)",IF(S440&lt;12,"Incomplete ("&amp;S440&amp;"/12)",IF(T440&gt;='Scoring Guide'!$C$26,"Bid",IF(T440&gt;='Scoring Guide'!$C$27,"Conditional (MD)","No-Bid")))))</f>
        <v/>
      </c>
      <c r="V440" s="79" t="n"/>
      <c r="W440" s="83" t="n"/>
      <c r="X440" s="79" t="n"/>
      <c r="Y440" s="79" t="n"/>
    </row>
    <row r="441" ht="15" customHeight="1" s="51">
      <c r="A441" s="77">
        <f>IF(Pipeline!A441="","",Pipeline!A441)</f>
        <v/>
      </c>
      <c r="B441" s="78">
        <f>IF(A441="","",INDEX(Pipeline!$H:$H,MATCH(A441,Pipeline!$A:$A,0)))</f>
        <v/>
      </c>
      <c r="C441" s="79" t="n"/>
      <c r="D441" s="79" t="n"/>
      <c r="E441" s="79" t="n"/>
      <c r="F441" s="79" t="n"/>
      <c r="G441" s="79" t="n"/>
      <c r="H441" s="79" t="n"/>
      <c r="I441" s="79" t="n"/>
      <c r="J441" s="79" t="n"/>
      <c r="K441" s="79" t="n"/>
      <c r="L441" s="79" t="n"/>
      <c r="M441" s="79" t="n"/>
      <c r="N441" s="79" t="n"/>
      <c r="O441" s="79" t="n"/>
      <c r="P441" s="79" t="n"/>
      <c r="Q441" s="79" t="n"/>
      <c r="R441" s="79" t="n"/>
      <c r="S441" s="80">
        <f>IF(A441="","",COUNT(G441:R441))</f>
        <v/>
      </c>
      <c r="T441" s="81">
        <f>IF(OR(A441="",S441&lt;12),"",SUMPRODUCT($G$3:$R$3,G441:R441)/5)</f>
        <v/>
      </c>
      <c r="U441" s="82">
        <f>IF(A441="","",IF(COUNTIF(C441:F441,"Fail")&gt;0,"No-Bid (gate failed)",IF(S441&lt;12,"Incomplete ("&amp;S441&amp;"/12)",IF(T441&gt;='Scoring Guide'!$C$26,"Bid",IF(T441&gt;='Scoring Guide'!$C$27,"Conditional (MD)","No-Bid")))))</f>
        <v/>
      </c>
      <c r="V441" s="79" t="n"/>
      <c r="W441" s="83" t="n"/>
      <c r="X441" s="79" t="n"/>
      <c r="Y441" s="79" t="n"/>
    </row>
    <row r="442" ht="15" customHeight="1" s="51">
      <c r="A442" s="77">
        <f>IF(Pipeline!A442="","",Pipeline!A442)</f>
        <v/>
      </c>
      <c r="B442" s="78">
        <f>IF(A442="","",INDEX(Pipeline!$H:$H,MATCH(A442,Pipeline!$A:$A,0)))</f>
        <v/>
      </c>
      <c r="C442" s="79" t="n"/>
      <c r="D442" s="79" t="n"/>
      <c r="E442" s="79" t="n"/>
      <c r="F442" s="79" t="n"/>
      <c r="G442" s="79" t="n"/>
      <c r="H442" s="79" t="n"/>
      <c r="I442" s="79" t="n"/>
      <c r="J442" s="79" t="n"/>
      <c r="K442" s="79" t="n"/>
      <c r="L442" s="79" t="n"/>
      <c r="M442" s="79" t="n"/>
      <c r="N442" s="79" t="n"/>
      <c r="O442" s="79" t="n"/>
      <c r="P442" s="79" t="n"/>
      <c r="Q442" s="79" t="n"/>
      <c r="R442" s="79" t="n"/>
      <c r="S442" s="80">
        <f>IF(A442="","",COUNT(G442:R442))</f>
        <v/>
      </c>
      <c r="T442" s="81">
        <f>IF(OR(A442="",S442&lt;12),"",SUMPRODUCT($G$3:$R$3,G442:R442)/5)</f>
        <v/>
      </c>
      <c r="U442" s="82">
        <f>IF(A442="","",IF(COUNTIF(C442:F442,"Fail")&gt;0,"No-Bid (gate failed)",IF(S442&lt;12,"Incomplete ("&amp;S442&amp;"/12)",IF(T442&gt;='Scoring Guide'!$C$26,"Bid",IF(T442&gt;='Scoring Guide'!$C$27,"Conditional (MD)","No-Bid")))))</f>
        <v/>
      </c>
      <c r="V442" s="79" t="n"/>
      <c r="W442" s="83" t="n"/>
      <c r="X442" s="79" t="n"/>
      <c r="Y442" s="79" t="n"/>
    </row>
    <row r="443" ht="15" customHeight="1" s="51">
      <c r="A443" s="77">
        <f>IF(Pipeline!A443="","",Pipeline!A443)</f>
        <v/>
      </c>
      <c r="B443" s="78">
        <f>IF(A443="","",INDEX(Pipeline!$H:$H,MATCH(A443,Pipeline!$A:$A,0)))</f>
        <v/>
      </c>
      <c r="C443" s="79" t="n"/>
      <c r="D443" s="79" t="n"/>
      <c r="E443" s="79" t="n"/>
      <c r="F443" s="79" t="n"/>
      <c r="G443" s="79" t="n"/>
      <c r="H443" s="79" t="n"/>
      <c r="I443" s="79" t="n"/>
      <c r="J443" s="79" t="n"/>
      <c r="K443" s="79" t="n"/>
      <c r="L443" s="79" t="n"/>
      <c r="M443" s="79" t="n"/>
      <c r="N443" s="79" t="n"/>
      <c r="O443" s="79" t="n"/>
      <c r="P443" s="79" t="n"/>
      <c r="Q443" s="79" t="n"/>
      <c r="R443" s="79" t="n"/>
      <c r="S443" s="80">
        <f>IF(A443="","",COUNT(G443:R443))</f>
        <v/>
      </c>
      <c r="T443" s="81">
        <f>IF(OR(A443="",S443&lt;12),"",SUMPRODUCT($G$3:$R$3,G443:R443)/5)</f>
        <v/>
      </c>
      <c r="U443" s="82">
        <f>IF(A443="","",IF(COUNTIF(C443:F443,"Fail")&gt;0,"No-Bid (gate failed)",IF(S443&lt;12,"Incomplete ("&amp;S443&amp;"/12)",IF(T443&gt;='Scoring Guide'!$C$26,"Bid",IF(T443&gt;='Scoring Guide'!$C$27,"Conditional (MD)","No-Bid")))))</f>
        <v/>
      </c>
      <c r="V443" s="79" t="n"/>
      <c r="W443" s="83" t="n"/>
      <c r="X443" s="79" t="n"/>
      <c r="Y443" s="79" t="n"/>
    </row>
    <row r="444" ht="15" customHeight="1" s="51">
      <c r="A444" s="77">
        <f>IF(Pipeline!A444="","",Pipeline!A444)</f>
        <v/>
      </c>
      <c r="B444" s="78">
        <f>IF(A444="","",INDEX(Pipeline!$H:$H,MATCH(A444,Pipeline!$A:$A,0)))</f>
        <v/>
      </c>
      <c r="C444" s="79" t="n"/>
      <c r="D444" s="79" t="n"/>
      <c r="E444" s="79" t="n"/>
      <c r="F444" s="79" t="n"/>
      <c r="G444" s="79" t="n"/>
      <c r="H444" s="79" t="n"/>
      <c r="I444" s="79" t="n"/>
      <c r="J444" s="79" t="n"/>
      <c r="K444" s="79" t="n"/>
      <c r="L444" s="79" t="n"/>
      <c r="M444" s="79" t="n"/>
      <c r="N444" s="79" t="n"/>
      <c r="O444" s="79" t="n"/>
      <c r="P444" s="79" t="n"/>
      <c r="Q444" s="79" t="n"/>
      <c r="R444" s="79" t="n"/>
      <c r="S444" s="80">
        <f>IF(A444="","",COUNT(G444:R444))</f>
        <v/>
      </c>
      <c r="T444" s="81">
        <f>IF(OR(A444="",S444&lt;12),"",SUMPRODUCT($G$3:$R$3,G444:R444)/5)</f>
        <v/>
      </c>
      <c r="U444" s="82">
        <f>IF(A444="","",IF(COUNTIF(C444:F444,"Fail")&gt;0,"No-Bid (gate failed)",IF(S444&lt;12,"Incomplete ("&amp;S444&amp;"/12)",IF(T444&gt;='Scoring Guide'!$C$26,"Bid",IF(T444&gt;='Scoring Guide'!$C$27,"Conditional (MD)","No-Bid")))))</f>
        <v/>
      </c>
      <c r="V444" s="79" t="n"/>
      <c r="W444" s="83" t="n"/>
      <c r="X444" s="79" t="n"/>
      <c r="Y444" s="79" t="n"/>
    </row>
    <row r="445" ht="15" customHeight="1" s="51">
      <c r="A445" s="77">
        <f>IF(Pipeline!A445="","",Pipeline!A445)</f>
        <v/>
      </c>
      <c r="B445" s="78">
        <f>IF(A445="","",INDEX(Pipeline!$H:$H,MATCH(A445,Pipeline!$A:$A,0)))</f>
        <v/>
      </c>
      <c r="C445" s="79" t="n"/>
      <c r="D445" s="79" t="n"/>
      <c r="E445" s="79" t="n"/>
      <c r="F445" s="79" t="n"/>
      <c r="G445" s="79" t="n"/>
      <c r="H445" s="79" t="n"/>
      <c r="I445" s="79" t="n"/>
      <c r="J445" s="79" t="n"/>
      <c r="K445" s="79" t="n"/>
      <c r="L445" s="79" t="n"/>
      <c r="M445" s="79" t="n"/>
      <c r="N445" s="79" t="n"/>
      <c r="O445" s="79" t="n"/>
      <c r="P445" s="79" t="n"/>
      <c r="Q445" s="79" t="n"/>
      <c r="R445" s="79" t="n"/>
      <c r="S445" s="80">
        <f>IF(A445="","",COUNT(G445:R445))</f>
        <v/>
      </c>
      <c r="T445" s="81">
        <f>IF(OR(A445="",S445&lt;12),"",SUMPRODUCT($G$3:$R$3,G445:R445)/5)</f>
        <v/>
      </c>
      <c r="U445" s="82">
        <f>IF(A445="","",IF(COUNTIF(C445:F445,"Fail")&gt;0,"No-Bid (gate failed)",IF(S445&lt;12,"Incomplete ("&amp;S445&amp;"/12)",IF(T445&gt;='Scoring Guide'!$C$26,"Bid",IF(T445&gt;='Scoring Guide'!$C$27,"Conditional (MD)","No-Bid")))))</f>
        <v/>
      </c>
      <c r="V445" s="79" t="n"/>
      <c r="W445" s="83" t="n"/>
      <c r="X445" s="79" t="n"/>
      <c r="Y445" s="79" t="n"/>
    </row>
    <row r="446" ht="15" customHeight="1" s="51">
      <c r="A446" s="77">
        <f>IF(Pipeline!A446="","",Pipeline!A446)</f>
        <v/>
      </c>
      <c r="B446" s="78">
        <f>IF(A446="","",INDEX(Pipeline!$H:$H,MATCH(A446,Pipeline!$A:$A,0)))</f>
        <v/>
      </c>
      <c r="C446" s="79" t="n"/>
      <c r="D446" s="79" t="n"/>
      <c r="E446" s="79" t="n"/>
      <c r="F446" s="79" t="n"/>
      <c r="G446" s="79" t="n"/>
      <c r="H446" s="79" t="n"/>
      <c r="I446" s="79" t="n"/>
      <c r="J446" s="79" t="n"/>
      <c r="K446" s="79" t="n"/>
      <c r="L446" s="79" t="n"/>
      <c r="M446" s="79" t="n"/>
      <c r="N446" s="79" t="n"/>
      <c r="O446" s="79" t="n"/>
      <c r="P446" s="79" t="n"/>
      <c r="Q446" s="79" t="n"/>
      <c r="R446" s="79" t="n"/>
      <c r="S446" s="80">
        <f>IF(A446="","",COUNT(G446:R446))</f>
        <v/>
      </c>
      <c r="T446" s="81">
        <f>IF(OR(A446="",S446&lt;12),"",SUMPRODUCT($G$3:$R$3,G446:R446)/5)</f>
        <v/>
      </c>
      <c r="U446" s="82">
        <f>IF(A446="","",IF(COUNTIF(C446:F446,"Fail")&gt;0,"No-Bid (gate failed)",IF(S446&lt;12,"Incomplete ("&amp;S446&amp;"/12)",IF(T446&gt;='Scoring Guide'!$C$26,"Bid",IF(T446&gt;='Scoring Guide'!$C$27,"Conditional (MD)","No-Bid")))))</f>
        <v/>
      </c>
      <c r="V446" s="79" t="n"/>
      <c r="W446" s="83" t="n"/>
      <c r="X446" s="79" t="n"/>
      <c r="Y446" s="79" t="n"/>
    </row>
    <row r="447" ht="15" customHeight="1" s="51">
      <c r="A447" s="77">
        <f>IF(Pipeline!A447="","",Pipeline!A447)</f>
        <v/>
      </c>
      <c r="B447" s="78">
        <f>IF(A447="","",INDEX(Pipeline!$H:$H,MATCH(A447,Pipeline!$A:$A,0)))</f>
        <v/>
      </c>
      <c r="C447" s="79" t="n"/>
      <c r="D447" s="79" t="n"/>
      <c r="E447" s="79" t="n"/>
      <c r="F447" s="79" t="n"/>
      <c r="G447" s="79" t="n"/>
      <c r="H447" s="79" t="n"/>
      <c r="I447" s="79" t="n"/>
      <c r="J447" s="79" t="n"/>
      <c r="K447" s="79" t="n"/>
      <c r="L447" s="79" t="n"/>
      <c r="M447" s="79" t="n"/>
      <c r="N447" s="79" t="n"/>
      <c r="O447" s="79" t="n"/>
      <c r="P447" s="79" t="n"/>
      <c r="Q447" s="79" t="n"/>
      <c r="R447" s="79" t="n"/>
      <c r="S447" s="80">
        <f>IF(A447="","",COUNT(G447:R447))</f>
        <v/>
      </c>
      <c r="T447" s="81">
        <f>IF(OR(A447="",S447&lt;12),"",SUMPRODUCT($G$3:$R$3,G447:R447)/5)</f>
        <v/>
      </c>
      <c r="U447" s="82">
        <f>IF(A447="","",IF(COUNTIF(C447:F447,"Fail")&gt;0,"No-Bid (gate failed)",IF(S447&lt;12,"Incomplete ("&amp;S447&amp;"/12)",IF(T447&gt;='Scoring Guide'!$C$26,"Bid",IF(T447&gt;='Scoring Guide'!$C$27,"Conditional (MD)","No-Bid")))))</f>
        <v/>
      </c>
      <c r="V447" s="79" t="n"/>
      <c r="W447" s="83" t="n"/>
      <c r="X447" s="79" t="n"/>
      <c r="Y447" s="79" t="n"/>
    </row>
    <row r="448" ht="15" customHeight="1" s="51">
      <c r="A448" s="77">
        <f>IF(Pipeline!A448="","",Pipeline!A448)</f>
        <v/>
      </c>
      <c r="B448" s="78">
        <f>IF(A448="","",INDEX(Pipeline!$H:$H,MATCH(A448,Pipeline!$A:$A,0)))</f>
        <v/>
      </c>
      <c r="C448" s="79" t="n"/>
      <c r="D448" s="79" t="n"/>
      <c r="E448" s="79" t="n"/>
      <c r="F448" s="79" t="n"/>
      <c r="G448" s="79" t="n"/>
      <c r="H448" s="79" t="n"/>
      <c r="I448" s="79" t="n"/>
      <c r="J448" s="79" t="n"/>
      <c r="K448" s="79" t="n"/>
      <c r="L448" s="79" t="n"/>
      <c r="M448" s="79" t="n"/>
      <c r="N448" s="79" t="n"/>
      <c r="O448" s="79" t="n"/>
      <c r="P448" s="79" t="n"/>
      <c r="Q448" s="79" t="n"/>
      <c r="R448" s="79" t="n"/>
      <c r="S448" s="80">
        <f>IF(A448="","",COUNT(G448:R448))</f>
        <v/>
      </c>
      <c r="T448" s="81">
        <f>IF(OR(A448="",S448&lt;12),"",SUMPRODUCT($G$3:$R$3,G448:R448)/5)</f>
        <v/>
      </c>
      <c r="U448" s="82">
        <f>IF(A448="","",IF(COUNTIF(C448:F448,"Fail")&gt;0,"No-Bid (gate failed)",IF(S448&lt;12,"Incomplete ("&amp;S448&amp;"/12)",IF(T448&gt;='Scoring Guide'!$C$26,"Bid",IF(T448&gt;='Scoring Guide'!$C$27,"Conditional (MD)","No-Bid")))))</f>
        <v/>
      </c>
      <c r="V448" s="79" t="n"/>
      <c r="W448" s="83" t="n"/>
      <c r="X448" s="79" t="n"/>
      <c r="Y448" s="79" t="n"/>
    </row>
    <row r="449" ht="15" customHeight="1" s="51">
      <c r="A449" s="77">
        <f>IF(Pipeline!A449="","",Pipeline!A449)</f>
        <v/>
      </c>
      <c r="B449" s="78">
        <f>IF(A449="","",INDEX(Pipeline!$H:$H,MATCH(A449,Pipeline!$A:$A,0)))</f>
        <v/>
      </c>
      <c r="C449" s="79" t="n"/>
      <c r="D449" s="79" t="n"/>
      <c r="E449" s="79" t="n"/>
      <c r="F449" s="79" t="n"/>
      <c r="G449" s="79" t="n"/>
      <c r="H449" s="79" t="n"/>
      <c r="I449" s="79" t="n"/>
      <c r="J449" s="79" t="n"/>
      <c r="K449" s="79" t="n"/>
      <c r="L449" s="79" t="n"/>
      <c r="M449" s="79" t="n"/>
      <c r="N449" s="79" t="n"/>
      <c r="O449" s="79" t="n"/>
      <c r="P449" s="79" t="n"/>
      <c r="Q449" s="79" t="n"/>
      <c r="R449" s="79" t="n"/>
      <c r="S449" s="80">
        <f>IF(A449="","",COUNT(G449:R449))</f>
        <v/>
      </c>
      <c r="T449" s="81">
        <f>IF(OR(A449="",S449&lt;12),"",SUMPRODUCT($G$3:$R$3,G449:R449)/5)</f>
        <v/>
      </c>
      <c r="U449" s="82">
        <f>IF(A449="","",IF(COUNTIF(C449:F449,"Fail")&gt;0,"No-Bid (gate failed)",IF(S449&lt;12,"Incomplete ("&amp;S449&amp;"/12)",IF(T449&gt;='Scoring Guide'!$C$26,"Bid",IF(T449&gt;='Scoring Guide'!$C$27,"Conditional (MD)","No-Bid")))))</f>
        <v/>
      </c>
      <c r="V449" s="79" t="n"/>
      <c r="W449" s="83" t="n"/>
      <c r="X449" s="79" t="n"/>
      <c r="Y449" s="79" t="n"/>
    </row>
    <row r="450" ht="15" customHeight="1" s="51">
      <c r="A450" s="77">
        <f>IF(Pipeline!A450="","",Pipeline!A450)</f>
        <v/>
      </c>
      <c r="B450" s="78">
        <f>IF(A450="","",INDEX(Pipeline!$H:$H,MATCH(A450,Pipeline!$A:$A,0)))</f>
        <v/>
      </c>
      <c r="C450" s="79" t="n"/>
      <c r="D450" s="79" t="n"/>
      <c r="E450" s="79" t="n"/>
      <c r="F450" s="79" t="n"/>
      <c r="G450" s="79" t="n"/>
      <c r="H450" s="79" t="n"/>
      <c r="I450" s="79" t="n"/>
      <c r="J450" s="79" t="n"/>
      <c r="K450" s="79" t="n"/>
      <c r="L450" s="79" t="n"/>
      <c r="M450" s="79" t="n"/>
      <c r="N450" s="79" t="n"/>
      <c r="O450" s="79" t="n"/>
      <c r="P450" s="79" t="n"/>
      <c r="Q450" s="79" t="n"/>
      <c r="R450" s="79" t="n"/>
      <c r="S450" s="80">
        <f>IF(A450="","",COUNT(G450:R450))</f>
        <v/>
      </c>
      <c r="T450" s="81">
        <f>IF(OR(A450="",S450&lt;12),"",SUMPRODUCT($G$3:$R$3,G450:R450)/5)</f>
        <v/>
      </c>
      <c r="U450" s="82">
        <f>IF(A450="","",IF(COUNTIF(C450:F450,"Fail")&gt;0,"No-Bid (gate failed)",IF(S450&lt;12,"Incomplete ("&amp;S450&amp;"/12)",IF(T450&gt;='Scoring Guide'!$C$26,"Bid",IF(T450&gt;='Scoring Guide'!$C$27,"Conditional (MD)","No-Bid")))))</f>
        <v/>
      </c>
      <c r="V450" s="79" t="n"/>
      <c r="W450" s="83" t="n"/>
      <c r="X450" s="79" t="n"/>
      <c r="Y450" s="79" t="n"/>
    </row>
    <row r="451" ht="15" customHeight="1" s="51">
      <c r="A451" s="77">
        <f>IF(Pipeline!A451="","",Pipeline!A451)</f>
        <v/>
      </c>
      <c r="B451" s="78">
        <f>IF(A451="","",INDEX(Pipeline!$H:$H,MATCH(A451,Pipeline!$A:$A,0)))</f>
        <v/>
      </c>
      <c r="C451" s="79" t="n"/>
      <c r="D451" s="79" t="n"/>
      <c r="E451" s="79" t="n"/>
      <c r="F451" s="79" t="n"/>
      <c r="G451" s="79" t="n"/>
      <c r="H451" s="79" t="n"/>
      <c r="I451" s="79" t="n"/>
      <c r="J451" s="79" t="n"/>
      <c r="K451" s="79" t="n"/>
      <c r="L451" s="79" t="n"/>
      <c r="M451" s="79" t="n"/>
      <c r="N451" s="79" t="n"/>
      <c r="O451" s="79" t="n"/>
      <c r="P451" s="79" t="n"/>
      <c r="Q451" s="79" t="n"/>
      <c r="R451" s="79" t="n"/>
      <c r="S451" s="80">
        <f>IF(A451="","",COUNT(G451:R451))</f>
        <v/>
      </c>
      <c r="T451" s="81">
        <f>IF(OR(A451="",S451&lt;12),"",SUMPRODUCT($G$3:$R$3,G451:R451)/5)</f>
        <v/>
      </c>
      <c r="U451" s="82">
        <f>IF(A451="","",IF(COUNTIF(C451:F451,"Fail")&gt;0,"No-Bid (gate failed)",IF(S451&lt;12,"Incomplete ("&amp;S451&amp;"/12)",IF(T451&gt;='Scoring Guide'!$C$26,"Bid",IF(T451&gt;='Scoring Guide'!$C$27,"Conditional (MD)","No-Bid")))))</f>
        <v/>
      </c>
      <c r="V451" s="79" t="n"/>
      <c r="W451" s="83" t="n"/>
      <c r="X451" s="79" t="n"/>
      <c r="Y451" s="79" t="n"/>
    </row>
    <row r="452" ht="15" customHeight="1" s="51">
      <c r="A452" s="77">
        <f>IF(Pipeline!A452="","",Pipeline!A452)</f>
        <v/>
      </c>
      <c r="B452" s="78">
        <f>IF(A452="","",INDEX(Pipeline!$H:$H,MATCH(A452,Pipeline!$A:$A,0)))</f>
        <v/>
      </c>
      <c r="C452" s="79" t="n"/>
      <c r="D452" s="79" t="n"/>
      <c r="E452" s="79" t="n"/>
      <c r="F452" s="79" t="n"/>
      <c r="G452" s="79" t="n"/>
      <c r="H452" s="79" t="n"/>
      <c r="I452" s="79" t="n"/>
      <c r="J452" s="79" t="n"/>
      <c r="K452" s="79" t="n"/>
      <c r="L452" s="79" t="n"/>
      <c r="M452" s="79" t="n"/>
      <c r="N452" s="79" t="n"/>
      <c r="O452" s="79" t="n"/>
      <c r="P452" s="79" t="n"/>
      <c r="Q452" s="79" t="n"/>
      <c r="R452" s="79" t="n"/>
      <c r="S452" s="80">
        <f>IF(A452="","",COUNT(G452:R452))</f>
        <v/>
      </c>
      <c r="T452" s="81">
        <f>IF(OR(A452="",S452&lt;12),"",SUMPRODUCT($G$3:$R$3,G452:R452)/5)</f>
        <v/>
      </c>
      <c r="U452" s="82">
        <f>IF(A452="","",IF(COUNTIF(C452:F452,"Fail")&gt;0,"No-Bid (gate failed)",IF(S452&lt;12,"Incomplete ("&amp;S452&amp;"/12)",IF(T452&gt;='Scoring Guide'!$C$26,"Bid",IF(T452&gt;='Scoring Guide'!$C$27,"Conditional (MD)","No-Bid")))))</f>
        <v/>
      </c>
      <c r="V452" s="79" t="n"/>
      <c r="W452" s="83" t="n"/>
      <c r="X452" s="79" t="n"/>
      <c r="Y452" s="79" t="n"/>
    </row>
    <row r="453" ht="15" customHeight="1" s="51">
      <c r="A453" s="77">
        <f>IF(Pipeline!A453="","",Pipeline!A453)</f>
        <v/>
      </c>
      <c r="B453" s="78">
        <f>IF(A453="","",INDEX(Pipeline!$H:$H,MATCH(A453,Pipeline!$A:$A,0)))</f>
        <v/>
      </c>
      <c r="C453" s="79" t="n"/>
      <c r="D453" s="79" t="n"/>
      <c r="E453" s="79" t="n"/>
      <c r="F453" s="79" t="n"/>
      <c r="G453" s="79" t="n"/>
      <c r="H453" s="79" t="n"/>
      <c r="I453" s="79" t="n"/>
      <c r="J453" s="79" t="n"/>
      <c r="K453" s="79" t="n"/>
      <c r="L453" s="79" t="n"/>
      <c r="M453" s="79" t="n"/>
      <c r="N453" s="79" t="n"/>
      <c r="O453" s="79" t="n"/>
      <c r="P453" s="79" t="n"/>
      <c r="Q453" s="79" t="n"/>
      <c r="R453" s="79" t="n"/>
      <c r="S453" s="80">
        <f>IF(A453="","",COUNT(G453:R453))</f>
        <v/>
      </c>
      <c r="T453" s="81">
        <f>IF(OR(A453="",S453&lt;12),"",SUMPRODUCT($G$3:$R$3,G453:R453)/5)</f>
        <v/>
      </c>
      <c r="U453" s="82">
        <f>IF(A453="","",IF(COUNTIF(C453:F453,"Fail")&gt;0,"No-Bid (gate failed)",IF(S453&lt;12,"Incomplete ("&amp;S453&amp;"/12)",IF(T453&gt;='Scoring Guide'!$C$26,"Bid",IF(T453&gt;='Scoring Guide'!$C$27,"Conditional (MD)","No-Bid")))))</f>
        <v/>
      </c>
      <c r="V453" s="79" t="n"/>
      <c r="W453" s="83" t="n"/>
      <c r="X453" s="79" t="n"/>
      <c r="Y453" s="79" t="n"/>
    </row>
    <row r="454" ht="15" customHeight="1" s="51">
      <c r="A454" s="77">
        <f>IF(Pipeline!A454="","",Pipeline!A454)</f>
        <v/>
      </c>
      <c r="B454" s="78">
        <f>IF(A454="","",INDEX(Pipeline!$H:$H,MATCH(A454,Pipeline!$A:$A,0)))</f>
        <v/>
      </c>
      <c r="C454" s="79" t="n"/>
      <c r="D454" s="79" t="n"/>
      <c r="E454" s="79" t="n"/>
      <c r="F454" s="79" t="n"/>
      <c r="G454" s="79" t="n"/>
      <c r="H454" s="79" t="n"/>
      <c r="I454" s="79" t="n"/>
      <c r="J454" s="79" t="n"/>
      <c r="K454" s="79" t="n"/>
      <c r="L454" s="79" t="n"/>
      <c r="M454" s="79" t="n"/>
      <c r="N454" s="79" t="n"/>
      <c r="O454" s="79" t="n"/>
      <c r="P454" s="79" t="n"/>
      <c r="Q454" s="79" t="n"/>
      <c r="R454" s="79" t="n"/>
      <c r="S454" s="80">
        <f>IF(A454="","",COUNT(G454:R454))</f>
        <v/>
      </c>
      <c r="T454" s="81">
        <f>IF(OR(A454="",S454&lt;12),"",SUMPRODUCT($G$3:$R$3,G454:R454)/5)</f>
        <v/>
      </c>
      <c r="U454" s="82">
        <f>IF(A454="","",IF(COUNTIF(C454:F454,"Fail")&gt;0,"No-Bid (gate failed)",IF(S454&lt;12,"Incomplete ("&amp;S454&amp;"/12)",IF(T454&gt;='Scoring Guide'!$C$26,"Bid",IF(T454&gt;='Scoring Guide'!$C$27,"Conditional (MD)","No-Bid")))))</f>
        <v/>
      </c>
      <c r="V454" s="79" t="n"/>
      <c r="W454" s="83" t="n"/>
      <c r="X454" s="79" t="n"/>
      <c r="Y454" s="79" t="n"/>
    </row>
    <row r="455" ht="15" customHeight="1" s="51">
      <c r="A455" s="77">
        <f>IF(Pipeline!A455="","",Pipeline!A455)</f>
        <v/>
      </c>
      <c r="B455" s="78">
        <f>IF(A455="","",INDEX(Pipeline!$H:$H,MATCH(A455,Pipeline!$A:$A,0)))</f>
        <v/>
      </c>
      <c r="C455" s="79" t="n"/>
      <c r="D455" s="79" t="n"/>
      <c r="E455" s="79" t="n"/>
      <c r="F455" s="79" t="n"/>
      <c r="G455" s="79" t="n"/>
      <c r="H455" s="79" t="n"/>
      <c r="I455" s="79" t="n"/>
      <c r="J455" s="79" t="n"/>
      <c r="K455" s="79" t="n"/>
      <c r="L455" s="79" t="n"/>
      <c r="M455" s="79" t="n"/>
      <c r="N455" s="79" t="n"/>
      <c r="O455" s="79" t="n"/>
      <c r="P455" s="79" t="n"/>
      <c r="Q455" s="79" t="n"/>
      <c r="R455" s="79" t="n"/>
      <c r="S455" s="80">
        <f>IF(A455="","",COUNT(G455:R455))</f>
        <v/>
      </c>
      <c r="T455" s="81">
        <f>IF(OR(A455="",S455&lt;12),"",SUMPRODUCT($G$3:$R$3,G455:R455)/5)</f>
        <v/>
      </c>
      <c r="U455" s="82">
        <f>IF(A455="","",IF(COUNTIF(C455:F455,"Fail")&gt;0,"No-Bid (gate failed)",IF(S455&lt;12,"Incomplete ("&amp;S455&amp;"/12)",IF(T455&gt;='Scoring Guide'!$C$26,"Bid",IF(T455&gt;='Scoring Guide'!$C$27,"Conditional (MD)","No-Bid")))))</f>
        <v/>
      </c>
      <c r="V455" s="79" t="n"/>
      <c r="W455" s="83" t="n"/>
      <c r="X455" s="79" t="n"/>
      <c r="Y455" s="79" t="n"/>
    </row>
    <row r="456" ht="15" customHeight="1" s="51">
      <c r="A456" s="77">
        <f>IF(Pipeline!A456="","",Pipeline!A456)</f>
        <v/>
      </c>
      <c r="B456" s="78">
        <f>IF(A456="","",INDEX(Pipeline!$H:$H,MATCH(A456,Pipeline!$A:$A,0)))</f>
        <v/>
      </c>
      <c r="C456" s="79" t="n"/>
      <c r="D456" s="79" t="n"/>
      <c r="E456" s="79" t="n"/>
      <c r="F456" s="79" t="n"/>
      <c r="G456" s="79" t="n"/>
      <c r="H456" s="79" t="n"/>
      <c r="I456" s="79" t="n"/>
      <c r="J456" s="79" t="n"/>
      <c r="K456" s="79" t="n"/>
      <c r="L456" s="79" t="n"/>
      <c r="M456" s="79" t="n"/>
      <c r="N456" s="79" t="n"/>
      <c r="O456" s="79" t="n"/>
      <c r="P456" s="79" t="n"/>
      <c r="Q456" s="79" t="n"/>
      <c r="R456" s="79" t="n"/>
      <c r="S456" s="80">
        <f>IF(A456="","",COUNT(G456:R456))</f>
        <v/>
      </c>
      <c r="T456" s="81">
        <f>IF(OR(A456="",S456&lt;12),"",SUMPRODUCT($G$3:$R$3,G456:R456)/5)</f>
        <v/>
      </c>
      <c r="U456" s="82">
        <f>IF(A456="","",IF(COUNTIF(C456:F456,"Fail")&gt;0,"No-Bid (gate failed)",IF(S456&lt;12,"Incomplete ("&amp;S456&amp;"/12)",IF(T456&gt;='Scoring Guide'!$C$26,"Bid",IF(T456&gt;='Scoring Guide'!$C$27,"Conditional (MD)","No-Bid")))))</f>
        <v/>
      </c>
      <c r="V456" s="79" t="n"/>
      <c r="W456" s="83" t="n"/>
      <c r="X456" s="79" t="n"/>
      <c r="Y456" s="79" t="n"/>
    </row>
    <row r="457" ht="15" customHeight="1" s="51">
      <c r="A457" s="77">
        <f>IF(Pipeline!A457="","",Pipeline!A457)</f>
        <v/>
      </c>
      <c r="B457" s="78">
        <f>IF(A457="","",INDEX(Pipeline!$H:$H,MATCH(A457,Pipeline!$A:$A,0)))</f>
        <v/>
      </c>
      <c r="C457" s="79" t="n"/>
      <c r="D457" s="79" t="n"/>
      <c r="E457" s="79" t="n"/>
      <c r="F457" s="79" t="n"/>
      <c r="G457" s="79" t="n"/>
      <c r="H457" s="79" t="n"/>
      <c r="I457" s="79" t="n"/>
      <c r="J457" s="79" t="n"/>
      <c r="K457" s="79" t="n"/>
      <c r="L457" s="79" t="n"/>
      <c r="M457" s="79" t="n"/>
      <c r="N457" s="79" t="n"/>
      <c r="O457" s="79" t="n"/>
      <c r="P457" s="79" t="n"/>
      <c r="Q457" s="79" t="n"/>
      <c r="R457" s="79" t="n"/>
      <c r="S457" s="80">
        <f>IF(A457="","",COUNT(G457:R457))</f>
        <v/>
      </c>
      <c r="T457" s="81">
        <f>IF(OR(A457="",S457&lt;12),"",SUMPRODUCT($G$3:$R$3,G457:R457)/5)</f>
        <v/>
      </c>
      <c r="U457" s="82">
        <f>IF(A457="","",IF(COUNTIF(C457:F457,"Fail")&gt;0,"No-Bid (gate failed)",IF(S457&lt;12,"Incomplete ("&amp;S457&amp;"/12)",IF(T457&gt;='Scoring Guide'!$C$26,"Bid",IF(T457&gt;='Scoring Guide'!$C$27,"Conditional (MD)","No-Bid")))))</f>
        <v/>
      </c>
      <c r="V457" s="79" t="n"/>
      <c r="W457" s="83" t="n"/>
      <c r="X457" s="79" t="n"/>
      <c r="Y457" s="79" t="n"/>
    </row>
    <row r="458" ht="15" customHeight="1" s="51">
      <c r="A458" s="77">
        <f>IF(Pipeline!A458="","",Pipeline!A458)</f>
        <v/>
      </c>
      <c r="B458" s="78">
        <f>IF(A458="","",INDEX(Pipeline!$H:$H,MATCH(A458,Pipeline!$A:$A,0)))</f>
        <v/>
      </c>
      <c r="C458" s="79" t="n"/>
      <c r="D458" s="79" t="n"/>
      <c r="E458" s="79" t="n"/>
      <c r="F458" s="79" t="n"/>
      <c r="G458" s="79" t="n"/>
      <c r="H458" s="79" t="n"/>
      <c r="I458" s="79" t="n"/>
      <c r="J458" s="79" t="n"/>
      <c r="K458" s="79" t="n"/>
      <c r="L458" s="79" t="n"/>
      <c r="M458" s="79" t="n"/>
      <c r="N458" s="79" t="n"/>
      <c r="O458" s="79" t="n"/>
      <c r="P458" s="79" t="n"/>
      <c r="Q458" s="79" t="n"/>
      <c r="R458" s="79" t="n"/>
      <c r="S458" s="80">
        <f>IF(A458="","",COUNT(G458:R458))</f>
        <v/>
      </c>
      <c r="T458" s="81">
        <f>IF(OR(A458="",S458&lt;12),"",SUMPRODUCT($G$3:$R$3,G458:R458)/5)</f>
        <v/>
      </c>
      <c r="U458" s="82">
        <f>IF(A458="","",IF(COUNTIF(C458:F458,"Fail")&gt;0,"No-Bid (gate failed)",IF(S458&lt;12,"Incomplete ("&amp;S458&amp;"/12)",IF(T458&gt;='Scoring Guide'!$C$26,"Bid",IF(T458&gt;='Scoring Guide'!$C$27,"Conditional (MD)","No-Bid")))))</f>
        <v/>
      </c>
      <c r="V458" s="79" t="n"/>
      <c r="W458" s="83" t="n"/>
      <c r="X458" s="79" t="n"/>
      <c r="Y458" s="79" t="n"/>
    </row>
    <row r="459" ht="15" customHeight="1" s="51">
      <c r="A459" s="77">
        <f>IF(Pipeline!A459="","",Pipeline!A459)</f>
        <v/>
      </c>
      <c r="B459" s="78">
        <f>IF(A459="","",INDEX(Pipeline!$H:$H,MATCH(A459,Pipeline!$A:$A,0)))</f>
        <v/>
      </c>
      <c r="C459" s="79" t="n"/>
      <c r="D459" s="79" t="n"/>
      <c r="E459" s="79" t="n"/>
      <c r="F459" s="79" t="n"/>
      <c r="G459" s="79" t="n"/>
      <c r="H459" s="79" t="n"/>
      <c r="I459" s="79" t="n"/>
      <c r="J459" s="79" t="n"/>
      <c r="K459" s="79" t="n"/>
      <c r="L459" s="79" t="n"/>
      <c r="M459" s="79" t="n"/>
      <c r="N459" s="79" t="n"/>
      <c r="O459" s="79" t="n"/>
      <c r="P459" s="79" t="n"/>
      <c r="Q459" s="79" t="n"/>
      <c r="R459" s="79" t="n"/>
      <c r="S459" s="80">
        <f>IF(A459="","",COUNT(G459:R459))</f>
        <v/>
      </c>
      <c r="T459" s="81">
        <f>IF(OR(A459="",S459&lt;12),"",SUMPRODUCT($G$3:$R$3,G459:R459)/5)</f>
        <v/>
      </c>
      <c r="U459" s="82">
        <f>IF(A459="","",IF(COUNTIF(C459:F459,"Fail")&gt;0,"No-Bid (gate failed)",IF(S459&lt;12,"Incomplete ("&amp;S459&amp;"/12)",IF(T459&gt;='Scoring Guide'!$C$26,"Bid",IF(T459&gt;='Scoring Guide'!$C$27,"Conditional (MD)","No-Bid")))))</f>
        <v/>
      </c>
      <c r="V459" s="79" t="n"/>
      <c r="W459" s="83" t="n"/>
      <c r="X459" s="79" t="n"/>
      <c r="Y459" s="79" t="n"/>
    </row>
    <row r="460" ht="15" customHeight="1" s="51">
      <c r="A460" s="77">
        <f>IF(Pipeline!A460="","",Pipeline!A460)</f>
        <v/>
      </c>
      <c r="B460" s="78">
        <f>IF(A460="","",INDEX(Pipeline!$H:$H,MATCH(A460,Pipeline!$A:$A,0)))</f>
        <v/>
      </c>
      <c r="C460" s="79" t="n"/>
      <c r="D460" s="79" t="n"/>
      <c r="E460" s="79" t="n"/>
      <c r="F460" s="79" t="n"/>
      <c r="G460" s="79" t="n"/>
      <c r="H460" s="79" t="n"/>
      <c r="I460" s="79" t="n"/>
      <c r="J460" s="79" t="n"/>
      <c r="K460" s="79" t="n"/>
      <c r="L460" s="79" t="n"/>
      <c r="M460" s="79" t="n"/>
      <c r="N460" s="79" t="n"/>
      <c r="O460" s="79" t="n"/>
      <c r="P460" s="79" t="n"/>
      <c r="Q460" s="79" t="n"/>
      <c r="R460" s="79" t="n"/>
      <c r="S460" s="80">
        <f>IF(A460="","",COUNT(G460:R460))</f>
        <v/>
      </c>
      <c r="T460" s="81">
        <f>IF(OR(A460="",S460&lt;12),"",SUMPRODUCT($G$3:$R$3,G460:R460)/5)</f>
        <v/>
      </c>
      <c r="U460" s="82">
        <f>IF(A460="","",IF(COUNTIF(C460:F460,"Fail")&gt;0,"No-Bid (gate failed)",IF(S460&lt;12,"Incomplete ("&amp;S460&amp;"/12)",IF(T460&gt;='Scoring Guide'!$C$26,"Bid",IF(T460&gt;='Scoring Guide'!$C$27,"Conditional (MD)","No-Bid")))))</f>
        <v/>
      </c>
      <c r="V460" s="79" t="n"/>
      <c r="W460" s="83" t="n"/>
      <c r="X460" s="79" t="n"/>
      <c r="Y460" s="79" t="n"/>
    </row>
    <row r="461" ht="15" customHeight="1" s="51">
      <c r="A461" s="77">
        <f>IF(Pipeline!A461="","",Pipeline!A461)</f>
        <v/>
      </c>
      <c r="B461" s="78">
        <f>IF(A461="","",INDEX(Pipeline!$H:$H,MATCH(A461,Pipeline!$A:$A,0)))</f>
        <v/>
      </c>
      <c r="C461" s="79" t="n"/>
      <c r="D461" s="79" t="n"/>
      <c r="E461" s="79" t="n"/>
      <c r="F461" s="79" t="n"/>
      <c r="G461" s="79" t="n"/>
      <c r="H461" s="79" t="n"/>
      <c r="I461" s="79" t="n"/>
      <c r="J461" s="79" t="n"/>
      <c r="K461" s="79" t="n"/>
      <c r="L461" s="79" t="n"/>
      <c r="M461" s="79" t="n"/>
      <c r="N461" s="79" t="n"/>
      <c r="O461" s="79" t="n"/>
      <c r="P461" s="79" t="n"/>
      <c r="Q461" s="79" t="n"/>
      <c r="R461" s="79" t="n"/>
      <c r="S461" s="80">
        <f>IF(A461="","",COUNT(G461:R461))</f>
        <v/>
      </c>
      <c r="T461" s="81">
        <f>IF(OR(A461="",S461&lt;12),"",SUMPRODUCT($G$3:$R$3,G461:R461)/5)</f>
        <v/>
      </c>
      <c r="U461" s="82">
        <f>IF(A461="","",IF(COUNTIF(C461:F461,"Fail")&gt;0,"No-Bid (gate failed)",IF(S461&lt;12,"Incomplete ("&amp;S461&amp;"/12)",IF(T461&gt;='Scoring Guide'!$C$26,"Bid",IF(T461&gt;='Scoring Guide'!$C$27,"Conditional (MD)","No-Bid")))))</f>
        <v/>
      </c>
      <c r="V461" s="79" t="n"/>
      <c r="W461" s="83" t="n"/>
      <c r="X461" s="79" t="n"/>
      <c r="Y461" s="79" t="n"/>
    </row>
    <row r="462" ht="15" customHeight="1" s="51">
      <c r="A462" s="77">
        <f>IF(Pipeline!A462="","",Pipeline!A462)</f>
        <v/>
      </c>
      <c r="B462" s="78">
        <f>IF(A462="","",INDEX(Pipeline!$H:$H,MATCH(A462,Pipeline!$A:$A,0)))</f>
        <v/>
      </c>
      <c r="C462" s="79" t="n"/>
      <c r="D462" s="79" t="n"/>
      <c r="E462" s="79" t="n"/>
      <c r="F462" s="79" t="n"/>
      <c r="G462" s="79" t="n"/>
      <c r="H462" s="79" t="n"/>
      <c r="I462" s="79" t="n"/>
      <c r="J462" s="79" t="n"/>
      <c r="K462" s="79" t="n"/>
      <c r="L462" s="79" t="n"/>
      <c r="M462" s="79" t="n"/>
      <c r="N462" s="79" t="n"/>
      <c r="O462" s="79" t="n"/>
      <c r="P462" s="79" t="n"/>
      <c r="Q462" s="79" t="n"/>
      <c r="R462" s="79" t="n"/>
      <c r="S462" s="80">
        <f>IF(A462="","",COUNT(G462:R462))</f>
        <v/>
      </c>
      <c r="T462" s="81">
        <f>IF(OR(A462="",S462&lt;12),"",SUMPRODUCT($G$3:$R$3,G462:R462)/5)</f>
        <v/>
      </c>
      <c r="U462" s="82">
        <f>IF(A462="","",IF(COUNTIF(C462:F462,"Fail")&gt;0,"No-Bid (gate failed)",IF(S462&lt;12,"Incomplete ("&amp;S462&amp;"/12)",IF(T462&gt;='Scoring Guide'!$C$26,"Bid",IF(T462&gt;='Scoring Guide'!$C$27,"Conditional (MD)","No-Bid")))))</f>
        <v/>
      </c>
      <c r="V462" s="79" t="n"/>
      <c r="W462" s="83" t="n"/>
      <c r="X462" s="79" t="n"/>
      <c r="Y462" s="79" t="n"/>
    </row>
    <row r="463" ht="15" customHeight="1" s="51">
      <c r="A463" s="77">
        <f>IF(Pipeline!A463="","",Pipeline!A463)</f>
        <v/>
      </c>
      <c r="B463" s="78">
        <f>IF(A463="","",INDEX(Pipeline!$H:$H,MATCH(A463,Pipeline!$A:$A,0)))</f>
        <v/>
      </c>
      <c r="C463" s="79" t="n"/>
      <c r="D463" s="79" t="n"/>
      <c r="E463" s="79" t="n"/>
      <c r="F463" s="79" t="n"/>
      <c r="G463" s="79" t="n"/>
      <c r="H463" s="79" t="n"/>
      <c r="I463" s="79" t="n"/>
      <c r="J463" s="79" t="n"/>
      <c r="K463" s="79" t="n"/>
      <c r="L463" s="79" t="n"/>
      <c r="M463" s="79" t="n"/>
      <c r="N463" s="79" t="n"/>
      <c r="O463" s="79" t="n"/>
      <c r="P463" s="79" t="n"/>
      <c r="Q463" s="79" t="n"/>
      <c r="R463" s="79" t="n"/>
      <c r="S463" s="80">
        <f>IF(A463="","",COUNT(G463:R463))</f>
        <v/>
      </c>
      <c r="T463" s="81">
        <f>IF(OR(A463="",S463&lt;12),"",SUMPRODUCT($G$3:$R$3,G463:R463)/5)</f>
        <v/>
      </c>
      <c r="U463" s="82">
        <f>IF(A463="","",IF(COUNTIF(C463:F463,"Fail")&gt;0,"No-Bid (gate failed)",IF(S463&lt;12,"Incomplete ("&amp;S463&amp;"/12)",IF(T463&gt;='Scoring Guide'!$C$26,"Bid",IF(T463&gt;='Scoring Guide'!$C$27,"Conditional (MD)","No-Bid")))))</f>
        <v/>
      </c>
      <c r="V463" s="79" t="n"/>
      <c r="W463" s="83" t="n"/>
      <c r="X463" s="79" t="n"/>
      <c r="Y463" s="79" t="n"/>
    </row>
    <row r="464" ht="15" customHeight="1" s="51">
      <c r="A464" s="77">
        <f>IF(Pipeline!A464="","",Pipeline!A464)</f>
        <v/>
      </c>
      <c r="B464" s="78">
        <f>IF(A464="","",INDEX(Pipeline!$H:$H,MATCH(A464,Pipeline!$A:$A,0)))</f>
        <v/>
      </c>
      <c r="C464" s="79" t="n"/>
      <c r="D464" s="79" t="n"/>
      <c r="E464" s="79" t="n"/>
      <c r="F464" s="79" t="n"/>
      <c r="G464" s="79" t="n"/>
      <c r="H464" s="79" t="n"/>
      <c r="I464" s="79" t="n"/>
      <c r="J464" s="79" t="n"/>
      <c r="K464" s="79" t="n"/>
      <c r="L464" s="79" t="n"/>
      <c r="M464" s="79" t="n"/>
      <c r="N464" s="79" t="n"/>
      <c r="O464" s="79" t="n"/>
      <c r="P464" s="79" t="n"/>
      <c r="Q464" s="79" t="n"/>
      <c r="R464" s="79" t="n"/>
      <c r="S464" s="80">
        <f>IF(A464="","",COUNT(G464:R464))</f>
        <v/>
      </c>
      <c r="T464" s="81">
        <f>IF(OR(A464="",S464&lt;12),"",SUMPRODUCT($G$3:$R$3,G464:R464)/5)</f>
        <v/>
      </c>
      <c r="U464" s="82">
        <f>IF(A464="","",IF(COUNTIF(C464:F464,"Fail")&gt;0,"No-Bid (gate failed)",IF(S464&lt;12,"Incomplete ("&amp;S464&amp;"/12)",IF(T464&gt;='Scoring Guide'!$C$26,"Bid",IF(T464&gt;='Scoring Guide'!$C$27,"Conditional (MD)","No-Bid")))))</f>
        <v/>
      </c>
      <c r="V464" s="79" t="n"/>
      <c r="W464" s="83" t="n"/>
      <c r="X464" s="79" t="n"/>
      <c r="Y464" s="79" t="n"/>
    </row>
    <row r="465" ht="15" customHeight="1" s="51">
      <c r="A465" s="77">
        <f>IF(Pipeline!A465="","",Pipeline!A465)</f>
        <v/>
      </c>
      <c r="B465" s="78">
        <f>IF(A465="","",INDEX(Pipeline!$H:$H,MATCH(A465,Pipeline!$A:$A,0)))</f>
        <v/>
      </c>
      <c r="C465" s="79" t="n"/>
      <c r="D465" s="79" t="n"/>
      <c r="E465" s="79" t="n"/>
      <c r="F465" s="79" t="n"/>
      <c r="G465" s="79" t="n"/>
      <c r="H465" s="79" t="n"/>
      <c r="I465" s="79" t="n"/>
      <c r="J465" s="79" t="n"/>
      <c r="K465" s="79" t="n"/>
      <c r="L465" s="79" t="n"/>
      <c r="M465" s="79" t="n"/>
      <c r="N465" s="79" t="n"/>
      <c r="O465" s="79" t="n"/>
      <c r="P465" s="79" t="n"/>
      <c r="Q465" s="79" t="n"/>
      <c r="R465" s="79" t="n"/>
      <c r="S465" s="80">
        <f>IF(A465="","",COUNT(G465:R465))</f>
        <v/>
      </c>
      <c r="T465" s="81">
        <f>IF(OR(A465="",S465&lt;12),"",SUMPRODUCT($G$3:$R$3,G465:R465)/5)</f>
        <v/>
      </c>
      <c r="U465" s="82">
        <f>IF(A465="","",IF(COUNTIF(C465:F465,"Fail")&gt;0,"No-Bid (gate failed)",IF(S465&lt;12,"Incomplete ("&amp;S465&amp;"/12)",IF(T465&gt;='Scoring Guide'!$C$26,"Bid",IF(T465&gt;='Scoring Guide'!$C$27,"Conditional (MD)","No-Bid")))))</f>
        <v/>
      </c>
      <c r="V465" s="79" t="n"/>
      <c r="W465" s="83" t="n"/>
      <c r="X465" s="79" t="n"/>
      <c r="Y465" s="79" t="n"/>
    </row>
    <row r="466" ht="15" customHeight="1" s="51">
      <c r="A466" s="77">
        <f>IF(Pipeline!A466="","",Pipeline!A466)</f>
        <v/>
      </c>
      <c r="B466" s="78">
        <f>IF(A466="","",INDEX(Pipeline!$H:$H,MATCH(A466,Pipeline!$A:$A,0)))</f>
        <v/>
      </c>
      <c r="C466" s="79" t="n"/>
      <c r="D466" s="79" t="n"/>
      <c r="E466" s="79" t="n"/>
      <c r="F466" s="79" t="n"/>
      <c r="G466" s="79" t="n"/>
      <c r="H466" s="79" t="n"/>
      <c r="I466" s="79" t="n"/>
      <c r="J466" s="79" t="n"/>
      <c r="K466" s="79" t="n"/>
      <c r="L466" s="79" t="n"/>
      <c r="M466" s="79" t="n"/>
      <c r="N466" s="79" t="n"/>
      <c r="O466" s="79" t="n"/>
      <c r="P466" s="79" t="n"/>
      <c r="Q466" s="79" t="n"/>
      <c r="R466" s="79" t="n"/>
      <c r="S466" s="80">
        <f>IF(A466="","",COUNT(G466:R466))</f>
        <v/>
      </c>
      <c r="T466" s="81">
        <f>IF(OR(A466="",S466&lt;12),"",SUMPRODUCT($G$3:$R$3,G466:R466)/5)</f>
        <v/>
      </c>
      <c r="U466" s="82">
        <f>IF(A466="","",IF(COUNTIF(C466:F466,"Fail")&gt;0,"No-Bid (gate failed)",IF(S466&lt;12,"Incomplete ("&amp;S466&amp;"/12)",IF(T466&gt;='Scoring Guide'!$C$26,"Bid",IF(T466&gt;='Scoring Guide'!$C$27,"Conditional (MD)","No-Bid")))))</f>
        <v/>
      </c>
      <c r="V466" s="79" t="n"/>
      <c r="W466" s="83" t="n"/>
      <c r="X466" s="79" t="n"/>
      <c r="Y466" s="79" t="n"/>
    </row>
    <row r="467" ht="15" customHeight="1" s="51">
      <c r="A467" s="77">
        <f>IF(Pipeline!A467="","",Pipeline!A467)</f>
        <v/>
      </c>
      <c r="B467" s="78">
        <f>IF(A467="","",INDEX(Pipeline!$H:$H,MATCH(A467,Pipeline!$A:$A,0)))</f>
        <v/>
      </c>
      <c r="C467" s="79" t="n"/>
      <c r="D467" s="79" t="n"/>
      <c r="E467" s="79" t="n"/>
      <c r="F467" s="79" t="n"/>
      <c r="G467" s="79" t="n"/>
      <c r="H467" s="79" t="n"/>
      <c r="I467" s="79" t="n"/>
      <c r="J467" s="79" t="n"/>
      <c r="K467" s="79" t="n"/>
      <c r="L467" s="79" t="n"/>
      <c r="M467" s="79" t="n"/>
      <c r="N467" s="79" t="n"/>
      <c r="O467" s="79" t="n"/>
      <c r="P467" s="79" t="n"/>
      <c r="Q467" s="79" t="n"/>
      <c r="R467" s="79" t="n"/>
      <c r="S467" s="80">
        <f>IF(A467="","",COUNT(G467:R467))</f>
        <v/>
      </c>
      <c r="T467" s="81">
        <f>IF(OR(A467="",S467&lt;12),"",SUMPRODUCT($G$3:$R$3,G467:R467)/5)</f>
        <v/>
      </c>
      <c r="U467" s="82">
        <f>IF(A467="","",IF(COUNTIF(C467:F467,"Fail")&gt;0,"No-Bid (gate failed)",IF(S467&lt;12,"Incomplete ("&amp;S467&amp;"/12)",IF(T467&gt;='Scoring Guide'!$C$26,"Bid",IF(T467&gt;='Scoring Guide'!$C$27,"Conditional (MD)","No-Bid")))))</f>
        <v/>
      </c>
      <c r="V467" s="79" t="n"/>
      <c r="W467" s="83" t="n"/>
      <c r="X467" s="79" t="n"/>
      <c r="Y467" s="79" t="n"/>
    </row>
    <row r="468" ht="15" customHeight="1" s="51">
      <c r="A468" s="77">
        <f>IF(Pipeline!A468="","",Pipeline!A468)</f>
        <v/>
      </c>
      <c r="B468" s="78">
        <f>IF(A468="","",INDEX(Pipeline!$H:$H,MATCH(A468,Pipeline!$A:$A,0)))</f>
        <v/>
      </c>
      <c r="C468" s="79" t="n"/>
      <c r="D468" s="79" t="n"/>
      <c r="E468" s="79" t="n"/>
      <c r="F468" s="79" t="n"/>
      <c r="G468" s="79" t="n"/>
      <c r="H468" s="79" t="n"/>
      <c r="I468" s="79" t="n"/>
      <c r="J468" s="79" t="n"/>
      <c r="K468" s="79" t="n"/>
      <c r="L468" s="79" t="n"/>
      <c r="M468" s="79" t="n"/>
      <c r="N468" s="79" t="n"/>
      <c r="O468" s="79" t="n"/>
      <c r="P468" s="79" t="n"/>
      <c r="Q468" s="79" t="n"/>
      <c r="R468" s="79" t="n"/>
      <c r="S468" s="80">
        <f>IF(A468="","",COUNT(G468:R468))</f>
        <v/>
      </c>
      <c r="T468" s="81">
        <f>IF(OR(A468="",S468&lt;12),"",SUMPRODUCT($G$3:$R$3,G468:R468)/5)</f>
        <v/>
      </c>
      <c r="U468" s="82">
        <f>IF(A468="","",IF(COUNTIF(C468:F468,"Fail")&gt;0,"No-Bid (gate failed)",IF(S468&lt;12,"Incomplete ("&amp;S468&amp;"/12)",IF(T468&gt;='Scoring Guide'!$C$26,"Bid",IF(T468&gt;='Scoring Guide'!$C$27,"Conditional (MD)","No-Bid")))))</f>
        <v/>
      </c>
      <c r="V468" s="79" t="n"/>
      <c r="W468" s="83" t="n"/>
      <c r="X468" s="79" t="n"/>
      <c r="Y468" s="79" t="n"/>
    </row>
    <row r="469" ht="15" customHeight="1" s="51">
      <c r="A469" s="77">
        <f>IF(Pipeline!A469="","",Pipeline!A469)</f>
        <v/>
      </c>
      <c r="B469" s="78">
        <f>IF(A469="","",INDEX(Pipeline!$H:$H,MATCH(A469,Pipeline!$A:$A,0)))</f>
        <v/>
      </c>
      <c r="C469" s="79" t="n"/>
      <c r="D469" s="79" t="n"/>
      <c r="E469" s="79" t="n"/>
      <c r="F469" s="79" t="n"/>
      <c r="G469" s="79" t="n"/>
      <c r="H469" s="79" t="n"/>
      <c r="I469" s="79" t="n"/>
      <c r="J469" s="79" t="n"/>
      <c r="K469" s="79" t="n"/>
      <c r="L469" s="79" t="n"/>
      <c r="M469" s="79" t="n"/>
      <c r="N469" s="79" t="n"/>
      <c r="O469" s="79" t="n"/>
      <c r="P469" s="79" t="n"/>
      <c r="Q469" s="79" t="n"/>
      <c r="R469" s="79" t="n"/>
      <c r="S469" s="80">
        <f>IF(A469="","",COUNT(G469:R469))</f>
        <v/>
      </c>
      <c r="T469" s="81">
        <f>IF(OR(A469="",S469&lt;12),"",SUMPRODUCT($G$3:$R$3,G469:R469)/5)</f>
        <v/>
      </c>
      <c r="U469" s="82">
        <f>IF(A469="","",IF(COUNTIF(C469:F469,"Fail")&gt;0,"No-Bid (gate failed)",IF(S469&lt;12,"Incomplete ("&amp;S469&amp;"/12)",IF(T469&gt;='Scoring Guide'!$C$26,"Bid",IF(T469&gt;='Scoring Guide'!$C$27,"Conditional (MD)","No-Bid")))))</f>
        <v/>
      </c>
      <c r="V469" s="79" t="n"/>
      <c r="W469" s="83" t="n"/>
      <c r="X469" s="79" t="n"/>
      <c r="Y469" s="79" t="n"/>
    </row>
    <row r="470" ht="15" customHeight="1" s="51">
      <c r="A470" s="77">
        <f>IF(Pipeline!A470="","",Pipeline!A470)</f>
        <v/>
      </c>
      <c r="B470" s="78">
        <f>IF(A470="","",INDEX(Pipeline!$H:$H,MATCH(A470,Pipeline!$A:$A,0)))</f>
        <v/>
      </c>
      <c r="C470" s="79" t="n"/>
      <c r="D470" s="79" t="n"/>
      <c r="E470" s="79" t="n"/>
      <c r="F470" s="79" t="n"/>
      <c r="G470" s="79" t="n"/>
      <c r="H470" s="79" t="n"/>
      <c r="I470" s="79" t="n"/>
      <c r="J470" s="79" t="n"/>
      <c r="K470" s="79" t="n"/>
      <c r="L470" s="79" t="n"/>
      <c r="M470" s="79" t="n"/>
      <c r="N470" s="79" t="n"/>
      <c r="O470" s="79" t="n"/>
      <c r="P470" s="79" t="n"/>
      <c r="Q470" s="79" t="n"/>
      <c r="R470" s="79" t="n"/>
      <c r="S470" s="80">
        <f>IF(A470="","",COUNT(G470:R470))</f>
        <v/>
      </c>
      <c r="T470" s="81">
        <f>IF(OR(A470="",S470&lt;12),"",SUMPRODUCT($G$3:$R$3,G470:R470)/5)</f>
        <v/>
      </c>
      <c r="U470" s="82">
        <f>IF(A470="","",IF(COUNTIF(C470:F470,"Fail")&gt;0,"No-Bid (gate failed)",IF(S470&lt;12,"Incomplete ("&amp;S470&amp;"/12)",IF(T470&gt;='Scoring Guide'!$C$26,"Bid",IF(T470&gt;='Scoring Guide'!$C$27,"Conditional (MD)","No-Bid")))))</f>
        <v/>
      </c>
      <c r="V470" s="79" t="n"/>
      <c r="W470" s="83" t="n"/>
      <c r="X470" s="79" t="n"/>
      <c r="Y470" s="79" t="n"/>
    </row>
    <row r="471" ht="15" customHeight="1" s="51">
      <c r="A471" s="77">
        <f>IF(Pipeline!A471="","",Pipeline!A471)</f>
        <v/>
      </c>
      <c r="B471" s="78">
        <f>IF(A471="","",INDEX(Pipeline!$H:$H,MATCH(A471,Pipeline!$A:$A,0)))</f>
        <v/>
      </c>
      <c r="C471" s="79" t="n"/>
      <c r="D471" s="79" t="n"/>
      <c r="E471" s="79" t="n"/>
      <c r="F471" s="79" t="n"/>
      <c r="G471" s="79" t="n"/>
      <c r="H471" s="79" t="n"/>
      <c r="I471" s="79" t="n"/>
      <c r="J471" s="79" t="n"/>
      <c r="K471" s="79" t="n"/>
      <c r="L471" s="79" t="n"/>
      <c r="M471" s="79" t="n"/>
      <c r="N471" s="79" t="n"/>
      <c r="O471" s="79" t="n"/>
      <c r="P471" s="79" t="n"/>
      <c r="Q471" s="79" t="n"/>
      <c r="R471" s="79" t="n"/>
      <c r="S471" s="80">
        <f>IF(A471="","",COUNT(G471:R471))</f>
        <v/>
      </c>
      <c r="T471" s="81">
        <f>IF(OR(A471="",S471&lt;12),"",SUMPRODUCT($G$3:$R$3,G471:R471)/5)</f>
        <v/>
      </c>
      <c r="U471" s="82">
        <f>IF(A471="","",IF(COUNTIF(C471:F471,"Fail")&gt;0,"No-Bid (gate failed)",IF(S471&lt;12,"Incomplete ("&amp;S471&amp;"/12)",IF(T471&gt;='Scoring Guide'!$C$26,"Bid",IF(T471&gt;='Scoring Guide'!$C$27,"Conditional (MD)","No-Bid")))))</f>
        <v/>
      </c>
      <c r="V471" s="79" t="n"/>
      <c r="W471" s="83" t="n"/>
      <c r="X471" s="79" t="n"/>
      <c r="Y471" s="79" t="n"/>
    </row>
    <row r="472" ht="15" customHeight="1" s="51">
      <c r="A472" s="77">
        <f>IF(Pipeline!A472="","",Pipeline!A472)</f>
        <v/>
      </c>
      <c r="B472" s="78">
        <f>IF(A472="","",INDEX(Pipeline!$H:$H,MATCH(A472,Pipeline!$A:$A,0)))</f>
        <v/>
      </c>
      <c r="C472" s="79" t="n"/>
      <c r="D472" s="79" t="n"/>
      <c r="E472" s="79" t="n"/>
      <c r="F472" s="79" t="n"/>
      <c r="G472" s="79" t="n"/>
      <c r="H472" s="79" t="n"/>
      <c r="I472" s="79" t="n"/>
      <c r="J472" s="79" t="n"/>
      <c r="K472" s="79" t="n"/>
      <c r="L472" s="79" t="n"/>
      <c r="M472" s="79" t="n"/>
      <c r="N472" s="79" t="n"/>
      <c r="O472" s="79" t="n"/>
      <c r="P472" s="79" t="n"/>
      <c r="Q472" s="79" t="n"/>
      <c r="R472" s="79" t="n"/>
      <c r="S472" s="80">
        <f>IF(A472="","",COUNT(G472:R472))</f>
        <v/>
      </c>
      <c r="T472" s="81">
        <f>IF(OR(A472="",S472&lt;12),"",SUMPRODUCT($G$3:$R$3,G472:R472)/5)</f>
        <v/>
      </c>
      <c r="U472" s="82">
        <f>IF(A472="","",IF(COUNTIF(C472:F472,"Fail")&gt;0,"No-Bid (gate failed)",IF(S472&lt;12,"Incomplete ("&amp;S472&amp;"/12)",IF(T472&gt;='Scoring Guide'!$C$26,"Bid",IF(T472&gt;='Scoring Guide'!$C$27,"Conditional (MD)","No-Bid")))))</f>
        <v/>
      </c>
      <c r="V472" s="79" t="n"/>
      <c r="W472" s="83" t="n"/>
      <c r="X472" s="79" t="n"/>
      <c r="Y472" s="79" t="n"/>
    </row>
    <row r="473" ht="15" customHeight="1" s="51">
      <c r="A473" s="77">
        <f>IF(Pipeline!A473="","",Pipeline!A473)</f>
        <v/>
      </c>
      <c r="B473" s="78">
        <f>IF(A473="","",INDEX(Pipeline!$H:$H,MATCH(A473,Pipeline!$A:$A,0)))</f>
        <v/>
      </c>
      <c r="C473" s="79" t="n"/>
      <c r="D473" s="79" t="n"/>
      <c r="E473" s="79" t="n"/>
      <c r="F473" s="79" t="n"/>
      <c r="G473" s="79" t="n"/>
      <c r="H473" s="79" t="n"/>
      <c r="I473" s="79" t="n"/>
      <c r="J473" s="79" t="n"/>
      <c r="K473" s="79" t="n"/>
      <c r="L473" s="79" t="n"/>
      <c r="M473" s="79" t="n"/>
      <c r="N473" s="79" t="n"/>
      <c r="O473" s="79" t="n"/>
      <c r="P473" s="79" t="n"/>
      <c r="Q473" s="79" t="n"/>
      <c r="R473" s="79" t="n"/>
      <c r="S473" s="80">
        <f>IF(A473="","",COUNT(G473:R473))</f>
        <v/>
      </c>
      <c r="T473" s="81">
        <f>IF(OR(A473="",S473&lt;12),"",SUMPRODUCT($G$3:$R$3,G473:R473)/5)</f>
        <v/>
      </c>
      <c r="U473" s="82">
        <f>IF(A473="","",IF(COUNTIF(C473:F473,"Fail")&gt;0,"No-Bid (gate failed)",IF(S473&lt;12,"Incomplete ("&amp;S473&amp;"/12)",IF(T473&gt;='Scoring Guide'!$C$26,"Bid",IF(T473&gt;='Scoring Guide'!$C$27,"Conditional (MD)","No-Bid")))))</f>
        <v/>
      </c>
      <c r="V473" s="79" t="n"/>
      <c r="W473" s="83" t="n"/>
      <c r="X473" s="79" t="n"/>
      <c r="Y473" s="79" t="n"/>
    </row>
    <row r="474" ht="15" customHeight="1" s="51">
      <c r="A474" s="77">
        <f>IF(Pipeline!A474="","",Pipeline!A474)</f>
        <v/>
      </c>
      <c r="B474" s="78">
        <f>IF(A474="","",INDEX(Pipeline!$H:$H,MATCH(A474,Pipeline!$A:$A,0)))</f>
        <v/>
      </c>
      <c r="C474" s="79" t="n"/>
      <c r="D474" s="79" t="n"/>
      <c r="E474" s="79" t="n"/>
      <c r="F474" s="79" t="n"/>
      <c r="G474" s="79" t="n"/>
      <c r="H474" s="79" t="n"/>
      <c r="I474" s="79" t="n"/>
      <c r="J474" s="79" t="n"/>
      <c r="K474" s="79" t="n"/>
      <c r="L474" s="79" t="n"/>
      <c r="M474" s="79" t="n"/>
      <c r="N474" s="79" t="n"/>
      <c r="O474" s="79" t="n"/>
      <c r="P474" s="79" t="n"/>
      <c r="Q474" s="79" t="n"/>
      <c r="R474" s="79" t="n"/>
      <c r="S474" s="80">
        <f>IF(A474="","",COUNT(G474:R474))</f>
        <v/>
      </c>
      <c r="T474" s="81">
        <f>IF(OR(A474="",S474&lt;12),"",SUMPRODUCT($G$3:$R$3,G474:R474)/5)</f>
        <v/>
      </c>
      <c r="U474" s="82">
        <f>IF(A474="","",IF(COUNTIF(C474:F474,"Fail")&gt;0,"No-Bid (gate failed)",IF(S474&lt;12,"Incomplete ("&amp;S474&amp;"/12)",IF(T474&gt;='Scoring Guide'!$C$26,"Bid",IF(T474&gt;='Scoring Guide'!$C$27,"Conditional (MD)","No-Bid")))))</f>
        <v/>
      </c>
      <c r="V474" s="79" t="n"/>
      <c r="W474" s="83" t="n"/>
      <c r="X474" s="79" t="n"/>
      <c r="Y474" s="79" t="n"/>
    </row>
    <row r="475" ht="15" customHeight="1" s="51">
      <c r="A475" s="77">
        <f>IF(Pipeline!A475="","",Pipeline!A475)</f>
        <v/>
      </c>
      <c r="B475" s="78">
        <f>IF(A475="","",INDEX(Pipeline!$H:$H,MATCH(A475,Pipeline!$A:$A,0)))</f>
        <v/>
      </c>
      <c r="C475" s="79" t="n"/>
      <c r="D475" s="79" t="n"/>
      <c r="E475" s="79" t="n"/>
      <c r="F475" s="79" t="n"/>
      <c r="G475" s="79" t="n"/>
      <c r="H475" s="79" t="n"/>
      <c r="I475" s="79" t="n"/>
      <c r="J475" s="79" t="n"/>
      <c r="K475" s="79" t="n"/>
      <c r="L475" s="79" t="n"/>
      <c r="M475" s="79" t="n"/>
      <c r="N475" s="79" t="n"/>
      <c r="O475" s="79" t="n"/>
      <c r="P475" s="79" t="n"/>
      <c r="Q475" s="79" t="n"/>
      <c r="R475" s="79" t="n"/>
      <c r="S475" s="80">
        <f>IF(A475="","",COUNT(G475:R475))</f>
        <v/>
      </c>
      <c r="T475" s="81">
        <f>IF(OR(A475="",S475&lt;12),"",SUMPRODUCT($G$3:$R$3,G475:R475)/5)</f>
        <v/>
      </c>
      <c r="U475" s="82">
        <f>IF(A475="","",IF(COUNTIF(C475:F475,"Fail")&gt;0,"No-Bid (gate failed)",IF(S475&lt;12,"Incomplete ("&amp;S475&amp;"/12)",IF(T475&gt;='Scoring Guide'!$C$26,"Bid",IF(T475&gt;='Scoring Guide'!$C$27,"Conditional (MD)","No-Bid")))))</f>
        <v/>
      </c>
      <c r="V475" s="79" t="n"/>
      <c r="W475" s="83" t="n"/>
      <c r="X475" s="79" t="n"/>
      <c r="Y475" s="79" t="n"/>
    </row>
    <row r="476" ht="15" customHeight="1" s="51">
      <c r="A476" s="77">
        <f>IF(Pipeline!A476="","",Pipeline!A476)</f>
        <v/>
      </c>
      <c r="B476" s="78">
        <f>IF(A476="","",INDEX(Pipeline!$H:$H,MATCH(A476,Pipeline!$A:$A,0)))</f>
        <v/>
      </c>
      <c r="C476" s="79" t="n"/>
      <c r="D476" s="79" t="n"/>
      <c r="E476" s="79" t="n"/>
      <c r="F476" s="79" t="n"/>
      <c r="G476" s="79" t="n"/>
      <c r="H476" s="79" t="n"/>
      <c r="I476" s="79" t="n"/>
      <c r="J476" s="79" t="n"/>
      <c r="K476" s="79" t="n"/>
      <c r="L476" s="79" t="n"/>
      <c r="M476" s="79" t="n"/>
      <c r="N476" s="79" t="n"/>
      <c r="O476" s="79" t="n"/>
      <c r="P476" s="79" t="n"/>
      <c r="Q476" s="79" t="n"/>
      <c r="R476" s="79" t="n"/>
      <c r="S476" s="80">
        <f>IF(A476="","",COUNT(G476:R476))</f>
        <v/>
      </c>
      <c r="T476" s="81">
        <f>IF(OR(A476="",S476&lt;12),"",SUMPRODUCT($G$3:$R$3,G476:R476)/5)</f>
        <v/>
      </c>
      <c r="U476" s="82">
        <f>IF(A476="","",IF(COUNTIF(C476:F476,"Fail")&gt;0,"No-Bid (gate failed)",IF(S476&lt;12,"Incomplete ("&amp;S476&amp;"/12)",IF(T476&gt;='Scoring Guide'!$C$26,"Bid",IF(T476&gt;='Scoring Guide'!$C$27,"Conditional (MD)","No-Bid")))))</f>
        <v/>
      </c>
      <c r="V476" s="79" t="n"/>
      <c r="W476" s="83" t="n"/>
      <c r="X476" s="79" t="n"/>
      <c r="Y476" s="79" t="n"/>
    </row>
    <row r="477" ht="15" customHeight="1" s="51">
      <c r="A477" s="77">
        <f>IF(Pipeline!A477="","",Pipeline!A477)</f>
        <v/>
      </c>
      <c r="B477" s="78">
        <f>IF(A477="","",INDEX(Pipeline!$H:$H,MATCH(A477,Pipeline!$A:$A,0)))</f>
        <v/>
      </c>
      <c r="C477" s="79" t="n"/>
      <c r="D477" s="79" t="n"/>
      <c r="E477" s="79" t="n"/>
      <c r="F477" s="79" t="n"/>
      <c r="G477" s="79" t="n"/>
      <c r="H477" s="79" t="n"/>
      <c r="I477" s="79" t="n"/>
      <c r="J477" s="79" t="n"/>
      <c r="K477" s="79" t="n"/>
      <c r="L477" s="79" t="n"/>
      <c r="M477" s="79" t="n"/>
      <c r="N477" s="79" t="n"/>
      <c r="O477" s="79" t="n"/>
      <c r="P477" s="79" t="n"/>
      <c r="Q477" s="79" t="n"/>
      <c r="R477" s="79" t="n"/>
      <c r="S477" s="80">
        <f>IF(A477="","",COUNT(G477:R477))</f>
        <v/>
      </c>
      <c r="T477" s="81">
        <f>IF(OR(A477="",S477&lt;12),"",SUMPRODUCT($G$3:$R$3,G477:R477)/5)</f>
        <v/>
      </c>
      <c r="U477" s="82">
        <f>IF(A477="","",IF(COUNTIF(C477:F477,"Fail")&gt;0,"No-Bid (gate failed)",IF(S477&lt;12,"Incomplete ("&amp;S477&amp;"/12)",IF(T477&gt;='Scoring Guide'!$C$26,"Bid",IF(T477&gt;='Scoring Guide'!$C$27,"Conditional (MD)","No-Bid")))))</f>
        <v/>
      </c>
      <c r="V477" s="79" t="n"/>
      <c r="W477" s="83" t="n"/>
      <c r="X477" s="79" t="n"/>
      <c r="Y477" s="79" t="n"/>
    </row>
    <row r="478" ht="15" customHeight="1" s="51">
      <c r="A478" s="77">
        <f>IF(Pipeline!A478="","",Pipeline!A478)</f>
        <v/>
      </c>
      <c r="B478" s="78">
        <f>IF(A478="","",INDEX(Pipeline!$H:$H,MATCH(A478,Pipeline!$A:$A,0)))</f>
        <v/>
      </c>
      <c r="C478" s="79" t="n"/>
      <c r="D478" s="79" t="n"/>
      <c r="E478" s="79" t="n"/>
      <c r="F478" s="79" t="n"/>
      <c r="G478" s="79" t="n"/>
      <c r="H478" s="79" t="n"/>
      <c r="I478" s="79" t="n"/>
      <c r="J478" s="79" t="n"/>
      <c r="K478" s="79" t="n"/>
      <c r="L478" s="79" t="n"/>
      <c r="M478" s="79" t="n"/>
      <c r="N478" s="79" t="n"/>
      <c r="O478" s="79" t="n"/>
      <c r="P478" s="79" t="n"/>
      <c r="Q478" s="79" t="n"/>
      <c r="R478" s="79" t="n"/>
      <c r="S478" s="80">
        <f>IF(A478="","",COUNT(G478:R478))</f>
        <v/>
      </c>
      <c r="T478" s="81">
        <f>IF(OR(A478="",S478&lt;12),"",SUMPRODUCT($G$3:$R$3,G478:R478)/5)</f>
        <v/>
      </c>
      <c r="U478" s="82">
        <f>IF(A478="","",IF(COUNTIF(C478:F478,"Fail")&gt;0,"No-Bid (gate failed)",IF(S478&lt;12,"Incomplete ("&amp;S478&amp;"/12)",IF(T478&gt;='Scoring Guide'!$C$26,"Bid",IF(T478&gt;='Scoring Guide'!$C$27,"Conditional (MD)","No-Bid")))))</f>
        <v/>
      </c>
      <c r="V478" s="79" t="n"/>
      <c r="W478" s="83" t="n"/>
      <c r="X478" s="79" t="n"/>
      <c r="Y478" s="79" t="n"/>
    </row>
    <row r="479" ht="15" customHeight="1" s="51">
      <c r="A479" s="77">
        <f>IF(Pipeline!A479="","",Pipeline!A479)</f>
        <v/>
      </c>
      <c r="B479" s="78">
        <f>IF(A479="","",INDEX(Pipeline!$H:$H,MATCH(A479,Pipeline!$A:$A,0)))</f>
        <v/>
      </c>
      <c r="C479" s="79" t="n"/>
      <c r="D479" s="79" t="n"/>
      <c r="E479" s="79" t="n"/>
      <c r="F479" s="79" t="n"/>
      <c r="G479" s="79" t="n"/>
      <c r="H479" s="79" t="n"/>
      <c r="I479" s="79" t="n"/>
      <c r="J479" s="79" t="n"/>
      <c r="K479" s="79" t="n"/>
      <c r="L479" s="79" t="n"/>
      <c r="M479" s="79" t="n"/>
      <c r="N479" s="79" t="n"/>
      <c r="O479" s="79" t="n"/>
      <c r="P479" s="79" t="n"/>
      <c r="Q479" s="79" t="n"/>
      <c r="R479" s="79" t="n"/>
      <c r="S479" s="80">
        <f>IF(A479="","",COUNT(G479:R479))</f>
        <v/>
      </c>
      <c r="T479" s="81">
        <f>IF(OR(A479="",S479&lt;12),"",SUMPRODUCT($G$3:$R$3,G479:R479)/5)</f>
        <v/>
      </c>
      <c r="U479" s="82">
        <f>IF(A479="","",IF(COUNTIF(C479:F479,"Fail")&gt;0,"No-Bid (gate failed)",IF(S479&lt;12,"Incomplete ("&amp;S479&amp;"/12)",IF(T479&gt;='Scoring Guide'!$C$26,"Bid",IF(T479&gt;='Scoring Guide'!$C$27,"Conditional (MD)","No-Bid")))))</f>
        <v/>
      </c>
      <c r="V479" s="79" t="n"/>
      <c r="W479" s="83" t="n"/>
      <c r="X479" s="79" t="n"/>
      <c r="Y479" s="79" t="n"/>
    </row>
    <row r="480" ht="15" customHeight="1" s="51">
      <c r="A480" s="77">
        <f>IF(Pipeline!A480="","",Pipeline!A480)</f>
        <v/>
      </c>
      <c r="B480" s="78">
        <f>IF(A480="","",INDEX(Pipeline!$H:$H,MATCH(A480,Pipeline!$A:$A,0)))</f>
        <v/>
      </c>
      <c r="C480" s="79" t="n"/>
      <c r="D480" s="79" t="n"/>
      <c r="E480" s="79" t="n"/>
      <c r="F480" s="79" t="n"/>
      <c r="G480" s="79" t="n"/>
      <c r="H480" s="79" t="n"/>
      <c r="I480" s="79" t="n"/>
      <c r="J480" s="79" t="n"/>
      <c r="K480" s="79" t="n"/>
      <c r="L480" s="79" t="n"/>
      <c r="M480" s="79" t="n"/>
      <c r="N480" s="79" t="n"/>
      <c r="O480" s="79" t="n"/>
      <c r="P480" s="79" t="n"/>
      <c r="Q480" s="79" t="n"/>
      <c r="R480" s="79" t="n"/>
      <c r="S480" s="80">
        <f>IF(A480="","",COUNT(G480:R480))</f>
        <v/>
      </c>
      <c r="T480" s="81">
        <f>IF(OR(A480="",S480&lt;12),"",SUMPRODUCT($G$3:$R$3,G480:R480)/5)</f>
        <v/>
      </c>
      <c r="U480" s="82">
        <f>IF(A480="","",IF(COUNTIF(C480:F480,"Fail")&gt;0,"No-Bid (gate failed)",IF(S480&lt;12,"Incomplete ("&amp;S480&amp;"/12)",IF(T480&gt;='Scoring Guide'!$C$26,"Bid",IF(T480&gt;='Scoring Guide'!$C$27,"Conditional (MD)","No-Bid")))))</f>
        <v/>
      </c>
      <c r="V480" s="79" t="n"/>
      <c r="W480" s="83" t="n"/>
      <c r="X480" s="79" t="n"/>
      <c r="Y480" s="79" t="n"/>
    </row>
    <row r="481" ht="15" customHeight="1" s="51">
      <c r="A481" s="77">
        <f>IF(Pipeline!A481="","",Pipeline!A481)</f>
        <v/>
      </c>
      <c r="B481" s="78">
        <f>IF(A481="","",INDEX(Pipeline!$H:$H,MATCH(A481,Pipeline!$A:$A,0)))</f>
        <v/>
      </c>
      <c r="C481" s="79" t="n"/>
      <c r="D481" s="79" t="n"/>
      <c r="E481" s="79" t="n"/>
      <c r="F481" s="79" t="n"/>
      <c r="G481" s="79" t="n"/>
      <c r="H481" s="79" t="n"/>
      <c r="I481" s="79" t="n"/>
      <c r="J481" s="79" t="n"/>
      <c r="K481" s="79" t="n"/>
      <c r="L481" s="79" t="n"/>
      <c r="M481" s="79" t="n"/>
      <c r="N481" s="79" t="n"/>
      <c r="O481" s="79" t="n"/>
      <c r="P481" s="79" t="n"/>
      <c r="Q481" s="79" t="n"/>
      <c r="R481" s="79" t="n"/>
      <c r="S481" s="80">
        <f>IF(A481="","",COUNT(G481:R481))</f>
        <v/>
      </c>
      <c r="T481" s="81">
        <f>IF(OR(A481="",S481&lt;12),"",SUMPRODUCT($G$3:$R$3,G481:R481)/5)</f>
        <v/>
      </c>
      <c r="U481" s="82">
        <f>IF(A481="","",IF(COUNTIF(C481:F481,"Fail")&gt;0,"No-Bid (gate failed)",IF(S481&lt;12,"Incomplete ("&amp;S481&amp;"/12)",IF(T481&gt;='Scoring Guide'!$C$26,"Bid",IF(T481&gt;='Scoring Guide'!$C$27,"Conditional (MD)","No-Bid")))))</f>
        <v/>
      </c>
      <c r="V481" s="79" t="n"/>
      <c r="W481" s="83" t="n"/>
      <c r="X481" s="79" t="n"/>
      <c r="Y481" s="79" t="n"/>
    </row>
    <row r="482" ht="15" customHeight="1" s="51">
      <c r="A482" s="77">
        <f>IF(Pipeline!A482="","",Pipeline!A482)</f>
        <v/>
      </c>
      <c r="B482" s="78">
        <f>IF(A482="","",INDEX(Pipeline!$H:$H,MATCH(A482,Pipeline!$A:$A,0)))</f>
        <v/>
      </c>
      <c r="C482" s="79" t="n"/>
      <c r="D482" s="79" t="n"/>
      <c r="E482" s="79" t="n"/>
      <c r="F482" s="79" t="n"/>
      <c r="G482" s="79" t="n"/>
      <c r="H482" s="79" t="n"/>
      <c r="I482" s="79" t="n"/>
      <c r="J482" s="79" t="n"/>
      <c r="K482" s="79" t="n"/>
      <c r="L482" s="79" t="n"/>
      <c r="M482" s="79" t="n"/>
      <c r="N482" s="79" t="n"/>
      <c r="O482" s="79" t="n"/>
      <c r="P482" s="79" t="n"/>
      <c r="Q482" s="79" t="n"/>
      <c r="R482" s="79" t="n"/>
      <c r="S482" s="80">
        <f>IF(A482="","",COUNT(G482:R482))</f>
        <v/>
      </c>
      <c r="T482" s="81">
        <f>IF(OR(A482="",S482&lt;12),"",SUMPRODUCT($G$3:$R$3,G482:R482)/5)</f>
        <v/>
      </c>
      <c r="U482" s="82">
        <f>IF(A482="","",IF(COUNTIF(C482:F482,"Fail")&gt;0,"No-Bid (gate failed)",IF(S482&lt;12,"Incomplete ("&amp;S482&amp;"/12)",IF(T482&gt;='Scoring Guide'!$C$26,"Bid",IF(T482&gt;='Scoring Guide'!$C$27,"Conditional (MD)","No-Bid")))))</f>
        <v/>
      </c>
      <c r="V482" s="79" t="n"/>
      <c r="W482" s="83" t="n"/>
      <c r="X482" s="79" t="n"/>
      <c r="Y482" s="79" t="n"/>
    </row>
    <row r="483" ht="15" customHeight="1" s="51">
      <c r="A483" s="77">
        <f>IF(Pipeline!A483="","",Pipeline!A483)</f>
        <v/>
      </c>
      <c r="B483" s="78">
        <f>IF(A483="","",INDEX(Pipeline!$H:$H,MATCH(A483,Pipeline!$A:$A,0)))</f>
        <v/>
      </c>
      <c r="C483" s="79" t="n"/>
      <c r="D483" s="79" t="n"/>
      <c r="E483" s="79" t="n"/>
      <c r="F483" s="79" t="n"/>
      <c r="G483" s="79" t="n"/>
      <c r="H483" s="79" t="n"/>
      <c r="I483" s="79" t="n"/>
      <c r="J483" s="79" t="n"/>
      <c r="K483" s="79" t="n"/>
      <c r="L483" s="79" t="n"/>
      <c r="M483" s="79" t="n"/>
      <c r="N483" s="79" t="n"/>
      <c r="O483" s="79" t="n"/>
      <c r="P483" s="79" t="n"/>
      <c r="Q483" s="79" t="n"/>
      <c r="R483" s="79" t="n"/>
      <c r="S483" s="80">
        <f>IF(A483="","",COUNT(G483:R483))</f>
        <v/>
      </c>
      <c r="T483" s="81">
        <f>IF(OR(A483="",S483&lt;12),"",SUMPRODUCT($G$3:$R$3,G483:R483)/5)</f>
        <v/>
      </c>
      <c r="U483" s="82">
        <f>IF(A483="","",IF(COUNTIF(C483:F483,"Fail")&gt;0,"No-Bid (gate failed)",IF(S483&lt;12,"Incomplete ("&amp;S483&amp;"/12)",IF(T483&gt;='Scoring Guide'!$C$26,"Bid",IF(T483&gt;='Scoring Guide'!$C$27,"Conditional (MD)","No-Bid")))))</f>
        <v/>
      </c>
      <c r="V483" s="79" t="n"/>
      <c r="W483" s="83" t="n"/>
      <c r="X483" s="79" t="n"/>
      <c r="Y483" s="79" t="n"/>
    </row>
    <row r="484" ht="15" customHeight="1" s="51">
      <c r="A484" s="77">
        <f>IF(Pipeline!A484="","",Pipeline!A484)</f>
        <v/>
      </c>
      <c r="B484" s="78">
        <f>IF(A484="","",INDEX(Pipeline!$H:$H,MATCH(A484,Pipeline!$A:$A,0)))</f>
        <v/>
      </c>
      <c r="C484" s="79" t="n"/>
      <c r="D484" s="79" t="n"/>
      <c r="E484" s="79" t="n"/>
      <c r="F484" s="79" t="n"/>
      <c r="G484" s="79" t="n"/>
      <c r="H484" s="79" t="n"/>
      <c r="I484" s="79" t="n"/>
      <c r="J484" s="79" t="n"/>
      <c r="K484" s="79" t="n"/>
      <c r="L484" s="79" t="n"/>
      <c r="M484" s="79" t="n"/>
      <c r="N484" s="79" t="n"/>
      <c r="O484" s="79" t="n"/>
      <c r="P484" s="79" t="n"/>
      <c r="Q484" s="79" t="n"/>
      <c r="R484" s="79" t="n"/>
      <c r="S484" s="80">
        <f>IF(A484="","",COUNT(G484:R484))</f>
        <v/>
      </c>
      <c r="T484" s="81">
        <f>IF(OR(A484="",S484&lt;12),"",SUMPRODUCT($G$3:$R$3,G484:R484)/5)</f>
        <v/>
      </c>
      <c r="U484" s="82">
        <f>IF(A484="","",IF(COUNTIF(C484:F484,"Fail")&gt;0,"No-Bid (gate failed)",IF(S484&lt;12,"Incomplete ("&amp;S484&amp;"/12)",IF(T484&gt;='Scoring Guide'!$C$26,"Bid",IF(T484&gt;='Scoring Guide'!$C$27,"Conditional (MD)","No-Bid")))))</f>
        <v/>
      </c>
      <c r="V484" s="79" t="n"/>
      <c r="W484" s="83" t="n"/>
      <c r="X484" s="79" t="n"/>
      <c r="Y484" s="79" t="n"/>
    </row>
    <row r="485" ht="15" customHeight="1" s="51">
      <c r="A485" s="77">
        <f>IF(Pipeline!A485="","",Pipeline!A485)</f>
        <v/>
      </c>
      <c r="B485" s="78">
        <f>IF(A485="","",INDEX(Pipeline!$H:$H,MATCH(A485,Pipeline!$A:$A,0)))</f>
        <v/>
      </c>
      <c r="C485" s="79" t="n"/>
      <c r="D485" s="79" t="n"/>
      <c r="E485" s="79" t="n"/>
      <c r="F485" s="79" t="n"/>
      <c r="G485" s="79" t="n"/>
      <c r="H485" s="79" t="n"/>
      <c r="I485" s="79" t="n"/>
      <c r="J485" s="79" t="n"/>
      <c r="K485" s="79" t="n"/>
      <c r="L485" s="79" t="n"/>
      <c r="M485" s="79" t="n"/>
      <c r="N485" s="79" t="n"/>
      <c r="O485" s="79" t="n"/>
      <c r="P485" s="79" t="n"/>
      <c r="Q485" s="79" t="n"/>
      <c r="R485" s="79" t="n"/>
      <c r="S485" s="80">
        <f>IF(A485="","",COUNT(G485:R485))</f>
        <v/>
      </c>
      <c r="T485" s="81">
        <f>IF(OR(A485="",S485&lt;12),"",SUMPRODUCT($G$3:$R$3,G485:R485)/5)</f>
        <v/>
      </c>
      <c r="U485" s="82">
        <f>IF(A485="","",IF(COUNTIF(C485:F485,"Fail")&gt;0,"No-Bid (gate failed)",IF(S485&lt;12,"Incomplete ("&amp;S485&amp;"/12)",IF(T485&gt;='Scoring Guide'!$C$26,"Bid",IF(T485&gt;='Scoring Guide'!$C$27,"Conditional (MD)","No-Bid")))))</f>
        <v/>
      </c>
      <c r="V485" s="79" t="n"/>
      <c r="W485" s="83" t="n"/>
      <c r="X485" s="79" t="n"/>
      <c r="Y485" s="79" t="n"/>
    </row>
    <row r="486" ht="15" customHeight="1" s="51">
      <c r="A486" s="77">
        <f>IF(Pipeline!A486="","",Pipeline!A486)</f>
        <v/>
      </c>
      <c r="B486" s="78">
        <f>IF(A486="","",INDEX(Pipeline!$H:$H,MATCH(A486,Pipeline!$A:$A,0)))</f>
        <v/>
      </c>
      <c r="C486" s="79" t="n"/>
      <c r="D486" s="79" t="n"/>
      <c r="E486" s="79" t="n"/>
      <c r="F486" s="79" t="n"/>
      <c r="G486" s="79" t="n"/>
      <c r="H486" s="79" t="n"/>
      <c r="I486" s="79" t="n"/>
      <c r="J486" s="79" t="n"/>
      <c r="K486" s="79" t="n"/>
      <c r="L486" s="79" t="n"/>
      <c r="M486" s="79" t="n"/>
      <c r="N486" s="79" t="n"/>
      <c r="O486" s="79" t="n"/>
      <c r="P486" s="79" t="n"/>
      <c r="Q486" s="79" t="n"/>
      <c r="R486" s="79" t="n"/>
      <c r="S486" s="80">
        <f>IF(A486="","",COUNT(G486:R486))</f>
        <v/>
      </c>
      <c r="T486" s="81">
        <f>IF(OR(A486="",S486&lt;12),"",SUMPRODUCT($G$3:$R$3,G486:R486)/5)</f>
        <v/>
      </c>
      <c r="U486" s="82">
        <f>IF(A486="","",IF(COUNTIF(C486:F486,"Fail")&gt;0,"No-Bid (gate failed)",IF(S486&lt;12,"Incomplete ("&amp;S486&amp;"/12)",IF(T486&gt;='Scoring Guide'!$C$26,"Bid",IF(T486&gt;='Scoring Guide'!$C$27,"Conditional (MD)","No-Bid")))))</f>
        <v/>
      </c>
      <c r="V486" s="79" t="n"/>
      <c r="W486" s="83" t="n"/>
      <c r="X486" s="79" t="n"/>
      <c r="Y486" s="79" t="n"/>
    </row>
    <row r="487" ht="15" customHeight="1" s="51">
      <c r="A487" s="77">
        <f>IF(Pipeline!A487="","",Pipeline!A487)</f>
        <v/>
      </c>
      <c r="B487" s="78">
        <f>IF(A487="","",INDEX(Pipeline!$H:$H,MATCH(A487,Pipeline!$A:$A,0)))</f>
        <v/>
      </c>
      <c r="C487" s="79" t="n"/>
      <c r="D487" s="79" t="n"/>
      <c r="E487" s="79" t="n"/>
      <c r="F487" s="79" t="n"/>
      <c r="G487" s="79" t="n"/>
      <c r="H487" s="79" t="n"/>
      <c r="I487" s="79" t="n"/>
      <c r="J487" s="79" t="n"/>
      <c r="K487" s="79" t="n"/>
      <c r="L487" s="79" t="n"/>
      <c r="M487" s="79" t="n"/>
      <c r="N487" s="79" t="n"/>
      <c r="O487" s="79" t="n"/>
      <c r="P487" s="79" t="n"/>
      <c r="Q487" s="79" t="n"/>
      <c r="R487" s="79" t="n"/>
      <c r="S487" s="80">
        <f>IF(A487="","",COUNT(G487:R487))</f>
        <v/>
      </c>
      <c r="T487" s="81">
        <f>IF(OR(A487="",S487&lt;12),"",SUMPRODUCT($G$3:$R$3,G487:R487)/5)</f>
        <v/>
      </c>
      <c r="U487" s="82">
        <f>IF(A487="","",IF(COUNTIF(C487:F487,"Fail")&gt;0,"No-Bid (gate failed)",IF(S487&lt;12,"Incomplete ("&amp;S487&amp;"/12)",IF(T487&gt;='Scoring Guide'!$C$26,"Bid",IF(T487&gt;='Scoring Guide'!$C$27,"Conditional (MD)","No-Bid")))))</f>
        <v/>
      </c>
      <c r="V487" s="79" t="n"/>
      <c r="W487" s="83" t="n"/>
      <c r="X487" s="79" t="n"/>
      <c r="Y487" s="79" t="n"/>
    </row>
    <row r="488" ht="15" customHeight="1" s="51">
      <c r="A488" s="77">
        <f>IF(Pipeline!A488="","",Pipeline!A488)</f>
        <v/>
      </c>
      <c r="B488" s="78">
        <f>IF(A488="","",INDEX(Pipeline!$H:$H,MATCH(A488,Pipeline!$A:$A,0)))</f>
        <v/>
      </c>
      <c r="C488" s="79" t="n"/>
      <c r="D488" s="79" t="n"/>
      <c r="E488" s="79" t="n"/>
      <c r="F488" s="79" t="n"/>
      <c r="G488" s="79" t="n"/>
      <c r="H488" s="79" t="n"/>
      <c r="I488" s="79" t="n"/>
      <c r="J488" s="79" t="n"/>
      <c r="K488" s="79" t="n"/>
      <c r="L488" s="79" t="n"/>
      <c r="M488" s="79" t="n"/>
      <c r="N488" s="79" t="n"/>
      <c r="O488" s="79" t="n"/>
      <c r="P488" s="79" t="n"/>
      <c r="Q488" s="79" t="n"/>
      <c r="R488" s="79" t="n"/>
      <c r="S488" s="80">
        <f>IF(A488="","",COUNT(G488:R488))</f>
        <v/>
      </c>
      <c r="T488" s="81">
        <f>IF(OR(A488="",S488&lt;12),"",SUMPRODUCT($G$3:$R$3,G488:R488)/5)</f>
        <v/>
      </c>
      <c r="U488" s="82">
        <f>IF(A488="","",IF(COUNTIF(C488:F488,"Fail")&gt;0,"No-Bid (gate failed)",IF(S488&lt;12,"Incomplete ("&amp;S488&amp;"/12)",IF(T488&gt;='Scoring Guide'!$C$26,"Bid",IF(T488&gt;='Scoring Guide'!$C$27,"Conditional (MD)","No-Bid")))))</f>
        <v/>
      </c>
      <c r="V488" s="79" t="n"/>
      <c r="W488" s="83" t="n"/>
      <c r="X488" s="79" t="n"/>
      <c r="Y488" s="79" t="n"/>
    </row>
    <row r="489" ht="15" customHeight="1" s="51">
      <c r="A489" s="77">
        <f>IF(Pipeline!A489="","",Pipeline!A489)</f>
        <v/>
      </c>
      <c r="B489" s="78">
        <f>IF(A489="","",INDEX(Pipeline!$H:$H,MATCH(A489,Pipeline!$A:$A,0)))</f>
        <v/>
      </c>
      <c r="C489" s="79" t="n"/>
      <c r="D489" s="79" t="n"/>
      <c r="E489" s="79" t="n"/>
      <c r="F489" s="79" t="n"/>
      <c r="G489" s="79" t="n"/>
      <c r="H489" s="79" t="n"/>
      <c r="I489" s="79" t="n"/>
      <c r="J489" s="79" t="n"/>
      <c r="K489" s="79" t="n"/>
      <c r="L489" s="79" t="n"/>
      <c r="M489" s="79" t="n"/>
      <c r="N489" s="79" t="n"/>
      <c r="O489" s="79" t="n"/>
      <c r="P489" s="79" t="n"/>
      <c r="Q489" s="79" t="n"/>
      <c r="R489" s="79" t="n"/>
      <c r="S489" s="80">
        <f>IF(A489="","",COUNT(G489:R489))</f>
        <v/>
      </c>
      <c r="T489" s="81">
        <f>IF(OR(A489="",S489&lt;12),"",SUMPRODUCT($G$3:$R$3,G489:R489)/5)</f>
        <v/>
      </c>
      <c r="U489" s="82">
        <f>IF(A489="","",IF(COUNTIF(C489:F489,"Fail")&gt;0,"No-Bid (gate failed)",IF(S489&lt;12,"Incomplete ("&amp;S489&amp;"/12)",IF(T489&gt;='Scoring Guide'!$C$26,"Bid",IF(T489&gt;='Scoring Guide'!$C$27,"Conditional (MD)","No-Bid")))))</f>
        <v/>
      </c>
      <c r="V489" s="79" t="n"/>
      <c r="W489" s="83" t="n"/>
      <c r="X489" s="79" t="n"/>
      <c r="Y489" s="79" t="n"/>
    </row>
    <row r="490" ht="15" customHeight="1" s="51">
      <c r="A490" s="77">
        <f>IF(Pipeline!A490="","",Pipeline!A490)</f>
        <v/>
      </c>
      <c r="B490" s="78">
        <f>IF(A490="","",INDEX(Pipeline!$H:$H,MATCH(A490,Pipeline!$A:$A,0)))</f>
        <v/>
      </c>
      <c r="C490" s="79" t="n"/>
      <c r="D490" s="79" t="n"/>
      <c r="E490" s="79" t="n"/>
      <c r="F490" s="79" t="n"/>
      <c r="G490" s="79" t="n"/>
      <c r="H490" s="79" t="n"/>
      <c r="I490" s="79" t="n"/>
      <c r="J490" s="79" t="n"/>
      <c r="K490" s="79" t="n"/>
      <c r="L490" s="79" t="n"/>
      <c r="M490" s="79" t="n"/>
      <c r="N490" s="79" t="n"/>
      <c r="O490" s="79" t="n"/>
      <c r="P490" s="79" t="n"/>
      <c r="Q490" s="79" t="n"/>
      <c r="R490" s="79" t="n"/>
      <c r="S490" s="80">
        <f>IF(A490="","",COUNT(G490:R490))</f>
        <v/>
      </c>
      <c r="T490" s="81">
        <f>IF(OR(A490="",S490&lt;12),"",SUMPRODUCT($G$3:$R$3,G490:R490)/5)</f>
        <v/>
      </c>
      <c r="U490" s="82">
        <f>IF(A490="","",IF(COUNTIF(C490:F490,"Fail")&gt;0,"No-Bid (gate failed)",IF(S490&lt;12,"Incomplete ("&amp;S490&amp;"/12)",IF(T490&gt;='Scoring Guide'!$C$26,"Bid",IF(T490&gt;='Scoring Guide'!$C$27,"Conditional (MD)","No-Bid")))))</f>
        <v/>
      </c>
      <c r="V490" s="79" t="n"/>
      <c r="W490" s="83" t="n"/>
      <c r="X490" s="79" t="n"/>
      <c r="Y490" s="79" t="n"/>
    </row>
    <row r="491" ht="15" customHeight="1" s="51">
      <c r="A491" s="77">
        <f>IF(Pipeline!A491="","",Pipeline!A491)</f>
        <v/>
      </c>
      <c r="B491" s="78">
        <f>IF(A491="","",INDEX(Pipeline!$H:$H,MATCH(A491,Pipeline!$A:$A,0)))</f>
        <v/>
      </c>
      <c r="C491" s="79" t="n"/>
      <c r="D491" s="79" t="n"/>
      <c r="E491" s="79" t="n"/>
      <c r="F491" s="79" t="n"/>
      <c r="G491" s="79" t="n"/>
      <c r="H491" s="79" t="n"/>
      <c r="I491" s="79" t="n"/>
      <c r="J491" s="79" t="n"/>
      <c r="K491" s="79" t="n"/>
      <c r="L491" s="79" t="n"/>
      <c r="M491" s="79" t="n"/>
      <c r="N491" s="79" t="n"/>
      <c r="O491" s="79" t="n"/>
      <c r="P491" s="79" t="n"/>
      <c r="Q491" s="79" t="n"/>
      <c r="R491" s="79" t="n"/>
      <c r="S491" s="80">
        <f>IF(A491="","",COUNT(G491:R491))</f>
        <v/>
      </c>
      <c r="T491" s="81">
        <f>IF(OR(A491="",S491&lt;12),"",SUMPRODUCT($G$3:$R$3,G491:R491)/5)</f>
        <v/>
      </c>
      <c r="U491" s="82">
        <f>IF(A491="","",IF(COUNTIF(C491:F491,"Fail")&gt;0,"No-Bid (gate failed)",IF(S491&lt;12,"Incomplete ("&amp;S491&amp;"/12)",IF(T491&gt;='Scoring Guide'!$C$26,"Bid",IF(T491&gt;='Scoring Guide'!$C$27,"Conditional (MD)","No-Bid")))))</f>
        <v/>
      </c>
      <c r="V491" s="79" t="n"/>
      <c r="W491" s="83" t="n"/>
      <c r="X491" s="79" t="n"/>
      <c r="Y491" s="79" t="n"/>
    </row>
    <row r="492" ht="15" customHeight="1" s="51">
      <c r="A492" s="77">
        <f>IF(Pipeline!A492="","",Pipeline!A492)</f>
        <v/>
      </c>
      <c r="B492" s="78">
        <f>IF(A492="","",INDEX(Pipeline!$H:$H,MATCH(A492,Pipeline!$A:$A,0)))</f>
        <v/>
      </c>
      <c r="C492" s="79" t="n"/>
      <c r="D492" s="79" t="n"/>
      <c r="E492" s="79" t="n"/>
      <c r="F492" s="79" t="n"/>
      <c r="G492" s="79" t="n"/>
      <c r="H492" s="79" t="n"/>
      <c r="I492" s="79" t="n"/>
      <c r="J492" s="79" t="n"/>
      <c r="K492" s="79" t="n"/>
      <c r="L492" s="79" t="n"/>
      <c r="M492" s="79" t="n"/>
      <c r="N492" s="79" t="n"/>
      <c r="O492" s="79" t="n"/>
      <c r="P492" s="79" t="n"/>
      <c r="Q492" s="79" t="n"/>
      <c r="R492" s="79" t="n"/>
      <c r="S492" s="80">
        <f>IF(A492="","",COUNT(G492:R492))</f>
        <v/>
      </c>
      <c r="T492" s="81">
        <f>IF(OR(A492="",S492&lt;12),"",SUMPRODUCT($G$3:$R$3,G492:R492)/5)</f>
        <v/>
      </c>
      <c r="U492" s="82">
        <f>IF(A492="","",IF(COUNTIF(C492:F492,"Fail")&gt;0,"No-Bid (gate failed)",IF(S492&lt;12,"Incomplete ("&amp;S492&amp;"/12)",IF(T492&gt;='Scoring Guide'!$C$26,"Bid",IF(T492&gt;='Scoring Guide'!$C$27,"Conditional (MD)","No-Bid")))))</f>
        <v/>
      </c>
      <c r="V492" s="79" t="n"/>
      <c r="W492" s="83" t="n"/>
      <c r="X492" s="79" t="n"/>
      <c r="Y492" s="79" t="n"/>
    </row>
    <row r="493" ht="15" customHeight="1" s="51">
      <c r="A493" s="77">
        <f>IF(Pipeline!A493="","",Pipeline!A493)</f>
        <v/>
      </c>
      <c r="B493" s="78">
        <f>IF(A493="","",INDEX(Pipeline!$H:$H,MATCH(A493,Pipeline!$A:$A,0)))</f>
        <v/>
      </c>
      <c r="C493" s="79" t="n"/>
      <c r="D493" s="79" t="n"/>
      <c r="E493" s="79" t="n"/>
      <c r="F493" s="79" t="n"/>
      <c r="G493" s="79" t="n"/>
      <c r="H493" s="79" t="n"/>
      <c r="I493" s="79" t="n"/>
      <c r="J493" s="79" t="n"/>
      <c r="K493" s="79" t="n"/>
      <c r="L493" s="79" t="n"/>
      <c r="M493" s="79" t="n"/>
      <c r="N493" s="79" t="n"/>
      <c r="O493" s="79" t="n"/>
      <c r="P493" s="79" t="n"/>
      <c r="Q493" s="79" t="n"/>
      <c r="R493" s="79" t="n"/>
      <c r="S493" s="80">
        <f>IF(A493="","",COUNT(G493:R493))</f>
        <v/>
      </c>
      <c r="T493" s="81">
        <f>IF(OR(A493="",S493&lt;12),"",SUMPRODUCT($G$3:$R$3,G493:R493)/5)</f>
        <v/>
      </c>
      <c r="U493" s="82">
        <f>IF(A493="","",IF(COUNTIF(C493:F493,"Fail")&gt;0,"No-Bid (gate failed)",IF(S493&lt;12,"Incomplete ("&amp;S493&amp;"/12)",IF(T493&gt;='Scoring Guide'!$C$26,"Bid",IF(T493&gt;='Scoring Guide'!$C$27,"Conditional (MD)","No-Bid")))))</f>
        <v/>
      </c>
      <c r="V493" s="79" t="n"/>
      <c r="W493" s="83" t="n"/>
      <c r="X493" s="79" t="n"/>
      <c r="Y493" s="79" t="n"/>
    </row>
    <row r="494" ht="15" customHeight="1" s="51">
      <c r="A494" s="77">
        <f>IF(Pipeline!A494="","",Pipeline!A494)</f>
        <v/>
      </c>
      <c r="B494" s="78">
        <f>IF(A494="","",INDEX(Pipeline!$H:$H,MATCH(A494,Pipeline!$A:$A,0)))</f>
        <v/>
      </c>
      <c r="C494" s="79" t="n"/>
      <c r="D494" s="79" t="n"/>
      <c r="E494" s="79" t="n"/>
      <c r="F494" s="79" t="n"/>
      <c r="G494" s="79" t="n"/>
      <c r="H494" s="79" t="n"/>
      <c r="I494" s="79" t="n"/>
      <c r="J494" s="79" t="n"/>
      <c r="K494" s="79" t="n"/>
      <c r="L494" s="79" t="n"/>
      <c r="M494" s="79" t="n"/>
      <c r="N494" s="79" t="n"/>
      <c r="O494" s="79" t="n"/>
      <c r="P494" s="79" t="n"/>
      <c r="Q494" s="79" t="n"/>
      <c r="R494" s="79" t="n"/>
      <c r="S494" s="80">
        <f>IF(A494="","",COUNT(G494:R494))</f>
        <v/>
      </c>
      <c r="T494" s="81">
        <f>IF(OR(A494="",S494&lt;12),"",SUMPRODUCT($G$3:$R$3,G494:R494)/5)</f>
        <v/>
      </c>
      <c r="U494" s="82">
        <f>IF(A494="","",IF(COUNTIF(C494:F494,"Fail")&gt;0,"No-Bid (gate failed)",IF(S494&lt;12,"Incomplete ("&amp;S494&amp;"/12)",IF(T494&gt;='Scoring Guide'!$C$26,"Bid",IF(T494&gt;='Scoring Guide'!$C$27,"Conditional (MD)","No-Bid")))))</f>
        <v/>
      </c>
      <c r="V494" s="79" t="n"/>
      <c r="W494" s="83" t="n"/>
      <c r="X494" s="79" t="n"/>
      <c r="Y494" s="79" t="n"/>
    </row>
    <row r="495" ht="15" customHeight="1" s="51">
      <c r="A495" s="77">
        <f>IF(Pipeline!A495="","",Pipeline!A495)</f>
        <v/>
      </c>
      <c r="B495" s="78">
        <f>IF(A495="","",INDEX(Pipeline!$H:$H,MATCH(A495,Pipeline!$A:$A,0)))</f>
        <v/>
      </c>
      <c r="C495" s="79" t="n"/>
      <c r="D495" s="79" t="n"/>
      <c r="E495" s="79" t="n"/>
      <c r="F495" s="79" t="n"/>
      <c r="G495" s="79" t="n"/>
      <c r="H495" s="79" t="n"/>
      <c r="I495" s="79" t="n"/>
      <c r="J495" s="79" t="n"/>
      <c r="K495" s="79" t="n"/>
      <c r="L495" s="79" t="n"/>
      <c r="M495" s="79" t="n"/>
      <c r="N495" s="79" t="n"/>
      <c r="O495" s="79" t="n"/>
      <c r="P495" s="79" t="n"/>
      <c r="Q495" s="79" t="n"/>
      <c r="R495" s="79" t="n"/>
      <c r="S495" s="80">
        <f>IF(A495="","",COUNT(G495:R495))</f>
        <v/>
      </c>
      <c r="T495" s="81">
        <f>IF(OR(A495="",S495&lt;12),"",SUMPRODUCT($G$3:$R$3,G495:R495)/5)</f>
        <v/>
      </c>
      <c r="U495" s="82">
        <f>IF(A495="","",IF(COUNTIF(C495:F495,"Fail")&gt;0,"No-Bid (gate failed)",IF(S495&lt;12,"Incomplete ("&amp;S495&amp;"/12)",IF(T495&gt;='Scoring Guide'!$C$26,"Bid",IF(T495&gt;='Scoring Guide'!$C$27,"Conditional (MD)","No-Bid")))))</f>
        <v/>
      </c>
      <c r="V495" s="79" t="n"/>
      <c r="W495" s="83" t="n"/>
      <c r="X495" s="79" t="n"/>
      <c r="Y495" s="79" t="n"/>
    </row>
    <row r="496" ht="15" customHeight="1" s="51">
      <c r="A496" s="77">
        <f>IF(Pipeline!A496="","",Pipeline!A496)</f>
        <v/>
      </c>
      <c r="B496" s="78">
        <f>IF(A496="","",INDEX(Pipeline!$H:$H,MATCH(A496,Pipeline!$A:$A,0)))</f>
        <v/>
      </c>
      <c r="C496" s="79" t="n"/>
      <c r="D496" s="79" t="n"/>
      <c r="E496" s="79" t="n"/>
      <c r="F496" s="79" t="n"/>
      <c r="G496" s="79" t="n"/>
      <c r="H496" s="79" t="n"/>
      <c r="I496" s="79" t="n"/>
      <c r="J496" s="79" t="n"/>
      <c r="K496" s="79" t="n"/>
      <c r="L496" s="79" t="n"/>
      <c r="M496" s="79" t="n"/>
      <c r="N496" s="79" t="n"/>
      <c r="O496" s="79" t="n"/>
      <c r="P496" s="79" t="n"/>
      <c r="Q496" s="79" t="n"/>
      <c r="R496" s="79" t="n"/>
      <c r="S496" s="80">
        <f>IF(A496="","",COUNT(G496:R496))</f>
        <v/>
      </c>
      <c r="T496" s="81">
        <f>IF(OR(A496="",S496&lt;12),"",SUMPRODUCT($G$3:$R$3,G496:R496)/5)</f>
        <v/>
      </c>
      <c r="U496" s="82">
        <f>IF(A496="","",IF(COUNTIF(C496:F496,"Fail")&gt;0,"No-Bid (gate failed)",IF(S496&lt;12,"Incomplete ("&amp;S496&amp;"/12)",IF(T496&gt;='Scoring Guide'!$C$26,"Bid",IF(T496&gt;='Scoring Guide'!$C$27,"Conditional (MD)","No-Bid")))))</f>
        <v/>
      </c>
      <c r="V496" s="79" t="n"/>
      <c r="W496" s="83" t="n"/>
      <c r="X496" s="79" t="n"/>
      <c r="Y496" s="79" t="n"/>
    </row>
    <row r="497" ht="15" customHeight="1" s="51">
      <c r="A497" s="77">
        <f>IF(Pipeline!A497="","",Pipeline!A497)</f>
        <v/>
      </c>
      <c r="B497" s="78">
        <f>IF(A497="","",INDEX(Pipeline!$H:$H,MATCH(A497,Pipeline!$A:$A,0)))</f>
        <v/>
      </c>
      <c r="C497" s="79" t="n"/>
      <c r="D497" s="79" t="n"/>
      <c r="E497" s="79" t="n"/>
      <c r="F497" s="79" t="n"/>
      <c r="G497" s="79" t="n"/>
      <c r="H497" s="79" t="n"/>
      <c r="I497" s="79" t="n"/>
      <c r="J497" s="79" t="n"/>
      <c r="K497" s="79" t="n"/>
      <c r="L497" s="79" t="n"/>
      <c r="M497" s="79" t="n"/>
      <c r="N497" s="79" t="n"/>
      <c r="O497" s="79" t="n"/>
      <c r="P497" s="79" t="n"/>
      <c r="Q497" s="79" t="n"/>
      <c r="R497" s="79" t="n"/>
      <c r="S497" s="80">
        <f>IF(A497="","",COUNT(G497:R497))</f>
        <v/>
      </c>
      <c r="T497" s="81">
        <f>IF(OR(A497="",S497&lt;12),"",SUMPRODUCT($G$3:$R$3,G497:R497)/5)</f>
        <v/>
      </c>
      <c r="U497" s="82">
        <f>IF(A497="","",IF(COUNTIF(C497:F497,"Fail")&gt;0,"No-Bid (gate failed)",IF(S497&lt;12,"Incomplete ("&amp;S497&amp;"/12)",IF(T497&gt;='Scoring Guide'!$C$26,"Bid",IF(T497&gt;='Scoring Guide'!$C$27,"Conditional (MD)","No-Bid")))))</f>
        <v/>
      </c>
      <c r="V497" s="79" t="n"/>
      <c r="W497" s="83" t="n"/>
      <c r="X497" s="79" t="n"/>
      <c r="Y497" s="79" t="n"/>
    </row>
    <row r="498" ht="15" customHeight="1" s="51">
      <c r="A498" s="77">
        <f>IF(Pipeline!A498="","",Pipeline!A498)</f>
        <v/>
      </c>
      <c r="B498" s="78">
        <f>IF(A498="","",INDEX(Pipeline!$H:$H,MATCH(A498,Pipeline!$A:$A,0)))</f>
        <v/>
      </c>
      <c r="C498" s="79" t="n"/>
      <c r="D498" s="79" t="n"/>
      <c r="E498" s="79" t="n"/>
      <c r="F498" s="79" t="n"/>
      <c r="G498" s="79" t="n"/>
      <c r="H498" s="79" t="n"/>
      <c r="I498" s="79" t="n"/>
      <c r="J498" s="79" t="n"/>
      <c r="K498" s="79" t="n"/>
      <c r="L498" s="79" t="n"/>
      <c r="M498" s="79" t="n"/>
      <c r="N498" s="79" t="n"/>
      <c r="O498" s="79" t="n"/>
      <c r="P498" s="79" t="n"/>
      <c r="Q498" s="79" t="n"/>
      <c r="R498" s="79" t="n"/>
      <c r="S498" s="80">
        <f>IF(A498="","",COUNT(G498:R498))</f>
        <v/>
      </c>
      <c r="T498" s="81">
        <f>IF(OR(A498="",S498&lt;12),"",SUMPRODUCT($G$3:$R$3,G498:R498)/5)</f>
        <v/>
      </c>
      <c r="U498" s="82">
        <f>IF(A498="","",IF(COUNTIF(C498:F498,"Fail")&gt;0,"No-Bid (gate failed)",IF(S498&lt;12,"Incomplete ("&amp;S498&amp;"/12)",IF(T498&gt;='Scoring Guide'!$C$26,"Bid",IF(T498&gt;='Scoring Guide'!$C$27,"Conditional (MD)","No-Bid")))))</f>
        <v/>
      </c>
      <c r="V498" s="79" t="n"/>
      <c r="W498" s="83" t="n"/>
      <c r="X498" s="79" t="n"/>
      <c r="Y498" s="79" t="n"/>
    </row>
    <row r="499" ht="15" customHeight="1" s="51">
      <c r="A499" s="77">
        <f>IF(Pipeline!A499="","",Pipeline!A499)</f>
        <v/>
      </c>
      <c r="B499" s="78">
        <f>IF(A499="","",INDEX(Pipeline!$H:$H,MATCH(A499,Pipeline!$A:$A,0)))</f>
        <v/>
      </c>
      <c r="C499" s="79" t="n"/>
      <c r="D499" s="79" t="n"/>
      <c r="E499" s="79" t="n"/>
      <c r="F499" s="79" t="n"/>
      <c r="G499" s="79" t="n"/>
      <c r="H499" s="79" t="n"/>
      <c r="I499" s="79" t="n"/>
      <c r="J499" s="79" t="n"/>
      <c r="K499" s="79" t="n"/>
      <c r="L499" s="79" t="n"/>
      <c r="M499" s="79" t="n"/>
      <c r="N499" s="79" t="n"/>
      <c r="O499" s="79" t="n"/>
      <c r="P499" s="79" t="n"/>
      <c r="Q499" s="79" t="n"/>
      <c r="R499" s="79" t="n"/>
      <c r="S499" s="80">
        <f>IF(A499="","",COUNT(G499:R499))</f>
        <v/>
      </c>
      <c r="T499" s="81">
        <f>IF(OR(A499="",S499&lt;12),"",SUMPRODUCT($G$3:$R$3,G499:R499)/5)</f>
        <v/>
      </c>
      <c r="U499" s="82">
        <f>IF(A499="","",IF(COUNTIF(C499:F499,"Fail")&gt;0,"No-Bid (gate failed)",IF(S499&lt;12,"Incomplete ("&amp;S499&amp;"/12)",IF(T499&gt;='Scoring Guide'!$C$26,"Bid",IF(T499&gt;='Scoring Guide'!$C$27,"Conditional (MD)","No-Bid")))))</f>
        <v/>
      </c>
      <c r="V499" s="79" t="n"/>
      <c r="W499" s="83" t="n"/>
      <c r="X499" s="79" t="n"/>
      <c r="Y499" s="79" t="n"/>
    </row>
    <row r="500" ht="15" customHeight="1" s="51">
      <c r="A500" s="77">
        <f>IF(Pipeline!A500="","",Pipeline!A500)</f>
        <v/>
      </c>
      <c r="B500" s="78">
        <f>IF(A500="","",INDEX(Pipeline!$H:$H,MATCH(A500,Pipeline!$A:$A,0)))</f>
        <v/>
      </c>
      <c r="C500" s="79" t="n"/>
      <c r="D500" s="79" t="n"/>
      <c r="E500" s="79" t="n"/>
      <c r="F500" s="79" t="n"/>
      <c r="G500" s="79" t="n"/>
      <c r="H500" s="79" t="n"/>
      <c r="I500" s="79" t="n"/>
      <c r="J500" s="79" t="n"/>
      <c r="K500" s="79" t="n"/>
      <c r="L500" s="79" t="n"/>
      <c r="M500" s="79" t="n"/>
      <c r="N500" s="79" t="n"/>
      <c r="O500" s="79" t="n"/>
      <c r="P500" s="79" t="n"/>
      <c r="Q500" s="79" t="n"/>
      <c r="R500" s="79" t="n"/>
      <c r="S500" s="80">
        <f>IF(A500="","",COUNT(G500:R500))</f>
        <v/>
      </c>
      <c r="T500" s="81">
        <f>IF(OR(A500="",S500&lt;12),"",SUMPRODUCT($G$3:$R$3,G500:R500)/5)</f>
        <v/>
      </c>
      <c r="U500" s="82">
        <f>IF(A500="","",IF(COUNTIF(C500:F500,"Fail")&gt;0,"No-Bid (gate failed)",IF(S500&lt;12,"Incomplete ("&amp;S500&amp;"/12)",IF(T500&gt;='Scoring Guide'!$C$26,"Bid",IF(T500&gt;='Scoring Guide'!$C$27,"Conditional (MD)","No-Bid")))))</f>
        <v/>
      </c>
      <c r="V500" s="79" t="n"/>
      <c r="W500" s="83" t="n"/>
      <c r="X500" s="79" t="n"/>
      <c r="Y500" s="79" t="n"/>
    </row>
    <row r="501" ht="15" customHeight="1" s="51">
      <c r="A501" s="77">
        <f>IF(Pipeline!A501="","",Pipeline!A501)</f>
        <v/>
      </c>
      <c r="B501" s="78">
        <f>IF(A501="","",INDEX(Pipeline!$H:$H,MATCH(A501,Pipeline!$A:$A,0)))</f>
        <v/>
      </c>
      <c r="C501" s="79" t="n"/>
      <c r="D501" s="79" t="n"/>
      <c r="E501" s="79" t="n"/>
      <c r="F501" s="79" t="n"/>
      <c r="G501" s="79" t="n"/>
      <c r="H501" s="79" t="n"/>
      <c r="I501" s="79" t="n"/>
      <c r="J501" s="79" t="n"/>
      <c r="K501" s="79" t="n"/>
      <c r="L501" s="79" t="n"/>
      <c r="M501" s="79" t="n"/>
      <c r="N501" s="79" t="n"/>
      <c r="O501" s="79" t="n"/>
      <c r="P501" s="79" t="n"/>
      <c r="Q501" s="79" t="n"/>
      <c r="R501" s="79" t="n"/>
      <c r="S501" s="80">
        <f>IF(A501="","",COUNT(G501:R501))</f>
        <v/>
      </c>
      <c r="T501" s="81">
        <f>IF(OR(A501="",S501&lt;12),"",SUMPRODUCT($G$3:$R$3,G501:R501)/5)</f>
        <v/>
      </c>
      <c r="U501" s="82">
        <f>IF(A501="","",IF(COUNTIF(C501:F501,"Fail")&gt;0,"No-Bid (gate failed)",IF(S501&lt;12,"Incomplete ("&amp;S501&amp;"/12)",IF(T501&gt;='Scoring Guide'!$C$26,"Bid",IF(T501&gt;='Scoring Guide'!$C$27,"Conditional (MD)","No-Bid")))))</f>
        <v/>
      </c>
      <c r="V501" s="79" t="n"/>
      <c r="W501" s="83" t="n"/>
      <c r="X501" s="79" t="n"/>
      <c r="Y501" s="79" t="n"/>
    </row>
    <row r="502" ht="15" customHeight="1" s="51">
      <c r="A502" s="77">
        <f>IF(Pipeline!A502="","",Pipeline!A502)</f>
        <v/>
      </c>
      <c r="B502" s="78">
        <f>IF(A502="","",INDEX(Pipeline!$H:$H,MATCH(A502,Pipeline!$A:$A,0)))</f>
        <v/>
      </c>
      <c r="C502" s="79" t="n"/>
      <c r="D502" s="79" t="n"/>
      <c r="E502" s="79" t="n"/>
      <c r="F502" s="79" t="n"/>
      <c r="G502" s="79" t="n"/>
      <c r="H502" s="79" t="n"/>
      <c r="I502" s="79" t="n"/>
      <c r="J502" s="79" t="n"/>
      <c r="K502" s="79" t="n"/>
      <c r="L502" s="79" t="n"/>
      <c r="M502" s="79" t="n"/>
      <c r="N502" s="79" t="n"/>
      <c r="O502" s="79" t="n"/>
      <c r="P502" s="79" t="n"/>
      <c r="Q502" s="79" t="n"/>
      <c r="R502" s="79" t="n"/>
      <c r="S502" s="80">
        <f>IF(A502="","",COUNT(G502:R502))</f>
        <v/>
      </c>
      <c r="T502" s="81">
        <f>IF(OR(A502="",S502&lt;12),"",SUMPRODUCT($G$3:$R$3,G502:R502)/5)</f>
        <v/>
      </c>
      <c r="U502" s="82">
        <f>IF(A502="","",IF(COUNTIF(C502:F502,"Fail")&gt;0,"No-Bid (gate failed)",IF(S502&lt;12,"Incomplete ("&amp;S502&amp;"/12)",IF(T502&gt;='Scoring Guide'!$C$26,"Bid",IF(T502&gt;='Scoring Guide'!$C$27,"Conditional (MD)","No-Bid")))))</f>
        <v/>
      </c>
      <c r="V502" s="79" t="n"/>
      <c r="W502" s="83" t="n"/>
      <c r="X502" s="79" t="n"/>
      <c r="Y502" s="79" t="n"/>
    </row>
    <row r="503" ht="15" customHeight="1" s="51">
      <c r="A503" s="77">
        <f>IF(Pipeline!A503="","",Pipeline!A503)</f>
        <v/>
      </c>
      <c r="B503" s="78">
        <f>IF(A503="","",INDEX(Pipeline!$H:$H,MATCH(A503,Pipeline!$A:$A,0)))</f>
        <v/>
      </c>
      <c r="C503" s="79" t="n"/>
      <c r="D503" s="79" t="n"/>
      <c r="E503" s="79" t="n"/>
      <c r="F503" s="79" t="n"/>
      <c r="G503" s="79" t="n"/>
      <c r="H503" s="79" t="n"/>
      <c r="I503" s="79" t="n"/>
      <c r="J503" s="79" t="n"/>
      <c r="K503" s="79" t="n"/>
      <c r="L503" s="79" t="n"/>
      <c r="M503" s="79" t="n"/>
      <c r="N503" s="79" t="n"/>
      <c r="O503" s="79" t="n"/>
      <c r="P503" s="79" t="n"/>
      <c r="Q503" s="79" t="n"/>
      <c r="R503" s="79" t="n"/>
      <c r="S503" s="80">
        <f>IF(A503="","",COUNT(G503:R503))</f>
        <v/>
      </c>
      <c r="T503" s="81">
        <f>IF(OR(A503="",S503&lt;12),"",SUMPRODUCT($G$3:$R$3,G503:R503)/5)</f>
        <v/>
      </c>
      <c r="U503" s="82">
        <f>IF(A503="","",IF(COUNTIF(C503:F503,"Fail")&gt;0,"No-Bid (gate failed)",IF(S503&lt;12,"Incomplete ("&amp;S503&amp;"/12)",IF(T503&gt;='Scoring Guide'!$C$26,"Bid",IF(T503&gt;='Scoring Guide'!$C$27,"Conditional (MD)","No-Bid")))))</f>
        <v/>
      </c>
      <c r="V503" s="79" t="n"/>
      <c r="W503" s="83" t="n"/>
      <c r="X503" s="79" t="n"/>
      <c r="Y503" s="79" t="n"/>
    </row>
    <row r="504" ht="15" customHeight="1" s="51">
      <c r="A504" s="77">
        <f>IF(Pipeline!A504="","",Pipeline!A504)</f>
        <v/>
      </c>
      <c r="B504" s="78">
        <f>IF(A504="","",INDEX(Pipeline!$H:$H,MATCH(A504,Pipeline!$A:$A,0)))</f>
        <v/>
      </c>
      <c r="C504" s="79" t="n"/>
      <c r="D504" s="79" t="n"/>
      <c r="E504" s="79" t="n"/>
      <c r="F504" s="79" t="n"/>
      <c r="G504" s="79" t="n"/>
      <c r="H504" s="79" t="n"/>
      <c r="I504" s="79" t="n"/>
      <c r="J504" s="79" t="n"/>
      <c r="K504" s="79" t="n"/>
      <c r="L504" s="79" t="n"/>
      <c r="M504" s="79" t="n"/>
      <c r="N504" s="79" t="n"/>
      <c r="O504" s="79" t="n"/>
      <c r="P504" s="79" t="n"/>
      <c r="Q504" s="79" t="n"/>
      <c r="R504" s="79" t="n"/>
      <c r="S504" s="80">
        <f>IF(A504="","",COUNT(G504:R504))</f>
        <v/>
      </c>
      <c r="T504" s="81">
        <f>IF(OR(A504="",S504&lt;12),"",SUMPRODUCT($G$3:$R$3,G504:R504)/5)</f>
        <v/>
      </c>
      <c r="U504" s="82">
        <f>IF(A504="","",IF(COUNTIF(C504:F504,"Fail")&gt;0,"No-Bid (gate failed)",IF(S504&lt;12,"Incomplete ("&amp;S504&amp;"/12)",IF(T504&gt;='Scoring Guide'!$C$26,"Bid",IF(T504&gt;='Scoring Guide'!$C$27,"Conditional (MD)","No-Bid")))))</f>
        <v/>
      </c>
      <c r="V504" s="79" t="n"/>
      <c r="W504" s="83" t="n"/>
      <c r="X504" s="79" t="n"/>
      <c r="Y504" s="79" t="n"/>
    </row>
  </sheetData>
  <conditionalFormatting sqref="U5:U504">
    <cfRule type="cellIs" rank="0" priority="2" equalAverage="0" operator="equal" aboveAverage="0" dxfId="17" text="" percent="0" bottom="0">
      <formula>"Bid"</formula>
    </cfRule>
    <cfRule type="cellIs" rank="0" priority="3" equalAverage="0" operator="equal" aboveAverage="0" dxfId="18" text="" percent="0" bottom="0">
      <formula>"Conditional (MD)"</formula>
    </cfRule>
    <cfRule type="expression" rank="0" priority="4" equalAverage="0" aboveAverage="0" dxfId="20" text="" percent="0" bottom="0">
      <formula>LEFT(U5,6)="No-Bid"</formula>
    </cfRule>
  </conditionalFormatting>
  <dataValidations count="3">
    <dataValidation sqref="C5:F504" showDropDown="0" showInputMessage="0" showErrorMessage="0" allowBlank="1" type="list" errorStyle="stop" operator="between">
      <formula1>Lists!$H$5:$H$7</formula1>
      <formula2>0</formula2>
    </dataValidation>
    <dataValidation sqref="G5:R504" showDropDown="0" showInputMessage="0" showErrorMessage="1" allowBlank="1" error="Score must be a whole number 0–5" type="whole" errorStyle="stop" operator="between">
      <formula1>0</formula1>
      <formula2>5</formula2>
    </dataValidation>
    <dataValidation sqref="X5:X504" showDropDown="0" showInputMessage="0" showErrorMessage="0" allowBlank="1" type="list" errorStyle="stop" operator="between">
      <formula1>Lists!$F$5:$F$8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D98A0B"/>
    <outlinePr summaryBelow="1" summaryRight="1"/>
    <pageSetUpPr fitToPage="0"/>
  </sheetPr>
  <dimension ref="A1:J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0" min="1" max="1"/>
    <col width="44" customWidth="1" style="50" min="2" max="2"/>
    <col width="26" customWidth="1" style="50" min="3" max="3"/>
    <col width="50" customWidth="1" style="50" min="4" max="4"/>
    <col width="20" customWidth="1" style="50" min="5" max="5"/>
    <col width="17" customWidth="1" style="50" min="6" max="6"/>
    <col width="8" customWidth="1" style="50" min="7" max="7"/>
    <col width="24" customWidth="1" style="50" min="8" max="8"/>
    <col width="16" customWidth="1" style="50" min="9" max="9"/>
    <col hidden="1" width="13" customWidth="1" style="50" min="10" max="10"/>
  </cols>
  <sheetData>
    <row r="1" ht="17.35" customHeight="1" s="51">
      <c r="A1" s="52" t="inlineStr">
        <is>
          <t>Friday Pipeline Summary</t>
        </is>
      </c>
    </row>
    <row r="2" ht="15" customHeight="1" s="51">
      <c r="A2" s="53" t="inlineStr">
        <is>
          <t>Set the report date in C4 (the Friday). Everything else updates from the Pipeline sheet.</t>
        </is>
      </c>
    </row>
    <row r="4" ht="15" customHeight="1" s="51">
      <c r="B4" s="84" t="inlineStr">
        <is>
          <t>Report date (Friday)</t>
        </is>
      </c>
      <c r="C4" s="85" t="n">
        <v>46290</v>
      </c>
    </row>
    <row r="5" ht="15" customHeight="1" s="51">
      <c r="B5" s="84" t="inlineStr">
        <is>
          <t>Week covered from</t>
        </is>
      </c>
      <c r="C5" s="86">
        <f>C4-6</f>
        <v/>
      </c>
    </row>
    <row r="7" ht="15" customHeight="1" s="51">
      <c r="B7" s="87" t="inlineStr">
        <is>
          <t>Opportunities in tracker</t>
        </is>
      </c>
      <c r="C7" s="88">
        <f>COUNTIF(Pipeline!$A$5:$A$504,"OP-*")</f>
        <v/>
      </c>
    </row>
    <row r="8" ht="15" customHeight="1" s="51">
      <c r="B8" s="87" t="inlineStr">
        <is>
          <t>New this week (by date found)</t>
        </is>
      </c>
      <c r="C8" s="88">
        <f>COUNTIFS(Pipeline!$C$5:$C$504,"&gt;="&amp;C5,Pipeline!$C$5:$C$504,"&lt;="&amp;C4)</f>
        <v/>
      </c>
    </row>
    <row r="9" ht="15" customHeight="1" s="51">
      <c r="B9" s="87" t="inlineStr">
        <is>
          <t>Open (Watching or Preparing)</t>
        </is>
      </c>
      <c r="C9" s="88">
        <f>COUNTIF(Pipeline!$W$5:$W$504,"Watching")+COUNTIF(Pipeline!$W$5:$W$504,"Preparing")</f>
        <v/>
      </c>
    </row>
    <row r="10" ht="15" customHeight="1" s="51">
      <c r="B10" s="87" t="inlineStr">
        <is>
          <t>Submissions due in next 14 days</t>
        </is>
      </c>
      <c r="C10" s="88">
        <f>COUNT(Pipeline!$AL$5:$AL$504)</f>
        <v/>
      </c>
    </row>
    <row r="11" ht="15" customHeight="1" s="51">
      <c r="B11" s="87" t="inlineStr">
        <is>
          <t>Flagged for MD escalation</t>
        </is>
      </c>
      <c r="C11" s="88">
        <f>COUNTIF(Pipeline!$AG$5:$AG$504,"YES*")</f>
        <v/>
      </c>
    </row>
    <row r="12" ht="15" customHeight="1" s="51">
      <c r="B12" s="87" t="inlineStr">
        <is>
          <t>Initial screen: Pursue</t>
        </is>
      </c>
      <c r="C12" s="88">
        <f>COUNTIFS(Pipeline!$AC$5:$AC$504,"Pursue",Pipeline!$W$5:$W$504,"Watching")+COUNTIFS(Pipeline!$AC$5:$AC$504,"Pursue",Pipeline!$W$5:$W$504,"Preparing")</f>
        <v/>
      </c>
    </row>
    <row r="13" ht="15" customHeight="1" s="51">
      <c r="B13" s="87" t="inlineStr">
        <is>
          <t>Initial screen: Check</t>
        </is>
      </c>
      <c r="C13" s="88">
        <f>COUNTIFS(Pipeline!$AC$5:$AC$504,"Check",Pipeline!$W$5:$W$504,"Watching")+COUNTIFS(Pipeline!$AC$5:$AC$504,"Check",Pipeline!$W$5:$W$504,"Preparing")</f>
        <v/>
      </c>
    </row>
    <row r="14" ht="15" customHeight="1" s="51">
      <c r="B14" s="87" t="inlineStr">
        <is>
          <t>Submitted, awaiting result</t>
        </is>
      </c>
      <c r="C14" s="88">
        <f>COUNTIF(Pipeline!$W$5:$W$504,"Submitted")</f>
        <v/>
      </c>
    </row>
    <row r="15" ht="15" customHeight="1" s="51">
      <c r="B15" s="87" t="inlineStr">
        <is>
          <t>Won / Lost (to date)</t>
        </is>
      </c>
      <c r="C15" s="89">
        <f>COUNTIF(Pipeline!$W$5:$W$504,"Won")&amp;" / "&amp;COUNTIF(Pipeline!$W$5:$W$504,"Lost")</f>
        <v/>
      </c>
    </row>
    <row r="16" ht="15" customHeight="1" s="51">
      <c r="B16" s="87" t="inlineStr">
        <is>
          <t>Est. value of open opportunities (TZS, where known)</t>
        </is>
      </c>
      <c r="C16" s="90">
        <f>SUMIFS(Pipeline!$M$5:$M$504,Pipeline!$W$5:$W$504,"Watching")+SUMIFS(Pipeline!$M$5:$M$504,Pipeline!$W$5:$W$504,"Preparing")</f>
        <v/>
      </c>
    </row>
    <row r="18" ht="15" customHeight="1" s="51">
      <c r="B18" s="91" t="inlineStr">
        <is>
          <t>Submissions due in the next 14 days (open items, soonest first)</t>
        </is>
      </c>
    </row>
    <row r="19" ht="15" customHeight="1" s="51">
      <c r="A19" s="92" t="inlineStr">
        <is>
          <t>#</t>
        </is>
      </c>
      <c r="B19" s="92" t="inlineStr">
        <is>
          <t>ID</t>
        </is>
      </c>
      <c r="C19" s="92" t="inlineStr">
        <is>
          <t>Client</t>
        </is>
      </c>
      <c r="D19" s="92" t="inlineStr">
        <is>
          <t>Tender title</t>
        </is>
      </c>
      <c r="E19" s="92" t="inlineStr">
        <is>
          <t>Location</t>
        </is>
      </c>
      <c r="F19" s="92" t="inlineStr">
        <is>
          <t>Submission date</t>
        </is>
      </c>
      <c r="G19" s="92" t="inlineStr">
        <is>
          <t>Days left</t>
        </is>
      </c>
      <c r="H19" s="92" t="inlineStr">
        <is>
          <t>Recommendation</t>
        </is>
      </c>
      <c r="I19" s="92" t="inlineStr">
        <is>
          <t>Escalate?</t>
        </is>
      </c>
    </row>
    <row r="20" ht="23.85" customHeight="1" s="51">
      <c r="A20" s="93" t="n">
        <v>1</v>
      </c>
      <c r="B20" s="59">
        <f>IF(J20="","",INDEX(Pipeline!$A$5:$A$504,J20))</f>
        <v/>
      </c>
      <c r="C20" s="59">
        <f>IF(J20="","",INDEX(Pipeline!$F$5:$F$504,J20))</f>
        <v/>
      </c>
      <c r="D20" s="59">
        <f>IF(J20="","",INDEX(Pipeline!$H$5:$H$504,J20))</f>
        <v/>
      </c>
      <c r="E20" s="59">
        <f>IF(J20="","",INDEX(Pipeline!$J$5:$J$504,J20))</f>
        <v/>
      </c>
      <c r="F20" s="94">
        <f>IF(J20="","",INDEX(Pipeline!$Q$5:$Q$504,J20))</f>
        <v/>
      </c>
      <c r="G20" s="67">
        <f>IF(J20="","",INDEX(Pipeline!$AE$5:$AE$504,J20))</f>
        <v/>
      </c>
      <c r="H20" s="59">
        <f>IF(J20="","",INDEX(Pipeline!$U$5:$U$504,J20))</f>
        <v/>
      </c>
      <c r="I20" s="59">
        <f>IF(J20="","",INDEX(Pipeline!$AG$5:$AG$504,J20))</f>
        <v/>
      </c>
      <c r="J20" s="50">
        <f>IFERROR(MATCH(SMALL(Pipeline!$AL$5:$AL$504,A20),Pipeline!$AL$5:$AL$504,0),"")</f>
        <v/>
      </c>
    </row>
    <row r="21" ht="23.85" customHeight="1" s="51">
      <c r="A21" s="93" t="n">
        <v>2</v>
      </c>
      <c r="B21" s="59">
        <f>IF(J21="","",INDEX(Pipeline!$A$5:$A$504,J21))</f>
        <v/>
      </c>
      <c r="C21" s="59">
        <f>IF(J21="","",INDEX(Pipeline!$F$5:$F$504,J21))</f>
        <v/>
      </c>
      <c r="D21" s="59">
        <f>IF(J21="","",INDEX(Pipeline!$H$5:$H$504,J21))</f>
        <v/>
      </c>
      <c r="E21" s="59">
        <f>IF(J21="","",INDEX(Pipeline!$J$5:$J$504,J21))</f>
        <v/>
      </c>
      <c r="F21" s="94">
        <f>IF(J21="","",INDEX(Pipeline!$Q$5:$Q$504,J21))</f>
        <v/>
      </c>
      <c r="G21" s="67">
        <f>IF(J21="","",INDEX(Pipeline!$AE$5:$AE$504,J21))</f>
        <v/>
      </c>
      <c r="H21" s="59">
        <f>IF(J21="","",INDEX(Pipeline!$U$5:$U$504,J21))</f>
        <v/>
      </c>
      <c r="I21" s="59">
        <f>IF(J21="","",INDEX(Pipeline!$AG$5:$AG$504,J21))</f>
        <v/>
      </c>
      <c r="J21" s="50">
        <f>IFERROR(MATCH(SMALL(Pipeline!$AL$5:$AL$504,A21),Pipeline!$AL$5:$AL$504,0),"")</f>
        <v/>
      </c>
    </row>
    <row r="22" ht="23.85" customHeight="1" s="51">
      <c r="A22" s="93" t="n">
        <v>3</v>
      </c>
      <c r="B22" s="59">
        <f>IF(J22="","",INDEX(Pipeline!$A$5:$A$504,J22))</f>
        <v/>
      </c>
      <c r="C22" s="59">
        <f>IF(J22="","",INDEX(Pipeline!$F$5:$F$504,J22))</f>
        <v/>
      </c>
      <c r="D22" s="59">
        <f>IF(J22="","",INDEX(Pipeline!$H$5:$H$504,J22))</f>
        <v/>
      </c>
      <c r="E22" s="59">
        <f>IF(J22="","",INDEX(Pipeline!$J$5:$J$504,J22))</f>
        <v/>
      </c>
      <c r="F22" s="94">
        <f>IF(J22="","",INDEX(Pipeline!$Q$5:$Q$504,J22))</f>
        <v/>
      </c>
      <c r="G22" s="67">
        <f>IF(J22="","",INDEX(Pipeline!$AE$5:$AE$504,J22))</f>
        <v/>
      </c>
      <c r="H22" s="59">
        <f>IF(J22="","",INDEX(Pipeline!$U$5:$U$504,J22))</f>
        <v/>
      </c>
      <c r="I22" s="59">
        <f>IF(J22="","",INDEX(Pipeline!$AG$5:$AG$504,J22))</f>
        <v/>
      </c>
      <c r="J22" s="50">
        <f>IFERROR(MATCH(SMALL(Pipeline!$AL$5:$AL$504,A22),Pipeline!$AL$5:$AL$504,0),"")</f>
        <v/>
      </c>
    </row>
    <row r="23" ht="23.85" customHeight="1" s="51">
      <c r="A23" s="93" t="n">
        <v>4</v>
      </c>
      <c r="B23" s="59">
        <f>IF(J23="","",INDEX(Pipeline!$A$5:$A$504,J23))</f>
        <v/>
      </c>
      <c r="C23" s="59">
        <f>IF(J23="","",INDEX(Pipeline!$F$5:$F$504,J23))</f>
        <v/>
      </c>
      <c r="D23" s="59">
        <f>IF(J23="","",INDEX(Pipeline!$H$5:$H$504,J23))</f>
        <v/>
      </c>
      <c r="E23" s="59">
        <f>IF(J23="","",INDEX(Pipeline!$J$5:$J$504,J23))</f>
        <v/>
      </c>
      <c r="F23" s="94">
        <f>IF(J23="","",INDEX(Pipeline!$Q$5:$Q$504,J23))</f>
        <v/>
      </c>
      <c r="G23" s="67">
        <f>IF(J23="","",INDEX(Pipeline!$AE$5:$AE$504,J23))</f>
        <v/>
      </c>
      <c r="H23" s="59">
        <f>IF(J23="","",INDEX(Pipeline!$U$5:$U$504,J23))</f>
        <v/>
      </c>
      <c r="I23" s="59">
        <f>IF(J23="","",INDEX(Pipeline!$AG$5:$AG$504,J23))</f>
        <v/>
      </c>
      <c r="J23" s="50">
        <f>IFERROR(MATCH(SMALL(Pipeline!$AL$5:$AL$504,A23),Pipeline!$AL$5:$AL$504,0),"")</f>
        <v/>
      </c>
    </row>
    <row r="24" ht="23.85" customHeight="1" s="51">
      <c r="A24" s="93" t="n">
        <v>5</v>
      </c>
      <c r="B24" s="59">
        <f>IF(J24="","",INDEX(Pipeline!$A$5:$A$504,J24))</f>
        <v/>
      </c>
      <c r="C24" s="59">
        <f>IF(J24="","",INDEX(Pipeline!$F$5:$F$504,J24))</f>
        <v/>
      </c>
      <c r="D24" s="59">
        <f>IF(J24="","",INDEX(Pipeline!$H$5:$H$504,J24))</f>
        <v/>
      </c>
      <c r="E24" s="59">
        <f>IF(J24="","",INDEX(Pipeline!$J$5:$J$504,J24))</f>
        <v/>
      </c>
      <c r="F24" s="94">
        <f>IF(J24="","",INDEX(Pipeline!$Q$5:$Q$504,J24))</f>
        <v/>
      </c>
      <c r="G24" s="67">
        <f>IF(J24="","",INDEX(Pipeline!$AE$5:$AE$504,J24))</f>
        <v/>
      </c>
      <c r="H24" s="59">
        <f>IF(J24="","",INDEX(Pipeline!$U$5:$U$504,J24))</f>
        <v/>
      </c>
      <c r="I24" s="59">
        <f>IF(J24="","",INDEX(Pipeline!$AG$5:$AG$504,J24))</f>
        <v/>
      </c>
      <c r="J24" s="50">
        <f>IFERROR(MATCH(SMALL(Pipeline!$AL$5:$AL$504,A24),Pipeline!$AL$5:$AL$504,0),"")</f>
        <v/>
      </c>
    </row>
    <row r="25" ht="15" customHeight="1" s="51">
      <c r="A25" s="93" t="n">
        <v>6</v>
      </c>
      <c r="B25" s="59">
        <f>IF(J25="","",INDEX(Pipeline!$A$5:$A$504,J25))</f>
        <v/>
      </c>
      <c r="C25" s="59">
        <f>IF(J25="","",INDEX(Pipeline!$F$5:$F$504,J25))</f>
        <v/>
      </c>
      <c r="D25" s="59">
        <f>IF(J25="","",INDEX(Pipeline!$H$5:$H$504,J25))</f>
        <v/>
      </c>
      <c r="E25" s="59">
        <f>IF(J25="","",INDEX(Pipeline!$J$5:$J$504,J25))</f>
        <v/>
      </c>
      <c r="F25" s="94">
        <f>IF(J25="","",INDEX(Pipeline!$Q$5:$Q$504,J25))</f>
        <v/>
      </c>
      <c r="G25" s="67">
        <f>IF(J25="","",INDEX(Pipeline!$AE$5:$AE$504,J25))</f>
        <v/>
      </c>
      <c r="H25" s="59">
        <f>IF(J25="","",INDEX(Pipeline!$U$5:$U$504,J25))</f>
        <v/>
      </c>
      <c r="I25" s="59">
        <f>IF(J25="","",INDEX(Pipeline!$AG$5:$AG$504,J25))</f>
        <v/>
      </c>
      <c r="J25" s="50">
        <f>IFERROR(MATCH(SMALL(Pipeline!$AL$5:$AL$504,A25),Pipeline!$AL$5:$AL$504,0),"")</f>
        <v/>
      </c>
    </row>
    <row r="26" ht="23.85" customHeight="1" s="51">
      <c r="A26" s="93" t="n">
        <v>7</v>
      </c>
      <c r="B26" s="59">
        <f>IF(J26="","",INDEX(Pipeline!$A$5:$A$504,J26))</f>
        <v/>
      </c>
      <c r="C26" s="59">
        <f>IF(J26="","",INDEX(Pipeline!$F$5:$F$504,J26))</f>
        <v/>
      </c>
      <c r="D26" s="59">
        <f>IF(J26="","",INDEX(Pipeline!$H$5:$H$504,J26))</f>
        <v/>
      </c>
      <c r="E26" s="59">
        <f>IF(J26="","",INDEX(Pipeline!$J$5:$J$504,J26))</f>
        <v/>
      </c>
      <c r="F26" s="94">
        <f>IF(J26="","",INDEX(Pipeline!$Q$5:$Q$504,J26))</f>
        <v/>
      </c>
      <c r="G26" s="67">
        <f>IF(J26="","",INDEX(Pipeline!$AE$5:$AE$504,J26))</f>
        <v/>
      </c>
      <c r="H26" s="59">
        <f>IF(J26="","",INDEX(Pipeline!$U$5:$U$504,J26))</f>
        <v/>
      </c>
      <c r="I26" s="59">
        <f>IF(J26="","",INDEX(Pipeline!$AG$5:$AG$504,J26))</f>
        <v/>
      </c>
      <c r="J26" s="50">
        <f>IFERROR(MATCH(SMALL(Pipeline!$AL$5:$AL$504,A26),Pipeline!$AL$5:$AL$504,0),"")</f>
        <v/>
      </c>
    </row>
    <row r="27" ht="23.85" customHeight="1" s="51">
      <c r="A27" s="93" t="n">
        <v>8</v>
      </c>
      <c r="B27" s="59">
        <f>IF(J27="","",INDEX(Pipeline!$A$5:$A$504,J27))</f>
        <v/>
      </c>
      <c r="C27" s="59">
        <f>IF(J27="","",INDEX(Pipeline!$F$5:$F$504,J27))</f>
        <v/>
      </c>
      <c r="D27" s="59">
        <f>IF(J27="","",INDEX(Pipeline!$H$5:$H$504,J27))</f>
        <v/>
      </c>
      <c r="E27" s="59">
        <f>IF(J27="","",INDEX(Pipeline!$J$5:$J$504,J27))</f>
        <v/>
      </c>
      <c r="F27" s="94">
        <f>IF(J27="","",INDEX(Pipeline!$Q$5:$Q$504,J27))</f>
        <v/>
      </c>
      <c r="G27" s="67">
        <f>IF(J27="","",INDEX(Pipeline!$AE$5:$AE$504,J27))</f>
        <v/>
      </c>
      <c r="H27" s="59">
        <f>IF(J27="","",INDEX(Pipeline!$U$5:$U$504,J27))</f>
        <v/>
      </c>
      <c r="I27" s="59">
        <f>IF(J27="","",INDEX(Pipeline!$AG$5:$AG$504,J27))</f>
        <v/>
      </c>
      <c r="J27" s="50">
        <f>IFERROR(MATCH(SMALL(Pipeline!$AL$5:$AL$504,A27),Pipeline!$AL$5:$AL$504,0),"")</f>
        <v/>
      </c>
    </row>
    <row r="28" ht="15" customHeight="1" s="51">
      <c r="A28" s="93" t="n">
        <v>9</v>
      </c>
      <c r="B28" s="59">
        <f>IF(J28="","",INDEX(Pipeline!$A$5:$A$504,J28))</f>
        <v/>
      </c>
      <c r="C28" s="59">
        <f>IF(J28="","",INDEX(Pipeline!$F$5:$F$504,J28))</f>
        <v/>
      </c>
      <c r="D28" s="59">
        <f>IF(J28="","",INDEX(Pipeline!$H$5:$H$504,J28))</f>
        <v/>
      </c>
      <c r="E28" s="59">
        <f>IF(J28="","",INDEX(Pipeline!$J$5:$J$504,J28))</f>
        <v/>
      </c>
      <c r="F28" s="94">
        <f>IF(J28="","",INDEX(Pipeline!$Q$5:$Q$504,J28))</f>
        <v/>
      </c>
      <c r="G28" s="67">
        <f>IF(J28="","",INDEX(Pipeline!$AE$5:$AE$504,J28))</f>
        <v/>
      </c>
      <c r="H28" s="59">
        <f>IF(J28="","",INDEX(Pipeline!$U$5:$U$504,J28))</f>
        <v/>
      </c>
      <c r="I28" s="59">
        <f>IF(J28="","",INDEX(Pipeline!$AG$5:$AG$504,J28))</f>
        <v/>
      </c>
      <c r="J28" s="50">
        <f>IFERROR(MATCH(SMALL(Pipeline!$AL$5:$AL$504,A28),Pipeline!$AL$5:$AL$504,0),"")</f>
        <v/>
      </c>
    </row>
    <row r="29" ht="23.85" customHeight="1" s="51">
      <c r="A29" s="93" t="n">
        <v>10</v>
      </c>
      <c r="B29" s="59">
        <f>IF(J29="","",INDEX(Pipeline!$A$5:$A$504,J29))</f>
        <v/>
      </c>
      <c r="C29" s="59">
        <f>IF(J29="","",INDEX(Pipeline!$F$5:$F$504,J29))</f>
        <v/>
      </c>
      <c r="D29" s="59">
        <f>IF(J29="","",INDEX(Pipeline!$H$5:$H$504,J29))</f>
        <v/>
      </c>
      <c r="E29" s="59">
        <f>IF(J29="","",INDEX(Pipeline!$J$5:$J$504,J29))</f>
        <v/>
      </c>
      <c r="F29" s="94">
        <f>IF(J29="","",INDEX(Pipeline!$Q$5:$Q$504,J29))</f>
        <v/>
      </c>
      <c r="G29" s="67">
        <f>IF(J29="","",INDEX(Pipeline!$AE$5:$AE$504,J29))</f>
        <v/>
      </c>
      <c r="H29" s="59">
        <f>IF(J29="","",INDEX(Pipeline!$U$5:$U$504,J29))</f>
        <v/>
      </c>
      <c r="I29" s="59">
        <f>IF(J29="","",INDEX(Pipeline!$AG$5:$AG$504,J29))</f>
        <v/>
      </c>
      <c r="J29" s="50">
        <f>IFERROR(MATCH(SMALL(Pipeline!$AL$5:$AL$504,A29),Pipeline!$AL$5:$AL$504,0),"")</f>
        <v/>
      </c>
    </row>
    <row r="30" ht="23.85" customHeight="1" s="51">
      <c r="A30" s="93" t="n">
        <v>11</v>
      </c>
      <c r="B30" s="59">
        <f>IF(J30="","",INDEX(Pipeline!$A$5:$A$504,J30))</f>
        <v/>
      </c>
      <c r="C30" s="59">
        <f>IF(J30="","",INDEX(Pipeline!$F$5:$F$504,J30))</f>
        <v/>
      </c>
      <c r="D30" s="59">
        <f>IF(J30="","",INDEX(Pipeline!$H$5:$H$504,J30))</f>
        <v/>
      </c>
      <c r="E30" s="59">
        <f>IF(J30="","",INDEX(Pipeline!$J$5:$J$504,J30))</f>
        <v/>
      </c>
      <c r="F30" s="94">
        <f>IF(J30="","",INDEX(Pipeline!$Q$5:$Q$504,J30))</f>
        <v/>
      </c>
      <c r="G30" s="67">
        <f>IF(J30="","",INDEX(Pipeline!$AE$5:$AE$504,J30))</f>
        <v/>
      </c>
      <c r="H30" s="59">
        <f>IF(J30="","",INDEX(Pipeline!$U$5:$U$504,J30))</f>
        <v/>
      </c>
      <c r="I30" s="59">
        <f>IF(J30="","",INDEX(Pipeline!$AG$5:$AG$504,J30))</f>
        <v/>
      </c>
      <c r="J30" s="50">
        <f>IFERROR(MATCH(SMALL(Pipeline!$AL$5:$AL$504,A30),Pipeline!$AL$5:$AL$504,0),"")</f>
        <v/>
      </c>
    </row>
    <row r="31" ht="23.85" customHeight="1" s="51">
      <c r="A31" s="93" t="n">
        <v>12</v>
      </c>
      <c r="B31" s="59">
        <f>IF(J31="","",INDEX(Pipeline!$A$5:$A$504,J31))</f>
        <v/>
      </c>
      <c r="C31" s="59">
        <f>IF(J31="","",INDEX(Pipeline!$F$5:$F$504,J31))</f>
        <v/>
      </c>
      <c r="D31" s="59">
        <f>IF(J31="","",INDEX(Pipeline!$H$5:$H$504,J31))</f>
        <v/>
      </c>
      <c r="E31" s="59">
        <f>IF(J31="","",INDEX(Pipeline!$J$5:$J$504,J31))</f>
        <v/>
      </c>
      <c r="F31" s="94">
        <f>IF(J31="","",INDEX(Pipeline!$Q$5:$Q$504,J31))</f>
        <v/>
      </c>
      <c r="G31" s="67">
        <f>IF(J31="","",INDEX(Pipeline!$AE$5:$AE$504,J31))</f>
        <v/>
      </c>
      <c r="H31" s="59">
        <f>IF(J31="","",INDEX(Pipeline!$U$5:$U$504,J31))</f>
        <v/>
      </c>
      <c r="I31" s="59">
        <f>IF(J31="","",INDEX(Pipeline!$AG$5:$AG$504,J31))</f>
        <v/>
      </c>
      <c r="J31" s="50">
        <f>IFERROR(MATCH(SMALL(Pipeline!$AL$5:$AL$504,A31),Pipeline!$AL$5:$AL$504,0),"")</f>
        <v/>
      </c>
    </row>
    <row r="32" ht="23.85" customHeight="1" s="51">
      <c r="A32" s="93" t="n">
        <v>13</v>
      </c>
      <c r="B32" s="59">
        <f>IF(J32="","",INDEX(Pipeline!$A$5:$A$504,J32))</f>
        <v/>
      </c>
      <c r="C32" s="59">
        <f>IF(J32="","",INDEX(Pipeline!$F$5:$F$504,J32))</f>
        <v/>
      </c>
      <c r="D32" s="59">
        <f>IF(J32="","",INDEX(Pipeline!$H$5:$H$504,J32))</f>
        <v/>
      </c>
      <c r="E32" s="59">
        <f>IF(J32="","",INDEX(Pipeline!$J$5:$J$504,J32))</f>
        <v/>
      </c>
      <c r="F32" s="94">
        <f>IF(J32="","",INDEX(Pipeline!$Q$5:$Q$504,J32))</f>
        <v/>
      </c>
      <c r="G32" s="67">
        <f>IF(J32="","",INDEX(Pipeline!$AE$5:$AE$504,J32))</f>
        <v/>
      </c>
      <c r="H32" s="59">
        <f>IF(J32="","",INDEX(Pipeline!$U$5:$U$504,J32))</f>
        <v/>
      </c>
      <c r="I32" s="59">
        <f>IF(J32="","",INDEX(Pipeline!$AG$5:$AG$504,J32))</f>
        <v/>
      </c>
      <c r="J32" s="50">
        <f>IFERROR(MATCH(SMALL(Pipeline!$AL$5:$AL$504,A32),Pipeline!$AL$5:$AL$504,0),"")</f>
        <v/>
      </c>
    </row>
    <row r="33" ht="23.85" customHeight="1" s="51">
      <c r="A33" s="93" t="n">
        <v>14</v>
      </c>
      <c r="B33" s="59">
        <f>IF(J33="","",INDEX(Pipeline!$A$5:$A$504,J33))</f>
        <v/>
      </c>
      <c r="C33" s="59">
        <f>IF(J33="","",INDEX(Pipeline!$F$5:$F$504,J33))</f>
        <v/>
      </c>
      <c r="D33" s="59">
        <f>IF(J33="","",INDEX(Pipeline!$H$5:$H$504,J33))</f>
        <v/>
      </c>
      <c r="E33" s="59">
        <f>IF(J33="","",INDEX(Pipeline!$J$5:$J$504,J33))</f>
        <v/>
      </c>
      <c r="F33" s="94">
        <f>IF(J33="","",INDEX(Pipeline!$Q$5:$Q$504,J33))</f>
        <v/>
      </c>
      <c r="G33" s="67">
        <f>IF(J33="","",INDEX(Pipeline!$AE$5:$AE$504,J33))</f>
        <v/>
      </c>
      <c r="H33" s="59">
        <f>IF(J33="","",INDEX(Pipeline!$U$5:$U$504,J33))</f>
        <v/>
      </c>
      <c r="I33" s="59">
        <f>IF(J33="","",INDEX(Pipeline!$AG$5:$AG$504,J33))</f>
        <v/>
      </c>
      <c r="J33" s="50">
        <f>IFERROR(MATCH(SMALL(Pipeline!$AL$5:$AL$504,A33),Pipeline!$AL$5:$AL$504,0),"")</f>
        <v/>
      </c>
    </row>
    <row r="34" ht="23.85" customHeight="1" s="51">
      <c r="A34" s="93" t="n">
        <v>15</v>
      </c>
      <c r="B34" s="59">
        <f>IF(J34="","",INDEX(Pipeline!$A$5:$A$504,J34))</f>
        <v/>
      </c>
      <c r="C34" s="59">
        <f>IF(J34="","",INDEX(Pipeline!$F$5:$F$504,J34))</f>
        <v/>
      </c>
      <c r="D34" s="59">
        <f>IF(J34="","",INDEX(Pipeline!$H$5:$H$504,J34))</f>
        <v/>
      </c>
      <c r="E34" s="59">
        <f>IF(J34="","",INDEX(Pipeline!$J$5:$J$504,J34))</f>
        <v/>
      </c>
      <c r="F34" s="94">
        <f>IF(J34="","",INDEX(Pipeline!$Q$5:$Q$504,J34))</f>
        <v/>
      </c>
      <c r="G34" s="67">
        <f>IF(J34="","",INDEX(Pipeline!$AE$5:$AE$504,J34))</f>
        <v/>
      </c>
      <c r="H34" s="59">
        <f>IF(J34="","",INDEX(Pipeline!$U$5:$U$504,J34))</f>
        <v/>
      </c>
      <c r="I34" s="59">
        <f>IF(J34="","",INDEX(Pipeline!$AG$5:$AG$504,J34))</f>
        <v/>
      </c>
      <c r="J34" s="50">
        <f>IFERROR(MATCH(SMALL(Pipeline!$AL$5:$AL$504,A34),Pipeline!$AL$5:$AL$504,0),"")</f>
        <v/>
      </c>
    </row>
    <row r="35" ht="23.85" customHeight="1" s="51">
      <c r="A35" s="93" t="n">
        <v>16</v>
      </c>
      <c r="B35" s="59">
        <f>IF(J35="","",INDEX(Pipeline!$A$5:$A$504,J35))</f>
        <v/>
      </c>
      <c r="C35" s="59">
        <f>IF(J35="","",INDEX(Pipeline!$F$5:$F$504,J35))</f>
        <v/>
      </c>
      <c r="D35" s="59">
        <f>IF(J35="","",INDEX(Pipeline!$H$5:$H$504,J35))</f>
        <v/>
      </c>
      <c r="E35" s="59">
        <f>IF(J35="","",INDEX(Pipeline!$J$5:$J$504,J35))</f>
        <v/>
      </c>
      <c r="F35" s="94">
        <f>IF(J35="","",INDEX(Pipeline!$Q$5:$Q$504,J35))</f>
        <v/>
      </c>
      <c r="G35" s="67">
        <f>IF(J35="","",INDEX(Pipeline!$AE$5:$AE$504,J35))</f>
        <v/>
      </c>
      <c r="H35" s="59">
        <f>IF(J35="","",INDEX(Pipeline!$U$5:$U$504,J35))</f>
        <v/>
      </c>
      <c r="I35" s="59">
        <f>IF(J35="","",INDEX(Pipeline!$AG$5:$AG$504,J35))</f>
        <v/>
      </c>
      <c r="J35" s="50">
        <f>IFERROR(MATCH(SMALL(Pipeline!$AL$5:$AL$504,A35),Pipeline!$AL$5:$AL$504,0),"")</f>
        <v/>
      </c>
    </row>
    <row r="36" ht="23.85" customHeight="1" s="51">
      <c r="A36" s="93" t="n">
        <v>17</v>
      </c>
      <c r="B36" s="59">
        <f>IF(J36="","",INDEX(Pipeline!$A$5:$A$504,J36))</f>
        <v/>
      </c>
      <c r="C36" s="59">
        <f>IF(J36="","",INDEX(Pipeline!$F$5:$F$504,J36))</f>
        <v/>
      </c>
      <c r="D36" s="59">
        <f>IF(J36="","",INDEX(Pipeline!$H$5:$H$504,J36))</f>
        <v/>
      </c>
      <c r="E36" s="59">
        <f>IF(J36="","",INDEX(Pipeline!$J$5:$J$504,J36))</f>
        <v/>
      </c>
      <c r="F36" s="94">
        <f>IF(J36="","",INDEX(Pipeline!$Q$5:$Q$504,J36))</f>
        <v/>
      </c>
      <c r="G36" s="67">
        <f>IF(J36="","",INDEX(Pipeline!$AE$5:$AE$504,J36))</f>
        <v/>
      </c>
      <c r="H36" s="59">
        <f>IF(J36="","",INDEX(Pipeline!$U$5:$U$504,J36))</f>
        <v/>
      </c>
      <c r="I36" s="59">
        <f>IF(J36="","",INDEX(Pipeline!$AG$5:$AG$504,J36))</f>
        <v/>
      </c>
      <c r="J36" s="50">
        <f>IFERROR(MATCH(SMALL(Pipeline!$AL$5:$AL$504,A36),Pipeline!$AL$5:$AL$504,0),"")</f>
        <v/>
      </c>
    </row>
    <row r="37" ht="15" customHeight="1" s="51">
      <c r="A37" s="93" t="n">
        <v>18</v>
      </c>
      <c r="B37" s="59">
        <f>IF(J37="","",INDEX(Pipeline!$A$5:$A$504,J37))</f>
        <v/>
      </c>
      <c r="C37" s="59">
        <f>IF(J37="","",INDEX(Pipeline!$F$5:$F$504,J37))</f>
        <v/>
      </c>
      <c r="D37" s="59">
        <f>IF(J37="","",INDEX(Pipeline!$H$5:$H$504,J37))</f>
        <v/>
      </c>
      <c r="E37" s="59">
        <f>IF(J37="","",INDEX(Pipeline!$J$5:$J$504,J37))</f>
        <v/>
      </c>
      <c r="F37" s="94">
        <f>IF(J37="","",INDEX(Pipeline!$Q$5:$Q$504,J37))</f>
        <v/>
      </c>
      <c r="G37" s="67">
        <f>IF(J37="","",INDEX(Pipeline!$AE$5:$AE$504,J37))</f>
        <v/>
      </c>
      <c r="H37" s="59">
        <f>IF(J37="","",INDEX(Pipeline!$U$5:$U$504,J37))</f>
        <v/>
      </c>
      <c r="I37" s="59">
        <f>IF(J37="","",INDEX(Pipeline!$AG$5:$AG$504,J37))</f>
        <v/>
      </c>
      <c r="J37" s="50">
        <f>IFERROR(MATCH(SMALL(Pipeline!$AL$5:$AL$504,A37),Pipeline!$AL$5:$AL$504,0),"")</f>
        <v/>
      </c>
    </row>
    <row r="38" ht="23.85" customHeight="1" s="51">
      <c r="A38" s="93" t="n">
        <v>19</v>
      </c>
      <c r="B38" s="59">
        <f>IF(J38="","",INDEX(Pipeline!$A$5:$A$504,J38))</f>
        <v/>
      </c>
      <c r="C38" s="59">
        <f>IF(J38="","",INDEX(Pipeline!$F$5:$F$504,J38))</f>
        <v/>
      </c>
      <c r="D38" s="59">
        <f>IF(J38="","",INDEX(Pipeline!$H$5:$H$504,J38))</f>
        <v/>
      </c>
      <c r="E38" s="59">
        <f>IF(J38="","",INDEX(Pipeline!$J$5:$J$504,J38))</f>
        <v/>
      </c>
      <c r="F38" s="94">
        <f>IF(J38="","",INDEX(Pipeline!$Q$5:$Q$504,J38))</f>
        <v/>
      </c>
      <c r="G38" s="67">
        <f>IF(J38="","",INDEX(Pipeline!$AE$5:$AE$504,J38))</f>
        <v/>
      </c>
      <c r="H38" s="59">
        <f>IF(J38="","",INDEX(Pipeline!$U$5:$U$504,J38))</f>
        <v/>
      </c>
      <c r="I38" s="59">
        <f>IF(J38="","",INDEX(Pipeline!$AG$5:$AG$504,J38))</f>
        <v/>
      </c>
      <c r="J38" s="50">
        <f>IFERROR(MATCH(SMALL(Pipeline!$AL$5:$AL$504,A38),Pipeline!$AL$5:$AL$504,0),"")</f>
        <v/>
      </c>
    </row>
    <row r="39" ht="23.85" customHeight="1" s="51">
      <c r="A39" s="93" t="n">
        <v>20</v>
      </c>
      <c r="B39" s="59">
        <f>IF(J39="","",INDEX(Pipeline!$A$5:$A$504,J39))</f>
        <v/>
      </c>
      <c r="C39" s="59">
        <f>IF(J39="","",INDEX(Pipeline!$F$5:$F$504,J39))</f>
        <v/>
      </c>
      <c r="D39" s="59">
        <f>IF(J39="","",INDEX(Pipeline!$H$5:$H$504,J39))</f>
        <v/>
      </c>
      <c r="E39" s="59">
        <f>IF(J39="","",INDEX(Pipeline!$J$5:$J$504,J39))</f>
        <v/>
      </c>
      <c r="F39" s="94">
        <f>IF(J39="","",INDEX(Pipeline!$Q$5:$Q$504,J39))</f>
        <v/>
      </c>
      <c r="G39" s="67">
        <f>IF(J39="","",INDEX(Pipeline!$AE$5:$AE$504,J39))</f>
        <v/>
      </c>
      <c r="H39" s="59">
        <f>IF(J39="","",INDEX(Pipeline!$U$5:$U$504,J39))</f>
        <v/>
      </c>
      <c r="I39" s="59">
        <f>IF(J39="","",INDEX(Pipeline!$AG$5:$AG$504,J39))</f>
        <v/>
      </c>
      <c r="J39" s="50">
        <f>IFERROR(MATCH(SMALL(Pipeline!$AL$5:$AL$504,A39),Pipeline!$AL$5:$AL$504,0),"")</f>
        <v/>
      </c>
    </row>
    <row r="40" ht="35.05" customHeight="1" s="51">
      <c r="A40" s="93" t="n">
        <v>21</v>
      </c>
      <c r="B40" s="59">
        <f>IF(J40="","",INDEX(Pipeline!$A$5:$A$504,J40))</f>
        <v/>
      </c>
      <c r="C40" s="59">
        <f>IF(J40="","",INDEX(Pipeline!$F$5:$F$504,J40))</f>
        <v/>
      </c>
      <c r="D40" s="59">
        <f>IF(J40="","",INDEX(Pipeline!$H$5:$H$504,J40))</f>
        <v/>
      </c>
      <c r="E40" s="59">
        <f>IF(J40="","",INDEX(Pipeline!$J$5:$J$504,J40))</f>
        <v/>
      </c>
      <c r="F40" s="94">
        <f>IF(J40="","",INDEX(Pipeline!$Q$5:$Q$504,J40))</f>
        <v/>
      </c>
      <c r="G40" s="67">
        <f>IF(J40="","",INDEX(Pipeline!$AE$5:$AE$504,J40))</f>
        <v/>
      </c>
      <c r="H40" s="59">
        <f>IF(J40="","",INDEX(Pipeline!$U$5:$U$504,J40))</f>
        <v/>
      </c>
      <c r="I40" s="59">
        <f>IF(J40="","",INDEX(Pipeline!$AG$5:$AG$504,J40))</f>
        <v/>
      </c>
      <c r="J40" s="50">
        <f>IFERROR(MATCH(SMALL(Pipeline!$AL$5:$AL$504,A40),Pipeline!$AL$5:$AL$504,0),"")</f>
        <v/>
      </c>
    </row>
    <row r="41" ht="15" customHeight="1" s="51">
      <c r="A41" s="93" t="n">
        <v>22</v>
      </c>
      <c r="B41" s="59">
        <f>IF(J41="","",INDEX(Pipeline!$A$5:$A$504,J41))</f>
        <v/>
      </c>
      <c r="C41" s="59">
        <f>IF(J41="","",INDEX(Pipeline!$F$5:$F$504,J41))</f>
        <v/>
      </c>
      <c r="D41" s="59">
        <f>IF(J41="","",INDEX(Pipeline!$H$5:$H$504,J41))</f>
        <v/>
      </c>
      <c r="E41" s="59">
        <f>IF(J41="","",INDEX(Pipeline!$J$5:$J$504,J41))</f>
        <v/>
      </c>
      <c r="F41" s="94">
        <f>IF(J41="","",INDEX(Pipeline!$Q$5:$Q$504,J41))</f>
        <v/>
      </c>
      <c r="G41" s="67">
        <f>IF(J41="","",INDEX(Pipeline!$AE$5:$AE$504,J41))</f>
        <v/>
      </c>
      <c r="H41" s="59">
        <f>IF(J41="","",INDEX(Pipeline!$U$5:$U$504,J41))</f>
        <v/>
      </c>
      <c r="I41" s="59">
        <f>IF(J41="","",INDEX(Pipeline!$AG$5:$AG$504,J41))</f>
        <v/>
      </c>
      <c r="J41" s="50">
        <f>IFERROR(MATCH(SMALL(Pipeline!$AL$5:$AL$504,A41),Pipeline!$AL$5:$AL$504,0),"")</f>
        <v/>
      </c>
    </row>
    <row r="42" ht="35.05" customHeight="1" s="51">
      <c r="A42" s="93" t="n">
        <v>23</v>
      </c>
      <c r="B42" s="59">
        <f>IF(J42="","",INDEX(Pipeline!$A$5:$A$504,J42))</f>
        <v/>
      </c>
      <c r="C42" s="59">
        <f>IF(J42="","",INDEX(Pipeline!$F$5:$F$504,J42))</f>
        <v/>
      </c>
      <c r="D42" s="59">
        <f>IF(J42="","",INDEX(Pipeline!$H$5:$H$504,J42))</f>
        <v/>
      </c>
      <c r="E42" s="59">
        <f>IF(J42="","",INDEX(Pipeline!$J$5:$J$504,J42))</f>
        <v/>
      </c>
      <c r="F42" s="94">
        <f>IF(J42="","",INDEX(Pipeline!$Q$5:$Q$504,J42))</f>
        <v/>
      </c>
      <c r="G42" s="67">
        <f>IF(J42="","",INDEX(Pipeline!$AE$5:$AE$504,J42))</f>
        <v/>
      </c>
      <c r="H42" s="59">
        <f>IF(J42="","",INDEX(Pipeline!$U$5:$U$504,J42))</f>
        <v/>
      </c>
      <c r="I42" s="59">
        <f>IF(J42="","",INDEX(Pipeline!$AG$5:$AG$504,J42))</f>
        <v/>
      </c>
      <c r="J42" s="50">
        <f>IFERROR(MATCH(SMALL(Pipeline!$AL$5:$AL$504,A42),Pipeline!$AL$5:$AL$504,0),"")</f>
        <v/>
      </c>
    </row>
    <row r="43" ht="23.85" customHeight="1" s="51">
      <c r="A43" s="93" t="n">
        <v>24</v>
      </c>
      <c r="B43" s="59">
        <f>IF(J43="","",INDEX(Pipeline!$A$5:$A$504,J43))</f>
        <v/>
      </c>
      <c r="C43" s="59">
        <f>IF(J43="","",INDEX(Pipeline!$F$5:$F$504,J43))</f>
        <v/>
      </c>
      <c r="D43" s="59">
        <f>IF(J43="","",INDEX(Pipeline!$H$5:$H$504,J43))</f>
        <v/>
      </c>
      <c r="E43" s="59">
        <f>IF(J43="","",INDEX(Pipeline!$J$5:$J$504,J43))</f>
        <v/>
      </c>
      <c r="F43" s="94">
        <f>IF(J43="","",INDEX(Pipeline!$Q$5:$Q$504,J43))</f>
        <v/>
      </c>
      <c r="G43" s="67">
        <f>IF(J43="","",INDEX(Pipeline!$AE$5:$AE$504,J43))</f>
        <v/>
      </c>
      <c r="H43" s="59">
        <f>IF(J43="","",INDEX(Pipeline!$U$5:$U$504,J43))</f>
        <v/>
      </c>
      <c r="I43" s="59">
        <f>IF(J43="","",INDEX(Pipeline!$AG$5:$AG$504,J43))</f>
        <v/>
      </c>
      <c r="J43" s="50">
        <f>IFERROR(MATCH(SMALL(Pipeline!$AL$5:$AL$504,A43),Pipeline!$AL$5:$AL$504,0),"")</f>
        <v/>
      </c>
    </row>
    <row r="44" ht="35.05" customHeight="1" s="51">
      <c r="A44" s="93" t="n">
        <v>25</v>
      </c>
      <c r="B44" s="59">
        <f>IF(J44="","",INDEX(Pipeline!$A$5:$A$504,J44))</f>
        <v/>
      </c>
      <c r="C44" s="59">
        <f>IF(J44="","",INDEX(Pipeline!$F$5:$F$504,J44))</f>
        <v/>
      </c>
      <c r="D44" s="59">
        <f>IF(J44="","",INDEX(Pipeline!$H$5:$H$504,J44))</f>
        <v/>
      </c>
      <c r="E44" s="59">
        <f>IF(J44="","",INDEX(Pipeline!$J$5:$J$504,J44))</f>
        <v/>
      </c>
      <c r="F44" s="94">
        <f>IF(J44="","",INDEX(Pipeline!$Q$5:$Q$504,J44))</f>
        <v/>
      </c>
      <c r="G44" s="67">
        <f>IF(J44="","",INDEX(Pipeline!$AE$5:$AE$504,J44))</f>
        <v/>
      </c>
      <c r="H44" s="59">
        <f>IF(J44="","",INDEX(Pipeline!$U$5:$U$504,J44))</f>
        <v/>
      </c>
      <c r="I44" s="59">
        <f>IF(J44="","",INDEX(Pipeline!$AG$5:$AG$504,J44))</f>
        <v/>
      </c>
      <c r="J44" s="50">
        <f>IFERROR(MATCH(SMALL(Pipeline!$AL$5:$AL$504,A44),Pipeline!$AL$5:$AL$504,0),"")</f>
        <v/>
      </c>
    </row>
    <row r="45" ht="23.85" customHeight="1" s="51">
      <c r="A45" s="93" t="n">
        <v>26</v>
      </c>
      <c r="B45" s="59">
        <f>IF(J45="","",INDEX(Pipeline!$A$5:$A$504,J45))</f>
        <v/>
      </c>
      <c r="C45" s="59">
        <f>IF(J45="","",INDEX(Pipeline!$F$5:$F$504,J45))</f>
        <v/>
      </c>
      <c r="D45" s="59">
        <f>IF(J45="","",INDEX(Pipeline!$H$5:$H$504,J45))</f>
        <v/>
      </c>
      <c r="E45" s="59">
        <f>IF(J45="","",INDEX(Pipeline!$J$5:$J$504,J45))</f>
        <v/>
      </c>
      <c r="F45" s="94">
        <f>IF(J45="","",INDEX(Pipeline!$Q$5:$Q$504,J45))</f>
        <v/>
      </c>
      <c r="G45" s="67">
        <f>IF(J45="","",INDEX(Pipeline!$AE$5:$AE$504,J45))</f>
        <v/>
      </c>
      <c r="H45" s="59">
        <f>IF(J45="","",INDEX(Pipeline!$U$5:$U$504,J45))</f>
        <v/>
      </c>
      <c r="I45" s="59">
        <f>IF(J45="","",INDEX(Pipeline!$AG$5:$AG$504,J45))</f>
        <v/>
      </c>
      <c r="J45" s="50">
        <f>IFERROR(MATCH(SMALL(Pipeline!$AL$5:$AL$504,A45),Pipeline!$AL$5:$AL$504,0),"")</f>
        <v/>
      </c>
    </row>
    <row r="46" ht="23.85" customHeight="1" s="51">
      <c r="A46" s="93" t="n">
        <v>27</v>
      </c>
      <c r="B46" s="59">
        <f>IF(J46="","",INDEX(Pipeline!$A$5:$A$504,J46))</f>
        <v/>
      </c>
      <c r="C46" s="59">
        <f>IF(J46="","",INDEX(Pipeline!$F$5:$F$504,J46))</f>
        <v/>
      </c>
      <c r="D46" s="59">
        <f>IF(J46="","",INDEX(Pipeline!$H$5:$H$504,J46))</f>
        <v/>
      </c>
      <c r="E46" s="59">
        <f>IF(J46="","",INDEX(Pipeline!$J$5:$J$504,J46))</f>
        <v/>
      </c>
      <c r="F46" s="94">
        <f>IF(J46="","",INDEX(Pipeline!$Q$5:$Q$504,J46))</f>
        <v/>
      </c>
      <c r="G46" s="67">
        <f>IF(J46="","",INDEX(Pipeline!$AE$5:$AE$504,J46))</f>
        <v/>
      </c>
      <c r="H46" s="59">
        <f>IF(J46="","",INDEX(Pipeline!$U$5:$U$504,J46))</f>
        <v/>
      </c>
      <c r="I46" s="59">
        <f>IF(J46="","",INDEX(Pipeline!$AG$5:$AG$504,J46))</f>
        <v/>
      </c>
      <c r="J46" s="50">
        <f>IFERROR(MATCH(SMALL(Pipeline!$AL$5:$AL$504,A46),Pipeline!$AL$5:$AL$504,0),"")</f>
        <v/>
      </c>
    </row>
    <row r="47" ht="35.05" customHeight="1" s="51">
      <c r="A47" s="93" t="n">
        <v>28</v>
      </c>
      <c r="B47" s="59">
        <f>IF(J47="","",INDEX(Pipeline!$A$5:$A$504,J47))</f>
        <v/>
      </c>
      <c r="C47" s="59">
        <f>IF(J47="","",INDEX(Pipeline!$F$5:$F$504,J47))</f>
        <v/>
      </c>
      <c r="D47" s="59">
        <f>IF(J47="","",INDEX(Pipeline!$H$5:$H$504,J47))</f>
        <v/>
      </c>
      <c r="E47" s="59">
        <f>IF(J47="","",INDEX(Pipeline!$J$5:$J$504,J47))</f>
        <v/>
      </c>
      <c r="F47" s="94">
        <f>IF(J47="","",INDEX(Pipeline!$Q$5:$Q$504,J47))</f>
        <v/>
      </c>
      <c r="G47" s="67">
        <f>IF(J47="","",INDEX(Pipeline!$AE$5:$AE$504,J47))</f>
        <v/>
      </c>
      <c r="H47" s="59">
        <f>IF(J47="","",INDEX(Pipeline!$U$5:$U$504,J47))</f>
        <v/>
      </c>
      <c r="I47" s="59">
        <f>IF(J47="","",INDEX(Pipeline!$AG$5:$AG$504,J47))</f>
        <v/>
      </c>
      <c r="J47" s="50">
        <f>IFERROR(MATCH(SMALL(Pipeline!$AL$5:$AL$504,A47),Pipeline!$AL$5:$AL$504,0),"")</f>
        <v/>
      </c>
    </row>
    <row r="48" ht="23.85" customHeight="1" s="51">
      <c r="A48" s="93" t="n">
        <v>29</v>
      </c>
      <c r="B48" s="59">
        <f>IF(J48="","",INDEX(Pipeline!$A$5:$A$504,J48))</f>
        <v/>
      </c>
      <c r="C48" s="59">
        <f>IF(J48="","",INDEX(Pipeline!$F$5:$F$504,J48))</f>
        <v/>
      </c>
      <c r="D48" s="59">
        <f>IF(J48="","",INDEX(Pipeline!$H$5:$H$504,J48))</f>
        <v/>
      </c>
      <c r="E48" s="59">
        <f>IF(J48="","",INDEX(Pipeline!$J$5:$J$504,J48))</f>
        <v/>
      </c>
      <c r="F48" s="94">
        <f>IF(J48="","",INDEX(Pipeline!$Q$5:$Q$504,J48))</f>
        <v/>
      </c>
      <c r="G48" s="67">
        <f>IF(J48="","",INDEX(Pipeline!$AE$5:$AE$504,J48))</f>
        <v/>
      </c>
      <c r="H48" s="59">
        <f>IF(J48="","",INDEX(Pipeline!$U$5:$U$504,J48))</f>
        <v/>
      </c>
      <c r="I48" s="59">
        <f>IF(J48="","",INDEX(Pipeline!$AG$5:$AG$504,J48))</f>
        <v/>
      </c>
      <c r="J48" s="50">
        <f>IFERROR(MATCH(SMALL(Pipeline!$AL$5:$AL$504,A48),Pipeline!$AL$5:$AL$504,0),"")</f>
        <v/>
      </c>
    </row>
    <row r="49" ht="23.85" customHeight="1" s="51">
      <c r="A49" s="93" t="n">
        <v>30</v>
      </c>
      <c r="B49" s="59">
        <f>IF(J49="","",INDEX(Pipeline!$A$5:$A$504,J49))</f>
        <v/>
      </c>
      <c r="C49" s="59">
        <f>IF(J49="","",INDEX(Pipeline!$F$5:$F$504,J49))</f>
        <v/>
      </c>
      <c r="D49" s="59">
        <f>IF(J49="","",INDEX(Pipeline!$H$5:$H$504,J49))</f>
        <v/>
      </c>
      <c r="E49" s="59">
        <f>IF(J49="","",INDEX(Pipeline!$J$5:$J$504,J49))</f>
        <v/>
      </c>
      <c r="F49" s="94">
        <f>IF(J49="","",INDEX(Pipeline!$Q$5:$Q$504,J49))</f>
        <v/>
      </c>
      <c r="G49" s="67">
        <f>IF(J49="","",INDEX(Pipeline!$AE$5:$AE$504,J49))</f>
        <v/>
      </c>
      <c r="H49" s="59">
        <f>IF(J49="","",INDEX(Pipeline!$U$5:$U$504,J49))</f>
        <v/>
      </c>
      <c r="I49" s="59">
        <f>IF(J49="","",INDEX(Pipeline!$AG$5:$AG$504,J49))</f>
        <v/>
      </c>
      <c r="J49" s="50">
        <f>IFERROR(MATCH(SMALL(Pipeline!$AL$5:$AL$504,A49),Pipeline!$AL$5:$AL$504,0),"")</f>
        <v/>
      </c>
    </row>
    <row r="51" ht="15" customHeight="1" s="51">
      <c r="B51" s="95" t="inlineStr">
        <is>
          <t>Days left is live (counted from now), so it keeps falling after the report date.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50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50" customWidth="1" style="50" min="1" max="1"/>
    <col width="30" customWidth="1" style="50" min="2" max="2"/>
    <col width="16" customWidth="1" style="50" min="3" max="4"/>
    <col width="10" customWidth="1" style="50" min="5" max="5"/>
    <col width="14" customWidth="1" style="50" min="6" max="6"/>
    <col width="10" customWidth="1" style="50" min="7" max="7"/>
    <col width="40" customWidth="1" style="50" min="8" max="8"/>
    <col width="10" customWidth="1" style="50" min="9" max="9"/>
    <col width="9" customWidth="1" style="50" min="10" max="10"/>
  </cols>
  <sheetData>
    <row r="1" ht="17.35" customHeight="1" s="51">
      <c r="A1" s="52" t="inlineStr">
        <is>
          <t>MD Dashboard – Panel 3 (Commercial Pipeline) feed</t>
        </is>
      </c>
    </row>
    <row r="2" ht="15" customHeight="1" s="51">
      <c r="A2" s="53" t="inlineStr">
        <is>
          <t>Appendix E Pipeline columns, linked to the Pipeline sheet. Copy or link into the F-03 dashboard. Do not type here.</t>
        </is>
      </c>
    </row>
    <row r="4" ht="23.85" customHeight="1" s="51">
      <c r="A4" s="57" t="inlineStr">
        <is>
          <t>Tender</t>
        </is>
      </c>
      <c r="B4" s="57" t="inlineStr">
        <is>
          <t>Client</t>
        </is>
      </c>
      <c r="C4" s="57" t="inlineStr">
        <is>
          <t>Est. value TZS</t>
        </is>
      </c>
      <c r="D4" s="57" t="inlineStr">
        <is>
          <t>Submission date</t>
        </is>
      </c>
      <c r="E4" s="57" t="inlineStr">
        <is>
          <t>Bid/No-Bid score</t>
        </is>
      </c>
      <c r="F4" s="57" t="inlineStr">
        <is>
          <t>Status</t>
        </is>
      </c>
      <c r="G4" s="57" t="inlineStr">
        <is>
          <t>Win probability</t>
        </is>
      </c>
      <c r="H4" s="57" t="inlineStr">
        <is>
          <t>Next action</t>
        </is>
      </c>
      <c r="I4" s="57" t="inlineStr">
        <is>
          <t>Owner</t>
        </is>
      </c>
      <c r="J4" s="57" t="inlineStr">
        <is>
          <t>RAG</t>
        </is>
      </c>
    </row>
    <row r="5" ht="15" customHeight="1" s="51">
      <c r="A5" s="77">
        <f>IF(Pipeline!$A5="","",IF(Pipeline!H5="","",Pipeline!H5))</f>
        <v/>
      </c>
      <c r="B5" s="77">
        <f>IF(Pipeline!$A5="","",IF(Pipeline!F5="","",Pipeline!F5))</f>
        <v/>
      </c>
      <c r="C5" s="96">
        <f>IF(Pipeline!$A5="","",IF(Pipeline!M5="","",Pipeline!M5))</f>
        <v/>
      </c>
      <c r="D5" s="97">
        <f>IF(Pipeline!$A5="","",IF(Pipeline!Q5="","",Pipeline!Q5))</f>
        <v/>
      </c>
      <c r="E5" s="98">
        <f>IF(Pipeline!$A5="","",IF(Pipeline!T5="","",Pipeline!T5))</f>
        <v/>
      </c>
      <c r="F5" s="77">
        <f>IF(Pipeline!$A5="","",IF(Pipeline!W5="","",Pipeline!W5))</f>
        <v/>
      </c>
      <c r="G5" s="99">
        <f>IF(Pipeline!$A5="","",IF(Pipeline!AH5="","",Pipeline!AH5))</f>
        <v/>
      </c>
      <c r="H5" s="77">
        <f>IF(Pipeline!$A5="","",IF(Pipeline!AI5="","",Pipeline!AI5))</f>
        <v/>
      </c>
      <c r="I5" s="77">
        <f>IF(Pipeline!$A5="","",IF(Pipeline!X5="","",Pipeline!X5))</f>
        <v/>
      </c>
      <c r="J5" s="77">
        <f>IF(Pipeline!$A5="","",IF(Pipeline!AF5="","–",Pipeline!AF5))</f>
        <v/>
      </c>
    </row>
    <row r="6" ht="15" customHeight="1" s="51">
      <c r="A6" s="77">
        <f>IF(Pipeline!$A6="","",IF(Pipeline!H6="","",Pipeline!H6))</f>
        <v/>
      </c>
      <c r="B6" s="77">
        <f>IF(Pipeline!$A6="","",IF(Pipeline!F6="","",Pipeline!F6))</f>
        <v/>
      </c>
      <c r="C6" s="96">
        <f>IF(Pipeline!$A6="","",IF(Pipeline!M6="","",Pipeline!M6))</f>
        <v/>
      </c>
      <c r="D6" s="97">
        <f>IF(Pipeline!$A6="","",IF(Pipeline!Q6="","",Pipeline!Q6))</f>
        <v/>
      </c>
      <c r="E6" s="98">
        <f>IF(Pipeline!$A6="","",IF(Pipeline!T6="","",Pipeline!T6))</f>
        <v/>
      </c>
      <c r="F6" s="77">
        <f>IF(Pipeline!$A6="","",IF(Pipeline!W6="","",Pipeline!W6))</f>
        <v/>
      </c>
      <c r="G6" s="99">
        <f>IF(Pipeline!$A6="","",IF(Pipeline!AH6="","",Pipeline!AH6))</f>
        <v/>
      </c>
      <c r="H6" s="77">
        <f>IF(Pipeline!$A6="","",IF(Pipeline!AI6="","",Pipeline!AI6))</f>
        <v/>
      </c>
      <c r="I6" s="77">
        <f>IF(Pipeline!$A6="","",IF(Pipeline!X6="","",Pipeline!X6))</f>
        <v/>
      </c>
      <c r="J6" s="77">
        <f>IF(Pipeline!$A6="","",IF(Pipeline!AF6="","–",Pipeline!AF6))</f>
        <v/>
      </c>
    </row>
    <row r="7" ht="15" customHeight="1" s="51">
      <c r="A7" s="77">
        <f>IF(Pipeline!$A7="","",IF(Pipeline!H7="","",Pipeline!H7))</f>
        <v/>
      </c>
      <c r="B7" s="77">
        <f>IF(Pipeline!$A7="","",IF(Pipeline!F7="","",Pipeline!F7))</f>
        <v/>
      </c>
      <c r="C7" s="96">
        <f>IF(Pipeline!$A7="","",IF(Pipeline!M7="","",Pipeline!M7))</f>
        <v/>
      </c>
      <c r="D7" s="97">
        <f>IF(Pipeline!$A7="","",IF(Pipeline!Q7="","",Pipeline!Q7))</f>
        <v/>
      </c>
      <c r="E7" s="98">
        <f>IF(Pipeline!$A7="","",IF(Pipeline!T7="","",Pipeline!T7))</f>
        <v/>
      </c>
      <c r="F7" s="77">
        <f>IF(Pipeline!$A7="","",IF(Pipeline!W7="","",Pipeline!W7))</f>
        <v/>
      </c>
      <c r="G7" s="99">
        <f>IF(Pipeline!$A7="","",IF(Pipeline!AH7="","",Pipeline!AH7))</f>
        <v/>
      </c>
      <c r="H7" s="77">
        <f>IF(Pipeline!$A7="","",IF(Pipeline!AI7="","",Pipeline!AI7))</f>
        <v/>
      </c>
      <c r="I7" s="77">
        <f>IF(Pipeline!$A7="","",IF(Pipeline!X7="","",Pipeline!X7))</f>
        <v/>
      </c>
      <c r="J7" s="77">
        <f>IF(Pipeline!$A7="","",IF(Pipeline!AF7="","–",Pipeline!AF7))</f>
        <v/>
      </c>
    </row>
    <row r="8" ht="15" customHeight="1" s="51">
      <c r="A8" s="77">
        <f>IF(Pipeline!$A8="","",IF(Pipeline!H8="","",Pipeline!H8))</f>
        <v/>
      </c>
      <c r="B8" s="77">
        <f>IF(Pipeline!$A8="","",IF(Pipeline!F8="","",Pipeline!F8))</f>
        <v/>
      </c>
      <c r="C8" s="96">
        <f>IF(Pipeline!$A8="","",IF(Pipeline!M8="","",Pipeline!M8))</f>
        <v/>
      </c>
      <c r="D8" s="97">
        <f>IF(Pipeline!$A8="","",IF(Pipeline!Q8="","",Pipeline!Q8))</f>
        <v/>
      </c>
      <c r="E8" s="98">
        <f>IF(Pipeline!$A8="","",IF(Pipeline!T8="","",Pipeline!T8))</f>
        <v/>
      </c>
      <c r="F8" s="77">
        <f>IF(Pipeline!$A8="","",IF(Pipeline!W8="","",Pipeline!W8))</f>
        <v/>
      </c>
      <c r="G8" s="99">
        <f>IF(Pipeline!$A8="","",IF(Pipeline!AH8="","",Pipeline!AH8))</f>
        <v/>
      </c>
      <c r="H8" s="77">
        <f>IF(Pipeline!$A8="","",IF(Pipeline!AI8="","",Pipeline!AI8))</f>
        <v/>
      </c>
      <c r="I8" s="77">
        <f>IF(Pipeline!$A8="","",IF(Pipeline!X8="","",Pipeline!X8))</f>
        <v/>
      </c>
      <c r="J8" s="77">
        <f>IF(Pipeline!$A8="","",IF(Pipeline!AF8="","–",Pipeline!AF8))</f>
        <v/>
      </c>
    </row>
    <row r="9" ht="15" customHeight="1" s="51">
      <c r="A9" s="77">
        <f>IF(Pipeline!$A9="","",IF(Pipeline!H9="","",Pipeline!H9))</f>
        <v/>
      </c>
      <c r="B9" s="77">
        <f>IF(Pipeline!$A9="","",IF(Pipeline!F9="","",Pipeline!F9))</f>
        <v/>
      </c>
      <c r="C9" s="96">
        <f>IF(Pipeline!$A9="","",IF(Pipeline!M9="","",Pipeline!M9))</f>
        <v/>
      </c>
      <c r="D9" s="97">
        <f>IF(Pipeline!$A9="","",IF(Pipeline!Q9="","",Pipeline!Q9))</f>
        <v/>
      </c>
      <c r="E9" s="98">
        <f>IF(Pipeline!$A9="","",IF(Pipeline!T9="","",Pipeline!T9))</f>
        <v/>
      </c>
      <c r="F9" s="77">
        <f>IF(Pipeline!$A9="","",IF(Pipeline!W9="","",Pipeline!W9))</f>
        <v/>
      </c>
      <c r="G9" s="99">
        <f>IF(Pipeline!$A9="","",IF(Pipeline!AH9="","",Pipeline!AH9))</f>
        <v/>
      </c>
      <c r="H9" s="77">
        <f>IF(Pipeline!$A9="","",IF(Pipeline!AI9="","",Pipeline!AI9))</f>
        <v/>
      </c>
      <c r="I9" s="77">
        <f>IF(Pipeline!$A9="","",IF(Pipeline!X9="","",Pipeline!X9))</f>
        <v/>
      </c>
      <c r="J9" s="77">
        <f>IF(Pipeline!$A9="","",IF(Pipeline!AF9="","–",Pipeline!AF9))</f>
        <v/>
      </c>
    </row>
    <row r="10" ht="15" customHeight="1" s="51">
      <c r="A10" s="77">
        <f>IF(Pipeline!$A10="","",IF(Pipeline!H10="","",Pipeline!H10))</f>
        <v/>
      </c>
      <c r="B10" s="77">
        <f>IF(Pipeline!$A10="","",IF(Pipeline!F10="","",Pipeline!F10))</f>
        <v/>
      </c>
      <c r="C10" s="96">
        <f>IF(Pipeline!$A10="","",IF(Pipeline!M10="","",Pipeline!M10))</f>
        <v/>
      </c>
      <c r="D10" s="97">
        <f>IF(Pipeline!$A10="","",IF(Pipeline!Q10="","",Pipeline!Q10))</f>
        <v/>
      </c>
      <c r="E10" s="98">
        <f>IF(Pipeline!$A10="","",IF(Pipeline!T10="","",Pipeline!T10))</f>
        <v/>
      </c>
      <c r="F10" s="77">
        <f>IF(Pipeline!$A10="","",IF(Pipeline!W10="","",Pipeline!W10))</f>
        <v/>
      </c>
      <c r="G10" s="99">
        <f>IF(Pipeline!$A10="","",IF(Pipeline!AH10="","",Pipeline!AH10))</f>
        <v/>
      </c>
      <c r="H10" s="77">
        <f>IF(Pipeline!$A10="","",IF(Pipeline!AI10="","",Pipeline!AI10))</f>
        <v/>
      </c>
      <c r="I10" s="77">
        <f>IF(Pipeline!$A10="","",IF(Pipeline!X10="","",Pipeline!X10))</f>
        <v/>
      </c>
      <c r="J10" s="77">
        <f>IF(Pipeline!$A10="","",IF(Pipeline!AF10="","–",Pipeline!AF10))</f>
        <v/>
      </c>
    </row>
    <row r="11" ht="15" customHeight="1" s="51">
      <c r="A11" s="77">
        <f>IF(Pipeline!$A11="","",IF(Pipeline!H11="","",Pipeline!H11))</f>
        <v/>
      </c>
      <c r="B11" s="77">
        <f>IF(Pipeline!$A11="","",IF(Pipeline!F11="","",Pipeline!F11))</f>
        <v/>
      </c>
      <c r="C11" s="96">
        <f>IF(Pipeline!$A11="","",IF(Pipeline!M11="","",Pipeline!M11))</f>
        <v/>
      </c>
      <c r="D11" s="97">
        <f>IF(Pipeline!$A11="","",IF(Pipeline!Q11="","",Pipeline!Q11))</f>
        <v/>
      </c>
      <c r="E11" s="98">
        <f>IF(Pipeline!$A11="","",IF(Pipeline!T11="","",Pipeline!T11))</f>
        <v/>
      </c>
      <c r="F11" s="77">
        <f>IF(Pipeline!$A11="","",IF(Pipeline!W11="","",Pipeline!W11))</f>
        <v/>
      </c>
      <c r="G11" s="99">
        <f>IF(Pipeline!$A11="","",IF(Pipeline!AH11="","",Pipeline!AH11))</f>
        <v/>
      </c>
      <c r="H11" s="77">
        <f>IF(Pipeline!$A11="","",IF(Pipeline!AI11="","",Pipeline!AI11))</f>
        <v/>
      </c>
      <c r="I11" s="77">
        <f>IF(Pipeline!$A11="","",IF(Pipeline!X11="","",Pipeline!X11))</f>
        <v/>
      </c>
      <c r="J11" s="77">
        <f>IF(Pipeline!$A11="","",IF(Pipeline!AF11="","–",Pipeline!AF11))</f>
        <v/>
      </c>
    </row>
    <row r="12" ht="15" customHeight="1" s="51">
      <c r="A12" s="77">
        <f>IF(Pipeline!$A12="","",IF(Pipeline!H12="","",Pipeline!H12))</f>
        <v/>
      </c>
      <c r="B12" s="77">
        <f>IF(Pipeline!$A12="","",IF(Pipeline!F12="","",Pipeline!F12))</f>
        <v/>
      </c>
      <c r="C12" s="96">
        <f>IF(Pipeline!$A12="","",IF(Pipeline!M12="","",Pipeline!M12))</f>
        <v/>
      </c>
      <c r="D12" s="97">
        <f>IF(Pipeline!$A12="","",IF(Pipeline!Q12="","",Pipeline!Q12))</f>
        <v/>
      </c>
      <c r="E12" s="98">
        <f>IF(Pipeline!$A12="","",IF(Pipeline!T12="","",Pipeline!T12))</f>
        <v/>
      </c>
      <c r="F12" s="77">
        <f>IF(Pipeline!$A12="","",IF(Pipeline!W12="","",Pipeline!W12))</f>
        <v/>
      </c>
      <c r="G12" s="99">
        <f>IF(Pipeline!$A12="","",IF(Pipeline!AH12="","",Pipeline!AH12))</f>
        <v/>
      </c>
      <c r="H12" s="77">
        <f>IF(Pipeline!$A12="","",IF(Pipeline!AI12="","",Pipeline!AI12))</f>
        <v/>
      </c>
      <c r="I12" s="77">
        <f>IF(Pipeline!$A12="","",IF(Pipeline!X12="","",Pipeline!X12))</f>
        <v/>
      </c>
      <c r="J12" s="77">
        <f>IF(Pipeline!$A12="","",IF(Pipeline!AF12="","–",Pipeline!AF12))</f>
        <v/>
      </c>
    </row>
    <row r="13" ht="15" customHeight="1" s="51">
      <c r="A13" s="77">
        <f>IF(Pipeline!$A13="","",IF(Pipeline!H13="","",Pipeline!H13))</f>
        <v/>
      </c>
      <c r="B13" s="77">
        <f>IF(Pipeline!$A13="","",IF(Pipeline!F13="","",Pipeline!F13))</f>
        <v/>
      </c>
      <c r="C13" s="96">
        <f>IF(Pipeline!$A13="","",IF(Pipeline!M13="","",Pipeline!M13))</f>
        <v/>
      </c>
      <c r="D13" s="97">
        <f>IF(Pipeline!$A13="","",IF(Pipeline!Q13="","",Pipeline!Q13))</f>
        <v/>
      </c>
      <c r="E13" s="98">
        <f>IF(Pipeline!$A13="","",IF(Pipeline!T13="","",Pipeline!T13))</f>
        <v/>
      </c>
      <c r="F13" s="77">
        <f>IF(Pipeline!$A13="","",IF(Pipeline!W13="","",Pipeline!W13))</f>
        <v/>
      </c>
      <c r="G13" s="99">
        <f>IF(Pipeline!$A13="","",IF(Pipeline!AH13="","",Pipeline!AH13))</f>
        <v/>
      </c>
      <c r="H13" s="77">
        <f>IF(Pipeline!$A13="","",IF(Pipeline!AI13="","",Pipeline!AI13))</f>
        <v/>
      </c>
      <c r="I13" s="77">
        <f>IF(Pipeline!$A13="","",IF(Pipeline!X13="","",Pipeline!X13))</f>
        <v/>
      </c>
      <c r="J13" s="77">
        <f>IF(Pipeline!$A13="","",IF(Pipeline!AF13="","–",Pipeline!AF13))</f>
        <v/>
      </c>
    </row>
    <row r="14" ht="15" customHeight="1" s="51">
      <c r="A14" s="77">
        <f>IF(Pipeline!$A14="","",IF(Pipeline!H14="","",Pipeline!H14))</f>
        <v/>
      </c>
      <c r="B14" s="77">
        <f>IF(Pipeline!$A14="","",IF(Pipeline!F14="","",Pipeline!F14))</f>
        <v/>
      </c>
      <c r="C14" s="96">
        <f>IF(Pipeline!$A14="","",IF(Pipeline!M14="","",Pipeline!M14))</f>
        <v/>
      </c>
      <c r="D14" s="97">
        <f>IF(Pipeline!$A14="","",IF(Pipeline!Q14="","",Pipeline!Q14))</f>
        <v/>
      </c>
      <c r="E14" s="98">
        <f>IF(Pipeline!$A14="","",IF(Pipeline!T14="","",Pipeline!T14))</f>
        <v/>
      </c>
      <c r="F14" s="77">
        <f>IF(Pipeline!$A14="","",IF(Pipeline!W14="","",Pipeline!W14))</f>
        <v/>
      </c>
      <c r="G14" s="99">
        <f>IF(Pipeline!$A14="","",IF(Pipeline!AH14="","",Pipeline!AH14))</f>
        <v/>
      </c>
      <c r="H14" s="77">
        <f>IF(Pipeline!$A14="","",IF(Pipeline!AI14="","",Pipeline!AI14))</f>
        <v/>
      </c>
      <c r="I14" s="77">
        <f>IF(Pipeline!$A14="","",IF(Pipeline!X14="","",Pipeline!X14))</f>
        <v/>
      </c>
      <c r="J14" s="77">
        <f>IF(Pipeline!$A14="","",IF(Pipeline!AF14="","–",Pipeline!AF14))</f>
        <v/>
      </c>
    </row>
    <row r="15" ht="15" customHeight="1" s="51">
      <c r="A15" s="77">
        <f>IF(Pipeline!$A15="","",IF(Pipeline!H15="","",Pipeline!H15))</f>
        <v/>
      </c>
      <c r="B15" s="77">
        <f>IF(Pipeline!$A15="","",IF(Pipeline!F15="","",Pipeline!F15))</f>
        <v/>
      </c>
      <c r="C15" s="96">
        <f>IF(Pipeline!$A15="","",IF(Pipeline!M15="","",Pipeline!M15))</f>
        <v/>
      </c>
      <c r="D15" s="97">
        <f>IF(Pipeline!$A15="","",IF(Pipeline!Q15="","",Pipeline!Q15))</f>
        <v/>
      </c>
      <c r="E15" s="98">
        <f>IF(Pipeline!$A15="","",IF(Pipeline!T15="","",Pipeline!T15))</f>
        <v/>
      </c>
      <c r="F15" s="77">
        <f>IF(Pipeline!$A15="","",IF(Pipeline!W15="","",Pipeline!W15))</f>
        <v/>
      </c>
      <c r="G15" s="99">
        <f>IF(Pipeline!$A15="","",IF(Pipeline!AH15="","",Pipeline!AH15))</f>
        <v/>
      </c>
      <c r="H15" s="77">
        <f>IF(Pipeline!$A15="","",IF(Pipeline!AI15="","",Pipeline!AI15))</f>
        <v/>
      </c>
      <c r="I15" s="77">
        <f>IF(Pipeline!$A15="","",IF(Pipeline!X15="","",Pipeline!X15))</f>
        <v/>
      </c>
      <c r="J15" s="77">
        <f>IF(Pipeline!$A15="","",IF(Pipeline!AF15="","–",Pipeline!AF15))</f>
        <v/>
      </c>
    </row>
    <row r="16" ht="15" customHeight="1" s="51">
      <c r="A16" s="77">
        <f>IF(Pipeline!$A16="","",IF(Pipeline!H16="","",Pipeline!H16))</f>
        <v/>
      </c>
      <c r="B16" s="77">
        <f>IF(Pipeline!$A16="","",IF(Pipeline!F16="","",Pipeline!F16))</f>
        <v/>
      </c>
      <c r="C16" s="96">
        <f>IF(Pipeline!$A16="","",IF(Pipeline!M16="","",Pipeline!M16))</f>
        <v/>
      </c>
      <c r="D16" s="97">
        <f>IF(Pipeline!$A16="","",IF(Pipeline!Q16="","",Pipeline!Q16))</f>
        <v/>
      </c>
      <c r="E16" s="98">
        <f>IF(Pipeline!$A16="","",IF(Pipeline!T16="","",Pipeline!T16))</f>
        <v/>
      </c>
      <c r="F16" s="77">
        <f>IF(Pipeline!$A16="","",IF(Pipeline!W16="","",Pipeline!W16))</f>
        <v/>
      </c>
      <c r="G16" s="99">
        <f>IF(Pipeline!$A16="","",IF(Pipeline!AH16="","",Pipeline!AH16))</f>
        <v/>
      </c>
      <c r="H16" s="77">
        <f>IF(Pipeline!$A16="","",IF(Pipeline!AI16="","",Pipeline!AI16))</f>
        <v/>
      </c>
      <c r="I16" s="77">
        <f>IF(Pipeline!$A16="","",IF(Pipeline!X16="","",Pipeline!X16))</f>
        <v/>
      </c>
      <c r="J16" s="77">
        <f>IF(Pipeline!$A16="","",IF(Pipeline!AF16="","–",Pipeline!AF16))</f>
        <v/>
      </c>
    </row>
    <row r="17" ht="15" customHeight="1" s="51">
      <c r="A17" s="77">
        <f>IF(Pipeline!$A17="","",IF(Pipeline!H17="","",Pipeline!H17))</f>
        <v/>
      </c>
      <c r="B17" s="77">
        <f>IF(Pipeline!$A17="","",IF(Pipeline!F17="","",Pipeline!F17))</f>
        <v/>
      </c>
      <c r="C17" s="96">
        <f>IF(Pipeline!$A17="","",IF(Pipeline!M17="","",Pipeline!M17))</f>
        <v/>
      </c>
      <c r="D17" s="97">
        <f>IF(Pipeline!$A17="","",IF(Pipeline!Q17="","",Pipeline!Q17))</f>
        <v/>
      </c>
      <c r="E17" s="98">
        <f>IF(Pipeline!$A17="","",IF(Pipeline!T17="","",Pipeline!T17))</f>
        <v/>
      </c>
      <c r="F17" s="77">
        <f>IF(Pipeline!$A17="","",IF(Pipeline!W17="","",Pipeline!W17))</f>
        <v/>
      </c>
      <c r="G17" s="99">
        <f>IF(Pipeline!$A17="","",IF(Pipeline!AH17="","",Pipeline!AH17))</f>
        <v/>
      </c>
      <c r="H17" s="77">
        <f>IF(Pipeline!$A17="","",IF(Pipeline!AI17="","",Pipeline!AI17))</f>
        <v/>
      </c>
      <c r="I17" s="77">
        <f>IF(Pipeline!$A17="","",IF(Pipeline!X17="","",Pipeline!X17))</f>
        <v/>
      </c>
      <c r="J17" s="77">
        <f>IF(Pipeline!$A17="","",IF(Pipeline!AF17="","–",Pipeline!AF17))</f>
        <v/>
      </c>
    </row>
    <row r="18" ht="15" customHeight="1" s="51">
      <c r="A18" s="77">
        <f>IF(Pipeline!$A18="","",IF(Pipeline!H18="","",Pipeline!H18))</f>
        <v/>
      </c>
      <c r="B18" s="77">
        <f>IF(Pipeline!$A18="","",IF(Pipeline!F18="","",Pipeline!F18))</f>
        <v/>
      </c>
      <c r="C18" s="96">
        <f>IF(Pipeline!$A18="","",IF(Pipeline!M18="","",Pipeline!M18))</f>
        <v/>
      </c>
      <c r="D18" s="97">
        <f>IF(Pipeline!$A18="","",IF(Pipeline!Q18="","",Pipeline!Q18))</f>
        <v/>
      </c>
      <c r="E18" s="98">
        <f>IF(Pipeline!$A18="","",IF(Pipeline!T18="","",Pipeline!T18))</f>
        <v/>
      </c>
      <c r="F18" s="77">
        <f>IF(Pipeline!$A18="","",IF(Pipeline!W18="","",Pipeline!W18))</f>
        <v/>
      </c>
      <c r="G18" s="99">
        <f>IF(Pipeline!$A18="","",IF(Pipeline!AH18="","",Pipeline!AH18))</f>
        <v/>
      </c>
      <c r="H18" s="77">
        <f>IF(Pipeline!$A18="","",IF(Pipeline!AI18="","",Pipeline!AI18))</f>
        <v/>
      </c>
      <c r="I18" s="77">
        <f>IF(Pipeline!$A18="","",IF(Pipeline!X18="","",Pipeline!X18))</f>
        <v/>
      </c>
      <c r="J18" s="77">
        <f>IF(Pipeline!$A18="","",IF(Pipeline!AF18="","–",Pipeline!AF18))</f>
        <v/>
      </c>
    </row>
    <row r="19" ht="15" customHeight="1" s="51">
      <c r="A19" s="77">
        <f>IF(Pipeline!$A19="","",IF(Pipeline!H19="","",Pipeline!H19))</f>
        <v/>
      </c>
      <c r="B19" s="77">
        <f>IF(Pipeline!$A19="","",IF(Pipeline!F19="","",Pipeline!F19))</f>
        <v/>
      </c>
      <c r="C19" s="96">
        <f>IF(Pipeline!$A19="","",IF(Pipeline!M19="","",Pipeline!M19))</f>
        <v/>
      </c>
      <c r="D19" s="97">
        <f>IF(Pipeline!$A19="","",IF(Pipeline!Q19="","",Pipeline!Q19))</f>
        <v/>
      </c>
      <c r="E19" s="98">
        <f>IF(Pipeline!$A19="","",IF(Pipeline!T19="","",Pipeline!T19))</f>
        <v/>
      </c>
      <c r="F19" s="77">
        <f>IF(Pipeline!$A19="","",IF(Pipeline!W19="","",Pipeline!W19))</f>
        <v/>
      </c>
      <c r="G19" s="99">
        <f>IF(Pipeline!$A19="","",IF(Pipeline!AH19="","",Pipeline!AH19))</f>
        <v/>
      </c>
      <c r="H19" s="77">
        <f>IF(Pipeline!$A19="","",IF(Pipeline!AI19="","",Pipeline!AI19))</f>
        <v/>
      </c>
      <c r="I19" s="77">
        <f>IF(Pipeline!$A19="","",IF(Pipeline!X19="","",Pipeline!X19))</f>
        <v/>
      </c>
      <c r="J19" s="77">
        <f>IF(Pipeline!$A19="","",IF(Pipeline!AF19="","–",Pipeline!AF19))</f>
        <v/>
      </c>
    </row>
    <row r="20" ht="15" customHeight="1" s="51">
      <c r="A20" s="77">
        <f>IF(Pipeline!$A20="","",IF(Pipeline!H20="","",Pipeline!H20))</f>
        <v/>
      </c>
      <c r="B20" s="77">
        <f>IF(Pipeline!$A20="","",IF(Pipeline!F20="","",Pipeline!F20))</f>
        <v/>
      </c>
      <c r="C20" s="96">
        <f>IF(Pipeline!$A20="","",IF(Pipeline!M20="","",Pipeline!M20))</f>
        <v/>
      </c>
      <c r="D20" s="97">
        <f>IF(Pipeline!$A20="","",IF(Pipeline!Q20="","",Pipeline!Q20))</f>
        <v/>
      </c>
      <c r="E20" s="98">
        <f>IF(Pipeline!$A20="","",IF(Pipeline!T20="","",Pipeline!T20))</f>
        <v/>
      </c>
      <c r="F20" s="77">
        <f>IF(Pipeline!$A20="","",IF(Pipeline!W20="","",Pipeline!W20))</f>
        <v/>
      </c>
      <c r="G20" s="99">
        <f>IF(Pipeline!$A20="","",IF(Pipeline!AH20="","",Pipeline!AH20))</f>
        <v/>
      </c>
      <c r="H20" s="77">
        <f>IF(Pipeline!$A20="","",IF(Pipeline!AI20="","",Pipeline!AI20))</f>
        <v/>
      </c>
      <c r="I20" s="77">
        <f>IF(Pipeline!$A20="","",IF(Pipeline!X20="","",Pipeline!X20))</f>
        <v/>
      </c>
      <c r="J20" s="77">
        <f>IF(Pipeline!$A20="","",IF(Pipeline!AF20="","–",Pipeline!AF20))</f>
        <v/>
      </c>
    </row>
    <row r="21" ht="15" customHeight="1" s="51">
      <c r="A21" s="77">
        <f>IF(Pipeline!$A21="","",IF(Pipeline!H21="","",Pipeline!H21))</f>
        <v/>
      </c>
      <c r="B21" s="77">
        <f>IF(Pipeline!$A21="","",IF(Pipeline!F21="","",Pipeline!F21))</f>
        <v/>
      </c>
      <c r="C21" s="96">
        <f>IF(Pipeline!$A21="","",IF(Pipeline!M21="","",Pipeline!M21))</f>
        <v/>
      </c>
      <c r="D21" s="97">
        <f>IF(Pipeline!$A21="","",IF(Pipeline!Q21="","",Pipeline!Q21))</f>
        <v/>
      </c>
      <c r="E21" s="98">
        <f>IF(Pipeline!$A21="","",IF(Pipeline!T21="","",Pipeline!T21))</f>
        <v/>
      </c>
      <c r="F21" s="77">
        <f>IF(Pipeline!$A21="","",IF(Pipeline!W21="","",Pipeline!W21))</f>
        <v/>
      </c>
      <c r="G21" s="99">
        <f>IF(Pipeline!$A21="","",IF(Pipeline!AH21="","",Pipeline!AH21))</f>
        <v/>
      </c>
      <c r="H21" s="77">
        <f>IF(Pipeline!$A21="","",IF(Pipeline!AI21="","",Pipeline!AI21))</f>
        <v/>
      </c>
      <c r="I21" s="77">
        <f>IF(Pipeline!$A21="","",IF(Pipeline!X21="","",Pipeline!X21))</f>
        <v/>
      </c>
      <c r="J21" s="77">
        <f>IF(Pipeline!$A21="","",IF(Pipeline!AF21="","–",Pipeline!AF21))</f>
        <v/>
      </c>
    </row>
    <row r="22" ht="15" customHeight="1" s="51">
      <c r="A22" s="77">
        <f>IF(Pipeline!$A22="","",IF(Pipeline!H22="","",Pipeline!H22))</f>
        <v/>
      </c>
      <c r="B22" s="77">
        <f>IF(Pipeline!$A22="","",IF(Pipeline!F22="","",Pipeline!F22))</f>
        <v/>
      </c>
      <c r="C22" s="96">
        <f>IF(Pipeline!$A22="","",IF(Pipeline!M22="","",Pipeline!M22))</f>
        <v/>
      </c>
      <c r="D22" s="97">
        <f>IF(Pipeline!$A22="","",IF(Pipeline!Q22="","",Pipeline!Q22))</f>
        <v/>
      </c>
      <c r="E22" s="98">
        <f>IF(Pipeline!$A22="","",IF(Pipeline!T22="","",Pipeline!T22))</f>
        <v/>
      </c>
      <c r="F22" s="77">
        <f>IF(Pipeline!$A22="","",IF(Pipeline!W22="","",Pipeline!W22))</f>
        <v/>
      </c>
      <c r="G22" s="99">
        <f>IF(Pipeline!$A22="","",IF(Pipeline!AH22="","",Pipeline!AH22))</f>
        <v/>
      </c>
      <c r="H22" s="77">
        <f>IF(Pipeline!$A22="","",IF(Pipeline!AI22="","",Pipeline!AI22))</f>
        <v/>
      </c>
      <c r="I22" s="77">
        <f>IF(Pipeline!$A22="","",IF(Pipeline!X22="","",Pipeline!X22))</f>
        <v/>
      </c>
      <c r="J22" s="77">
        <f>IF(Pipeline!$A22="","",IF(Pipeline!AF22="","–",Pipeline!AF22))</f>
        <v/>
      </c>
    </row>
    <row r="23" ht="15" customHeight="1" s="51">
      <c r="A23" s="77">
        <f>IF(Pipeline!$A23="","",IF(Pipeline!H23="","",Pipeline!H23))</f>
        <v/>
      </c>
      <c r="B23" s="77">
        <f>IF(Pipeline!$A23="","",IF(Pipeline!F23="","",Pipeline!F23))</f>
        <v/>
      </c>
      <c r="C23" s="96">
        <f>IF(Pipeline!$A23="","",IF(Pipeline!M23="","",Pipeline!M23))</f>
        <v/>
      </c>
      <c r="D23" s="97">
        <f>IF(Pipeline!$A23="","",IF(Pipeline!Q23="","",Pipeline!Q23))</f>
        <v/>
      </c>
      <c r="E23" s="98">
        <f>IF(Pipeline!$A23="","",IF(Pipeline!T23="","",Pipeline!T23))</f>
        <v/>
      </c>
      <c r="F23" s="77">
        <f>IF(Pipeline!$A23="","",IF(Pipeline!W23="","",Pipeline!W23))</f>
        <v/>
      </c>
      <c r="G23" s="99">
        <f>IF(Pipeline!$A23="","",IF(Pipeline!AH23="","",Pipeline!AH23))</f>
        <v/>
      </c>
      <c r="H23" s="77">
        <f>IF(Pipeline!$A23="","",IF(Pipeline!AI23="","",Pipeline!AI23))</f>
        <v/>
      </c>
      <c r="I23" s="77">
        <f>IF(Pipeline!$A23="","",IF(Pipeline!X23="","",Pipeline!X23))</f>
        <v/>
      </c>
      <c r="J23" s="77">
        <f>IF(Pipeline!$A23="","",IF(Pipeline!AF23="","–",Pipeline!AF23))</f>
        <v/>
      </c>
    </row>
    <row r="24" ht="15" customHeight="1" s="51">
      <c r="A24" s="77">
        <f>IF(Pipeline!$A24="","",IF(Pipeline!H24="","",Pipeline!H24))</f>
        <v/>
      </c>
      <c r="B24" s="77">
        <f>IF(Pipeline!$A24="","",IF(Pipeline!F24="","",Pipeline!F24))</f>
        <v/>
      </c>
      <c r="C24" s="96">
        <f>IF(Pipeline!$A24="","",IF(Pipeline!M24="","",Pipeline!M24))</f>
        <v/>
      </c>
      <c r="D24" s="97">
        <f>IF(Pipeline!$A24="","",IF(Pipeline!Q24="","",Pipeline!Q24))</f>
        <v/>
      </c>
      <c r="E24" s="98">
        <f>IF(Pipeline!$A24="","",IF(Pipeline!T24="","",Pipeline!T24))</f>
        <v/>
      </c>
      <c r="F24" s="77">
        <f>IF(Pipeline!$A24="","",IF(Pipeline!W24="","",Pipeline!W24))</f>
        <v/>
      </c>
      <c r="G24" s="99">
        <f>IF(Pipeline!$A24="","",IF(Pipeline!AH24="","",Pipeline!AH24))</f>
        <v/>
      </c>
      <c r="H24" s="77">
        <f>IF(Pipeline!$A24="","",IF(Pipeline!AI24="","",Pipeline!AI24))</f>
        <v/>
      </c>
      <c r="I24" s="77">
        <f>IF(Pipeline!$A24="","",IF(Pipeline!X24="","",Pipeline!X24))</f>
        <v/>
      </c>
      <c r="J24" s="77">
        <f>IF(Pipeline!$A24="","",IF(Pipeline!AF24="","–",Pipeline!AF24))</f>
        <v/>
      </c>
    </row>
    <row r="25" ht="15" customHeight="1" s="51">
      <c r="A25" s="77">
        <f>IF(Pipeline!$A25="","",IF(Pipeline!H25="","",Pipeline!H25))</f>
        <v/>
      </c>
      <c r="B25" s="77">
        <f>IF(Pipeline!$A25="","",IF(Pipeline!F25="","",Pipeline!F25))</f>
        <v/>
      </c>
      <c r="C25" s="96">
        <f>IF(Pipeline!$A25="","",IF(Pipeline!M25="","",Pipeline!M25))</f>
        <v/>
      </c>
      <c r="D25" s="97">
        <f>IF(Pipeline!$A25="","",IF(Pipeline!Q25="","",Pipeline!Q25))</f>
        <v/>
      </c>
      <c r="E25" s="98">
        <f>IF(Pipeline!$A25="","",IF(Pipeline!T25="","",Pipeline!T25))</f>
        <v/>
      </c>
      <c r="F25" s="77">
        <f>IF(Pipeline!$A25="","",IF(Pipeline!W25="","",Pipeline!W25))</f>
        <v/>
      </c>
      <c r="G25" s="99">
        <f>IF(Pipeline!$A25="","",IF(Pipeline!AH25="","",Pipeline!AH25))</f>
        <v/>
      </c>
      <c r="H25" s="77">
        <f>IF(Pipeline!$A25="","",IF(Pipeline!AI25="","",Pipeline!AI25))</f>
        <v/>
      </c>
      <c r="I25" s="77">
        <f>IF(Pipeline!$A25="","",IF(Pipeline!X25="","",Pipeline!X25))</f>
        <v/>
      </c>
      <c r="J25" s="77">
        <f>IF(Pipeline!$A25="","",IF(Pipeline!AF25="","–",Pipeline!AF25))</f>
        <v/>
      </c>
    </row>
    <row r="26" ht="15" customHeight="1" s="51">
      <c r="A26" s="77">
        <f>IF(Pipeline!$A26="","",IF(Pipeline!H26="","",Pipeline!H26))</f>
        <v/>
      </c>
      <c r="B26" s="77">
        <f>IF(Pipeline!$A26="","",IF(Pipeline!F26="","",Pipeline!F26))</f>
        <v/>
      </c>
      <c r="C26" s="96">
        <f>IF(Pipeline!$A26="","",IF(Pipeline!M26="","",Pipeline!M26))</f>
        <v/>
      </c>
      <c r="D26" s="97">
        <f>IF(Pipeline!$A26="","",IF(Pipeline!Q26="","",Pipeline!Q26))</f>
        <v/>
      </c>
      <c r="E26" s="98">
        <f>IF(Pipeline!$A26="","",IF(Pipeline!T26="","",Pipeline!T26))</f>
        <v/>
      </c>
      <c r="F26" s="77">
        <f>IF(Pipeline!$A26="","",IF(Pipeline!W26="","",Pipeline!W26))</f>
        <v/>
      </c>
      <c r="G26" s="99">
        <f>IF(Pipeline!$A26="","",IF(Pipeline!AH26="","",Pipeline!AH26))</f>
        <v/>
      </c>
      <c r="H26" s="77">
        <f>IF(Pipeline!$A26="","",IF(Pipeline!AI26="","",Pipeline!AI26))</f>
        <v/>
      </c>
      <c r="I26" s="77">
        <f>IF(Pipeline!$A26="","",IF(Pipeline!X26="","",Pipeline!X26))</f>
        <v/>
      </c>
      <c r="J26" s="77">
        <f>IF(Pipeline!$A26="","",IF(Pipeline!AF26="","–",Pipeline!AF26))</f>
        <v/>
      </c>
    </row>
    <row r="27" ht="15" customHeight="1" s="51">
      <c r="A27" s="77">
        <f>IF(Pipeline!$A27="","",IF(Pipeline!H27="","",Pipeline!H27))</f>
        <v/>
      </c>
      <c r="B27" s="77">
        <f>IF(Pipeline!$A27="","",IF(Pipeline!F27="","",Pipeline!F27))</f>
        <v/>
      </c>
      <c r="C27" s="96">
        <f>IF(Pipeline!$A27="","",IF(Pipeline!M27="","",Pipeline!M27))</f>
        <v/>
      </c>
      <c r="D27" s="97">
        <f>IF(Pipeline!$A27="","",IF(Pipeline!Q27="","",Pipeline!Q27))</f>
        <v/>
      </c>
      <c r="E27" s="98">
        <f>IF(Pipeline!$A27="","",IF(Pipeline!T27="","",Pipeline!T27))</f>
        <v/>
      </c>
      <c r="F27" s="77">
        <f>IF(Pipeline!$A27="","",IF(Pipeline!W27="","",Pipeline!W27))</f>
        <v/>
      </c>
      <c r="G27" s="99">
        <f>IF(Pipeline!$A27="","",IF(Pipeline!AH27="","",Pipeline!AH27))</f>
        <v/>
      </c>
      <c r="H27" s="77">
        <f>IF(Pipeline!$A27="","",IF(Pipeline!AI27="","",Pipeline!AI27))</f>
        <v/>
      </c>
      <c r="I27" s="77">
        <f>IF(Pipeline!$A27="","",IF(Pipeline!X27="","",Pipeline!X27))</f>
        <v/>
      </c>
      <c r="J27" s="77">
        <f>IF(Pipeline!$A27="","",IF(Pipeline!AF27="","–",Pipeline!AF27))</f>
        <v/>
      </c>
    </row>
    <row r="28" ht="15" customHeight="1" s="51">
      <c r="A28" s="77">
        <f>IF(Pipeline!$A28="","",IF(Pipeline!H28="","",Pipeline!H28))</f>
        <v/>
      </c>
      <c r="B28" s="77">
        <f>IF(Pipeline!$A28="","",IF(Pipeline!F28="","",Pipeline!F28))</f>
        <v/>
      </c>
      <c r="C28" s="96">
        <f>IF(Pipeline!$A28="","",IF(Pipeline!M28="","",Pipeline!M28))</f>
        <v/>
      </c>
      <c r="D28" s="97">
        <f>IF(Pipeline!$A28="","",IF(Pipeline!Q28="","",Pipeline!Q28))</f>
        <v/>
      </c>
      <c r="E28" s="98">
        <f>IF(Pipeline!$A28="","",IF(Pipeline!T28="","",Pipeline!T28))</f>
        <v/>
      </c>
      <c r="F28" s="77">
        <f>IF(Pipeline!$A28="","",IF(Pipeline!W28="","",Pipeline!W28))</f>
        <v/>
      </c>
      <c r="G28" s="99">
        <f>IF(Pipeline!$A28="","",IF(Pipeline!AH28="","",Pipeline!AH28))</f>
        <v/>
      </c>
      <c r="H28" s="77">
        <f>IF(Pipeline!$A28="","",IF(Pipeline!AI28="","",Pipeline!AI28))</f>
        <v/>
      </c>
      <c r="I28" s="77">
        <f>IF(Pipeline!$A28="","",IF(Pipeline!X28="","",Pipeline!X28))</f>
        <v/>
      </c>
      <c r="J28" s="77">
        <f>IF(Pipeline!$A28="","",IF(Pipeline!AF28="","–",Pipeline!AF28))</f>
        <v/>
      </c>
    </row>
    <row r="29" ht="15" customHeight="1" s="51">
      <c r="A29" s="77">
        <f>IF(Pipeline!$A29="","",IF(Pipeline!H29="","",Pipeline!H29))</f>
        <v/>
      </c>
      <c r="B29" s="77">
        <f>IF(Pipeline!$A29="","",IF(Pipeline!F29="","",Pipeline!F29))</f>
        <v/>
      </c>
      <c r="C29" s="96">
        <f>IF(Pipeline!$A29="","",IF(Pipeline!M29="","",Pipeline!M29))</f>
        <v/>
      </c>
      <c r="D29" s="97">
        <f>IF(Pipeline!$A29="","",IF(Pipeline!Q29="","",Pipeline!Q29))</f>
        <v/>
      </c>
      <c r="E29" s="98">
        <f>IF(Pipeline!$A29="","",IF(Pipeline!T29="","",Pipeline!T29))</f>
        <v/>
      </c>
      <c r="F29" s="77">
        <f>IF(Pipeline!$A29="","",IF(Pipeline!W29="","",Pipeline!W29))</f>
        <v/>
      </c>
      <c r="G29" s="99">
        <f>IF(Pipeline!$A29="","",IF(Pipeline!AH29="","",Pipeline!AH29))</f>
        <v/>
      </c>
      <c r="H29" s="77">
        <f>IF(Pipeline!$A29="","",IF(Pipeline!AI29="","",Pipeline!AI29))</f>
        <v/>
      </c>
      <c r="I29" s="77">
        <f>IF(Pipeline!$A29="","",IF(Pipeline!X29="","",Pipeline!X29))</f>
        <v/>
      </c>
      <c r="J29" s="77">
        <f>IF(Pipeline!$A29="","",IF(Pipeline!AF29="","–",Pipeline!AF29))</f>
        <v/>
      </c>
    </row>
    <row r="30" ht="15" customHeight="1" s="51">
      <c r="A30" s="77">
        <f>IF(Pipeline!$A30="","",IF(Pipeline!H30="","",Pipeline!H30))</f>
        <v/>
      </c>
      <c r="B30" s="77">
        <f>IF(Pipeline!$A30="","",IF(Pipeline!F30="","",Pipeline!F30))</f>
        <v/>
      </c>
      <c r="C30" s="96">
        <f>IF(Pipeline!$A30="","",IF(Pipeline!M30="","",Pipeline!M30))</f>
        <v/>
      </c>
      <c r="D30" s="97">
        <f>IF(Pipeline!$A30="","",IF(Pipeline!Q30="","",Pipeline!Q30))</f>
        <v/>
      </c>
      <c r="E30" s="98">
        <f>IF(Pipeline!$A30="","",IF(Pipeline!T30="","",Pipeline!T30))</f>
        <v/>
      </c>
      <c r="F30" s="77">
        <f>IF(Pipeline!$A30="","",IF(Pipeline!W30="","",Pipeline!W30))</f>
        <v/>
      </c>
      <c r="G30" s="99">
        <f>IF(Pipeline!$A30="","",IF(Pipeline!AH30="","",Pipeline!AH30))</f>
        <v/>
      </c>
      <c r="H30" s="77">
        <f>IF(Pipeline!$A30="","",IF(Pipeline!AI30="","",Pipeline!AI30))</f>
        <v/>
      </c>
      <c r="I30" s="77">
        <f>IF(Pipeline!$A30="","",IF(Pipeline!X30="","",Pipeline!X30))</f>
        <v/>
      </c>
      <c r="J30" s="77">
        <f>IF(Pipeline!$A30="","",IF(Pipeline!AF30="","–",Pipeline!AF30))</f>
        <v/>
      </c>
    </row>
    <row r="31" ht="15" customHeight="1" s="51">
      <c r="A31" s="77">
        <f>IF(Pipeline!$A31="","",IF(Pipeline!H31="","",Pipeline!H31))</f>
        <v/>
      </c>
      <c r="B31" s="77">
        <f>IF(Pipeline!$A31="","",IF(Pipeline!F31="","",Pipeline!F31))</f>
        <v/>
      </c>
      <c r="C31" s="96">
        <f>IF(Pipeline!$A31="","",IF(Pipeline!M31="","",Pipeline!M31))</f>
        <v/>
      </c>
      <c r="D31" s="97">
        <f>IF(Pipeline!$A31="","",IF(Pipeline!Q31="","",Pipeline!Q31))</f>
        <v/>
      </c>
      <c r="E31" s="98">
        <f>IF(Pipeline!$A31="","",IF(Pipeline!T31="","",Pipeline!T31))</f>
        <v/>
      </c>
      <c r="F31" s="77">
        <f>IF(Pipeline!$A31="","",IF(Pipeline!W31="","",Pipeline!W31))</f>
        <v/>
      </c>
      <c r="G31" s="99">
        <f>IF(Pipeline!$A31="","",IF(Pipeline!AH31="","",Pipeline!AH31))</f>
        <v/>
      </c>
      <c r="H31" s="77">
        <f>IF(Pipeline!$A31="","",IF(Pipeline!AI31="","",Pipeline!AI31))</f>
        <v/>
      </c>
      <c r="I31" s="77">
        <f>IF(Pipeline!$A31="","",IF(Pipeline!X31="","",Pipeline!X31))</f>
        <v/>
      </c>
      <c r="J31" s="77">
        <f>IF(Pipeline!$A31="","",IF(Pipeline!AF31="","–",Pipeline!AF31))</f>
        <v/>
      </c>
    </row>
    <row r="32" ht="15" customHeight="1" s="51">
      <c r="A32" s="77">
        <f>IF(Pipeline!$A32="","",IF(Pipeline!H32="","",Pipeline!H32))</f>
        <v/>
      </c>
      <c r="B32" s="77">
        <f>IF(Pipeline!$A32="","",IF(Pipeline!F32="","",Pipeline!F32))</f>
        <v/>
      </c>
      <c r="C32" s="96">
        <f>IF(Pipeline!$A32="","",IF(Pipeline!M32="","",Pipeline!M32))</f>
        <v/>
      </c>
      <c r="D32" s="97">
        <f>IF(Pipeline!$A32="","",IF(Pipeline!Q32="","",Pipeline!Q32))</f>
        <v/>
      </c>
      <c r="E32" s="98">
        <f>IF(Pipeline!$A32="","",IF(Pipeline!T32="","",Pipeline!T32))</f>
        <v/>
      </c>
      <c r="F32" s="77">
        <f>IF(Pipeline!$A32="","",IF(Pipeline!W32="","",Pipeline!W32))</f>
        <v/>
      </c>
      <c r="G32" s="99">
        <f>IF(Pipeline!$A32="","",IF(Pipeline!AH32="","",Pipeline!AH32))</f>
        <v/>
      </c>
      <c r="H32" s="77">
        <f>IF(Pipeline!$A32="","",IF(Pipeline!AI32="","",Pipeline!AI32))</f>
        <v/>
      </c>
      <c r="I32" s="77">
        <f>IF(Pipeline!$A32="","",IF(Pipeline!X32="","",Pipeline!X32))</f>
        <v/>
      </c>
      <c r="J32" s="77">
        <f>IF(Pipeline!$A32="","",IF(Pipeline!AF32="","–",Pipeline!AF32))</f>
        <v/>
      </c>
    </row>
    <row r="33" ht="15" customHeight="1" s="51">
      <c r="A33" s="77">
        <f>IF(Pipeline!$A33="","",IF(Pipeline!H33="","",Pipeline!H33))</f>
        <v/>
      </c>
      <c r="B33" s="77">
        <f>IF(Pipeline!$A33="","",IF(Pipeline!F33="","",Pipeline!F33))</f>
        <v/>
      </c>
      <c r="C33" s="96">
        <f>IF(Pipeline!$A33="","",IF(Pipeline!M33="","",Pipeline!M33))</f>
        <v/>
      </c>
      <c r="D33" s="97">
        <f>IF(Pipeline!$A33="","",IF(Pipeline!Q33="","",Pipeline!Q33))</f>
        <v/>
      </c>
      <c r="E33" s="98">
        <f>IF(Pipeline!$A33="","",IF(Pipeline!T33="","",Pipeline!T33))</f>
        <v/>
      </c>
      <c r="F33" s="77">
        <f>IF(Pipeline!$A33="","",IF(Pipeline!W33="","",Pipeline!W33))</f>
        <v/>
      </c>
      <c r="G33" s="99">
        <f>IF(Pipeline!$A33="","",IF(Pipeline!AH33="","",Pipeline!AH33))</f>
        <v/>
      </c>
      <c r="H33" s="77">
        <f>IF(Pipeline!$A33="","",IF(Pipeline!AI33="","",Pipeline!AI33))</f>
        <v/>
      </c>
      <c r="I33" s="77">
        <f>IF(Pipeline!$A33="","",IF(Pipeline!X33="","",Pipeline!X33))</f>
        <v/>
      </c>
      <c r="J33" s="77">
        <f>IF(Pipeline!$A33="","",IF(Pipeline!AF33="","–",Pipeline!AF33))</f>
        <v/>
      </c>
    </row>
    <row r="34" ht="15" customHeight="1" s="51">
      <c r="A34" s="77">
        <f>IF(Pipeline!$A34="","",IF(Pipeline!H34="","",Pipeline!H34))</f>
        <v/>
      </c>
      <c r="B34" s="77">
        <f>IF(Pipeline!$A34="","",IF(Pipeline!F34="","",Pipeline!F34))</f>
        <v/>
      </c>
      <c r="C34" s="96">
        <f>IF(Pipeline!$A34="","",IF(Pipeline!M34="","",Pipeline!M34))</f>
        <v/>
      </c>
      <c r="D34" s="97">
        <f>IF(Pipeline!$A34="","",IF(Pipeline!Q34="","",Pipeline!Q34))</f>
        <v/>
      </c>
      <c r="E34" s="98">
        <f>IF(Pipeline!$A34="","",IF(Pipeline!T34="","",Pipeline!T34))</f>
        <v/>
      </c>
      <c r="F34" s="77">
        <f>IF(Pipeline!$A34="","",IF(Pipeline!W34="","",Pipeline!W34))</f>
        <v/>
      </c>
      <c r="G34" s="99">
        <f>IF(Pipeline!$A34="","",IF(Pipeline!AH34="","",Pipeline!AH34))</f>
        <v/>
      </c>
      <c r="H34" s="77">
        <f>IF(Pipeline!$A34="","",IF(Pipeline!AI34="","",Pipeline!AI34))</f>
        <v/>
      </c>
      <c r="I34" s="77">
        <f>IF(Pipeline!$A34="","",IF(Pipeline!X34="","",Pipeline!X34))</f>
        <v/>
      </c>
      <c r="J34" s="77">
        <f>IF(Pipeline!$A34="","",IF(Pipeline!AF34="","–",Pipeline!AF34))</f>
        <v/>
      </c>
    </row>
    <row r="35" ht="15" customHeight="1" s="51">
      <c r="A35" s="77">
        <f>IF(Pipeline!$A35="","",IF(Pipeline!H35="","",Pipeline!H35))</f>
        <v/>
      </c>
      <c r="B35" s="77">
        <f>IF(Pipeline!$A35="","",IF(Pipeline!F35="","",Pipeline!F35))</f>
        <v/>
      </c>
      <c r="C35" s="96">
        <f>IF(Pipeline!$A35="","",IF(Pipeline!M35="","",Pipeline!M35))</f>
        <v/>
      </c>
      <c r="D35" s="97">
        <f>IF(Pipeline!$A35="","",IF(Pipeline!Q35="","",Pipeline!Q35))</f>
        <v/>
      </c>
      <c r="E35" s="98">
        <f>IF(Pipeline!$A35="","",IF(Pipeline!T35="","",Pipeline!T35))</f>
        <v/>
      </c>
      <c r="F35" s="77">
        <f>IF(Pipeline!$A35="","",IF(Pipeline!W35="","",Pipeline!W35))</f>
        <v/>
      </c>
      <c r="G35" s="99">
        <f>IF(Pipeline!$A35="","",IF(Pipeline!AH35="","",Pipeline!AH35))</f>
        <v/>
      </c>
      <c r="H35" s="77">
        <f>IF(Pipeline!$A35="","",IF(Pipeline!AI35="","",Pipeline!AI35))</f>
        <v/>
      </c>
      <c r="I35" s="77">
        <f>IF(Pipeline!$A35="","",IF(Pipeline!X35="","",Pipeline!X35))</f>
        <v/>
      </c>
      <c r="J35" s="77">
        <f>IF(Pipeline!$A35="","",IF(Pipeline!AF35="","–",Pipeline!AF35))</f>
        <v/>
      </c>
    </row>
    <row r="36" ht="15" customHeight="1" s="51">
      <c r="A36" s="77">
        <f>IF(Pipeline!$A36="","",IF(Pipeline!H36="","",Pipeline!H36))</f>
        <v/>
      </c>
      <c r="B36" s="77">
        <f>IF(Pipeline!$A36="","",IF(Pipeline!F36="","",Pipeline!F36))</f>
        <v/>
      </c>
      <c r="C36" s="96">
        <f>IF(Pipeline!$A36="","",IF(Pipeline!M36="","",Pipeline!M36))</f>
        <v/>
      </c>
      <c r="D36" s="97">
        <f>IF(Pipeline!$A36="","",IF(Pipeline!Q36="","",Pipeline!Q36))</f>
        <v/>
      </c>
      <c r="E36" s="98">
        <f>IF(Pipeline!$A36="","",IF(Pipeline!T36="","",Pipeline!T36))</f>
        <v/>
      </c>
      <c r="F36" s="77">
        <f>IF(Pipeline!$A36="","",IF(Pipeline!W36="","",Pipeline!W36))</f>
        <v/>
      </c>
      <c r="G36" s="99">
        <f>IF(Pipeline!$A36="","",IF(Pipeline!AH36="","",Pipeline!AH36))</f>
        <v/>
      </c>
      <c r="H36" s="77">
        <f>IF(Pipeline!$A36="","",IF(Pipeline!AI36="","",Pipeline!AI36))</f>
        <v/>
      </c>
      <c r="I36" s="77">
        <f>IF(Pipeline!$A36="","",IF(Pipeline!X36="","",Pipeline!X36))</f>
        <v/>
      </c>
      <c r="J36" s="77">
        <f>IF(Pipeline!$A36="","",IF(Pipeline!AF36="","–",Pipeline!AF36))</f>
        <v/>
      </c>
    </row>
    <row r="37" ht="15" customHeight="1" s="51">
      <c r="A37" s="77">
        <f>IF(Pipeline!$A37="","",IF(Pipeline!H37="","",Pipeline!H37))</f>
        <v/>
      </c>
      <c r="B37" s="77">
        <f>IF(Pipeline!$A37="","",IF(Pipeline!F37="","",Pipeline!F37))</f>
        <v/>
      </c>
      <c r="C37" s="96">
        <f>IF(Pipeline!$A37="","",IF(Pipeline!M37="","",Pipeline!M37))</f>
        <v/>
      </c>
      <c r="D37" s="97">
        <f>IF(Pipeline!$A37="","",IF(Pipeline!Q37="","",Pipeline!Q37))</f>
        <v/>
      </c>
      <c r="E37" s="98">
        <f>IF(Pipeline!$A37="","",IF(Pipeline!T37="","",Pipeline!T37))</f>
        <v/>
      </c>
      <c r="F37" s="77">
        <f>IF(Pipeline!$A37="","",IF(Pipeline!W37="","",Pipeline!W37))</f>
        <v/>
      </c>
      <c r="G37" s="99">
        <f>IF(Pipeline!$A37="","",IF(Pipeline!AH37="","",Pipeline!AH37))</f>
        <v/>
      </c>
      <c r="H37" s="77">
        <f>IF(Pipeline!$A37="","",IF(Pipeline!AI37="","",Pipeline!AI37))</f>
        <v/>
      </c>
      <c r="I37" s="77">
        <f>IF(Pipeline!$A37="","",IF(Pipeline!X37="","",Pipeline!X37))</f>
        <v/>
      </c>
      <c r="J37" s="77">
        <f>IF(Pipeline!$A37="","",IF(Pipeline!AF37="","–",Pipeline!AF37))</f>
        <v/>
      </c>
    </row>
    <row r="38" ht="15" customHeight="1" s="51">
      <c r="A38" s="77">
        <f>IF(Pipeline!$A38="","",IF(Pipeline!H38="","",Pipeline!H38))</f>
        <v/>
      </c>
      <c r="B38" s="77">
        <f>IF(Pipeline!$A38="","",IF(Pipeline!F38="","",Pipeline!F38))</f>
        <v/>
      </c>
      <c r="C38" s="96">
        <f>IF(Pipeline!$A38="","",IF(Pipeline!M38="","",Pipeline!M38))</f>
        <v/>
      </c>
      <c r="D38" s="97">
        <f>IF(Pipeline!$A38="","",IF(Pipeline!Q38="","",Pipeline!Q38))</f>
        <v/>
      </c>
      <c r="E38" s="98">
        <f>IF(Pipeline!$A38="","",IF(Pipeline!T38="","",Pipeline!T38))</f>
        <v/>
      </c>
      <c r="F38" s="77">
        <f>IF(Pipeline!$A38="","",IF(Pipeline!W38="","",Pipeline!W38))</f>
        <v/>
      </c>
      <c r="G38" s="99">
        <f>IF(Pipeline!$A38="","",IF(Pipeline!AH38="","",Pipeline!AH38))</f>
        <v/>
      </c>
      <c r="H38" s="77">
        <f>IF(Pipeline!$A38="","",IF(Pipeline!AI38="","",Pipeline!AI38))</f>
        <v/>
      </c>
      <c r="I38" s="77">
        <f>IF(Pipeline!$A38="","",IF(Pipeline!X38="","",Pipeline!X38))</f>
        <v/>
      </c>
      <c r="J38" s="77">
        <f>IF(Pipeline!$A38="","",IF(Pipeline!AF38="","–",Pipeline!AF38))</f>
        <v/>
      </c>
    </row>
    <row r="39" ht="15" customHeight="1" s="51">
      <c r="A39" s="77">
        <f>IF(Pipeline!$A39="","",IF(Pipeline!H39="","",Pipeline!H39))</f>
        <v/>
      </c>
      <c r="B39" s="77">
        <f>IF(Pipeline!$A39="","",IF(Pipeline!F39="","",Pipeline!F39))</f>
        <v/>
      </c>
      <c r="C39" s="96">
        <f>IF(Pipeline!$A39="","",IF(Pipeline!M39="","",Pipeline!M39))</f>
        <v/>
      </c>
      <c r="D39" s="97">
        <f>IF(Pipeline!$A39="","",IF(Pipeline!Q39="","",Pipeline!Q39))</f>
        <v/>
      </c>
      <c r="E39" s="98">
        <f>IF(Pipeline!$A39="","",IF(Pipeline!T39="","",Pipeline!T39))</f>
        <v/>
      </c>
      <c r="F39" s="77">
        <f>IF(Pipeline!$A39="","",IF(Pipeline!W39="","",Pipeline!W39))</f>
        <v/>
      </c>
      <c r="G39" s="99">
        <f>IF(Pipeline!$A39="","",IF(Pipeline!AH39="","",Pipeline!AH39))</f>
        <v/>
      </c>
      <c r="H39" s="77">
        <f>IF(Pipeline!$A39="","",IF(Pipeline!AI39="","",Pipeline!AI39))</f>
        <v/>
      </c>
      <c r="I39" s="77">
        <f>IF(Pipeline!$A39="","",IF(Pipeline!X39="","",Pipeline!X39))</f>
        <v/>
      </c>
      <c r="J39" s="77">
        <f>IF(Pipeline!$A39="","",IF(Pipeline!AF39="","–",Pipeline!AF39))</f>
        <v/>
      </c>
    </row>
    <row r="40" ht="15" customHeight="1" s="51">
      <c r="A40" s="77">
        <f>IF(Pipeline!$A40="","",IF(Pipeline!H40="","",Pipeline!H40))</f>
        <v/>
      </c>
      <c r="B40" s="77">
        <f>IF(Pipeline!$A40="","",IF(Pipeline!F40="","",Pipeline!F40))</f>
        <v/>
      </c>
      <c r="C40" s="96">
        <f>IF(Pipeline!$A40="","",IF(Pipeline!M40="","",Pipeline!M40))</f>
        <v/>
      </c>
      <c r="D40" s="97">
        <f>IF(Pipeline!$A40="","",IF(Pipeline!Q40="","",Pipeline!Q40))</f>
        <v/>
      </c>
      <c r="E40" s="98">
        <f>IF(Pipeline!$A40="","",IF(Pipeline!T40="","",Pipeline!T40))</f>
        <v/>
      </c>
      <c r="F40" s="77">
        <f>IF(Pipeline!$A40="","",IF(Pipeline!W40="","",Pipeline!W40))</f>
        <v/>
      </c>
      <c r="G40" s="99">
        <f>IF(Pipeline!$A40="","",IF(Pipeline!AH40="","",Pipeline!AH40))</f>
        <v/>
      </c>
      <c r="H40" s="77">
        <f>IF(Pipeline!$A40="","",IF(Pipeline!AI40="","",Pipeline!AI40))</f>
        <v/>
      </c>
      <c r="I40" s="77">
        <f>IF(Pipeline!$A40="","",IF(Pipeline!X40="","",Pipeline!X40))</f>
        <v/>
      </c>
      <c r="J40" s="77">
        <f>IF(Pipeline!$A40="","",IF(Pipeline!AF40="","–",Pipeline!AF40))</f>
        <v/>
      </c>
    </row>
    <row r="41" ht="15" customHeight="1" s="51">
      <c r="A41" s="77">
        <f>IF(Pipeline!$A41="","",IF(Pipeline!H41="","",Pipeline!H41))</f>
        <v/>
      </c>
      <c r="B41" s="77">
        <f>IF(Pipeline!$A41="","",IF(Pipeline!F41="","",Pipeline!F41))</f>
        <v/>
      </c>
      <c r="C41" s="96">
        <f>IF(Pipeline!$A41="","",IF(Pipeline!M41="","",Pipeline!M41))</f>
        <v/>
      </c>
      <c r="D41" s="97">
        <f>IF(Pipeline!$A41="","",IF(Pipeline!Q41="","",Pipeline!Q41))</f>
        <v/>
      </c>
      <c r="E41" s="98">
        <f>IF(Pipeline!$A41="","",IF(Pipeline!T41="","",Pipeline!T41))</f>
        <v/>
      </c>
      <c r="F41" s="77">
        <f>IF(Pipeline!$A41="","",IF(Pipeline!W41="","",Pipeline!W41))</f>
        <v/>
      </c>
      <c r="G41" s="99">
        <f>IF(Pipeline!$A41="","",IF(Pipeline!AH41="","",Pipeline!AH41))</f>
        <v/>
      </c>
      <c r="H41" s="77">
        <f>IF(Pipeline!$A41="","",IF(Pipeline!AI41="","",Pipeline!AI41))</f>
        <v/>
      </c>
      <c r="I41" s="77">
        <f>IF(Pipeline!$A41="","",IF(Pipeline!X41="","",Pipeline!X41))</f>
        <v/>
      </c>
      <c r="J41" s="77">
        <f>IF(Pipeline!$A41="","",IF(Pipeline!AF41="","–",Pipeline!AF41))</f>
        <v/>
      </c>
    </row>
    <row r="42" ht="15" customHeight="1" s="51">
      <c r="A42" s="77">
        <f>IF(Pipeline!$A42="","",IF(Pipeline!H42="","",Pipeline!H42))</f>
        <v/>
      </c>
      <c r="B42" s="77">
        <f>IF(Pipeline!$A42="","",IF(Pipeline!F42="","",Pipeline!F42))</f>
        <v/>
      </c>
      <c r="C42" s="96">
        <f>IF(Pipeline!$A42="","",IF(Pipeline!M42="","",Pipeline!M42))</f>
        <v/>
      </c>
      <c r="D42" s="97">
        <f>IF(Pipeline!$A42="","",IF(Pipeline!Q42="","",Pipeline!Q42))</f>
        <v/>
      </c>
      <c r="E42" s="98">
        <f>IF(Pipeline!$A42="","",IF(Pipeline!T42="","",Pipeline!T42))</f>
        <v/>
      </c>
      <c r="F42" s="77">
        <f>IF(Pipeline!$A42="","",IF(Pipeline!W42="","",Pipeline!W42))</f>
        <v/>
      </c>
      <c r="G42" s="99">
        <f>IF(Pipeline!$A42="","",IF(Pipeline!AH42="","",Pipeline!AH42))</f>
        <v/>
      </c>
      <c r="H42" s="77">
        <f>IF(Pipeline!$A42="","",IF(Pipeline!AI42="","",Pipeline!AI42))</f>
        <v/>
      </c>
      <c r="I42" s="77">
        <f>IF(Pipeline!$A42="","",IF(Pipeline!X42="","",Pipeline!X42))</f>
        <v/>
      </c>
      <c r="J42" s="77">
        <f>IF(Pipeline!$A42="","",IF(Pipeline!AF42="","–",Pipeline!AF42))</f>
        <v/>
      </c>
    </row>
    <row r="43" ht="15" customHeight="1" s="51">
      <c r="A43" s="77">
        <f>IF(Pipeline!$A43="","",IF(Pipeline!H43="","",Pipeline!H43))</f>
        <v/>
      </c>
      <c r="B43" s="77">
        <f>IF(Pipeline!$A43="","",IF(Pipeline!F43="","",Pipeline!F43))</f>
        <v/>
      </c>
      <c r="C43" s="96">
        <f>IF(Pipeline!$A43="","",IF(Pipeline!M43="","",Pipeline!M43))</f>
        <v/>
      </c>
      <c r="D43" s="97">
        <f>IF(Pipeline!$A43="","",IF(Pipeline!Q43="","",Pipeline!Q43))</f>
        <v/>
      </c>
      <c r="E43" s="98">
        <f>IF(Pipeline!$A43="","",IF(Pipeline!T43="","",Pipeline!T43))</f>
        <v/>
      </c>
      <c r="F43" s="77">
        <f>IF(Pipeline!$A43="","",IF(Pipeline!W43="","",Pipeline!W43))</f>
        <v/>
      </c>
      <c r="G43" s="99">
        <f>IF(Pipeline!$A43="","",IF(Pipeline!AH43="","",Pipeline!AH43))</f>
        <v/>
      </c>
      <c r="H43" s="77">
        <f>IF(Pipeline!$A43="","",IF(Pipeline!AI43="","",Pipeline!AI43))</f>
        <v/>
      </c>
      <c r="I43" s="77">
        <f>IF(Pipeline!$A43="","",IF(Pipeline!X43="","",Pipeline!X43))</f>
        <v/>
      </c>
      <c r="J43" s="77">
        <f>IF(Pipeline!$A43="","",IF(Pipeline!AF43="","–",Pipeline!AF43))</f>
        <v/>
      </c>
    </row>
    <row r="44" ht="15" customHeight="1" s="51">
      <c r="A44" s="77">
        <f>IF(Pipeline!$A44="","",IF(Pipeline!H44="","",Pipeline!H44))</f>
        <v/>
      </c>
      <c r="B44" s="77">
        <f>IF(Pipeline!$A44="","",IF(Pipeline!F44="","",Pipeline!F44))</f>
        <v/>
      </c>
      <c r="C44" s="96">
        <f>IF(Pipeline!$A44="","",IF(Pipeline!M44="","",Pipeline!M44))</f>
        <v/>
      </c>
      <c r="D44" s="97">
        <f>IF(Pipeline!$A44="","",IF(Pipeline!Q44="","",Pipeline!Q44))</f>
        <v/>
      </c>
      <c r="E44" s="98">
        <f>IF(Pipeline!$A44="","",IF(Pipeline!T44="","",Pipeline!T44))</f>
        <v/>
      </c>
      <c r="F44" s="77">
        <f>IF(Pipeline!$A44="","",IF(Pipeline!W44="","",Pipeline!W44))</f>
        <v/>
      </c>
      <c r="G44" s="99">
        <f>IF(Pipeline!$A44="","",IF(Pipeline!AH44="","",Pipeline!AH44))</f>
        <v/>
      </c>
      <c r="H44" s="77">
        <f>IF(Pipeline!$A44="","",IF(Pipeline!AI44="","",Pipeline!AI44))</f>
        <v/>
      </c>
      <c r="I44" s="77">
        <f>IF(Pipeline!$A44="","",IF(Pipeline!X44="","",Pipeline!X44))</f>
        <v/>
      </c>
      <c r="J44" s="77">
        <f>IF(Pipeline!$A44="","",IF(Pipeline!AF44="","–",Pipeline!AF44))</f>
        <v/>
      </c>
    </row>
    <row r="45" ht="15" customHeight="1" s="51">
      <c r="A45" s="77">
        <f>IF(Pipeline!$A45="","",IF(Pipeline!H45="","",Pipeline!H45))</f>
        <v/>
      </c>
      <c r="B45" s="77">
        <f>IF(Pipeline!$A45="","",IF(Pipeline!F45="","",Pipeline!F45))</f>
        <v/>
      </c>
      <c r="C45" s="96">
        <f>IF(Pipeline!$A45="","",IF(Pipeline!M45="","",Pipeline!M45))</f>
        <v/>
      </c>
      <c r="D45" s="97">
        <f>IF(Pipeline!$A45="","",IF(Pipeline!Q45="","",Pipeline!Q45))</f>
        <v/>
      </c>
      <c r="E45" s="98">
        <f>IF(Pipeline!$A45="","",IF(Pipeline!T45="","",Pipeline!T45))</f>
        <v/>
      </c>
      <c r="F45" s="77">
        <f>IF(Pipeline!$A45="","",IF(Pipeline!W45="","",Pipeline!W45))</f>
        <v/>
      </c>
      <c r="G45" s="99">
        <f>IF(Pipeline!$A45="","",IF(Pipeline!AH45="","",Pipeline!AH45))</f>
        <v/>
      </c>
      <c r="H45" s="77">
        <f>IF(Pipeline!$A45="","",IF(Pipeline!AI45="","",Pipeline!AI45))</f>
        <v/>
      </c>
      <c r="I45" s="77">
        <f>IF(Pipeline!$A45="","",IF(Pipeline!X45="","",Pipeline!X45))</f>
        <v/>
      </c>
      <c r="J45" s="77">
        <f>IF(Pipeline!$A45="","",IF(Pipeline!AF45="","–",Pipeline!AF45))</f>
        <v/>
      </c>
    </row>
    <row r="46" ht="15" customHeight="1" s="51">
      <c r="A46" s="77">
        <f>IF(Pipeline!$A46="","",IF(Pipeline!H46="","",Pipeline!H46))</f>
        <v/>
      </c>
      <c r="B46" s="77">
        <f>IF(Pipeline!$A46="","",IF(Pipeline!F46="","",Pipeline!F46))</f>
        <v/>
      </c>
      <c r="C46" s="96">
        <f>IF(Pipeline!$A46="","",IF(Pipeline!M46="","",Pipeline!M46))</f>
        <v/>
      </c>
      <c r="D46" s="97">
        <f>IF(Pipeline!$A46="","",IF(Pipeline!Q46="","",Pipeline!Q46))</f>
        <v/>
      </c>
      <c r="E46" s="98">
        <f>IF(Pipeline!$A46="","",IF(Pipeline!T46="","",Pipeline!T46))</f>
        <v/>
      </c>
      <c r="F46" s="77">
        <f>IF(Pipeline!$A46="","",IF(Pipeline!W46="","",Pipeline!W46))</f>
        <v/>
      </c>
      <c r="G46" s="99">
        <f>IF(Pipeline!$A46="","",IF(Pipeline!AH46="","",Pipeline!AH46))</f>
        <v/>
      </c>
      <c r="H46" s="77">
        <f>IF(Pipeline!$A46="","",IF(Pipeline!AI46="","",Pipeline!AI46))</f>
        <v/>
      </c>
      <c r="I46" s="77">
        <f>IF(Pipeline!$A46="","",IF(Pipeline!X46="","",Pipeline!X46))</f>
        <v/>
      </c>
      <c r="J46" s="77">
        <f>IF(Pipeline!$A46="","",IF(Pipeline!AF46="","–",Pipeline!AF46))</f>
        <v/>
      </c>
    </row>
    <row r="47" ht="15" customHeight="1" s="51">
      <c r="A47" s="77">
        <f>IF(Pipeline!$A47="","",IF(Pipeline!H47="","",Pipeline!H47))</f>
        <v/>
      </c>
      <c r="B47" s="77">
        <f>IF(Pipeline!$A47="","",IF(Pipeline!F47="","",Pipeline!F47))</f>
        <v/>
      </c>
      <c r="C47" s="96">
        <f>IF(Pipeline!$A47="","",IF(Pipeline!M47="","",Pipeline!M47))</f>
        <v/>
      </c>
      <c r="D47" s="97">
        <f>IF(Pipeline!$A47="","",IF(Pipeline!Q47="","",Pipeline!Q47))</f>
        <v/>
      </c>
      <c r="E47" s="98">
        <f>IF(Pipeline!$A47="","",IF(Pipeline!T47="","",Pipeline!T47))</f>
        <v/>
      </c>
      <c r="F47" s="77">
        <f>IF(Pipeline!$A47="","",IF(Pipeline!W47="","",Pipeline!W47))</f>
        <v/>
      </c>
      <c r="G47" s="99">
        <f>IF(Pipeline!$A47="","",IF(Pipeline!AH47="","",Pipeline!AH47))</f>
        <v/>
      </c>
      <c r="H47" s="77">
        <f>IF(Pipeline!$A47="","",IF(Pipeline!AI47="","",Pipeline!AI47))</f>
        <v/>
      </c>
      <c r="I47" s="77">
        <f>IF(Pipeline!$A47="","",IF(Pipeline!X47="","",Pipeline!X47))</f>
        <v/>
      </c>
      <c r="J47" s="77">
        <f>IF(Pipeline!$A47="","",IF(Pipeline!AF47="","–",Pipeline!AF47))</f>
        <v/>
      </c>
    </row>
    <row r="48" ht="15" customHeight="1" s="51">
      <c r="A48" s="77">
        <f>IF(Pipeline!$A48="","",IF(Pipeline!H48="","",Pipeline!H48))</f>
        <v/>
      </c>
      <c r="B48" s="77">
        <f>IF(Pipeline!$A48="","",IF(Pipeline!F48="","",Pipeline!F48))</f>
        <v/>
      </c>
      <c r="C48" s="96">
        <f>IF(Pipeline!$A48="","",IF(Pipeline!M48="","",Pipeline!M48))</f>
        <v/>
      </c>
      <c r="D48" s="97">
        <f>IF(Pipeline!$A48="","",IF(Pipeline!Q48="","",Pipeline!Q48))</f>
        <v/>
      </c>
      <c r="E48" s="98">
        <f>IF(Pipeline!$A48="","",IF(Pipeline!T48="","",Pipeline!T48))</f>
        <v/>
      </c>
      <c r="F48" s="77">
        <f>IF(Pipeline!$A48="","",IF(Pipeline!W48="","",Pipeline!W48))</f>
        <v/>
      </c>
      <c r="G48" s="99">
        <f>IF(Pipeline!$A48="","",IF(Pipeline!AH48="","",Pipeline!AH48))</f>
        <v/>
      </c>
      <c r="H48" s="77">
        <f>IF(Pipeline!$A48="","",IF(Pipeline!AI48="","",Pipeline!AI48))</f>
        <v/>
      </c>
      <c r="I48" s="77">
        <f>IF(Pipeline!$A48="","",IF(Pipeline!X48="","",Pipeline!X48))</f>
        <v/>
      </c>
      <c r="J48" s="77">
        <f>IF(Pipeline!$A48="","",IF(Pipeline!AF48="","–",Pipeline!AF48))</f>
        <v/>
      </c>
    </row>
    <row r="49" ht="15" customHeight="1" s="51">
      <c r="A49" s="77">
        <f>IF(Pipeline!$A49="","",IF(Pipeline!H49="","",Pipeline!H49))</f>
        <v/>
      </c>
      <c r="B49" s="77">
        <f>IF(Pipeline!$A49="","",IF(Pipeline!F49="","",Pipeline!F49))</f>
        <v/>
      </c>
      <c r="C49" s="96">
        <f>IF(Pipeline!$A49="","",IF(Pipeline!M49="","",Pipeline!M49))</f>
        <v/>
      </c>
      <c r="D49" s="97">
        <f>IF(Pipeline!$A49="","",IF(Pipeline!Q49="","",Pipeline!Q49))</f>
        <v/>
      </c>
      <c r="E49" s="98">
        <f>IF(Pipeline!$A49="","",IF(Pipeline!T49="","",Pipeline!T49))</f>
        <v/>
      </c>
      <c r="F49" s="77">
        <f>IF(Pipeline!$A49="","",IF(Pipeline!W49="","",Pipeline!W49))</f>
        <v/>
      </c>
      <c r="G49" s="99">
        <f>IF(Pipeline!$A49="","",IF(Pipeline!AH49="","",Pipeline!AH49))</f>
        <v/>
      </c>
      <c r="H49" s="77">
        <f>IF(Pipeline!$A49="","",IF(Pipeline!AI49="","",Pipeline!AI49))</f>
        <v/>
      </c>
      <c r="I49" s="77">
        <f>IF(Pipeline!$A49="","",IF(Pipeline!X49="","",Pipeline!X49))</f>
        <v/>
      </c>
      <c r="J49" s="77">
        <f>IF(Pipeline!$A49="","",IF(Pipeline!AF49="","–",Pipeline!AF49))</f>
        <v/>
      </c>
    </row>
    <row r="50" ht="15" customHeight="1" s="51">
      <c r="A50" s="77">
        <f>IF(Pipeline!$A50="","",IF(Pipeline!H50="","",Pipeline!H50))</f>
        <v/>
      </c>
      <c r="B50" s="77">
        <f>IF(Pipeline!$A50="","",IF(Pipeline!F50="","",Pipeline!F50))</f>
        <v/>
      </c>
      <c r="C50" s="96">
        <f>IF(Pipeline!$A50="","",IF(Pipeline!M50="","",Pipeline!M50))</f>
        <v/>
      </c>
      <c r="D50" s="97">
        <f>IF(Pipeline!$A50="","",IF(Pipeline!Q50="","",Pipeline!Q50))</f>
        <v/>
      </c>
      <c r="E50" s="98">
        <f>IF(Pipeline!$A50="","",IF(Pipeline!T50="","",Pipeline!T50))</f>
        <v/>
      </c>
      <c r="F50" s="77">
        <f>IF(Pipeline!$A50="","",IF(Pipeline!W50="","",Pipeline!W50))</f>
        <v/>
      </c>
      <c r="G50" s="99">
        <f>IF(Pipeline!$A50="","",IF(Pipeline!AH50="","",Pipeline!AH50))</f>
        <v/>
      </c>
      <c r="H50" s="77">
        <f>IF(Pipeline!$A50="","",IF(Pipeline!AI50="","",Pipeline!AI50))</f>
        <v/>
      </c>
      <c r="I50" s="77">
        <f>IF(Pipeline!$A50="","",IF(Pipeline!X50="","",Pipeline!X50))</f>
        <v/>
      </c>
      <c r="J50" s="77">
        <f>IF(Pipeline!$A50="","",IF(Pipeline!AF50="","–",Pipeline!AF50))</f>
        <v/>
      </c>
    </row>
    <row r="51" ht="15" customHeight="1" s="51">
      <c r="A51" s="77">
        <f>IF(Pipeline!$A51="","",IF(Pipeline!H51="","",Pipeline!H51))</f>
        <v/>
      </c>
      <c r="B51" s="77">
        <f>IF(Pipeline!$A51="","",IF(Pipeline!F51="","",Pipeline!F51))</f>
        <v/>
      </c>
      <c r="C51" s="96">
        <f>IF(Pipeline!$A51="","",IF(Pipeline!M51="","",Pipeline!M51))</f>
        <v/>
      </c>
      <c r="D51" s="97">
        <f>IF(Pipeline!$A51="","",IF(Pipeline!Q51="","",Pipeline!Q51))</f>
        <v/>
      </c>
      <c r="E51" s="98">
        <f>IF(Pipeline!$A51="","",IF(Pipeline!T51="","",Pipeline!T51))</f>
        <v/>
      </c>
      <c r="F51" s="77">
        <f>IF(Pipeline!$A51="","",IF(Pipeline!W51="","",Pipeline!W51))</f>
        <v/>
      </c>
      <c r="G51" s="99">
        <f>IF(Pipeline!$A51="","",IF(Pipeline!AH51="","",Pipeline!AH51))</f>
        <v/>
      </c>
      <c r="H51" s="77">
        <f>IF(Pipeline!$A51="","",IF(Pipeline!AI51="","",Pipeline!AI51))</f>
        <v/>
      </c>
      <c r="I51" s="77">
        <f>IF(Pipeline!$A51="","",IF(Pipeline!X51="","",Pipeline!X51))</f>
        <v/>
      </c>
      <c r="J51" s="77">
        <f>IF(Pipeline!$A51="","",IF(Pipeline!AF51="","–",Pipeline!AF51))</f>
        <v/>
      </c>
    </row>
    <row r="52" ht="15" customHeight="1" s="51">
      <c r="A52" s="77">
        <f>IF(Pipeline!$A52="","",IF(Pipeline!H52="","",Pipeline!H52))</f>
        <v/>
      </c>
      <c r="B52" s="77">
        <f>IF(Pipeline!$A52="","",IF(Pipeline!F52="","",Pipeline!F52))</f>
        <v/>
      </c>
      <c r="C52" s="96">
        <f>IF(Pipeline!$A52="","",IF(Pipeline!M52="","",Pipeline!M52))</f>
        <v/>
      </c>
      <c r="D52" s="97">
        <f>IF(Pipeline!$A52="","",IF(Pipeline!Q52="","",Pipeline!Q52))</f>
        <v/>
      </c>
      <c r="E52" s="98">
        <f>IF(Pipeline!$A52="","",IF(Pipeline!T52="","",Pipeline!T52))</f>
        <v/>
      </c>
      <c r="F52" s="77">
        <f>IF(Pipeline!$A52="","",IF(Pipeline!W52="","",Pipeline!W52))</f>
        <v/>
      </c>
      <c r="G52" s="99">
        <f>IF(Pipeline!$A52="","",IF(Pipeline!AH52="","",Pipeline!AH52))</f>
        <v/>
      </c>
      <c r="H52" s="77">
        <f>IF(Pipeline!$A52="","",IF(Pipeline!AI52="","",Pipeline!AI52))</f>
        <v/>
      </c>
      <c r="I52" s="77">
        <f>IF(Pipeline!$A52="","",IF(Pipeline!X52="","",Pipeline!X52))</f>
        <v/>
      </c>
      <c r="J52" s="77">
        <f>IF(Pipeline!$A52="","",IF(Pipeline!AF52="","–",Pipeline!AF52))</f>
        <v/>
      </c>
    </row>
    <row r="53" ht="15" customHeight="1" s="51">
      <c r="A53" s="77">
        <f>IF(Pipeline!$A53="","",IF(Pipeline!H53="","",Pipeline!H53))</f>
        <v/>
      </c>
      <c r="B53" s="77">
        <f>IF(Pipeline!$A53="","",IF(Pipeline!F53="","",Pipeline!F53))</f>
        <v/>
      </c>
      <c r="C53" s="96">
        <f>IF(Pipeline!$A53="","",IF(Pipeline!M53="","",Pipeline!M53))</f>
        <v/>
      </c>
      <c r="D53" s="97">
        <f>IF(Pipeline!$A53="","",IF(Pipeline!Q53="","",Pipeline!Q53))</f>
        <v/>
      </c>
      <c r="E53" s="98">
        <f>IF(Pipeline!$A53="","",IF(Pipeline!T53="","",Pipeline!T53))</f>
        <v/>
      </c>
      <c r="F53" s="77">
        <f>IF(Pipeline!$A53="","",IF(Pipeline!W53="","",Pipeline!W53))</f>
        <v/>
      </c>
      <c r="G53" s="99">
        <f>IF(Pipeline!$A53="","",IF(Pipeline!AH53="","",Pipeline!AH53))</f>
        <v/>
      </c>
      <c r="H53" s="77">
        <f>IF(Pipeline!$A53="","",IF(Pipeline!AI53="","",Pipeline!AI53))</f>
        <v/>
      </c>
      <c r="I53" s="77">
        <f>IF(Pipeline!$A53="","",IF(Pipeline!X53="","",Pipeline!X53))</f>
        <v/>
      </c>
      <c r="J53" s="77">
        <f>IF(Pipeline!$A53="","",IF(Pipeline!AF53="","–",Pipeline!AF53))</f>
        <v/>
      </c>
    </row>
    <row r="54" ht="15" customHeight="1" s="51">
      <c r="A54" s="77">
        <f>IF(Pipeline!$A54="","",IF(Pipeline!H54="","",Pipeline!H54))</f>
        <v/>
      </c>
      <c r="B54" s="77">
        <f>IF(Pipeline!$A54="","",IF(Pipeline!F54="","",Pipeline!F54))</f>
        <v/>
      </c>
      <c r="C54" s="96">
        <f>IF(Pipeline!$A54="","",IF(Pipeline!M54="","",Pipeline!M54))</f>
        <v/>
      </c>
      <c r="D54" s="97">
        <f>IF(Pipeline!$A54="","",IF(Pipeline!Q54="","",Pipeline!Q54))</f>
        <v/>
      </c>
      <c r="E54" s="98">
        <f>IF(Pipeline!$A54="","",IF(Pipeline!T54="","",Pipeline!T54))</f>
        <v/>
      </c>
      <c r="F54" s="77">
        <f>IF(Pipeline!$A54="","",IF(Pipeline!W54="","",Pipeline!W54))</f>
        <v/>
      </c>
      <c r="G54" s="99">
        <f>IF(Pipeline!$A54="","",IF(Pipeline!AH54="","",Pipeline!AH54))</f>
        <v/>
      </c>
      <c r="H54" s="77">
        <f>IF(Pipeline!$A54="","",IF(Pipeline!AI54="","",Pipeline!AI54))</f>
        <v/>
      </c>
      <c r="I54" s="77">
        <f>IF(Pipeline!$A54="","",IF(Pipeline!X54="","",Pipeline!X54))</f>
        <v/>
      </c>
      <c r="J54" s="77">
        <f>IF(Pipeline!$A54="","",IF(Pipeline!AF54="","–",Pipeline!AF54))</f>
        <v/>
      </c>
    </row>
    <row r="55" ht="15" customHeight="1" s="51">
      <c r="A55" s="77">
        <f>IF(Pipeline!$A55="","",IF(Pipeline!H55="","",Pipeline!H55))</f>
        <v/>
      </c>
      <c r="B55" s="77">
        <f>IF(Pipeline!$A55="","",IF(Pipeline!F55="","",Pipeline!F55))</f>
        <v/>
      </c>
      <c r="C55" s="96">
        <f>IF(Pipeline!$A55="","",IF(Pipeline!M55="","",Pipeline!M55))</f>
        <v/>
      </c>
      <c r="D55" s="97">
        <f>IF(Pipeline!$A55="","",IF(Pipeline!Q55="","",Pipeline!Q55))</f>
        <v/>
      </c>
      <c r="E55" s="98">
        <f>IF(Pipeline!$A55="","",IF(Pipeline!T55="","",Pipeline!T55))</f>
        <v/>
      </c>
      <c r="F55" s="77">
        <f>IF(Pipeline!$A55="","",IF(Pipeline!W55="","",Pipeline!W55))</f>
        <v/>
      </c>
      <c r="G55" s="99">
        <f>IF(Pipeline!$A55="","",IF(Pipeline!AH55="","",Pipeline!AH55))</f>
        <v/>
      </c>
      <c r="H55" s="77">
        <f>IF(Pipeline!$A55="","",IF(Pipeline!AI55="","",Pipeline!AI55))</f>
        <v/>
      </c>
      <c r="I55" s="77">
        <f>IF(Pipeline!$A55="","",IF(Pipeline!X55="","",Pipeline!X55))</f>
        <v/>
      </c>
      <c r="J55" s="77">
        <f>IF(Pipeline!$A55="","",IF(Pipeline!AF55="","–",Pipeline!AF55))</f>
        <v/>
      </c>
    </row>
    <row r="56" ht="15" customHeight="1" s="51">
      <c r="A56" s="77">
        <f>IF(Pipeline!$A56="","",IF(Pipeline!H56="","",Pipeline!H56))</f>
        <v/>
      </c>
      <c r="B56" s="77">
        <f>IF(Pipeline!$A56="","",IF(Pipeline!F56="","",Pipeline!F56))</f>
        <v/>
      </c>
      <c r="C56" s="96">
        <f>IF(Pipeline!$A56="","",IF(Pipeline!M56="","",Pipeline!M56))</f>
        <v/>
      </c>
      <c r="D56" s="97">
        <f>IF(Pipeline!$A56="","",IF(Pipeline!Q56="","",Pipeline!Q56))</f>
        <v/>
      </c>
      <c r="E56" s="98">
        <f>IF(Pipeline!$A56="","",IF(Pipeline!T56="","",Pipeline!T56))</f>
        <v/>
      </c>
      <c r="F56" s="77">
        <f>IF(Pipeline!$A56="","",IF(Pipeline!W56="","",Pipeline!W56))</f>
        <v/>
      </c>
      <c r="G56" s="99">
        <f>IF(Pipeline!$A56="","",IF(Pipeline!AH56="","",Pipeline!AH56))</f>
        <v/>
      </c>
      <c r="H56" s="77">
        <f>IF(Pipeline!$A56="","",IF(Pipeline!AI56="","",Pipeline!AI56))</f>
        <v/>
      </c>
      <c r="I56" s="77">
        <f>IF(Pipeline!$A56="","",IF(Pipeline!X56="","",Pipeline!X56))</f>
        <v/>
      </c>
      <c r="J56" s="77">
        <f>IF(Pipeline!$A56="","",IF(Pipeline!AF56="","–",Pipeline!AF56))</f>
        <v/>
      </c>
    </row>
    <row r="57" ht="15" customHeight="1" s="51">
      <c r="A57" s="77">
        <f>IF(Pipeline!$A57="","",IF(Pipeline!H57="","",Pipeline!H57))</f>
        <v/>
      </c>
      <c r="B57" s="77">
        <f>IF(Pipeline!$A57="","",IF(Pipeline!F57="","",Pipeline!F57))</f>
        <v/>
      </c>
      <c r="C57" s="96">
        <f>IF(Pipeline!$A57="","",IF(Pipeline!M57="","",Pipeline!M57))</f>
        <v/>
      </c>
      <c r="D57" s="97">
        <f>IF(Pipeline!$A57="","",IF(Pipeline!Q57="","",Pipeline!Q57))</f>
        <v/>
      </c>
      <c r="E57" s="98">
        <f>IF(Pipeline!$A57="","",IF(Pipeline!T57="","",Pipeline!T57))</f>
        <v/>
      </c>
      <c r="F57" s="77">
        <f>IF(Pipeline!$A57="","",IF(Pipeline!W57="","",Pipeline!W57))</f>
        <v/>
      </c>
      <c r="G57" s="99">
        <f>IF(Pipeline!$A57="","",IF(Pipeline!AH57="","",Pipeline!AH57))</f>
        <v/>
      </c>
      <c r="H57" s="77">
        <f>IF(Pipeline!$A57="","",IF(Pipeline!AI57="","",Pipeline!AI57))</f>
        <v/>
      </c>
      <c r="I57" s="77">
        <f>IF(Pipeline!$A57="","",IF(Pipeline!X57="","",Pipeline!X57))</f>
        <v/>
      </c>
      <c r="J57" s="77">
        <f>IF(Pipeline!$A57="","",IF(Pipeline!AF57="","–",Pipeline!AF57))</f>
        <v/>
      </c>
    </row>
    <row r="58" ht="15" customHeight="1" s="51">
      <c r="A58" s="77">
        <f>IF(Pipeline!$A58="","",IF(Pipeline!H58="","",Pipeline!H58))</f>
        <v/>
      </c>
      <c r="B58" s="77">
        <f>IF(Pipeline!$A58="","",IF(Pipeline!F58="","",Pipeline!F58))</f>
        <v/>
      </c>
      <c r="C58" s="96">
        <f>IF(Pipeline!$A58="","",IF(Pipeline!M58="","",Pipeline!M58))</f>
        <v/>
      </c>
      <c r="D58" s="97">
        <f>IF(Pipeline!$A58="","",IF(Pipeline!Q58="","",Pipeline!Q58))</f>
        <v/>
      </c>
      <c r="E58" s="98">
        <f>IF(Pipeline!$A58="","",IF(Pipeline!T58="","",Pipeline!T58))</f>
        <v/>
      </c>
      <c r="F58" s="77">
        <f>IF(Pipeline!$A58="","",IF(Pipeline!W58="","",Pipeline!W58))</f>
        <v/>
      </c>
      <c r="G58" s="99">
        <f>IF(Pipeline!$A58="","",IF(Pipeline!AH58="","",Pipeline!AH58))</f>
        <v/>
      </c>
      <c r="H58" s="77">
        <f>IF(Pipeline!$A58="","",IF(Pipeline!AI58="","",Pipeline!AI58))</f>
        <v/>
      </c>
      <c r="I58" s="77">
        <f>IF(Pipeline!$A58="","",IF(Pipeline!X58="","",Pipeline!X58))</f>
        <v/>
      </c>
      <c r="J58" s="77">
        <f>IF(Pipeline!$A58="","",IF(Pipeline!AF58="","–",Pipeline!AF58))</f>
        <v/>
      </c>
    </row>
    <row r="59" ht="15" customHeight="1" s="51">
      <c r="A59" s="77">
        <f>IF(Pipeline!$A59="","",IF(Pipeline!H59="","",Pipeline!H59))</f>
        <v/>
      </c>
      <c r="B59" s="77">
        <f>IF(Pipeline!$A59="","",IF(Pipeline!F59="","",Pipeline!F59))</f>
        <v/>
      </c>
      <c r="C59" s="96">
        <f>IF(Pipeline!$A59="","",IF(Pipeline!M59="","",Pipeline!M59))</f>
        <v/>
      </c>
      <c r="D59" s="97">
        <f>IF(Pipeline!$A59="","",IF(Pipeline!Q59="","",Pipeline!Q59))</f>
        <v/>
      </c>
      <c r="E59" s="98">
        <f>IF(Pipeline!$A59="","",IF(Pipeline!T59="","",Pipeline!T59))</f>
        <v/>
      </c>
      <c r="F59" s="77">
        <f>IF(Pipeline!$A59="","",IF(Pipeline!W59="","",Pipeline!W59))</f>
        <v/>
      </c>
      <c r="G59" s="99">
        <f>IF(Pipeline!$A59="","",IF(Pipeline!AH59="","",Pipeline!AH59))</f>
        <v/>
      </c>
      <c r="H59" s="77">
        <f>IF(Pipeline!$A59="","",IF(Pipeline!AI59="","",Pipeline!AI59))</f>
        <v/>
      </c>
      <c r="I59" s="77">
        <f>IF(Pipeline!$A59="","",IF(Pipeline!X59="","",Pipeline!X59))</f>
        <v/>
      </c>
      <c r="J59" s="77">
        <f>IF(Pipeline!$A59="","",IF(Pipeline!AF59="","–",Pipeline!AF59))</f>
        <v/>
      </c>
    </row>
    <row r="60" ht="15" customHeight="1" s="51">
      <c r="A60" s="77">
        <f>IF(Pipeline!$A60="","",IF(Pipeline!H60="","",Pipeline!H60))</f>
        <v/>
      </c>
      <c r="B60" s="77">
        <f>IF(Pipeline!$A60="","",IF(Pipeline!F60="","",Pipeline!F60))</f>
        <v/>
      </c>
      <c r="C60" s="96">
        <f>IF(Pipeline!$A60="","",IF(Pipeline!M60="","",Pipeline!M60))</f>
        <v/>
      </c>
      <c r="D60" s="97">
        <f>IF(Pipeline!$A60="","",IF(Pipeline!Q60="","",Pipeline!Q60))</f>
        <v/>
      </c>
      <c r="E60" s="98">
        <f>IF(Pipeline!$A60="","",IF(Pipeline!T60="","",Pipeline!T60))</f>
        <v/>
      </c>
      <c r="F60" s="77">
        <f>IF(Pipeline!$A60="","",IF(Pipeline!W60="","",Pipeline!W60))</f>
        <v/>
      </c>
      <c r="G60" s="99">
        <f>IF(Pipeline!$A60="","",IF(Pipeline!AH60="","",Pipeline!AH60))</f>
        <v/>
      </c>
      <c r="H60" s="77">
        <f>IF(Pipeline!$A60="","",IF(Pipeline!AI60="","",Pipeline!AI60))</f>
        <v/>
      </c>
      <c r="I60" s="77">
        <f>IF(Pipeline!$A60="","",IF(Pipeline!X60="","",Pipeline!X60))</f>
        <v/>
      </c>
      <c r="J60" s="77">
        <f>IF(Pipeline!$A60="","",IF(Pipeline!AF60="","–",Pipeline!AF60))</f>
        <v/>
      </c>
    </row>
    <row r="61" ht="15" customHeight="1" s="51">
      <c r="A61" s="77">
        <f>IF(Pipeline!$A61="","",IF(Pipeline!H61="","",Pipeline!H61))</f>
        <v/>
      </c>
      <c r="B61" s="77">
        <f>IF(Pipeline!$A61="","",IF(Pipeline!F61="","",Pipeline!F61))</f>
        <v/>
      </c>
      <c r="C61" s="96">
        <f>IF(Pipeline!$A61="","",IF(Pipeline!M61="","",Pipeline!M61))</f>
        <v/>
      </c>
      <c r="D61" s="97">
        <f>IF(Pipeline!$A61="","",IF(Pipeline!Q61="","",Pipeline!Q61))</f>
        <v/>
      </c>
      <c r="E61" s="98">
        <f>IF(Pipeline!$A61="","",IF(Pipeline!T61="","",Pipeline!T61))</f>
        <v/>
      </c>
      <c r="F61" s="77">
        <f>IF(Pipeline!$A61="","",IF(Pipeline!W61="","",Pipeline!W61))</f>
        <v/>
      </c>
      <c r="G61" s="99">
        <f>IF(Pipeline!$A61="","",IF(Pipeline!AH61="","",Pipeline!AH61))</f>
        <v/>
      </c>
      <c r="H61" s="77">
        <f>IF(Pipeline!$A61="","",IF(Pipeline!AI61="","",Pipeline!AI61))</f>
        <v/>
      </c>
      <c r="I61" s="77">
        <f>IF(Pipeline!$A61="","",IF(Pipeline!X61="","",Pipeline!X61))</f>
        <v/>
      </c>
      <c r="J61" s="77">
        <f>IF(Pipeline!$A61="","",IF(Pipeline!AF61="","–",Pipeline!AF61))</f>
        <v/>
      </c>
    </row>
    <row r="62" ht="15" customHeight="1" s="51">
      <c r="A62" s="77">
        <f>IF(Pipeline!$A62="","",IF(Pipeline!H62="","",Pipeline!H62))</f>
        <v/>
      </c>
      <c r="B62" s="77">
        <f>IF(Pipeline!$A62="","",IF(Pipeline!F62="","",Pipeline!F62))</f>
        <v/>
      </c>
      <c r="C62" s="96">
        <f>IF(Pipeline!$A62="","",IF(Pipeline!M62="","",Pipeline!M62))</f>
        <v/>
      </c>
      <c r="D62" s="97">
        <f>IF(Pipeline!$A62="","",IF(Pipeline!Q62="","",Pipeline!Q62))</f>
        <v/>
      </c>
      <c r="E62" s="98">
        <f>IF(Pipeline!$A62="","",IF(Pipeline!T62="","",Pipeline!T62))</f>
        <v/>
      </c>
      <c r="F62" s="77">
        <f>IF(Pipeline!$A62="","",IF(Pipeline!W62="","",Pipeline!W62))</f>
        <v/>
      </c>
      <c r="G62" s="99">
        <f>IF(Pipeline!$A62="","",IF(Pipeline!AH62="","",Pipeline!AH62))</f>
        <v/>
      </c>
      <c r="H62" s="77">
        <f>IF(Pipeline!$A62="","",IF(Pipeline!AI62="","",Pipeline!AI62))</f>
        <v/>
      </c>
      <c r="I62" s="77">
        <f>IF(Pipeline!$A62="","",IF(Pipeline!X62="","",Pipeline!X62))</f>
        <v/>
      </c>
      <c r="J62" s="77">
        <f>IF(Pipeline!$A62="","",IF(Pipeline!AF62="","–",Pipeline!AF62))</f>
        <v/>
      </c>
    </row>
    <row r="63" ht="15" customHeight="1" s="51">
      <c r="A63" s="77">
        <f>IF(Pipeline!$A63="","",IF(Pipeline!H63="","",Pipeline!H63))</f>
        <v/>
      </c>
      <c r="B63" s="77">
        <f>IF(Pipeline!$A63="","",IF(Pipeline!F63="","",Pipeline!F63))</f>
        <v/>
      </c>
      <c r="C63" s="96">
        <f>IF(Pipeline!$A63="","",IF(Pipeline!M63="","",Pipeline!M63))</f>
        <v/>
      </c>
      <c r="D63" s="97">
        <f>IF(Pipeline!$A63="","",IF(Pipeline!Q63="","",Pipeline!Q63))</f>
        <v/>
      </c>
      <c r="E63" s="98">
        <f>IF(Pipeline!$A63="","",IF(Pipeline!T63="","",Pipeline!T63))</f>
        <v/>
      </c>
      <c r="F63" s="77">
        <f>IF(Pipeline!$A63="","",IF(Pipeline!W63="","",Pipeline!W63))</f>
        <v/>
      </c>
      <c r="G63" s="99">
        <f>IF(Pipeline!$A63="","",IF(Pipeline!AH63="","",Pipeline!AH63))</f>
        <v/>
      </c>
      <c r="H63" s="77">
        <f>IF(Pipeline!$A63="","",IF(Pipeline!AI63="","",Pipeline!AI63))</f>
        <v/>
      </c>
      <c r="I63" s="77">
        <f>IF(Pipeline!$A63="","",IF(Pipeline!X63="","",Pipeline!X63))</f>
        <v/>
      </c>
      <c r="J63" s="77">
        <f>IF(Pipeline!$A63="","",IF(Pipeline!AF63="","–",Pipeline!AF63))</f>
        <v/>
      </c>
    </row>
    <row r="64" ht="15" customHeight="1" s="51">
      <c r="A64" s="77">
        <f>IF(Pipeline!$A64="","",IF(Pipeline!H64="","",Pipeline!H64))</f>
        <v/>
      </c>
      <c r="B64" s="77">
        <f>IF(Pipeline!$A64="","",IF(Pipeline!F64="","",Pipeline!F64))</f>
        <v/>
      </c>
      <c r="C64" s="96">
        <f>IF(Pipeline!$A64="","",IF(Pipeline!M64="","",Pipeline!M64))</f>
        <v/>
      </c>
      <c r="D64" s="97">
        <f>IF(Pipeline!$A64="","",IF(Pipeline!Q64="","",Pipeline!Q64))</f>
        <v/>
      </c>
      <c r="E64" s="98">
        <f>IF(Pipeline!$A64="","",IF(Pipeline!T64="","",Pipeline!T64))</f>
        <v/>
      </c>
      <c r="F64" s="77">
        <f>IF(Pipeline!$A64="","",IF(Pipeline!W64="","",Pipeline!W64))</f>
        <v/>
      </c>
      <c r="G64" s="99">
        <f>IF(Pipeline!$A64="","",IF(Pipeline!AH64="","",Pipeline!AH64))</f>
        <v/>
      </c>
      <c r="H64" s="77">
        <f>IF(Pipeline!$A64="","",IF(Pipeline!AI64="","",Pipeline!AI64))</f>
        <v/>
      </c>
      <c r="I64" s="77">
        <f>IF(Pipeline!$A64="","",IF(Pipeline!X64="","",Pipeline!X64))</f>
        <v/>
      </c>
      <c r="J64" s="77">
        <f>IF(Pipeline!$A64="","",IF(Pipeline!AF64="","–",Pipeline!AF64))</f>
        <v/>
      </c>
    </row>
    <row r="65" ht="15" customHeight="1" s="51">
      <c r="A65" s="77">
        <f>IF(Pipeline!$A65="","",IF(Pipeline!H65="","",Pipeline!H65))</f>
        <v/>
      </c>
      <c r="B65" s="77">
        <f>IF(Pipeline!$A65="","",IF(Pipeline!F65="","",Pipeline!F65))</f>
        <v/>
      </c>
      <c r="C65" s="96">
        <f>IF(Pipeline!$A65="","",IF(Pipeline!M65="","",Pipeline!M65))</f>
        <v/>
      </c>
      <c r="D65" s="97">
        <f>IF(Pipeline!$A65="","",IF(Pipeline!Q65="","",Pipeline!Q65))</f>
        <v/>
      </c>
      <c r="E65" s="98">
        <f>IF(Pipeline!$A65="","",IF(Pipeline!T65="","",Pipeline!T65))</f>
        <v/>
      </c>
      <c r="F65" s="77">
        <f>IF(Pipeline!$A65="","",IF(Pipeline!W65="","",Pipeline!W65))</f>
        <v/>
      </c>
      <c r="G65" s="99">
        <f>IF(Pipeline!$A65="","",IF(Pipeline!AH65="","",Pipeline!AH65))</f>
        <v/>
      </c>
      <c r="H65" s="77">
        <f>IF(Pipeline!$A65="","",IF(Pipeline!AI65="","",Pipeline!AI65))</f>
        <v/>
      </c>
      <c r="I65" s="77">
        <f>IF(Pipeline!$A65="","",IF(Pipeline!X65="","",Pipeline!X65))</f>
        <v/>
      </c>
      <c r="J65" s="77">
        <f>IF(Pipeline!$A65="","",IF(Pipeline!AF65="","–",Pipeline!AF65))</f>
        <v/>
      </c>
    </row>
    <row r="66" ht="15" customHeight="1" s="51">
      <c r="A66" s="77">
        <f>IF(Pipeline!$A66="","",IF(Pipeline!H66="","",Pipeline!H66))</f>
        <v/>
      </c>
      <c r="B66" s="77">
        <f>IF(Pipeline!$A66="","",IF(Pipeline!F66="","",Pipeline!F66))</f>
        <v/>
      </c>
      <c r="C66" s="96">
        <f>IF(Pipeline!$A66="","",IF(Pipeline!M66="","",Pipeline!M66))</f>
        <v/>
      </c>
      <c r="D66" s="97">
        <f>IF(Pipeline!$A66="","",IF(Pipeline!Q66="","",Pipeline!Q66))</f>
        <v/>
      </c>
      <c r="E66" s="98">
        <f>IF(Pipeline!$A66="","",IF(Pipeline!T66="","",Pipeline!T66))</f>
        <v/>
      </c>
      <c r="F66" s="77">
        <f>IF(Pipeline!$A66="","",IF(Pipeline!W66="","",Pipeline!W66))</f>
        <v/>
      </c>
      <c r="G66" s="99">
        <f>IF(Pipeline!$A66="","",IF(Pipeline!AH66="","",Pipeline!AH66))</f>
        <v/>
      </c>
      <c r="H66" s="77">
        <f>IF(Pipeline!$A66="","",IF(Pipeline!AI66="","",Pipeline!AI66))</f>
        <v/>
      </c>
      <c r="I66" s="77">
        <f>IF(Pipeline!$A66="","",IF(Pipeline!X66="","",Pipeline!X66))</f>
        <v/>
      </c>
      <c r="J66" s="77">
        <f>IF(Pipeline!$A66="","",IF(Pipeline!AF66="","–",Pipeline!AF66))</f>
        <v/>
      </c>
    </row>
    <row r="67" ht="15" customHeight="1" s="51">
      <c r="A67" s="77">
        <f>IF(Pipeline!$A67="","",IF(Pipeline!H67="","",Pipeline!H67))</f>
        <v/>
      </c>
      <c r="B67" s="77">
        <f>IF(Pipeline!$A67="","",IF(Pipeline!F67="","",Pipeline!F67))</f>
        <v/>
      </c>
      <c r="C67" s="96">
        <f>IF(Pipeline!$A67="","",IF(Pipeline!M67="","",Pipeline!M67))</f>
        <v/>
      </c>
      <c r="D67" s="97">
        <f>IF(Pipeline!$A67="","",IF(Pipeline!Q67="","",Pipeline!Q67))</f>
        <v/>
      </c>
      <c r="E67" s="98">
        <f>IF(Pipeline!$A67="","",IF(Pipeline!T67="","",Pipeline!T67))</f>
        <v/>
      </c>
      <c r="F67" s="77">
        <f>IF(Pipeline!$A67="","",IF(Pipeline!W67="","",Pipeline!W67))</f>
        <v/>
      </c>
      <c r="G67" s="99">
        <f>IF(Pipeline!$A67="","",IF(Pipeline!AH67="","",Pipeline!AH67))</f>
        <v/>
      </c>
      <c r="H67" s="77">
        <f>IF(Pipeline!$A67="","",IF(Pipeline!AI67="","",Pipeline!AI67))</f>
        <v/>
      </c>
      <c r="I67" s="77">
        <f>IF(Pipeline!$A67="","",IF(Pipeline!X67="","",Pipeline!X67))</f>
        <v/>
      </c>
      <c r="J67" s="77">
        <f>IF(Pipeline!$A67="","",IF(Pipeline!AF67="","–",Pipeline!AF67))</f>
        <v/>
      </c>
    </row>
    <row r="68" ht="15" customHeight="1" s="51">
      <c r="A68" s="77">
        <f>IF(Pipeline!$A68="","",IF(Pipeline!H68="","",Pipeline!H68))</f>
        <v/>
      </c>
      <c r="B68" s="77">
        <f>IF(Pipeline!$A68="","",IF(Pipeline!F68="","",Pipeline!F68))</f>
        <v/>
      </c>
      <c r="C68" s="96">
        <f>IF(Pipeline!$A68="","",IF(Pipeline!M68="","",Pipeline!M68))</f>
        <v/>
      </c>
      <c r="D68" s="97">
        <f>IF(Pipeline!$A68="","",IF(Pipeline!Q68="","",Pipeline!Q68))</f>
        <v/>
      </c>
      <c r="E68" s="98">
        <f>IF(Pipeline!$A68="","",IF(Pipeline!T68="","",Pipeline!T68))</f>
        <v/>
      </c>
      <c r="F68" s="77">
        <f>IF(Pipeline!$A68="","",IF(Pipeline!W68="","",Pipeline!W68))</f>
        <v/>
      </c>
      <c r="G68" s="99">
        <f>IF(Pipeline!$A68="","",IF(Pipeline!AH68="","",Pipeline!AH68))</f>
        <v/>
      </c>
      <c r="H68" s="77">
        <f>IF(Pipeline!$A68="","",IF(Pipeline!AI68="","",Pipeline!AI68))</f>
        <v/>
      </c>
      <c r="I68" s="77">
        <f>IF(Pipeline!$A68="","",IF(Pipeline!X68="","",Pipeline!X68))</f>
        <v/>
      </c>
      <c r="J68" s="77">
        <f>IF(Pipeline!$A68="","",IF(Pipeline!AF68="","–",Pipeline!AF68))</f>
        <v/>
      </c>
    </row>
    <row r="69" ht="15" customHeight="1" s="51">
      <c r="A69" s="77">
        <f>IF(Pipeline!$A69="","",IF(Pipeline!H69="","",Pipeline!H69))</f>
        <v/>
      </c>
      <c r="B69" s="77">
        <f>IF(Pipeline!$A69="","",IF(Pipeline!F69="","",Pipeline!F69))</f>
        <v/>
      </c>
      <c r="C69" s="96">
        <f>IF(Pipeline!$A69="","",IF(Pipeline!M69="","",Pipeline!M69))</f>
        <v/>
      </c>
      <c r="D69" s="97">
        <f>IF(Pipeline!$A69="","",IF(Pipeline!Q69="","",Pipeline!Q69))</f>
        <v/>
      </c>
      <c r="E69" s="98">
        <f>IF(Pipeline!$A69="","",IF(Pipeline!T69="","",Pipeline!T69))</f>
        <v/>
      </c>
      <c r="F69" s="77">
        <f>IF(Pipeline!$A69="","",IF(Pipeline!W69="","",Pipeline!W69))</f>
        <v/>
      </c>
      <c r="G69" s="99">
        <f>IF(Pipeline!$A69="","",IF(Pipeline!AH69="","",Pipeline!AH69))</f>
        <v/>
      </c>
      <c r="H69" s="77">
        <f>IF(Pipeline!$A69="","",IF(Pipeline!AI69="","",Pipeline!AI69))</f>
        <v/>
      </c>
      <c r="I69" s="77">
        <f>IF(Pipeline!$A69="","",IF(Pipeline!X69="","",Pipeline!X69))</f>
        <v/>
      </c>
      <c r="J69" s="77">
        <f>IF(Pipeline!$A69="","",IF(Pipeline!AF69="","–",Pipeline!AF69))</f>
        <v/>
      </c>
    </row>
    <row r="70" ht="15" customHeight="1" s="51">
      <c r="A70" s="77">
        <f>IF(Pipeline!$A70="","",IF(Pipeline!H70="","",Pipeline!H70))</f>
        <v/>
      </c>
      <c r="B70" s="77">
        <f>IF(Pipeline!$A70="","",IF(Pipeline!F70="","",Pipeline!F70))</f>
        <v/>
      </c>
      <c r="C70" s="96">
        <f>IF(Pipeline!$A70="","",IF(Pipeline!M70="","",Pipeline!M70))</f>
        <v/>
      </c>
      <c r="D70" s="97">
        <f>IF(Pipeline!$A70="","",IF(Pipeline!Q70="","",Pipeline!Q70))</f>
        <v/>
      </c>
      <c r="E70" s="98">
        <f>IF(Pipeline!$A70="","",IF(Pipeline!T70="","",Pipeline!T70))</f>
        <v/>
      </c>
      <c r="F70" s="77">
        <f>IF(Pipeline!$A70="","",IF(Pipeline!W70="","",Pipeline!W70))</f>
        <v/>
      </c>
      <c r="G70" s="99">
        <f>IF(Pipeline!$A70="","",IF(Pipeline!AH70="","",Pipeline!AH70))</f>
        <v/>
      </c>
      <c r="H70" s="77">
        <f>IF(Pipeline!$A70="","",IF(Pipeline!AI70="","",Pipeline!AI70))</f>
        <v/>
      </c>
      <c r="I70" s="77">
        <f>IF(Pipeline!$A70="","",IF(Pipeline!X70="","",Pipeline!X70))</f>
        <v/>
      </c>
      <c r="J70" s="77">
        <f>IF(Pipeline!$A70="","",IF(Pipeline!AF70="","–",Pipeline!AF70))</f>
        <v/>
      </c>
    </row>
    <row r="71" ht="15" customHeight="1" s="51">
      <c r="A71" s="77">
        <f>IF(Pipeline!$A71="","",IF(Pipeline!H71="","",Pipeline!H71))</f>
        <v/>
      </c>
      <c r="B71" s="77">
        <f>IF(Pipeline!$A71="","",IF(Pipeline!F71="","",Pipeline!F71))</f>
        <v/>
      </c>
      <c r="C71" s="96">
        <f>IF(Pipeline!$A71="","",IF(Pipeline!M71="","",Pipeline!M71))</f>
        <v/>
      </c>
      <c r="D71" s="97">
        <f>IF(Pipeline!$A71="","",IF(Pipeline!Q71="","",Pipeline!Q71))</f>
        <v/>
      </c>
      <c r="E71" s="98">
        <f>IF(Pipeline!$A71="","",IF(Pipeline!T71="","",Pipeline!T71))</f>
        <v/>
      </c>
      <c r="F71" s="77">
        <f>IF(Pipeline!$A71="","",IF(Pipeline!W71="","",Pipeline!W71))</f>
        <v/>
      </c>
      <c r="G71" s="99">
        <f>IF(Pipeline!$A71="","",IF(Pipeline!AH71="","",Pipeline!AH71))</f>
        <v/>
      </c>
      <c r="H71" s="77">
        <f>IF(Pipeline!$A71="","",IF(Pipeline!AI71="","",Pipeline!AI71))</f>
        <v/>
      </c>
      <c r="I71" s="77">
        <f>IF(Pipeline!$A71="","",IF(Pipeline!X71="","",Pipeline!X71))</f>
        <v/>
      </c>
      <c r="J71" s="77">
        <f>IF(Pipeline!$A71="","",IF(Pipeline!AF71="","–",Pipeline!AF71))</f>
        <v/>
      </c>
    </row>
    <row r="72" ht="15" customHeight="1" s="51">
      <c r="A72" s="77">
        <f>IF(Pipeline!$A72="","",IF(Pipeline!H72="","",Pipeline!H72))</f>
        <v/>
      </c>
      <c r="B72" s="77">
        <f>IF(Pipeline!$A72="","",IF(Pipeline!F72="","",Pipeline!F72))</f>
        <v/>
      </c>
      <c r="C72" s="96">
        <f>IF(Pipeline!$A72="","",IF(Pipeline!M72="","",Pipeline!M72))</f>
        <v/>
      </c>
      <c r="D72" s="97">
        <f>IF(Pipeline!$A72="","",IF(Pipeline!Q72="","",Pipeline!Q72))</f>
        <v/>
      </c>
      <c r="E72" s="98">
        <f>IF(Pipeline!$A72="","",IF(Pipeline!T72="","",Pipeline!T72))</f>
        <v/>
      </c>
      <c r="F72" s="77">
        <f>IF(Pipeline!$A72="","",IF(Pipeline!W72="","",Pipeline!W72))</f>
        <v/>
      </c>
      <c r="G72" s="99">
        <f>IF(Pipeline!$A72="","",IF(Pipeline!AH72="","",Pipeline!AH72))</f>
        <v/>
      </c>
      <c r="H72" s="77">
        <f>IF(Pipeline!$A72="","",IF(Pipeline!AI72="","",Pipeline!AI72))</f>
        <v/>
      </c>
      <c r="I72" s="77">
        <f>IF(Pipeline!$A72="","",IF(Pipeline!X72="","",Pipeline!X72))</f>
        <v/>
      </c>
      <c r="J72" s="77">
        <f>IF(Pipeline!$A72="","",IF(Pipeline!AF72="","–",Pipeline!AF72))</f>
        <v/>
      </c>
    </row>
    <row r="73" ht="15" customHeight="1" s="51">
      <c r="A73" s="77">
        <f>IF(Pipeline!$A73="","",IF(Pipeline!H73="","",Pipeline!H73))</f>
        <v/>
      </c>
      <c r="B73" s="77">
        <f>IF(Pipeline!$A73="","",IF(Pipeline!F73="","",Pipeline!F73))</f>
        <v/>
      </c>
      <c r="C73" s="96">
        <f>IF(Pipeline!$A73="","",IF(Pipeline!M73="","",Pipeline!M73))</f>
        <v/>
      </c>
      <c r="D73" s="97">
        <f>IF(Pipeline!$A73="","",IF(Pipeline!Q73="","",Pipeline!Q73))</f>
        <v/>
      </c>
      <c r="E73" s="98">
        <f>IF(Pipeline!$A73="","",IF(Pipeline!T73="","",Pipeline!T73))</f>
        <v/>
      </c>
      <c r="F73" s="77">
        <f>IF(Pipeline!$A73="","",IF(Pipeline!W73="","",Pipeline!W73))</f>
        <v/>
      </c>
      <c r="G73" s="99">
        <f>IF(Pipeline!$A73="","",IF(Pipeline!AH73="","",Pipeline!AH73))</f>
        <v/>
      </c>
      <c r="H73" s="77">
        <f>IF(Pipeline!$A73="","",IF(Pipeline!AI73="","",Pipeline!AI73))</f>
        <v/>
      </c>
      <c r="I73" s="77">
        <f>IF(Pipeline!$A73="","",IF(Pipeline!X73="","",Pipeline!X73))</f>
        <v/>
      </c>
      <c r="J73" s="77">
        <f>IF(Pipeline!$A73="","",IF(Pipeline!AF73="","–",Pipeline!AF73))</f>
        <v/>
      </c>
    </row>
    <row r="74" ht="15" customHeight="1" s="51">
      <c r="A74" s="77">
        <f>IF(Pipeline!$A74="","",IF(Pipeline!H74="","",Pipeline!H74))</f>
        <v/>
      </c>
      <c r="B74" s="77">
        <f>IF(Pipeline!$A74="","",IF(Pipeline!F74="","",Pipeline!F74))</f>
        <v/>
      </c>
      <c r="C74" s="96">
        <f>IF(Pipeline!$A74="","",IF(Pipeline!M74="","",Pipeline!M74))</f>
        <v/>
      </c>
      <c r="D74" s="97">
        <f>IF(Pipeline!$A74="","",IF(Pipeline!Q74="","",Pipeline!Q74))</f>
        <v/>
      </c>
      <c r="E74" s="98">
        <f>IF(Pipeline!$A74="","",IF(Pipeline!T74="","",Pipeline!T74))</f>
        <v/>
      </c>
      <c r="F74" s="77">
        <f>IF(Pipeline!$A74="","",IF(Pipeline!W74="","",Pipeline!W74))</f>
        <v/>
      </c>
      <c r="G74" s="99">
        <f>IF(Pipeline!$A74="","",IF(Pipeline!AH74="","",Pipeline!AH74))</f>
        <v/>
      </c>
      <c r="H74" s="77">
        <f>IF(Pipeline!$A74="","",IF(Pipeline!AI74="","",Pipeline!AI74))</f>
        <v/>
      </c>
      <c r="I74" s="77">
        <f>IF(Pipeline!$A74="","",IF(Pipeline!X74="","",Pipeline!X74))</f>
        <v/>
      </c>
      <c r="J74" s="77">
        <f>IF(Pipeline!$A74="","",IF(Pipeline!AF74="","–",Pipeline!AF74))</f>
        <v/>
      </c>
    </row>
    <row r="75" ht="15" customHeight="1" s="51">
      <c r="A75" s="77">
        <f>IF(Pipeline!$A75="","",IF(Pipeline!H75="","",Pipeline!H75))</f>
        <v/>
      </c>
      <c r="B75" s="77">
        <f>IF(Pipeline!$A75="","",IF(Pipeline!F75="","",Pipeline!F75))</f>
        <v/>
      </c>
      <c r="C75" s="96">
        <f>IF(Pipeline!$A75="","",IF(Pipeline!M75="","",Pipeline!M75))</f>
        <v/>
      </c>
      <c r="D75" s="97">
        <f>IF(Pipeline!$A75="","",IF(Pipeline!Q75="","",Pipeline!Q75))</f>
        <v/>
      </c>
      <c r="E75" s="98">
        <f>IF(Pipeline!$A75="","",IF(Pipeline!T75="","",Pipeline!T75))</f>
        <v/>
      </c>
      <c r="F75" s="77">
        <f>IF(Pipeline!$A75="","",IF(Pipeline!W75="","",Pipeline!W75))</f>
        <v/>
      </c>
      <c r="G75" s="99">
        <f>IF(Pipeline!$A75="","",IF(Pipeline!AH75="","",Pipeline!AH75))</f>
        <v/>
      </c>
      <c r="H75" s="77">
        <f>IF(Pipeline!$A75="","",IF(Pipeline!AI75="","",Pipeline!AI75))</f>
        <v/>
      </c>
      <c r="I75" s="77">
        <f>IF(Pipeline!$A75="","",IF(Pipeline!X75="","",Pipeline!X75))</f>
        <v/>
      </c>
      <c r="J75" s="77">
        <f>IF(Pipeline!$A75="","",IF(Pipeline!AF75="","–",Pipeline!AF75))</f>
        <v/>
      </c>
    </row>
    <row r="76" ht="15" customHeight="1" s="51">
      <c r="A76" s="77">
        <f>IF(Pipeline!$A76="","",IF(Pipeline!H76="","",Pipeline!H76))</f>
        <v/>
      </c>
      <c r="B76" s="77">
        <f>IF(Pipeline!$A76="","",IF(Pipeline!F76="","",Pipeline!F76))</f>
        <v/>
      </c>
      <c r="C76" s="96">
        <f>IF(Pipeline!$A76="","",IF(Pipeline!M76="","",Pipeline!M76))</f>
        <v/>
      </c>
      <c r="D76" s="97">
        <f>IF(Pipeline!$A76="","",IF(Pipeline!Q76="","",Pipeline!Q76))</f>
        <v/>
      </c>
      <c r="E76" s="98">
        <f>IF(Pipeline!$A76="","",IF(Pipeline!T76="","",Pipeline!T76))</f>
        <v/>
      </c>
      <c r="F76" s="77">
        <f>IF(Pipeline!$A76="","",IF(Pipeline!W76="","",Pipeline!W76))</f>
        <v/>
      </c>
      <c r="G76" s="99">
        <f>IF(Pipeline!$A76="","",IF(Pipeline!AH76="","",Pipeline!AH76))</f>
        <v/>
      </c>
      <c r="H76" s="77">
        <f>IF(Pipeline!$A76="","",IF(Pipeline!AI76="","",Pipeline!AI76))</f>
        <v/>
      </c>
      <c r="I76" s="77">
        <f>IF(Pipeline!$A76="","",IF(Pipeline!X76="","",Pipeline!X76))</f>
        <v/>
      </c>
      <c r="J76" s="77">
        <f>IF(Pipeline!$A76="","",IF(Pipeline!AF76="","–",Pipeline!AF76))</f>
        <v/>
      </c>
    </row>
    <row r="77" ht="15" customHeight="1" s="51">
      <c r="A77" s="77">
        <f>IF(Pipeline!$A77="","",IF(Pipeline!H77="","",Pipeline!H77))</f>
        <v/>
      </c>
      <c r="B77" s="77">
        <f>IF(Pipeline!$A77="","",IF(Pipeline!F77="","",Pipeline!F77))</f>
        <v/>
      </c>
      <c r="C77" s="96">
        <f>IF(Pipeline!$A77="","",IF(Pipeline!M77="","",Pipeline!M77))</f>
        <v/>
      </c>
      <c r="D77" s="97">
        <f>IF(Pipeline!$A77="","",IF(Pipeline!Q77="","",Pipeline!Q77))</f>
        <v/>
      </c>
      <c r="E77" s="98">
        <f>IF(Pipeline!$A77="","",IF(Pipeline!T77="","",Pipeline!T77))</f>
        <v/>
      </c>
      <c r="F77" s="77">
        <f>IF(Pipeline!$A77="","",IF(Pipeline!W77="","",Pipeline!W77))</f>
        <v/>
      </c>
      <c r="G77" s="99">
        <f>IF(Pipeline!$A77="","",IF(Pipeline!AH77="","",Pipeline!AH77))</f>
        <v/>
      </c>
      <c r="H77" s="77">
        <f>IF(Pipeline!$A77="","",IF(Pipeline!AI77="","",Pipeline!AI77))</f>
        <v/>
      </c>
      <c r="I77" s="77">
        <f>IF(Pipeline!$A77="","",IF(Pipeline!X77="","",Pipeline!X77))</f>
        <v/>
      </c>
      <c r="J77" s="77">
        <f>IF(Pipeline!$A77="","",IF(Pipeline!AF77="","–",Pipeline!AF77))</f>
        <v/>
      </c>
    </row>
    <row r="78" ht="15" customHeight="1" s="51">
      <c r="A78" s="77">
        <f>IF(Pipeline!$A78="","",IF(Pipeline!H78="","",Pipeline!H78))</f>
        <v/>
      </c>
      <c r="B78" s="77">
        <f>IF(Pipeline!$A78="","",IF(Pipeline!F78="","",Pipeline!F78))</f>
        <v/>
      </c>
      <c r="C78" s="96">
        <f>IF(Pipeline!$A78="","",IF(Pipeline!M78="","",Pipeline!M78))</f>
        <v/>
      </c>
      <c r="D78" s="97">
        <f>IF(Pipeline!$A78="","",IF(Pipeline!Q78="","",Pipeline!Q78))</f>
        <v/>
      </c>
      <c r="E78" s="98">
        <f>IF(Pipeline!$A78="","",IF(Pipeline!T78="","",Pipeline!T78))</f>
        <v/>
      </c>
      <c r="F78" s="77">
        <f>IF(Pipeline!$A78="","",IF(Pipeline!W78="","",Pipeline!W78))</f>
        <v/>
      </c>
      <c r="G78" s="99">
        <f>IF(Pipeline!$A78="","",IF(Pipeline!AH78="","",Pipeline!AH78))</f>
        <v/>
      </c>
      <c r="H78" s="77">
        <f>IF(Pipeline!$A78="","",IF(Pipeline!AI78="","",Pipeline!AI78))</f>
        <v/>
      </c>
      <c r="I78" s="77">
        <f>IF(Pipeline!$A78="","",IF(Pipeline!X78="","",Pipeline!X78))</f>
        <v/>
      </c>
      <c r="J78" s="77">
        <f>IF(Pipeline!$A78="","",IF(Pipeline!AF78="","–",Pipeline!AF78))</f>
        <v/>
      </c>
    </row>
    <row r="79" ht="15" customHeight="1" s="51">
      <c r="A79" s="77">
        <f>IF(Pipeline!$A79="","",IF(Pipeline!H79="","",Pipeline!H79))</f>
        <v/>
      </c>
      <c r="B79" s="77">
        <f>IF(Pipeline!$A79="","",IF(Pipeline!F79="","",Pipeline!F79))</f>
        <v/>
      </c>
      <c r="C79" s="96">
        <f>IF(Pipeline!$A79="","",IF(Pipeline!M79="","",Pipeline!M79))</f>
        <v/>
      </c>
      <c r="D79" s="97">
        <f>IF(Pipeline!$A79="","",IF(Pipeline!Q79="","",Pipeline!Q79))</f>
        <v/>
      </c>
      <c r="E79" s="98">
        <f>IF(Pipeline!$A79="","",IF(Pipeline!T79="","",Pipeline!T79))</f>
        <v/>
      </c>
      <c r="F79" s="77">
        <f>IF(Pipeline!$A79="","",IF(Pipeline!W79="","",Pipeline!W79))</f>
        <v/>
      </c>
      <c r="G79" s="99">
        <f>IF(Pipeline!$A79="","",IF(Pipeline!AH79="","",Pipeline!AH79))</f>
        <v/>
      </c>
      <c r="H79" s="77">
        <f>IF(Pipeline!$A79="","",IF(Pipeline!AI79="","",Pipeline!AI79))</f>
        <v/>
      </c>
      <c r="I79" s="77">
        <f>IF(Pipeline!$A79="","",IF(Pipeline!X79="","",Pipeline!X79))</f>
        <v/>
      </c>
      <c r="J79" s="77">
        <f>IF(Pipeline!$A79="","",IF(Pipeline!AF79="","–",Pipeline!AF79))</f>
        <v/>
      </c>
    </row>
    <row r="80" ht="15" customHeight="1" s="51">
      <c r="A80" s="77">
        <f>IF(Pipeline!$A80="","",IF(Pipeline!H80="","",Pipeline!H80))</f>
        <v/>
      </c>
      <c r="B80" s="77">
        <f>IF(Pipeline!$A80="","",IF(Pipeline!F80="","",Pipeline!F80))</f>
        <v/>
      </c>
      <c r="C80" s="96">
        <f>IF(Pipeline!$A80="","",IF(Pipeline!M80="","",Pipeline!M80))</f>
        <v/>
      </c>
      <c r="D80" s="97">
        <f>IF(Pipeline!$A80="","",IF(Pipeline!Q80="","",Pipeline!Q80))</f>
        <v/>
      </c>
      <c r="E80" s="98">
        <f>IF(Pipeline!$A80="","",IF(Pipeline!T80="","",Pipeline!T80))</f>
        <v/>
      </c>
      <c r="F80" s="77">
        <f>IF(Pipeline!$A80="","",IF(Pipeline!W80="","",Pipeline!W80))</f>
        <v/>
      </c>
      <c r="G80" s="99">
        <f>IF(Pipeline!$A80="","",IF(Pipeline!AH80="","",Pipeline!AH80))</f>
        <v/>
      </c>
      <c r="H80" s="77">
        <f>IF(Pipeline!$A80="","",IF(Pipeline!AI80="","",Pipeline!AI80))</f>
        <v/>
      </c>
      <c r="I80" s="77">
        <f>IF(Pipeline!$A80="","",IF(Pipeline!X80="","",Pipeline!X80))</f>
        <v/>
      </c>
      <c r="J80" s="77">
        <f>IF(Pipeline!$A80="","",IF(Pipeline!AF80="","–",Pipeline!AF80))</f>
        <v/>
      </c>
    </row>
    <row r="81" ht="15" customHeight="1" s="51">
      <c r="A81" s="77">
        <f>IF(Pipeline!$A81="","",IF(Pipeline!H81="","",Pipeline!H81))</f>
        <v/>
      </c>
      <c r="B81" s="77">
        <f>IF(Pipeline!$A81="","",IF(Pipeline!F81="","",Pipeline!F81))</f>
        <v/>
      </c>
      <c r="C81" s="96">
        <f>IF(Pipeline!$A81="","",IF(Pipeline!M81="","",Pipeline!M81))</f>
        <v/>
      </c>
      <c r="D81" s="97">
        <f>IF(Pipeline!$A81="","",IF(Pipeline!Q81="","",Pipeline!Q81))</f>
        <v/>
      </c>
      <c r="E81" s="98">
        <f>IF(Pipeline!$A81="","",IF(Pipeline!T81="","",Pipeline!T81))</f>
        <v/>
      </c>
      <c r="F81" s="77">
        <f>IF(Pipeline!$A81="","",IF(Pipeline!W81="","",Pipeline!W81))</f>
        <v/>
      </c>
      <c r="G81" s="99">
        <f>IF(Pipeline!$A81="","",IF(Pipeline!AH81="","",Pipeline!AH81))</f>
        <v/>
      </c>
      <c r="H81" s="77">
        <f>IF(Pipeline!$A81="","",IF(Pipeline!AI81="","",Pipeline!AI81))</f>
        <v/>
      </c>
      <c r="I81" s="77">
        <f>IF(Pipeline!$A81="","",IF(Pipeline!X81="","",Pipeline!X81))</f>
        <v/>
      </c>
      <c r="J81" s="77">
        <f>IF(Pipeline!$A81="","",IF(Pipeline!AF81="","–",Pipeline!AF81))</f>
        <v/>
      </c>
    </row>
    <row r="82" ht="15" customHeight="1" s="51">
      <c r="A82" s="77">
        <f>IF(Pipeline!$A82="","",IF(Pipeline!H82="","",Pipeline!H82))</f>
        <v/>
      </c>
      <c r="B82" s="77">
        <f>IF(Pipeline!$A82="","",IF(Pipeline!F82="","",Pipeline!F82))</f>
        <v/>
      </c>
      <c r="C82" s="96">
        <f>IF(Pipeline!$A82="","",IF(Pipeline!M82="","",Pipeline!M82))</f>
        <v/>
      </c>
      <c r="D82" s="97">
        <f>IF(Pipeline!$A82="","",IF(Pipeline!Q82="","",Pipeline!Q82))</f>
        <v/>
      </c>
      <c r="E82" s="98">
        <f>IF(Pipeline!$A82="","",IF(Pipeline!T82="","",Pipeline!T82))</f>
        <v/>
      </c>
      <c r="F82" s="77">
        <f>IF(Pipeline!$A82="","",IF(Pipeline!W82="","",Pipeline!W82))</f>
        <v/>
      </c>
      <c r="G82" s="99">
        <f>IF(Pipeline!$A82="","",IF(Pipeline!AH82="","",Pipeline!AH82))</f>
        <v/>
      </c>
      <c r="H82" s="77">
        <f>IF(Pipeline!$A82="","",IF(Pipeline!AI82="","",Pipeline!AI82))</f>
        <v/>
      </c>
      <c r="I82" s="77">
        <f>IF(Pipeline!$A82="","",IF(Pipeline!X82="","",Pipeline!X82))</f>
        <v/>
      </c>
      <c r="J82" s="77">
        <f>IF(Pipeline!$A82="","",IF(Pipeline!AF82="","–",Pipeline!AF82))</f>
        <v/>
      </c>
    </row>
    <row r="83" ht="15" customHeight="1" s="51">
      <c r="A83" s="77">
        <f>IF(Pipeline!$A83="","",IF(Pipeline!H83="","",Pipeline!H83))</f>
        <v/>
      </c>
      <c r="B83" s="77">
        <f>IF(Pipeline!$A83="","",IF(Pipeline!F83="","",Pipeline!F83))</f>
        <v/>
      </c>
      <c r="C83" s="96">
        <f>IF(Pipeline!$A83="","",IF(Pipeline!M83="","",Pipeline!M83))</f>
        <v/>
      </c>
      <c r="D83" s="97">
        <f>IF(Pipeline!$A83="","",IF(Pipeline!Q83="","",Pipeline!Q83))</f>
        <v/>
      </c>
      <c r="E83" s="98">
        <f>IF(Pipeline!$A83="","",IF(Pipeline!T83="","",Pipeline!T83))</f>
        <v/>
      </c>
      <c r="F83" s="77">
        <f>IF(Pipeline!$A83="","",IF(Pipeline!W83="","",Pipeline!W83))</f>
        <v/>
      </c>
      <c r="G83" s="99">
        <f>IF(Pipeline!$A83="","",IF(Pipeline!AH83="","",Pipeline!AH83))</f>
        <v/>
      </c>
      <c r="H83" s="77">
        <f>IF(Pipeline!$A83="","",IF(Pipeline!AI83="","",Pipeline!AI83))</f>
        <v/>
      </c>
      <c r="I83" s="77">
        <f>IF(Pipeline!$A83="","",IF(Pipeline!X83="","",Pipeline!X83))</f>
        <v/>
      </c>
      <c r="J83" s="77">
        <f>IF(Pipeline!$A83="","",IF(Pipeline!AF83="","–",Pipeline!AF83))</f>
        <v/>
      </c>
    </row>
    <row r="84" ht="15" customHeight="1" s="51">
      <c r="A84" s="77">
        <f>IF(Pipeline!$A84="","",IF(Pipeline!H84="","",Pipeline!H84))</f>
        <v/>
      </c>
      <c r="B84" s="77">
        <f>IF(Pipeline!$A84="","",IF(Pipeline!F84="","",Pipeline!F84))</f>
        <v/>
      </c>
      <c r="C84" s="96">
        <f>IF(Pipeline!$A84="","",IF(Pipeline!M84="","",Pipeline!M84))</f>
        <v/>
      </c>
      <c r="D84" s="97">
        <f>IF(Pipeline!$A84="","",IF(Pipeline!Q84="","",Pipeline!Q84))</f>
        <v/>
      </c>
      <c r="E84" s="98">
        <f>IF(Pipeline!$A84="","",IF(Pipeline!T84="","",Pipeline!T84))</f>
        <v/>
      </c>
      <c r="F84" s="77">
        <f>IF(Pipeline!$A84="","",IF(Pipeline!W84="","",Pipeline!W84))</f>
        <v/>
      </c>
      <c r="G84" s="99">
        <f>IF(Pipeline!$A84="","",IF(Pipeline!AH84="","",Pipeline!AH84))</f>
        <v/>
      </c>
      <c r="H84" s="77">
        <f>IF(Pipeline!$A84="","",IF(Pipeline!AI84="","",Pipeline!AI84))</f>
        <v/>
      </c>
      <c r="I84" s="77">
        <f>IF(Pipeline!$A84="","",IF(Pipeline!X84="","",Pipeline!X84))</f>
        <v/>
      </c>
      <c r="J84" s="77">
        <f>IF(Pipeline!$A84="","",IF(Pipeline!AF84="","–",Pipeline!AF84))</f>
        <v/>
      </c>
    </row>
    <row r="85" ht="15" customHeight="1" s="51">
      <c r="A85" s="77">
        <f>IF(Pipeline!$A85="","",IF(Pipeline!H85="","",Pipeline!H85))</f>
        <v/>
      </c>
      <c r="B85" s="77">
        <f>IF(Pipeline!$A85="","",IF(Pipeline!F85="","",Pipeline!F85))</f>
        <v/>
      </c>
      <c r="C85" s="96">
        <f>IF(Pipeline!$A85="","",IF(Pipeline!M85="","",Pipeline!M85))</f>
        <v/>
      </c>
      <c r="D85" s="97">
        <f>IF(Pipeline!$A85="","",IF(Pipeline!Q85="","",Pipeline!Q85))</f>
        <v/>
      </c>
      <c r="E85" s="98">
        <f>IF(Pipeline!$A85="","",IF(Pipeline!T85="","",Pipeline!T85))</f>
        <v/>
      </c>
      <c r="F85" s="77">
        <f>IF(Pipeline!$A85="","",IF(Pipeline!W85="","",Pipeline!W85))</f>
        <v/>
      </c>
      <c r="G85" s="99">
        <f>IF(Pipeline!$A85="","",IF(Pipeline!AH85="","",Pipeline!AH85))</f>
        <v/>
      </c>
      <c r="H85" s="77">
        <f>IF(Pipeline!$A85="","",IF(Pipeline!AI85="","",Pipeline!AI85))</f>
        <v/>
      </c>
      <c r="I85" s="77">
        <f>IF(Pipeline!$A85="","",IF(Pipeline!X85="","",Pipeline!X85))</f>
        <v/>
      </c>
      <c r="J85" s="77">
        <f>IF(Pipeline!$A85="","",IF(Pipeline!AF85="","–",Pipeline!AF85))</f>
        <v/>
      </c>
    </row>
    <row r="86" ht="15" customHeight="1" s="51">
      <c r="A86" s="77">
        <f>IF(Pipeline!$A86="","",IF(Pipeline!H86="","",Pipeline!H86))</f>
        <v/>
      </c>
      <c r="B86" s="77">
        <f>IF(Pipeline!$A86="","",IF(Pipeline!F86="","",Pipeline!F86))</f>
        <v/>
      </c>
      <c r="C86" s="96">
        <f>IF(Pipeline!$A86="","",IF(Pipeline!M86="","",Pipeline!M86))</f>
        <v/>
      </c>
      <c r="D86" s="97">
        <f>IF(Pipeline!$A86="","",IF(Pipeline!Q86="","",Pipeline!Q86))</f>
        <v/>
      </c>
      <c r="E86" s="98">
        <f>IF(Pipeline!$A86="","",IF(Pipeline!T86="","",Pipeline!T86))</f>
        <v/>
      </c>
      <c r="F86" s="77">
        <f>IF(Pipeline!$A86="","",IF(Pipeline!W86="","",Pipeline!W86))</f>
        <v/>
      </c>
      <c r="G86" s="99">
        <f>IF(Pipeline!$A86="","",IF(Pipeline!AH86="","",Pipeline!AH86))</f>
        <v/>
      </c>
      <c r="H86" s="77">
        <f>IF(Pipeline!$A86="","",IF(Pipeline!AI86="","",Pipeline!AI86))</f>
        <v/>
      </c>
      <c r="I86" s="77">
        <f>IF(Pipeline!$A86="","",IF(Pipeline!X86="","",Pipeline!X86))</f>
        <v/>
      </c>
      <c r="J86" s="77">
        <f>IF(Pipeline!$A86="","",IF(Pipeline!AF86="","–",Pipeline!AF86))</f>
        <v/>
      </c>
    </row>
    <row r="87" ht="15" customHeight="1" s="51">
      <c r="A87" s="77">
        <f>IF(Pipeline!$A87="","",IF(Pipeline!H87="","",Pipeline!H87))</f>
        <v/>
      </c>
      <c r="B87" s="77">
        <f>IF(Pipeline!$A87="","",IF(Pipeline!F87="","",Pipeline!F87))</f>
        <v/>
      </c>
      <c r="C87" s="96">
        <f>IF(Pipeline!$A87="","",IF(Pipeline!M87="","",Pipeline!M87))</f>
        <v/>
      </c>
      <c r="D87" s="97">
        <f>IF(Pipeline!$A87="","",IF(Pipeline!Q87="","",Pipeline!Q87))</f>
        <v/>
      </c>
      <c r="E87" s="98">
        <f>IF(Pipeline!$A87="","",IF(Pipeline!T87="","",Pipeline!T87))</f>
        <v/>
      </c>
      <c r="F87" s="77">
        <f>IF(Pipeline!$A87="","",IF(Pipeline!W87="","",Pipeline!W87))</f>
        <v/>
      </c>
      <c r="G87" s="99">
        <f>IF(Pipeline!$A87="","",IF(Pipeline!AH87="","",Pipeline!AH87))</f>
        <v/>
      </c>
      <c r="H87" s="77">
        <f>IF(Pipeline!$A87="","",IF(Pipeline!AI87="","",Pipeline!AI87))</f>
        <v/>
      </c>
      <c r="I87" s="77">
        <f>IF(Pipeline!$A87="","",IF(Pipeline!X87="","",Pipeline!X87))</f>
        <v/>
      </c>
      <c r="J87" s="77">
        <f>IF(Pipeline!$A87="","",IF(Pipeline!AF87="","–",Pipeline!AF87))</f>
        <v/>
      </c>
    </row>
    <row r="88" ht="15" customHeight="1" s="51">
      <c r="A88" s="77">
        <f>IF(Pipeline!$A88="","",IF(Pipeline!H88="","",Pipeline!H88))</f>
        <v/>
      </c>
      <c r="B88" s="77">
        <f>IF(Pipeline!$A88="","",IF(Pipeline!F88="","",Pipeline!F88))</f>
        <v/>
      </c>
      <c r="C88" s="96">
        <f>IF(Pipeline!$A88="","",IF(Pipeline!M88="","",Pipeline!M88))</f>
        <v/>
      </c>
      <c r="D88" s="97">
        <f>IF(Pipeline!$A88="","",IF(Pipeline!Q88="","",Pipeline!Q88))</f>
        <v/>
      </c>
      <c r="E88" s="98">
        <f>IF(Pipeline!$A88="","",IF(Pipeline!T88="","",Pipeline!T88))</f>
        <v/>
      </c>
      <c r="F88" s="77">
        <f>IF(Pipeline!$A88="","",IF(Pipeline!W88="","",Pipeline!W88))</f>
        <v/>
      </c>
      <c r="G88" s="99">
        <f>IF(Pipeline!$A88="","",IF(Pipeline!AH88="","",Pipeline!AH88))</f>
        <v/>
      </c>
      <c r="H88" s="77">
        <f>IF(Pipeline!$A88="","",IF(Pipeline!AI88="","",Pipeline!AI88))</f>
        <v/>
      </c>
      <c r="I88" s="77">
        <f>IF(Pipeline!$A88="","",IF(Pipeline!X88="","",Pipeline!X88))</f>
        <v/>
      </c>
      <c r="J88" s="77">
        <f>IF(Pipeline!$A88="","",IF(Pipeline!AF88="","–",Pipeline!AF88))</f>
        <v/>
      </c>
    </row>
    <row r="89" ht="15" customHeight="1" s="51">
      <c r="A89" s="77">
        <f>IF(Pipeline!$A89="","",IF(Pipeline!H89="","",Pipeline!H89))</f>
        <v/>
      </c>
      <c r="B89" s="77">
        <f>IF(Pipeline!$A89="","",IF(Pipeline!F89="","",Pipeline!F89))</f>
        <v/>
      </c>
      <c r="C89" s="96">
        <f>IF(Pipeline!$A89="","",IF(Pipeline!M89="","",Pipeline!M89))</f>
        <v/>
      </c>
      <c r="D89" s="97">
        <f>IF(Pipeline!$A89="","",IF(Pipeline!Q89="","",Pipeline!Q89))</f>
        <v/>
      </c>
      <c r="E89" s="98">
        <f>IF(Pipeline!$A89="","",IF(Pipeline!T89="","",Pipeline!T89))</f>
        <v/>
      </c>
      <c r="F89" s="77">
        <f>IF(Pipeline!$A89="","",IF(Pipeline!W89="","",Pipeline!W89))</f>
        <v/>
      </c>
      <c r="G89" s="99">
        <f>IF(Pipeline!$A89="","",IF(Pipeline!AH89="","",Pipeline!AH89))</f>
        <v/>
      </c>
      <c r="H89" s="77">
        <f>IF(Pipeline!$A89="","",IF(Pipeline!AI89="","",Pipeline!AI89))</f>
        <v/>
      </c>
      <c r="I89" s="77">
        <f>IF(Pipeline!$A89="","",IF(Pipeline!X89="","",Pipeline!X89))</f>
        <v/>
      </c>
      <c r="J89" s="77">
        <f>IF(Pipeline!$A89="","",IF(Pipeline!AF89="","–",Pipeline!AF89))</f>
        <v/>
      </c>
    </row>
    <row r="90" ht="15" customHeight="1" s="51">
      <c r="A90" s="77">
        <f>IF(Pipeline!$A90="","",IF(Pipeline!H90="","",Pipeline!H90))</f>
        <v/>
      </c>
      <c r="B90" s="77">
        <f>IF(Pipeline!$A90="","",IF(Pipeline!F90="","",Pipeline!F90))</f>
        <v/>
      </c>
      <c r="C90" s="96">
        <f>IF(Pipeline!$A90="","",IF(Pipeline!M90="","",Pipeline!M90))</f>
        <v/>
      </c>
      <c r="D90" s="97">
        <f>IF(Pipeline!$A90="","",IF(Pipeline!Q90="","",Pipeline!Q90))</f>
        <v/>
      </c>
      <c r="E90" s="98">
        <f>IF(Pipeline!$A90="","",IF(Pipeline!T90="","",Pipeline!T90))</f>
        <v/>
      </c>
      <c r="F90" s="77">
        <f>IF(Pipeline!$A90="","",IF(Pipeline!W90="","",Pipeline!W90))</f>
        <v/>
      </c>
      <c r="G90" s="99">
        <f>IF(Pipeline!$A90="","",IF(Pipeline!AH90="","",Pipeline!AH90))</f>
        <v/>
      </c>
      <c r="H90" s="77">
        <f>IF(Pipeline!$A90="","",IF(Pipeline!AI90="","",Pipeline!AI90))</f>
        <v/>
      </c>
      <c r="I90" s="77">
        <f>IF(Pipeline!$A90="","",IF(Pipeline!X90="","",Pipeline!X90))</f>
        <v/>
      </c>
      <c r="J90" s="77">
        <f>IF(Pipeline!$A90="","",IF(Pipeline!AF90="","–",Pipeline!AF90))</f>
        <v/>
      </c>
    </row>
    <row r="91" ht="15" customHeight="1" s="51">
      <c r="A91" s="77">
        <f>IF(Pipeline!$A91="","",IF(Pipeline!H91="","",Pipeline!H91))</f>
        <v/>
      </c>
      <c r="B91" s="77">
        <f>IF(Pipeline!$A91="","",IF(Pipeline!F91="","",Pipeline!F91))</f>
        <v/>
      </c>
      <c r="C91" s="96">
        <f>IF(Pipeline!$A91="","",IF(Pipeline!M91="","",Pipeline!M91))</f>
        <v/>
      </c>
      <c r="D91" s="97">
        <f>IF(Pipeline!$A91="","",IF(Pipeline!Q91="","",Pipeline!Q91))</f>
        <v/>
      </c>
      <c r="E91" s="98">
        <f>IF(Pipeline!$A91="","",IF(Pipeline!T91="","",Pipeline!T91))</f>
        <v/>
      </c>
      <c r="F91" s="77">
        <f>IF(Pipeline!$A91="","",IF(Pipeline!W91="","",Pipeline!W91))</f>
        <v/>
      </c>
      <c r="G91" s="99">
        <f>IF(Pipeline!$A91="","",IF(Pipeline!AH91="","",Pipeline!AH91))</f>
        <v/>
      </c>
      <c r="H91" s="77">
        <f>IF(Pipeline!$A91="","",IF(Pipeline!AI91="","",Pipeline!AI91))</f>
        <v/>
      </c>
      <c r="I91" s="77">
        <f>IF(Pipeline!$A91="","",IF(Pipeline!X91="","",Pipeline!X91))</f>
        <v/>
      </c>
      <c r="J91" s="77">
        <f>IF(Pipeline!$A91="","",IF(Pipeline!AF91="","–",Pipeline!AF91))</f>
        <v/>
      </c>
    </row>
    <row r="92" ht="15" customHeight="1" s="51">
      <c r="A92" s="77">
        <f>IF(Pipeline!$A92="","",IF(Pipeline!H92="","",Pipeline!H92))</f>
        <v/>
      </c>
      <c r="B92" s="77">
        <f>IF(Pipeline!$A92="","",IF(Pipeline!F92="","",Pipeline!F92))</f>
        <v/>
      </c>
      <c r="C92" s="96">
        <f>IF(Pipeline!$A92="","",IF(Pipeline!M92="","",Pipeline!M92))</f>
        <v/>
      </c>
      <c r="D92" s="97">
        <f>IF(Pipeline!$A92="","",IF(Pipeline!Q92="","",Pipeline!Q92))</f>
        <v/>
      </c>
      <c r="E92" s="98">
        <f>IF(Pipeline!$A92="","",IF(Pipeline!T92="","",Pipeline!T92))</f>
        <v/>
      </c>
      <c r="F92" s="77">
        <f>IF(Pipeline!$A92="","",IF(Pipeline!W92="","",Pipeline!W92))</f>
        <v/>
      </c>
      <c r="G92" s="99">
        <f>IF(Pipeline!$A92="","",IF(Pipeline!AH92="","",Pipeline!AH92))</f>
        <v/>
      </c>
      <c r="H92" s="77">
        <f>IF(Pipeline!$A92="","",IF(Pipeline!AI92="","",Pipeline!AI92))</f>
        <v/>
      </c>
      <c r="I92" s="77">
        <f>IF(Pipeline!$A92="","",IF(Pipeline!X92="","",Pipeline!X92))</f>
        <v/>
      </c>
      <c r="J92" s="77">
        <f>IF(Pipeline!$A92="","",IF(Pipeline!AF92="","–",Pipeline!AF92))</f>
        <v/>
      </c>
    </row>
    <row r="93" ht="15" customHeight="1" s="51">
      <c r="A93" s="77">
        <f>IF(Pipeline!$A93="","",IF(Pipeline!H93="","",Pipeline!H93))</f>
        <v/>
      </c>
      <c r="B93" s="77">
        <f>IF(Pipeline!$A93="","",IF(Pipeline!F93="","",Pipeline!F93))</f>
        <v/>
      </c>
      <c r="C93" s="96">
        <f>IF(Pipeline!$A93="","",IF(Pipeline!M93="","",Pipeline!M93))</f>
        <v/>
      </c>
      <c r="D93" s="97">
        <f>IF(Pipeline!$A93="","",IF(Pipeline!Q93="","",Pipeline!Q93))</f>
        <v/>
      </c>
      <c r="E93" s="98">
        <f>IF(Pipeline!$A93="","",IF(Pipeline!T93="","",Pipeline!T93))</f>
        <v/>
      </c>
      <c r="F93" s="77">
        <f>IF(Pipeline!$A93="","",IF(Pipeline!W93="","",Pipeline!W93))</f>
        <v/>
      </c>
      <c r="G93" s="99">
        <f>IF(Pipeline!$A93="","",IF(Pipeline!AH93="","",Pipeline!AH93))</f>
        <v/>
      </c>
      <c r="H93" s="77">
        <f>IF(Pipeline!$A93="","",IF(Pipeline!AI93="","",Pipeline!AI93))</f>
        <v/>
      </c>
      <c r="I93" s="77">
        <f>IF(Pipeline!$A93="","",IF(Pipeline!X93="","",Pipeline!X93))</f>
        <v/>
      </c>
      <c r="J93" s="77">
        <f>IF(Pipeline!$A93="","",IF(Pipeline!AF93="","–",Pipeline!AF93))</f>
        <v/>
      </c>
    </row>
    <row r="94" ht="15" customHeight="1" s="51">
      <c r="A94" s="77">
        <f>IF(Pipeline!$A94="","",IF(Pipeline!H94="","",Pipeline!H94))</f>
        <v/>
      </c>
      <c r="B94" s="77">
        <f>IF(Pipeline!$A94="","",IF(Pipeline!F94="","",Pipeline!F94))</f>
        <v/>
      </c>
      <c r="C94" s="96">
        <f>IF(Pipeline!$A94="","",IF(Pipeline!M94="","",Pipeline!M94))</f>
        <v/>
      </c>
      <c r="D94" s="97">
        <f>IF(Pipeline!$A94="","",IF(Pipeline!Q94="","",Pipeline!Q94))</f>
        <v/>
      </c>
      <c r="E94" s="98">
        <f>IF(Pipeline!$A94="","",IF(Pipeline!T94="","",Pipeline!T94))</f>
        <v/>
      </c>
      <c r="F94" s="77">
        <f>IF(Pipeline!$A94="","",IF(Pipeline!W94="","",Pipeline!W94))</f>
        <v/>
      </c>
      <c r="G94" s="99">
        <f>IF(Pipeline!$A94="","",IF(Pipeline!AH94="","",Pipeline!AH94))</f>
        <v/>
      </c>
      <c r="H94" s="77">
        <f>IF(Pipeline!$A94="","",IF(Pipeline!AI94="","",Pipeline!AI94))</f>
        <v/>
      </c>
      <c r="I94" s="77">
        <f>IF(Pipeline!$A94="","",IF(Pipeline!X94="","",Pipeline!X94))</f>
        <v/>
      </c>
      <c r="J94" s="77">
        <f>IF(Pipeline!$A94="","",IF(Pipeline!AF94="","–",Pipeline!AF94))</f>
        <v/>
      </c>
    </row>
    <row r="95" ht="15" customHeight="1" s="51">
      <c r="A95" s="77">
        <f>IF(Pipeline!$A95="","",IF(Pipeline!H95="","",Pipeline!H95))</f>
        <v/>
      </c>
      <c r="B95" s="77">
        <f>IF(Pipeline!$A95="","",IF(Pipeline!F95="","",Pipeline!F95))</f>
        <v/>
      </c>
      <c r="C95" s="96">
        <f>IF(Pipeline!$A95="","",IF(Pipeline!M95="","",Pipeline!M95))</f>
        <v/>
      </c>
      <c r="D95" s="97">
        <f>IF(Pipeline!$A95="","",IF(Pipeline!Q95="","",Pipeline!Q95))</f>
        <v/>
      </c>
      <c r="E95" s="98">
        <f>IF(Pipeline!$A95="","",IF(Pipeline!T95="","",Pipeline!T95))</f>
        <v/>
      </c>
      <c r="F95" s="77">
        <f>IF(Pipeline!$A95="","",IF(Pipeline!W95="","",Pipeline!W95))</f>
        <v/>
      </c>
      <c r="G95" s="99">
        <f>IF(Pipeline!$A95="","",IF(Pipeline!AH95="","",Pipeline!AH95))</f>
        <v/>
      </c>
      <c r="H95" s="77">
        <f>IF(Pipeline!$A95="","",IF(Pipeline!AI95="","",Pipeline!AI95))</f>
        <v/>
      </c>
      <c r="I95" s="77">
        <f>IF(Pipeline!$A95="","",IF(Pipeline!X95="","",Pipeline!X95))</f>
        <v/>
      </c>
      <c r="J95" s="77">
        <f>IF(Pipeline!$A95="","",IF(Pipeline!AF95="","–",Pipeline!AF95))</f>
        <v/>
      </c>
    </row>
    <row r="96" ht="15" customHeight="1" s="51">
      <c r="A96" s="77">
        <f>IF(Pipeline!$A96="","",IF(Pipeline!H96="","",Pipeline!H96))</f>
        <v/>
      </c>
      <c r="B96" s="77">
        <f>IF(Pipeline!$A96="","",IF(Pipeline!F96="","",Pipeline!F96))</f>
        <v/>
      </c>
      <c r="C96" s="96">
        <f>IF(Pipeline!$A96="","",IF(Pipeline!M96="","",Pipeline!M96))</f>
        <v/>
      </c>
      <c r="D96" s="97">
        <f>IF(Pipeline!$A96="","",IF(Pipeline!Q96="","",Pipeline!Q96))</f>
        <v/>
      </c>
      <c r="E96" s="98">
        <f>IF(Pipeline!$A96="","",IF(Pipeline!T96="","",Pipeline!T96))</f>
        <v/>
      </c>
      <c r="F96" s="77">
        <f>IF(Pipeline!$A96="","",IF(Pipeline!W96="","",Pipeline!W96))</f>
        <v/>
      </c>
      <c r="G96" s="99">
        <f>IF(Pipeline!$A96="","",IF(Pipeline!AH96="","",Pipeline!AH96))</f>
        <v/>
      </c>
      <c r="H96" s="77">
        <f>IF(Pipeline!$A96="","",IF(Pipeline!AI96="","",Pipeline!AI96))</f>
        <v/>
      </c>
      <c r="I96" s="77">
        <f>IF(Pipeline!$A96="","",IF(Pipeline!X96="","",Pipeline!X96))</f>
        <v/>
      </c>
      <c r="J96" s="77">
        <f>IF(Pipeline!$A96="","",IF(Pipeline!AF96="","–",Pipeline!AF96))</f>
        <v/>
      </c>
    </row>
    <row r="97" ht="15" customHeight="1" s="51">
      <c r="A97" s="77">
        <f>IF(Pipeline!$A97="","",IF(Pipeline!H97="","",Pipeline!H97))</f>
        <v/>
      </c>
      <c r="B97" s="77">
        <f>IF(Pipeline!$A97="","",IF(Pipeline!F97="","",Pipeline!F97))</f>
        <v/>
      </c>
      <c r="C97" s="96">
        <f>IF(Pipeline!$A97="","",IF(Pipeline!M97="","",Pipeline!M97))</f>
        <v/>
      </c>
      <c r="D97" s="97">
        <f>IF(Pipeline!$A97="","",IF(Pipeline!Q97="","",Pipeline!Q97))</f>
        <v/>
      </c>
      <c r="E97" s="98">
        <f>IF(Pipeline!$A97="","",IF(Pipeline!T97="","",Pipeline!T97))</f>
        <v/>
      </c>
      <c r="F97" s="77">
        <f>IF(Pipeline!$A97="","",IF(Pipeline!W97="","",Pipeline!W97))</f>
        <v/>
      </c>
      <c r="G97" s="99">
        <f>IF(Pipeline!$A97="","",IF(Pipeline!AH97="","",Pipeline!AH97))</f>
        <v/>
      </c>
      <c r="H97" s="77">
        <f>IF(Pipeline!$A97="","",IF(Pipeline!AI97="","",Pipeline!AI97))</f>
        <v/>
      </c>
      <c r="I97" s="77">
        <f>IF(Pipeline!$A97="","",IF(Pipeline!X97="","",Pipeline!X97))</f>
        <v/>
      </c>
      <c r="J97" s="77">
        <f>IF(Pipeline!$A97="","",IF(Pipeline!AF97="","–",Pipeline!AF97))</f>
        <v/>
      </c>
    </row>
    <row r="98" ht="15" customHeight="1" s="51">
      <c r="A98" s="77">
        <f>IF(Pipeline!$A98="","",IF(Pipeline!H98="","",Pipeline!H98))</f>
        <v/>
      </c>
      <c r="B98" s="77">
        <f>IF(Pipeline!$A98="","",IF(Pipeline!F98="","",Pipeline!F98))</f>
        <v/>
      </c>
      <c r="C98" s="96">
        <f>IF(Pipeline!$A98="","",IF(Pipeline!M98="","",Pipeline!M98))</f>
        <v/>
      </c>
      <c r="D98" s="97">
        <f>IF(Pipeline!$A98="","",IF(Pipeline!Q98="","",Pipeline!Q98))</f>
        <v/>
      </c>
      <c r="E98" s="98">
        <f>IF(Pipeline!$A98="","",IF(Pipeline!T98="","",Pipeline!T98))</f>
        <v/>
      </c>
      <c r="F98" s="77">
        <f>IF(Pipeline!$A98="","",IF(Pipeline!W98="","",Pipeline!W98))</f>
        <v/>
      </c>
      <c r="G98" s="99">
        <f>IF(Pipeline!$A98="","",IF(Pipeline!AH98="","",Pipeline!AH98))</f>
        <v/>
      </c>
      <c r="H98" s="77">
        <f>IF(Pipeline!$A98="","",IF(Pipeline!AI98="","",Pipeline!AI98))</f>
        <v/>
      </c>
      <c r="I98" s="77">
        <f>IF(Pipeline!$A98="","",IF(Pipeline!X98="","",Pipeline!X98))</f>
        <v/>
      </c>
      <c r="J98" s="77">
        <f>IF(Pipeline!$A98="","",IF(Pipeline!AF98="","–",Pipeline!AF98))</f>
        <v/>
      </c>
    </row>
    <row r="99" ht="15" customHeight="1" s="51">
      <c r="A99" s="77">
        <f>IF(Pipeline!$A99="","",IF(Pipeline!H99="","",Pipeline!H99))</f>
        <v/>
      </c>
      <c r="B99" s="77">
        <f>IF(Pipeline!$A99="","",IF(Pipeline!F99="","",Pipeline!F99))</f>
        <v/>
      </c>
      <c r="C99" s="96">
        <f>IF(Pipeline!$A99="","",IF(Pipeline!M99="","",Pipeline!M99))</f>
        <v/>
      </c>
      <c r="D99" s="97">
        <f>IF(Pipeline!$A99="","",IF(Pipeline!Q99="","",Pipeline!Q99))</f>
        <v/>
      </c>
      <c r="E99" s="98">
        <f>IF(Pipeline!$A99="","",IF(Pipeline!T99="","",Pipeline!T99))</f>
        <v/>
      </c>
      <c r="F99" s="77">
        <f>IF(Pipeline!$A99="","",IF(Pipeline!W99="","",Pipeline!W99))</f>
        <v/>
      </c>
      <c r="G99" s="99">
        <f>IF(Pipeline!$A99="","",IF(Pipeline!AH99="","",Pipeline!AH99))</f>
        <v/>
      </c>
      <c r="H99" s="77">
        <f>IF(Pipeline!$A99="","",IF(Pipeline!AI99="","",Pipeline!AI99))</f>
        <v/>
      </c>
      <c r="I99" s="77">
        <f>IF(Pipeline!$A99="","",IF(Pipeline!X99="","",Pipeline!X99))</f>
        <v/>
      </c>
      <c r="J99" s="77">
        <f>IF(Pipeline!$A99="","",IF(Pipeline!AF99="","–",Pipeline!AF99))</f>
        <v/>
      </c>
    </row>
    <row r="100" ht="15" customHeight="1" s="51">
      <c r="A100" s="77">
        <f>IF(Pipeline!$A100="","",IF(Pipeline!H100="","",Pipeline!H100))</f>
        <v/>
      </c>
      <c r="B100" s="77">
        <f>IF(Pipeline!$A100="","",IF(Pipeline!F100="","",Pipeline!F100))</f>
        <v/>
      </c>
      <c r="C100" s="96">
        <f>IF(Pipeline!$A100="","",IF(Pipeline!M100="","",Pipeline!M100))</f>
        <v/>
      </c>
      <c r="D100" s="97">
        <f>IF(Pipeline!$A100="","",IF(Pipeline!Q100="","",Pipeline!Q100))</f>
        <v/>
      </c>
      <c r="E100" s="98">
        <f>IF(Pipeline!$A100="","",IF(Pipeline!T100="","",Pipeline!T100))</f>
        <v/>
      </c>
      <c r="F100" s="77">
        <f>IF(Pipeline!$A100="","",IF(Pipeline!W100="","",Pipeline!W100))</f>
        <v/>
      </c>
      <c r="G100" s="99">
        <f>IF(Pipeline!$A100="","",IF(Pipeline!AH100="","",Pipeline!AH100))</f>
        <v/>
      </c>
      <c r="H100" s="77">
        <f>IF(Pipeline!$A100="","",IF(Pipeline!AI100="","",Pipeline!AI100))</f>
        <v/>
      </c>
      <c r="I100" s="77">
        <f>IF(Pipeline!$A100="","",IF(Pipeline!X100="","",Pipeline!X100))</f>
        <v/>
      </c>
      <c r="J100" s="77">
        <f>IF(Pipeline!$A100="","",IF(Pipeline!AF100="","–",Pipeline!AF100))</f>
        <v/>
      </c>
    </row>
    <row r="101" ht="15" customHeight="1" s="51">
      <c r="A101" s="77">
        <f>IF(Pipeline!$A101="","",IF(Pipeline!H101="","",Pipeline!H101))</f>
        <v/>
      </c>
      <c r="B101" s="77">
        <f>IF(Pipeline!$A101="","",IF(Pipeline!F101="","",Pipeline!F101))</f>
        <v/>
      </c>
      <c r="C101" s="96">
        <f>IF(Pipeline!$A101="","",IF(Pipeline!M101="","",Pipeline!M101))</f>
        <v/>
      </c>
      <c r="D101" s="97">
        <f>IF(Pipeline!$A101="","",IF(Pipeline!Q101="","",Pipeline!Q101))</f>
        <v/>
      </c>
      <c r="E101" s="98">
        <f>IF(Pipeline!$A101="","",IF(Pipeline!T101="","",Pipeline!T101))</f>
        <v/>
      </c>
      <c r="F101" s="77">
        <f>IF(Pipeline!$A101="","",IF(Pipeline!W101="","",Pipeline!W101))</f>
        <v/>
      </c>
      <c r="G101" s="99">
        <f>IF(Pipeline!$A101="","",IF(Pipeline!AH101="","",Pipeline!AH101))</f>
        <v/>
      </c>
      <c r="H101" s="77">
        <f>IF(Pipeline!$A101="","",IF(Pipeline!AI101="","",Pipeline!AI101))</f>
        <v/>
      </c>
      <c r="I101" s="77">
        <f>IF(Pipeline!$A101="","",IF(Pipeline!X101="","",Pipeline!X101))</f>
        <v/>
      </c>
      <c r="J101" s="77">
        <f>IF(Pipeline!$A101="","",IF(Pipeline!AF101="","–",Pipeline!AF101))</f>
        <v/>
      </c>
    </row>
    <row r="102" ht="15" customHeight="1" s="51">
      <c r="A102" s="77">
        <f>IF(Pipeline!$A102="","",IF(Pipeline!H102="","",Pipeline!H102))</f>
        <v/>
      </c>
      <c r="B102" s="77">
        <f>IF(Pipeline!$A102="","",IF(Pipeline!F102="","",Pipeline!F102))</f>
        <v/>
      </c>
      <c r="C102" s="96">
        <f>IF(Pipeline!$A102="","",IF(Pipeline!M102="","",Pipeline!M102))</f>
        <v/>
      </c>
      <c r="D102" s="97">
        <f>IF(Pipeline!$A102="","",IF(Pipeline!Q102="","",Pipeline!Q102))</f>
        <v/>
      </c>
      <c r="E102" s="98">
        <f>IF(Pipeline!$A102="","",IF(Pipeline!T102="","",Pipeline!T102))</f>
        <v/>
      </c>
      <c r="F102" s="77">
        <f>IF(Pipeline!$A102="","",IF(Pipeline!W102="","",Pipeline!W102))</f>
        <v/>
      </c>
      <c r="G102" s="99">
        <f>IF(Pipeline!$A102="","",IF(Pipeline!AH102="","",Pipeline!AH102))</f>
        <v/>
      </c>
      <c r="H102" s="77">
        <f>IF(Pipeline!$A102="","",IF(Pipeline!AI102="","",Pipeline!AI102))</f>
        <v/>
      </c>
      <c r="I102" s="77">
        <f>IF(Pipeline!$A102="","",IF(Pipeline!X102="","",Pipeline!X102))</f>
        <v/>
      </c>
      <c r="J102" s="77">
        <f>IF(Pipeline!$A102="","",IF(Pipeline!AF102="","–",Pipeline!AF102))</f>
        <v/>
      </c>
    </row>
    <row r="103" ht="15" customHeight="1" s="51">
      <c r="A103" s="77">
        <f>IF(Pipeline!$A103="","",IF(Pipeline!H103="","",Pipeline!H103))</f>
        <v/>
      </c>
      <c r="B103" s="77">
        <f>IF(Pipeline!$A103="","",IF(Pipeline!F103="","",Pipeline!F103))</f>
        <v/>
      </c>
      <c r="C103" s="96">
        <f>IF(Pipeline!$A103="","",IF(Pipeline!M103="","",Pipeline!M103))</f>
        <v/>
      </c>
      <c r="D103" s="97">
        <f>IF(Pipeline!$A103="","",IF(Pipeline!Q103="","",Pipeline!Q103))</f>
        <v/>
      </c>
      <c r="E103" s="98">
        <f>IF(Pipeline!$A103="","",IF(Pipeline!T103="","",Pipeline!T103))</f>
        <v/>
      </c>
      <c r="F103" s="77">
        <f>IF(Pipeline!$A103="","",IF(Pipeline!W103="","",Pipeline!W103))</f>
        <v/>
      </c>
      <c r="G103" s="99">
        <f>IF(Pipeline!$A103="","",IF(Pipeline!AH103="","",Pipeline!AH103))</f>
        <v/>
      </c>
      <c r="H103" s="77">
        <f>IF(Pipeline!$A103="","",IF(Pipeline!AI103="","",Pipeline!AI103))</f>
        <v/>
      </c>
      <c r="I103" s="77">
        <f>IF(Pipeline!$A103="","",IF(Pipeline!X103="","",Pipeline!X103))</f>
        <v/>
      </c>
      <c r="J103" s="77">
        <f>IF(Pipeline!$A103="","",IF(Pipeline!AF103="","–",Pipeline!AF103))</f>
        <v/>
      </c>
    </row>
    <row r="104" ht="15" customHeight="1" s="51">
      <c r="A104" s="77">
        <f>IF(Pipeline!$A104="","",IF(Pipeline!H104="","",Pipeline!H104))</f>
        <v/>
      </c>
      <c r="B104" s="77">
        <f>IF(Pipeline!$A104="","",IF(Pipeline!F104="","",Pipeline!F104))</f>
        <v/>
      </c>
      <c r="C104" s="96">
        <f>IF(Pipeline!$A104="","",IF(Pipeline!M104="","",Pipeline!M104))</f>
        <v/>
      </c>
      <c r="D104" s="97">
        <f>IF(Pipeline!$A104="","",IF(Pipeline!Q104="","",Pipeline!Q104))</f>
        <v/>
      </c>
      <c r="E104" s="98">
        <f>IF(Pipeline!$A104="","",IF(Pipeline!T104="","",Pipeline!T104))</f>
        <v/>
      </c>
      <c r="F104" s="77">
        <f>IF(Pipeline!$A104="","",IF(Pipeline!W104="","",Pipeline!W104))</f>
        <v/>
      </c>
      <c r="G104" s="99">
        <f>IF(Pipeline!$A104="","",IF(Pipeline!AH104="","",Pipeline!AH104))</f>
        <v/>
      </c>
      <c r="H104" s="77">
        <f>IF(Pipeline!$A104="","",IF(Pipeline!AI104="","",Pipeline!AI104))</f>
        <v/>
      </c>
      <c r="I104" s="77">
        <f>IF(Pipeline!$A104="","",IF(Pipeline!X104="","",Pipeline!X104))</f>
        <v/>
      </c>
      <c r="J104" s="77">
        <f>IF(Pipeline!$A104="","",IF(Pipeline!AF104="","–",Pipeline!AF104))</f>
        <v/>
      </c>
    </row>
    <row r="105" ht="15" customHeight="1" s="51">
      <c r="A105" s="77">
        <f>IF(Pipeline!$A105="","",IF(Pipeline!H105="","",Pipeline!H105))</f>
        <v/>
      </c>
      <c r="B105" s="77">
        <f>IF(Pipeline!$A105="","",IF(Pipeline!F105="","",Pipeline!F105))</f>
        <v/>
      </c>
      <c r="C105" s="96">
        <f>IF(Pipeline!$A105="","",IF(Pipeline!M105="","",Pipeline!M105))</f>
        <v/>
      </c>
      <c r="D105" s="97">
        <f>IF(Pipeline!$A105="","",IF(Pipeline!Q105="","",Pipeline!Q105))</f>
        <v/>
      </c>
      <c r="E105" s="98">
        <f>IF(Pipeline!$A105="","",IF(Pipeline!T105="","",Pipeline!T105))</f>
        <v/>
      </c>
      <c r="F105" s="77">
        <f>IF(Pipeline!$A105="","",IF(Pipeline!W105="","",Pipeline!W105))</f>
        <v/>
      </c>
      <c r="G105" s="99">
        <f>IF(Pipeline!$A105="","",IF(Pipeline!AH105="","",Pipeline!AH105))</f>
        <v/>
      </c>
      <c r="H105" s="77">
        <f>IF(Pipeline!$A105="","",IF(Pipeline!AI105="","",Pipeline!AI105))</f>
        <v/>
      </c>
      <c r="I105" s="77">
        <f>IF(Pipeline!$A105="","",IF(Pipeline!X105="","",Pipeline!X105))</f>
        <v/>
      </c>
      <c r="J105" s="77">
        <f>IF(Pipeline!$A105="","",IF(Pipeline!AF105="","–",Pipeline!AF105))</f>
        <v/>
      </c>
    </row>
    <row r="106" ht="15" customHeight="1" s="51">
      <c r="A106" s="77">
        <f>IF(Pipeline!$A106="","",IF(Pipeline!H106="","",Pipeline!H106))</f>
        <v/>
      </c>
      <c r="B106" s="77">
        <f>IF(Pipeline!$A106="","",IF(Pipeline!F106="","",Pipeline!F106))</f>
        <v/>
      </c>
      <c r="C106" s="96">
        <f>IF(Pipeline!$A106="","",IF(Pipeline!M106="","",Pipeline!M106))</f>
        <v/>
      </c>
      <c r="D106" s="97">
        <f>IF(Pipeline!$A106="","",IF(Pipeline!Q106="","",Pipeline!Q106))</f>
        <v/>
      </c>
      <c r="E106" s="98">
        <f>IF(Pipeline!$A106="","",IF(Pipeline!T106="","",Pipeline!T106))</f>
        <v/>
      </c>
      <c r="F106" s="77">
        <f>IF(Pipeline!$A106="","",IF(Pipeline!W106="","",Pipeline!W106))</f>
        <v/>
      </c>
      <c r="G106" s="99">
        <f>IF(Pipeline!$A106="","",IF(Pipeline!AH106="","",Pipeline!AH106))</f>
        <v/>
      </c>
      <c r="H106" s="77">
        <f>IF(Pipeline!$A106="","",IF(Pipeline!AI106="","",Pipeline!AI106))</f>
        <v/>
      </c>
      <c r="I106" s="77">
        <f>IF(Pipeline!$A106="","",IF(Pipeline!X106="","",Pipeline!X106))</f>
        <v/>
      </c>
      <c r="J106" s="77">
        <f>IF(Pipeline!$A106="","",IF(Pipeline!AF106="","–",Pipeline!AF106))</f>
        <v/>
      </c>
    </row>
    <row r="107" ht="15" customHeight="1" s="51">
      <c r="A107" s="77">
        <f>IF(Pipeline!$A107="","",IF(Pipeline!H107="","",Pipeline!H107))</f>
        <v/>
      </c>
      <c r="B107" s="77">
        <f>IF(Pipeline!$A107="","",IF(Pipeline!F107="","",Pipeline!F107))</f>
        <v/>
      </c>
      <c r="C107" s="96">
        <f>IF(Pipeline!$A107="","",IF(Pipeline!M107="","",Pipeline!M107))</f>
        <v/>
      </c>
      <c r="D107" s="97">
        <f>IF(Pipeline!$A107="","",IF(Pipeline!Q107="","",Pipeline!Q107))</f>
        <v/>
      </c>
      <c r="E107" s="98">
        <f>IF(Pipeline!$A107="","",IF(Pipeline!T107="","",Pipeline!T107))</f>
        <v/>
      </c>
      <c r="F107" s="77">
        <f>IF(Pipeline!$A107="","",IF(Pipeline!W107="","",Pipeline!W107))</f>
        <v/>
      </c>
      <c r="G107" s="99">
        <f>IF(Pipeline!$A107="","",IF(Pipeline!AH107="","",Pipeline!AH107))</f>
        <v/>
      </c>
      <c r="H107" s="77">
        <f>IF(Pipeline!$A107="","",IF(Pipeline!AI107="","",Pipeline!AI107))</f>
        <v/>
      </c>
      <c r="I107" s="77">
        <f>IF(Pipeline!$A107="","",IF(Pipeline!X107="","",Pipeline!X107))</f>
        <v/>
      </c>
      <c r="J107" s="77">
        <f>IF(Pipeline!$A107="","",IF(Pipeline!AF107="","–",Pipeline!AF107))</f>
        <v/>
      </c>
    </row>
    <row r="108" ht="15" customHeight="1" s="51">
      <c r="A108" s="77">
        <f>IF(Pipeline!$A108="","",IF(Pipeline!H108="","",Pipeline!H108))</f>
        <v/>
      </c>
      <c r="B108" s="77">
        <f>IF(Pipeline!$A108="","",IF(Pipeline!F108="","",Pipeline!F108))</f>
        <v/>
      </c>
      <c r="C108" s="96">
        <f>IF(Pipeline!$A108="","",IF(Pipeline!M108="","",Pipeline!M108))</f>
        <v/>
      </c>
      <c r="D108" s="97">
        <f>IF(Pipeline!$A108="","",IF(Pipeline!Q108="","",Pipeline!Q108))</f>
        <v/>
      </c>
      <c r="E108" s="98">
        <f>IF(Pipeline!$A108="","",IF(Pipeline!T108="","",Pipeline!T108))</f>
        <v/>
      </c>
      <c r="F108" s="77">
        <f>IF(Pipeline!$A108="","",IF(Pipeline!W108="","",Pipeline!W108))</f>
        <v/>
      </c>
      <c r="G108" s="99">
        <f>IF(Pipeline!$A108="","",IF(Pipeline!AH108="","",Pipeline!AH108))</f>
        <v/>
      </c>
      <c r="H108" s="77">
        <f>IF(Pipeline!$A108="","",IF(Pipeline!AI108="","",Pipeline!AI108))</f>
        <v/>
      </c>
      <c r="I108" s="77">
        <f>IF(Pipeline!$A108="","",IF(Pipeline!X108="","",Pipeline!X108))</f>
        <v/>
      </c>
      <c r="J108" s="77">
        <f>IF(Pipeline!$A108="","",IF(Pipeline!AF108="","–",Pipeline!AF108))</f>
        <v/>
      </c>
    </row>
    <row r="109" ht="15" customHeight="1" s="51">
      <c r="A109" s="77">
        <f>IF(Pipeline!$A109="","",IF(Pipeline!H109="","",Pipeline!H109))</f>
        <v/>
      </c>
      <c r="B109" s="77">
        <f>IF(Pipeline!$A109="","",IF(Pipeline!F109="","",Pipeline!F109))</f>
        <v/>
      </c>
      <c r="C109" s="96">
        <f>IF(Pipeline!$A109="","",IF(Pipeline!M109="","",Pipeline!M109))</f>
        <v/>
      </c>
      <c r="D109" s="97">
        <f>IF(Pipeline!$A109="","",IF(Pipeline!Q109="","",Pipeline!Q109))</f>
        <v/>
      </c>
      <c r="E109" s="98">
        <f>IF(Pipeline!$A109="","",IF(Pipeline!T109="","",Pipeline!T109))</f>
        <v/>
      </c>
      <c r="F109" s="77">
        <f>IF(Pipeline!$A109="","",IF(Pipeline!W109="","",Pipeline!W109))</f>
        <v/>
      </c>
      <c r="G109" s="99">
        <f>IF(Pipeline!$A109="","",IF(Pipeline!AH109="","",Pipeline!AH109))</f>
        <v/>
      </c>
      <c r="H109" s="77">
        <f>IF(Pipeline!$A109="","",IF(Pipeline!AI109="","",Pipeline!AI109))</f>
        <v/>
      </c>
      <c r="I109" s="77">
        <f>IF(Pipeline!$A109="","",IF(Pipeline!X109="","",Pipeline!X109))</f>
        <v/>
      </c>
      <c r="J109" s="77">
        <f>IF(Pipeline!$A109="","",IF(Pipeline!AF109="","–",Pipeline!AF109))</f>
        <v/>
      </c>
    </row>
    <row r="110" ht="15" customHeight="1" s="51">
      <c r="A110" s="77">
        <f>IF(Pipeline!$A110="","",IF(Pipeline!H110="","",Pipeline!H110))</f>
        <v/>
      </c>
      <c r="B110" s="77">
        <f>IF(Pipeline!$A110="","",IF(Pipeline!F110="","",Pipeline!F110))</f>
        <v/>
      </c>
      <c r="C110" s="96">
        <f>IF(Pipeline!$A110="","",IF(Pipeline!M110="","",Pipeline!M110))</f>
        <v/>
      </c>
      <c r="D110" s="97">
        <f>IF(Pipeline!$A110="","",IF(Pipeline!Q110="","",Pipeline!Q110))</f>
        <v/>
      </c>
      <c r="E110" s="98">
        <f>IF(Pipeline!$A110="","",IF(Pipeline!T110="","",Pipeline!T110))</f>
        <v/>
      </c>
      <c r="F110" s="77">
        <f>IF(Pipeline!$A110="","",IF(Pipeline!W110="","",Pipeline!W110))</f>
        <v/>
      </c>
      <c r="G110" s="99">
        <f>IF(Pipeline!$A110="","",IF(Pipeline!AH110="","",Pipeline!AH110))</f>
        <v/>
      </c>
      <c r="H110" s="77">
        <f>IF(Pipeline!$A110="","",IF(Pipeline!AI110="","",Pipeline!AI110))</f>
        <v/>
      </c>
      <c r="I110" s="77">
        <f>IF(Pipeline!$A110="","",IF(Pipeline!X110="","",Pipeline!X110))</f>
        <v/>
      </c>
      <c r="J110" s="77">
        <f>IF(Pipeline!$A110="","",IF(Pipeline!AF110="","–",Pipeline!AF110))</f>
        <v/>
      </c>
    </row>
    <row r="111" ht="15" customHeight="1" s="51">
      <c r="A111" s="77">
        <f>IF(Pipeline!$A111="","",IF(Pipeline!H111="","",Pipeline!H111))</f>
        <v/>
      </c>
      <c r="B111" s="77">
        <f>IF(Pipeline!$A111="","",IF(Pipeline!F111="","",Pipeline!F111))</f>
        <v/>
      </c>
      <c r="C111" s="96">
        <f>IF(Pipeline!$A111="","",IF(Pipeline!M111="","",Pipeline!M111))</f>
        <v/>
      </c>
      <c r="D111" s="97">
        <f>IF(Pipeline!$A111="","",IF(Pipeline!Q111="","",Pipeline!Q111))</f>
        <v/>
      </c>
      <c r="E111" s="98">
        <f>IF(Pipeline!$A111="","",IF(Pipeline!T111="","",Pipeline!T111))</f>
        <v/>
      </c>
      <c r="F111" s="77">
        <f>IF(Pipeline!$A111="","",IF(Pipeline!W111="","",Pipeline!W111))</f>
        <v/>
      </c>
      <c r="G111" s="99">
        <f>IF(Pipeline!$A111="","",IF(Pipeline!AH111="","",Pipeline!AH111))</f>
        <v/>
      </c>
      <c r="H111" s="77">
        <f>IF(Pipeline!$A111="","",IF(Pipeline!AI111="","",Pipeline!AI111))</f>
        <v/>
      </c>
      <c r="I111" s="77">
        <f>IF(Pipeline!$A111="","",IF(Pipeline!X111="","",Pipeline!X111))</f>
        <v/>
      </c>
      <c r="J111" s="77">
        <f>IF(Pipeline!$A111="","",IF(Pipeline!AF111="","–",Pipeline!AF111))</f>
        <v/>
      </c>
    </row>
    <row r="112" ht="15" customHeight="1" s="51">
      <c r="A112" s="77">
        <f>IF(Pipeline!$A112="","",IF(Pipeline!H112="","",Pipeline!H112))</f>
        <v/>
      </c>
      <c r="B112" s="77">
        <f>IF(Pipeline!$A112="","",IF(Pipeline!F112="","",Pipeline!F112))</f>
        <v/>
      </c>
      <c r="C112" s="96">
        <f>IF(Pipeline!$A112="","",IF(Pipeline!M112="","",Pipeline!M112))</f>
        <v/>
      </c>
      <c r="D112" s="97">
        <f>IF(Pipeline!$A112="","",IF(Pipeline!Q112="","",Pipeline!Q112))</f>
        <v/>
      </c>
      <c r="E112" s="98">
        <f>IF(Pipeline!$A112="","",IF(Pipeline!T112="","",Pipeline!T112))</f>
        <v/>
      </c>
      <c r="F112" s="77">
        <f>IF(Pipeline!$A112="","",IF(Pipeline!W112="","",Pipeline!W112))</f>
        <v/>
      </c>
      <c r="G112" s="99">
        <f>IF(Pipeline!$A112="","",IF(Pipeline!AH112="","",Pipeline!AH112))</f>
        <v/>
      </c>
      <c r="H112" s="77">
        <f>IF(Pipeline!$A112="","",IF(Pipeline!AI112="","",Pipeline!AI112))</f>
        <v/>
      </c>
      <c r="I112" s="77">
        <f>IF(Pipeline!$A112="","",IF(Pipeline!X112="","",Pipeline!X112))</f>
        <v/>
      </c>
      <c r="J112" s="77">
        <f>IF(Pipeline!$A112="","",IF(Pipeline!AF112="","–",Pipeline!AF112))</f>
        <v/>
      </c>
    </row>
    <row r="113" ht="15" customHeight="1" s="51">
      <c r="A113" s="77">
        <f>IF(Pipeline!$A113="","",IF(Pipeline!H113="","",Pipeline!H113))</f>
        <v/>
      </c>
      <c r="B113" s="77">
        <f>IF(Pipeline!$A113="","",IF(Pipeline!F113="","",Pipeline!F113))</f>
        <v/>
      </c>
      <c r="C113" s="96">
        <f>IF(Pipeline!$A113="","",IF(Pipeline!M113="","",Pipeline!M113))</f>
        <v/>
      </c>
      <c r="D113" s="97">
        <f>IF(Pipeline!$A113="","",IF(Pipeline!Q113="","",Pipeline!Q113))</f>
        <v/>
      </c>
      <c r="E113" s="98">
        <f>IF(Pipeline!$A113="","",IF(Pipeline!T113="","",Pipeline!T113))</f>
        <v/>
      </c>
      <c r="F113" s="77">
        <f>IF(Pipeline!$A113="","",IF(Pipeline!W113="","",Pipeline!W113))</f>
        <v/>
      </c>
      <c r="G113" s="99">
        <f>IF(Pipeline!$A113="","",IF(Pipeline!AH113="","",Pipeline!AH113))</f>
        <v/>
      </c>
      <c r="H113" s="77">
        <f>IF(Pipeline!$A113="","",IF(Pipeline!AI113="","",Pipeline!AI113))</f>
        <v/>
      </c>
      <c r="I113" s="77">
        <f>IF(Pipeline!$A113="","",IF(Pipeline!X113="","",Pipeline!X113))</f>
        <v/>
      </c>
      <c r="J113" s="77">
        <f>IF(Pipeline!$A113="","",IF(Pipeline!AF113="","–",Pipeline!AF113))</f>
        <v/>
      </c>
    </row>
    <row r="114" ht="15" customHeight="1" s="51">
      <c r="A114" s="77">
        <f>IF(Pipeline!$A114="","",IF(Pipeline!H114="","",Pipeline!H114))</f>
        <v/>
      </c>
      <c r="B114" s="77">
        <f>IF(Pipeline!$A114="","",IF(Pipeline!F114="","",Pipeline!F114))</f>
        <v/>
      </c>
      <c r="C114" s="96">
        <f>IF(Pipeline!$A114="","",IF(Pipeline!M114="","",Pipeline!M114))</f>
        <v/>
      </c>
      <c r="D114" s="97">
        <f>IF(Pipeline!$A114="","",IF(Pipeline!Q114="","",Pipeline!Q114))</f>
        <v/>
      </c>
      <c r="E114" s="98">
        <f>IF(Pipeline!$A114="","",IF(Pipeline!T114="","",Pipeline!T114))</f>
        <v/>
      </c>
      <c r="F114" s="77">
        <f>IF(Pipeline!$A114="","",IF(Pipeline!W114="","",Pipeline!W114))</f>
        <v/>
      </c>
      <c r="G114" s="99">
        <f>IF(Pipeline!$A114="","",IF(Pipeline!AH114="","",Pipeline!AH114))</f>
        <v/>
      </c>
      <c r="H114" s="77">
        <f>IF(Pipeline!$A114="","",IF(Pipeline!AI114="","",Pipeline!AI114))</f>
        <v/>
      </c>
      <c r="I114" s="77">
        <f>IF(Pipeline!$A114="","",IF(Pipeline!X114="","",Pipeline!X114))</f>
        <v/>
      </c>
      <c r="J114" s="77">
        <f>IF(Pipeline!$A114="","",IF(Pipeline!AF114="","–",Pipeline!AF114))</f>
        <v/>
      </c>
    </row>
    <row r="115" ht="15" customHeight="1" s="51">
      <c r="A115" s="77">
        <f>IF(Pipeline!$A115="","",IF(Pipeline!H115="","",Pipeline!H115))</f>
        <v/>
      </c>
      <c r="B115" s="77">
        <f>IF(Pipeline!$A115="","",IF(Pipeline!F115="","",Pipeline!F115))</f>
        <v/>
      </c>
      <c r="C115" s="96">
        <f>IF(Pipeline!$A115="","",IF(Pipeline!M115="","",Pipeline!M115))</f>
        <v/>
      </c>
      <c r="D115" s="97">
        <f>IF(Pipeline!$A115="","",IF(Pipeline!Q115="","",Pipeline!Q115))</f>
        <v/>
      </c>
      <c r="E115" s="98">
        <f>IF(Pipeline!$A115="","",IF(Pipeline!T115="","",Pipeline!T115))</f>
        <v/>
      </c>
      <c r="F115" s="77">
        <f>IF(Pipeline!$A115="","",IF(Pipeline!W115="","",Pipeline!W115))</f>
        <v/>
      </c>
      <c r="G115" s="99">
        <f>IF(Pipeline!$A115="","",IF(Pipeline!AH115="","",Pipeline!AH115))</f>
        <v/>
      </c>
      <c r="H115" s="77">
        <f>IF(Pipeline!$A115="","",IF(Pipeline!AI115="","",Pipeline!AI115))</f>
        <v/>
      </c>
      <c r="I115" s="77">
        <f>IF(Pipeline!$A115="","",IF(Pipeline!X115="","",Pipeline!X115))</f>
        <v/>
      </c>
      <c r="J115" s="77">
        <f>IF(Pipeline!$A115="","",IF(Pipeline!AF115="","–",Pipeline!AF115))</f>
        <v/>
      </c>
    </row>
    <row r="116" ht="15" customHeight="1" s="51">
      <c r="A116" s="77">
        <f>IF(Pipeline!$A116="","",IF(Pipeline!H116="","",Pipeline!H116))</f>
        <v/>
      </c>
      <c r="B116" s="77">
        <f>IF(Pipeline!$A116="","",IF(Pipeline!F116="","",Pipeline!F116))</f>
        <v/>
      </c>
      <c r="C116" s="96">
        <f>IF(Pipeline!$A116="","",IF(Pipeline!M116="","",Pipeline!M116))</f>
        <v/>
      </c>
      <c r="D116" s="97">
        <f>IF(Pipeline!$A116="","",IF(Pipeline!Q116="","",Pipeline!Q116))</f>
        <v/>
      </c>
      <c r="E116" s="98">
        <f>IF(Pipeline!$A116="","",IF(Pipeline!T116="","",Pipeline!T116))</f>
        <v/>
      </c>
      <c r="F116" s="77">
        <f>IF(Pipeline!$A116="","",IF(Pipeline!W116="","",Pipeline!W116))</f>
        <v/>
      </c>
      <c r="G116" s="99">
        <f>IF(Pipeline!$A116="","",IF(Pipeline!AH116="","",Pipeline!AH116))</f>
        <v/>
      </c>
      <c r="H116" s="77">
        <f>IF(Pipeline!$A116="","",IF(Pipeline!AI116="","",Pipeline!AI116))</f>
        <v/>
      </c>
      <c r="I116" s="77">
        <f>IF(Pipeline!$A116="","",IF(Pipeline!X116="","",Pipeline!X116))</f>
        <v/>
      </c>
      <c r="J116" s="77">
        <f>IF(Pipeline!$A116="","",IF(Pipeline!AF116="","–",Pipeline!AF116))</f>
        <v/>
      </c>
    </row>
    <row r="117" ht="15" customHeight="1" s="51">
      <c r="A117" s="77">
        <f>IF(Pipeline!$A117="","",IF(Pipeline!H117="","",Pipeline!H117))</f>
        <v/>
      </c>
      <c r="B117" s="77">
        <f>IF(Pipeline!$A117="","",IF(Pipeline!F117="","",Pipeline!F117))</f>
        <v/>
      </c>
      <c r="C117" s="96">
        <f>IF(Pipeline!$A117="","",IF(Pipeline!M117="","",Pipeline!M117))</f>
        <v/>
      </c>
      <c r="D117" s="97">
        <f>IF(Pipeline!$A117="","",IF(Pipeline!Q117="","",Pipeline!Q117))</f>
        <v/>
      </c>
      <c r="E117" s="98">
        <f>IF(Pipeline!$A117="","",IF(Pipeline!T117="","",Pipeline!T117))</f>
        <v/>
      </c>
      <c r="F117" s="77">
        <f>IF(Pipeline!$A117="","",IF(Pipeline!W117="","",Pipeline!W117))</f>
        <v/>
      </c>
      <c r="G117" s="99">
        <f>IF(Pipeline!$A117="","",IF(Pipeline!AH117="","",Pipeline!AH117))</f>
        <v/>
      </c>
      <c r="H117" s="77">
        <f>IF(Pipeline!$A117="","",IF(Pipeline!AI117="","",Pipeline!AI117))</f>
        <v/>
      </c>
      <c r="I117" s="77">
        <f>IF(Pipeline!$A117="","",IF(Pipeline!X117="","",Pipeline!X117))</f>
        <v/>
      </c>
      <c r="J117" s="77">
        <f>IF(Pipeline!$A117="","",IF(Pipeline!AF117="","–",Pipeline!AF117))</f>
        <v/>
      </c>
    </row>
    <row r="118" ht="15" customHeight="1" s="51">
      <c r="A118" s="77">
        <f>IF(Pipeline!$A118="","",IF(Pipeline!H118="","",Pipeline!H118))</f>
        <v/>
      </c>
      <c r="B118" s="77">
        <f>IF(Pipeline!$A118="","",IF(Pipeline!F118="","",Pipeline!F118))</f>
        <v/>
      </c>
      <c r="C118" s="96">
        <f>IF(Pipeline!$A118="","",IF(Pipeline!M118="","",Pipeline!M118))</f>
        <v/>
      </c>
      <c r="D118" s="97">
        <f>IF(Pipeline!$A118="","",IF(Pipeline!Q118="","",Pipeline!Q118))</f>
        <v/>
      </c>
      <c r="E118" s="98">
        <f>IF(Pipeline!$A118="","",IF(Pipeline!T118="","",Pipeline!T118))</f>
        <v/>
      </c>
      <c r="F118" s="77">
        <f>IF(Pipeline!$A118="","",IF(Pipeline!W118="","",Pipeline!W118))</f>
        <v/>
      </c>
      <c r="G118" s="99">
        <f>IF(Pipeline!$A118="","",IF(Pipeline!AH118="","",Pipeline!AH118))</f>
        <v/>
      </c>
      <c r="H118" s="77">
        <f>IF(Pipeline!$A118="","",IF(Pipeline!AI118="","",Pipeline!AI118))</f>
        <v/>
      </c>
      <c r="I118" s="77">
        <f>IF(Pipeline!$A118="","",IF(Pipeline!X118="","",Pipeline!X118))</f>
        <v/>
      </c>
      <c r="J118" s="77">
        <f>IF(Pipeline!$A118="","",IF(Pipeline!AF118="","–",Pipeline!AF118))</f>
        <v/>
      </c>
    </row>
    <row r="119" ht="15" customHeight="1" s="51">
      <c r="A119" s="77">
        <f>IF(Pipeline!$A119="","",IF(Pipeline!H119="","",Pipeline!H119))</f>
        <v/>
      </c>
      <c r="B119" s="77">
        <f>IF(Pipeline!$A119="","",IF(Pipeline!F119="","",Pipeline!F119))</f>
        <v/>
      </c>
      <c r="C119" s="96">
        <f>IF(Pipeline!$A119="","",IF(Pipeline!M119="","",Pipeline!M119))</f>
        <v/>
      </c>
      <c r="D119" s="97">
        <f>IF(Pipeline!$A119="","",IF(Pipeline!Q119="","",Pipeline!Q119))</f>
        <v/>
      </c>
      <c r="E119" s="98">
        <f>IF(Pipeline!$A119="","",IF(Pipeline!T119="","",Pipeline!T119))</f>
        <v/>
      </c>
      <c r="F119" s="77">
        <f>IF(Pipeline!$A119="","",IF(Pipeline!W119="","",Pipeline!W119))</f>
        <v/>
      </c>
      <c r="G119" s="99">
        <f>IF(Pipeline!$A119="","",IF(Pipeline!AH119="","",Pipeline!AH119))</f>
        <v/>
      </c>
      <c r="H119" s="77">
        <f>IF(Pipeline!$A119="","",IF(Pipeline!AI119="","",Pipeline!AI119))</f>
        <v/>
      </c>
      <c r="I119" s="77">
        <f>IF(Pipeline!$A119="","",IF(Pipeline!X119="","",Pipeline!X119))</f>
        <v/>
      </c>
      <c r="J119" s="77">
        <f>IF(Pipeline!$A119="","",IF(Pipeline!AF119="","–",Pipeline!AF119))</f>
        <v/>
      </c>
    </row>
    <row r="120" ht="15" customHeight="1" s="51">
      <c r="A120" s="77">
        <f>IF(Pipeline!$A120="","",IF(Pipeline!H120="","",Pipeline!H120))</f>
        <v/>
      </c>
      <c r="B120" s="77">
        <f>IF(Pipeline!$A120="","",IF(Pipeline!F120="","",Pipeline!F120))</f>
        <v/>
      </c>
      <c r="C120" s="96">
        <f>IF(Pipeline!$A120="","",IF(Pipeline!M120="","",Pipeline!M120))</f>
        <v/>
      </c>
      <c r="D120" s="97">
        <f>IF(Pipeline!$A120="","",IF(Pipeline!Q120="","",Pipeline!Q120))</f>
        <v/>
      </c>
      <c r="E120" s="98">
        <f>IF(Pipeline!$A120="","",IF(Pipeline!T120="","",Pipeline!T120))</f>
        <v/>
      </c>
      <c r="F120" s="77">
        <f>IF(Pipeline!$A120="","",IF(Pipeline!W120="","",Pipeline!W120))</f>
        <v/>
      </c>
      <c r="G120" s="99">
        <f>IF(Pipeline!$A120="","",IF(Pipeline!AH120="","",Pipeline!AH120))</f>
        <v/>
      </c>
      <c r="H120" s="77">
        <f>IF(Pipeline!$A120="","",IF(Pipeline!AI120="","",Pipeline!AI120))</f>
        <v/>
      </c>
      <c r="I120" s="77">
        <f>IF(Pipeline!$A120="","",IF(Pipeline!X120="","",Pipeline!X120))</f>
        <v/>
      </c>
      <c r="J120" s="77">
        <f>IF(Pipeline!$A120="","",IF(Pipeline!AF120="","–",Pipeline!AF120))</f>
        <v/>
      </c>
    </row>
    <row r="121" ht="15" customHeight="1" s="51">
      <c r="A121" s="77">
        <f>IF(Pipeline!$A121="","",IF(Pipeline!H121="","",Pipeline!H121))</f>
        <v/>
      </c>
      <c r="B121" s="77">
        <f>IF(Pipeline!$A121="","",IF(Pipeline!F121="","",Pipeline!F121))</f>
        <v/>
      </c>
      <c r="C121" s="96">
        <f>IF(Pipeline!$A121="","",IF(Pipeline!M121="","",Pipeline!M121))</f>
        <v/>
      </c>
      <c r="D121" s="97">
        <f>IF(Pipeline!$A121="","",IF(Pipeline!Q121="","",Pipeline!Q121))</f>
        <v/>
      </c>
      <c r="E121" s="98">
        <f>IF(Pipeline!$A121="","",IF(Pipeline!T121="","",Pipeline!T121))</f>
        <v/>
      </c>
      <c r="F121" s="77">
        <f>IF(Pipeline!$A121="","",IF(Pipeline!W121="","",Pipeline!W121))</f>
        <v/>
      </c>
      <c r="G121" s="99">
        <f>IF(Pipeline!$A121="","",IF(Pipeline!AH121="","",Pipeline!AH121))</f>
        <v/>
      </c>
      <c r="H121" s="77">
        <f>IF(Pipeline!$A121="","",IF(Pipeline!AI121="","",Pipeline!AI121))</f>
        <v/>
      </c>
      <c r="I121" s="77">
        <f>IF(Pipeline!$A121="","",IF(Pipeline!X121="","",Pipeline!X121))</f>
        <v/>
      </c>
      <c r="J121" s="77">
        <f>IF(Pipeline!$A121="","",IF(Pipeline!AF121="","–",Pipeline!AF121))</f>
        <v/>
      </c>
    </row>
    <row r="122" ht="15" customHeight="1" s="51">
      <c r="A122" s="77">
        <f>IF(Pipeline!$A122="","",IF(Pipeline!H122="","",Pipeline!H122))</f>
        <v/>
      </c>
      <c r="B122" s="77">
        <f>IF(Pipeline!$A122="","",IF(Pipeline!F122="","",Pipeline!F122))</f>
        <v/>
      </c>
      <c r="C122" s="96">
        <f>IF(Pipeline!$A122="","",IF(Pipeline!M122="","",Pipeline!M122))</f>
        <v/>
      </c>
      <c r="D122" s="97">
        <f>IF(Pipeline!$A122="","",IF(Pipeline!Q122="","",Pipeline!Q122))</f>
        <v/>
      </c>
      <c r="E122" s="98">
        <f>IF(Pipeline!$A122="","",IF(Pipeline!T122="","",Pipeline!T122))</f>
        <v/>
      </c>
      <c r="F122" s="77">
        <f>IF(Pipeline!$A122="","",IF(Pipeline!W122="","",Pipeline!W122))</f>
        <v/>
      </c>
      <c r="G122" s="99">
        <f>IF(Pipeline!$A122="","",IF(Pipeline!AH122="","",Pipeline!AH122))</f>
        <v/>
      </c>
      <c r="H122" s="77">
        <f>IF(Pipeline!$A122="","",IF(Pipeline!AI122="","",Pipeline!AI122))</f>
        <v/>
      </c>
      <c r="I122" s="77">
        <f>IF(Pipeline!$A122="","",IF(Pipeline!X122="","",Pipeline!X122))</f>
        <v/>
      </c>
      <c r="J122" s="77">
        <f>IF(Pipeline!$A122="","",IF(Pipeline!AF122="","–",Pipeline!AF122))</f>
        <v/>
      </c>
    </row>
    <row r="123" ht="15" customHeight="1" s="51">
      <c r="A123" s="77">
        <f>IF(Pipeline!$A123="","",IF(Pipeline!H123="","",Pipeline!H123))</f>
        <v/>
      </c>
      <c r="B123" s="77">
        <f>IF(Pipeline!$A123="","",IF(Pipeline!F123="","",Pipeline!F123))</f>
        <v/>
      </c>
      <c r="C123" s="96">
        <f>IF(Pipeline!$A123="","",IF(Pipeline!M123="","",Pipeline!M123))</f>
        <v/>
      </c>
      <c r="D123" s="97">
        <f>IF(Pipeline!$A123="","",IF(Pipeline!Q123="","",Pipeline!Q123))</f>
        <v/>
      </c>
      <c r="E123" s="98">
        <f>IF(Pipeline!$A123="","",IF(Pipeline!T123="","",Pipeline!T123))</f>
        <v/>
      </c>
      <c r="F123" s="77">
        <f>IF(Pipeline!$A123="","",IF(Pipeline!W123="","",Pipeline!W123))</f>
        <v/>
      </c>
      <c r="G123" s="99">
        <f>IF(Pipeline!$A123="","",IF(Pipeline!AH123="","",Pipeline!AH123))</f>
        <v/>
      </c>
      <c r="H123" s="77">
        <f>IF(Pipeline!$A123="","",IF(Pipeline!AI123="","",Pipeline!AI123))</f>
        <v/>
      </c>
      <c r="I123" s="77">
        <f>IF(Pipeline!$A123="","",IF(Pipeline!X123="","",Pipeline!X123))</f>
        <v/>
      </c>
      <c r="J123" s="77">
        <f>IF(Pipeline!$A123="","",IF(Pipeline!AF123="","–",Pipeline!AF123))</f>
        <v/>
      </c>
    </row>
    <row r="124" ht="15" customHeight="1" s="51">
      <c r="A124" s="77">
        <f>IF(Pipeline!$A124="","",IF(Pipeline!H124="","",Pipeline!H124))</f>
        <v/>
      </c>
      <c r="B124" s="77">
        <f>IF(Pipeline!$A124="","",IF(Pipeline!F124="","",Pipeline!F124))</f>
        <v/>
      </c>
      <c r="C124" s="96">
        <f>IF(Pipeline!$A124="","",IF(Pipeline!M124="","",Pipeline!M124))</f>
        <v/>
      </c>
      <c r="D124" s="97">
        <f>IF(Pipeline!$A124="","",IF(Pipeline!Q124="","",Pipeline!Q124))</f>
        <v/>
      </c>
      <c r="E124" s="98">
        <f>IF(Pipeline!$A124="","",IF(Pipeline!T124="","",Pipeline!T124))</f>
        <v/>
      </c>
      <c r="F124" s="77">
        <f>IF(Pipeline!$A124="","",IF(Pipeline!W124="","",Pipeline!W124))</f>
        <v/>
      </c>
      <c r="G124" s="99">
        <f>IF(Pipeline!$A124="","",IF(Pipeline!AH124="","",Pipeline!AH124))</f>
        <v/>
      </c>
      <c r="H124" s="77">
        <f>IF(Pipeline!$A124="","",IF(Pipeline!AI124="","",Pipeline!AI124))</f>
        <v/>
      </c>
      <c r="I124" s="77">
        <f>IF(Pipeline!$A124="","",IF(Pipeline!X124="","",Pipeline!X124))</f>
        <v/>
      </c>
      <c r="J124" s="77">
        <f>IF(Pipeline!$A124="","",IF(Pipeline!AF124="","–",Pipeline!AF124))</f>
        <v/>
      </c>
    </row>
    <row r="125" ht="15" customHeight="1" s="51">
      <c r="A125" s="77">
        <f>IF(Pipeline!$A125="","",IF(Pipeline!H125="","",Pipeline!H125))</f>
        <v/>
      </c>
      <c r="B125" s="77">
        <f>IF(Pipeline!$A125="","",IF(Pipeline!F125="","",Pipeline!F125))</f>
        <v/>
      </c>
      <c r="C125" s="96">
        <f>IF(Pipeline!$A125="","",IF(Pipeline!M125="","",Pipeline!M125))</f>
        <v/>
      </c>
      <c r="D125" s="97">
        <f>IF(Pipeline!$A125="","",IF(Pipeline!Q125="","",Pipeline!Q125))</f>
        <v/>
      </c>
      <c r="E125" s="98">
        <f>IF(Pipeline!$A125="","",IF(Pipeline!T125="","",Pipeline!T125))</f>
        <v/>
      </c>
      <c r="F125" s="77">
        <f>IF(Pipeline!$A125="","",IF(Pipeline!W125="","",Pipeline!W125))</f>
        <v/>
      </c>
      <c r="G125" s="99">
        <f>IF(Pipeline!$A125="","",IF(Pipeline!AH125="","",Pipeline!AH125))</f>
        <v/>
      </c>
      <c r="H125" s="77">
        <f>IF(Pipeline!$A125="","",IF(Pipeline!AI125="","",Pipeline!AI125))</f>
        <v/>
      </c>
      <c r="I125" s="77">
        <f>IF(Pipeline!$A125="","",IF(Pipeline!X125="","",Pipeline!X125))</f>
        <v/>
      </c>
      <c r="J125" s="77">
        <f>IF(Pipeline!$A125="","",IF(Pipeline!AF125="","–",Pipeline!AF125))</f>
        <v/>
      </c>
    </row>
    <row r="126" ht="15" customHeight="1" s="51">
      <c r="A126" s="77">
        <f>IF(Pipeline!$A126="","",IF(Pipeline!H126="","",Pipeline!H126))</f>
        <v/>
      </c>
      <c r="B126" s="77">
        <f>IF(Pipeline!$A126="","",IF(Pipeline!F126="","",Pipeline!F126))</f>
        <v/>
      </c>
      <c r="C126" s="96">
        <f>IF(Pipeline!$A126="","",IF(Pipeline!M126="","",Pipeline!M126))</f>
        <v/>
      </c>
      <c r="D126" s="97">
        <f>IF(Pipeline!$A126="","",IF(Pipeline!Q126="","",Pipeline!Q126))</f>
        <v/>
      </c>
      <c r="E126" s="98">
        <f>IF(Pipeline!$A126="","",IF(Pipeline!T126="","",Pipeline!T126))</f>
        <v/>
      </c>
      <c r="F126" s="77">
        <f>IF(Pipeline!$A126="","",IF(Pipeline!W126="","",Pipeline!W126))</f>
        <v/>
      </c>
      <c r="G126" s="99">
        <f>IF(Pipeline!$A126="","",IF(Pipeline!AH126="","",Pipeline!AH126))</f>
        <v/>
      </c>
      <c r="H126" s="77">
        <f>IF(Pipeline!$A126="","",IF(Pipeline!AI126="","",Pipeline!AI126))</f>
        <v/>
      </c>
      <c r="I126" s="77">
        <f>IF(Pipeline!$A126="","",IF(Pipeline!X126="","",Pipeline!X126))</f>
        <v/>
      </c>
      <c r="J126" s="77">
        <f>IF(Pipeline!$A126="","",IF(Pipeline!AF126="","–",Pipeline!AF126))</f>
        <v/>
      </c>
    </row>
    <row r="127" ht="15" customHeight="1" s="51">
      <c r="A127" s="77">
        <f>IF(Pipeline!$A127="","",IF(Pipeline!H127="","",Pipeline!H127))</f>
        <v/>
      </c>
      <c r="B127" s="77">
        <f>IF(Pipeline!$A127="","",IF(Pipeline!F127="","",Pipeline!F127))</f>
        <v/>
      </c>
      <c r="C127" s="96">
        <f>IF(Pipeline!$A127="","",IF(Pipeline!M127="","",Pipeline!M127))</f>
        <v/>
      </c>
      <c r="D127" s="97">
        <f>IF(Pipeline!$A127="","",IF(Pipeline!Q127="","",Pipeline!Q127))</f>
        <v/>
      </c>
      <c r="E127" s="98">
        <f>IF(Pipeline!$A127="","",IF(Pipeline!T127="","",Pipeline!T127))</f>
        <v/>
      </c>
      <c r="F127" s="77">
        <f>IF(Pipeline!$A127="","",IF(Pipeline!W127="","",Pipeline!W127))</f>
        <v/>
      </c>
      <c r="G127" s="99">
        <f>IF(Pipeline!$A127="","",IF(Pipeline!AH127="","",Pipeline!AH127))</f>
        <v/>
      </c>
      <c r="H127" s="77">
        <f>IF(Pipeline!$A127="","",IF(Pipeline!AI127="","",Pipeline!AI127))</f>
        <v/>
      </c>
      <c r="I127" s="77">
        <f>IF(Pipeline!$A127="","",IF(Pipeline!X127="","",Pipeline!X127))</f>
        <v/>
      </c>
      <c r="J127" s="77">
        <f>IF(Pipeline!$A127="","",IF(Pipeline!AF127="","–",Pipeline!AF127))</f>
        <v/>
      </c>
    </row>
    <row r="128" ht="15" customHeight="1" s="51">
      <c r="A128" s="77">
        <f>IF(Pipeline!$A128="","",IF(Pipeline!H128="","",Pipeline!H128))</f>
        <v/>
      </c>
      <c r="B128" s="77">
        <f>IF(Pipeline!$A128="","",IF(Pipeline!F128="","",Pipeline!F128))</f>
        <v/>
      </c>
      <c r="C128" s="96">
        <f>IF(Pipeline!$A128="","",IF(Pipeline!M128="","",Pipeline!M128))</f>
        <v/>
      </c>
      <c r="D128" s="97">
        <f>IF(Pipeline!$A128="","",IF(Pipeline!Q128="","",Pipeline!Q128))</f>
        <v/>
      </c>
      <c r="E128" s="98">
        <f>IF(Pipeline!$A128="","",IF(Pipeline!T128="","",Pipeline!T128))</f>
        <v/>
      </c>
      <c r="F128" s="77">
        <f>IF(Pipeline!$A128="","",IF(Pipeline!W128="","",Pipeline!W128))</f>
        <v/>
      </c>
      <c r="G128" s="99">
        <f>IF(Pipeline!$A128="","",IF(Pipeline!AH128="","",Pipeline!AH128))</f>
        <v/>
      </c>
      <c r="H128" s="77">
        <f>IF(Pipeline!$A128="","",IF(Pipeline!AI128="","",Pipeline!AI128))</f>
        <v/>
      </c>
      <c r="I128" s="77">
        <f>IF(Pipeline!$A128="","",IF(Pipeline!X128="","",Pipeline!X128))</f>
        <v/>
      </c>
      <c r="J128" s="77">
        <f>IF(Pipeline!$A128="","",IF(Pipeline!AF128="","–",Pipeline!AF128))</f>
        <v/>
      </c>
    </row>
    <row r="129" ht="15" customHeight="1" s="51">
      <c r="A129" s="77">
        <f>IF(Pipeline!$A129="","",IF(Pipeline!H129="","",Pipeline!H129))</f>
        <v/>
      </c>
      <c r="B129" s="77">
        <f>IF(Pipeline!$A129="","",IF(Pipeline!F129="","",Pipeline!F129))</f>
        <v/>
      </c>
      <c r="C129" s="96">
        <f>IF(Pipeline!$A129="","",IF(Pipeline!M129="","",Pipeline!M129))</f>
        <v/>
      </c>
      <c r="D129" s="97">
        <f>IF(Pipeline!$A129="","",IF(Pipeline!Q129="","",Pipeline!Q129))</f>
        <v/>
      </c>
      <c r="E129" s="98">
        <f>IF(Pipeline!$A129="","",IF(Pipeline!T129="","",Pipeline!T129))</f>
        <v/>
      </c>
      <c r="F129" s="77">
        <f>IF(Pipeline!$A129="","",IF(Pipeline!W129="","",Pipeline!W129))</f>
        <v/>
      </c>
      <c r="G129" s="99">
        <f>IF(Pipeline!$A129="","",IF(Pipeline!AH129="","",Pipeline!AH129))</f>
        <v/>
      </c>
      <c r="H129" s="77">
        <f>IF(Pipeline!$A129="","",IF(Pipeline!AI129="","",Pipeline!AI129))</f>
        <v/>
      </c>
      <c r="I129" s="77">
        <f>IF(Pipeline!$A129="","",IF(Pipeline!X129="","",Pipeline!X129))</f>
        <v/>
      </c>
      <c r="J129" s="77">
        <f>IF(Pipeline!$A129="","",IF(Pipeline!AF129="","–",Pipeline!AF129))</f>
        <v/>
      </c>
    </row>
    <row r="130" ht="15" customHeight="1" s="51">
      <c r="A130" s="77">
        <f>IF(Pipeline!$A130="","",IF(Pipeline!H130="","",Pipeline!H130))</f>
        <v/>
      </c>
      <c r="B130" s="77">
        <f>IF(Pipeline!$A130="","",IF(Pipeline!F130="","",Pipeline!F130))</f>
        <v/>
      </c>
      <c r="C130" s="96">
        <f>IF(Pipeline!$A130="","",IF(Pipeline!M130="","",Pipeline!M130))</f>
        <v/>
      </c>
      <c r="D130" s="97">
        <f>IF(Pipeline!$A130="","",IF(Pipeline!Q130="","",Pipeline!Q130))</f>
        <v/>
      </c>
      <c r="E130" s="98">
        <f>IF(Pipeline!$A130="","",IF(Pipeline!T130="","",Pipeline!T130))</f>
        <v/>
      </c>
      <c r="F130" s="77">
        <f>IF(Pipeline!$A130="","",IF(Pipeline!W130="","",Pipeline!W130))</f>
        <v/>
      </c>
      <c r="G130" s="99">
        <f>IF(Pipeline!$A130="","",IF(Pipeline!AH130="","",Pipeline!AH130))</f>
        <v/>
      </c>
      <c r="H130" s="77">
        <f>IF(Pipeline!$A130="","",IF(Pipeline!AI130="","",Pipeline!AI130))</f>
        <v/>
      </c>
      <c r="I130" s="77">
        <f>IF(Pipeline!$A130="","",IF(Pipeline!X130="","",Pipeline!X130))</f>
        <v/>
      </c>
      <c r="J130" s="77">
        <f>IF(Pipeline!$A130="","",IF(Pipeline!AF130="","–",Pipeline!AF130))</f>
        <v/>
      </c>
    </row>
    <row r="131" ht="15" customHeight="1" s="51">
      <c r="A131" s="77">
        <f>IF(Pipeline!$A131="","",IF(Pipeline!H131="","",Pipeline!H131))</f>
        <v/>
      </c>
      <c r="B131" s="77">
        <f>IF(Pipeline!$A131="","",IF(Pipeline!F131="","",Pipeline!F131))</f>
        <v/>
      </c>
      <c r="C131" s="96">
        <f>IF(Pipeline!$A131="","",IF(Pipeline!M131="","",Pipeline!M131))</f>
        <v/>
      </c>
      <c r="D131" s="97">
        <f>IF(Pipeline!$A131="","",IF(Pipeline!Q131="","",Pipeline!Q131))</f>
        <v/>
      </c>
      <c r="E131" s="98">
        <f>IF(Pipeline!$A131="","",IF(Pipeline!T131="","",Pipeline!T131))</f>
        <v/>
      </c>
      <c r="F131" s="77">
        <f>IF(Pipeline!$A131="","",IF(Pipeline!W131="","",Pipeline!W131))</f>
        <v/>
      </c>
      <c r="G131" s="99">
        <f>IF(Pipeline!$A131="","",IF(Pipeline!AH131="","",Pipeline!AH131))</f>
        <v/>
      </c>
      <c r="H131" s="77">
        <f>IF(Pipeline!$A131="","",IF(Pipeline!AI131="","",Pipeline!AI131))</f>
        <v/>
      </c>
      <c r="I131" s="77">
        <f>IF(Pipeline!$A131="","",IF(Pipeline!X131="","",Pipeline!X131))</f>
        <v/>
      </c>
      <c r="J131" s="77">
        <f>IF(Pipeline!$A131="","",IF(Pipeline!AF131="","–",Pipeline!AF131))</f>
        <v/>
      </c>
    </row>
    <row r="132" ht="15" customHeight="1" s="51">
      <c r="A132" s="77">
        <f>IF(Pipeline!$A132="","",IF(Pipeline!H132="","",Pipeline!H132))</f>
        <v/>
      </c>
      <c r="B132" s="77">
        <f>IF(Pipeline!$A132="","",IF(Pipeline!F132="","",Pipeline!F132))</f>
        <v/>
      </c>
      <c r="C132" s="96">
        <f>IF(Pipeline!$A132="","",IF(Pipeline!M132="","",Pipeline!M132))</f>
        <v/>
      </c>
      <c r="D132" s="97">
        <f>IF(Pipeline!$A132="","",IF(Pipeline!Q132="","",Pipeline!Q132))</f>
        <v/>
      </c>
      <c r="E132" s="98">
        <f>IF(Pipeline!$A132="","",IF(Pipeline!T132="","",Pipeline!T132))</f>
        <v/>
      </c>
      <c r="F132" s="77">
        <f>IF(Pipeline!$A132="","",IF(Pipeline!W132="","",Pipeline!W132))</f>
        <v/>
      </c>
      <c r="G132" s="99">
        <f>IF(Pipeline!$A132="","",IF(Pipeline!AH132="","",Pipeline!AH132))</f>
        <v/>
      </c>
      <c r="H132" s="77">
        <f>IF(Pipeline!$A132="","",IF(Pipeline!AI132="","",Pipeline!AI132))</f>
        <v/>
      </c>
      <c r="I132" s="77">
        <f>IF(Pipeline!$A132="","",IF(Pipeline!X132="","",Pipeline!X132))</f>
        <v/>
      </c>
      <c r="J132" s="77">
        <f>IF(Pipeline!$A132="","",IF(Pipeline!AF132="","–",Pipeline!AF132))</f>
        <v/>
      </c>
    </row>
    <row r="133" ht="15" customHeight="1" s="51">
      <c r="A133" s="77">
        <f>IF(Pipeline!$A133="","",IF(Pipeline!H133="","",Pipeline!H133))</f>
        <v/>
      </c>
      <c r="B133" s="77">
        <f>IF(Pipeline!$A133="","",IF(Pipeline!F133="","",Pipeline!F133))</f>
        <v/>
      </c>
      <c r="C133" s="96">
        <f>IF(Pipeline!$A133="","",IF(Pipeline!M133="","",Pipeline!M133))</f>
        <v/>
      </c>
      <c r="D133" s="97">
        <f>IF(Pipeline!$A133="","",IF(Pipeline!Q133="","",Pipeline!Q133))</f>
        <v/>
      </c>
      <c r="E133" s="98">
        <f>IF(Pipeline!$A133="","",IF(Pipeline!T133="","",Pipeline!T133))</f>
        <v/>
      </c>
      <c r="F133" s="77">
        <f>IF(Pipeline!$A133="","",IF(Pipeline!W133="","",Pipeline!W133))</f>
        <v/>
      </c>
      <c r="G133" s="99">
        <f>IF(Pipeline!$A133="","",IF(Pipeline!AH133="","",Pipeline!AH133))</f>
        <v/>
      </c>
      <c r="H133" s="77">
        <f>IF(Pipeline!$A133="","",IF(Pipeline!AI133="","",Pipeline!AI133))</f>
        <v/>
      </c>
      <c r="I133" s="77">
        <f>IF(Pipeline!$A133="","",IF(Pipeline!X133="","",Pipeline!X133))</f>
        <v/>
      </c>
      <c r="J133" s="77">
        <f>IF(Pipeline!$A133="","",IF(Pipeline!AF133="","–",Pipeline!AF133))</f>
        <v/>
      </c>
    </row>
    <row r="134" ht="15" customHeight="1" s="51">
      <c r="A134" s="77">
        <f>IF(Pipeline!$A134="","",IF(Pipeline!H134="","",Pipeline!H134))</f>
        <v/>
      </c>
      <c r="B134" s="77">
        <f>IF(Pipeline!$A134="","",IF(Pipeline!F134="","",Pipeline!F134))</f>
        <v/>
      </c>
      <c r="C134" s="96">
        <f>IF(Pipeline!$A134="","",IF(Pipeline!M134="","",Pipeline!M134))</f>
        <v/>
      </c>
      <c r="D134" s="97">
        <f>IF(Pipeline!$A134="","",IF(Pipeline!Q134="","",Pipeline!Q134))</f>
        <v/>
      </c>
      <c r="E134" s="98">
        <f>IF(Pipeline!$A134="","",IF(Pipeline!T134="","",Pipeline!T134))</f>
        <v/>
      </c>
      <c r="F134" s="77">
        <f>IF(Pipeline!$A134="","",IF(Pipeline!W134="","",Pipeline!W134))</f>
        <v/>
      </c>
      <c r="G134" s="99">
        <f>IF(Pipeline!$A134="","",IF(Pipeline!AH134="","",Pipeline!AH134))</f>
        <v/>
      </c>
      <c r="H134" s="77">
        <f>IF(Pipeline!$A134="","",IF(Pipeline!AI134="","",Pipeline!AI134))</f>
        <v/>
      </c>
      <c r="I134" s="77">
        <f>IF(Pipeline!$A134="","",IF(Pipeline!X134="","",Pipeline!X134))</f>
        <v/>
      </c>
      <c r="J134" s="77">
        <f>IF(Pipeline!$A134="","",IF(Pipeline!AF134="","–",Pipeline!AF134))</f>
        <v/>
      </c>
    </row>
    <row r="135" ht="15" customHeight="1" s="51">
      <c r="A135" s="77">
        <f>IF(Pipeline!$A135="","",IF(Pipeline!H135="","",Pipeline!H135))</f>
        <v/>
      </c>
      <c r="B135" s="77">
        <f>IF(Pipeline!$A135="","",IF(Pipeline!F135="","",Pipeline!F135))</f>
        <v/>
      </c>
      <c r="C135" s="96">
        <f>IF(Pipeline!$A135="","",IF(Pipeline!M135="","",Pipeline!M135))</f>
        <v/>
      </c>
      <c r="D135" s="97">
        <f>IF(Pipeline!$A135="","",IF(Pipeline!Q135="","",Pipeline!Q135))</f>
        <v/>
      </c>
      <c r="E135" s="98">
        <f>IF(Pipeline!$A135="","",IF(Pipeline!T135="","",Pipeline!T135))</f>
        <v/>
      </c>
      <c r="F135" s="77">
        <f>IF(Pipeline!$A135="","",IF(Pipeline!W135="","",Pipeline!W135))</f>
        <v/>
      </c>
      <c r="G135" s="99">
        <f>IF(Pipeline!$A135="","",IF(Pipeline!AH135="","",Pipeline!AH135))</f>
        <v/>
      </c>
      <c r="H135" s="77">
        <f>IF(Pipeline!$A135="","",IF(Pipeline!AI135="","",Pipeline!AI135))</f>
        <v/>
      </c>
      <c r="I135" s="77">
        <f>IF(Pipeline!$A135="","",IF(Pipeline!X135="","",Pipeline!X135))</f>
        <v/>
      </c>
      <c r="J135" s="77">
        <f>IF(Pipeline!$A135="","",IF(Pipeline!AF135="","–",Pipeline!AF135))</f>
        <v/>
      </c>
    </row>
    <row r="136" ht="15" customHeight="1" s="51">
      <c r="A136" s="77">
        <f>IF(Pipeline!$A136="","",IF(Pipeline!H136="","",Pipeline!H136))</f>
        <v/>
      </c>
      <c r="B136" s="77">
        <f>IF(Pipeline!$A136="","",IF(Pipeline!F136="","",Pipeline!F136))</f>
        <v/>
      </c>
      <c r="C136" s="96">
        <f>IF(Pipeline!$A136="","",IF(Pipeline!M136="","",Pipeline!M136))</f>
        <v/>
      </c>
      <c r="D136" s="97">
        <f>IF(Pipeline!$A136="","",IF(Pipeline!Q136="","",Pipeline!Q136))</f>
        <v/>
      </c>
      <c r="E136" s="98">
        <f>IF(Pipeline!$A136="","",IF(Pipeline!T136="","",Pipeline!T136))</f>
        <v/>
      </c>
      <c r="F136" s="77">
        <f>IF(Pipeline!$A136="","",IF(Pipeline!W136="","",Pipeline!W136))</f>
        <v/>
      </c>
      <c r="G136" s="99">
        <f>IF(Pipeline!$A136="","",IF(Pipeline!AH136="","",Pipeline!AH136))</f>
        <v/>
      </c>
      <c r="H136" s="77">
        <f>IF(Pipeline!$A136="","",IF(Pipeline!AI136="","",Pipeline!AI136))</f>
        <v/>
      </c>
      <c r="I136" s="77">
        <f>IF(Pipeline!$A136="","",IF(Pipeline!X136="","",Pipeline!X136))</f>
        <v/>
      </c>
      <c r="J136" s="77">
        <f>IF(Pipeline!$A136="","",IF(Pipeline!AF136="","–",Pipeline!AF136))</f>
        <v/>
      </c>
    </row>
    <row r="137" ht="15" customHeight="1" s="51">
      <c r="A137" s="77">
        <f>IF(Pipeline!$A137="","",IF(Pipeline!H137="","",Pipeline!H137))</f>
        <v/>
      </c>
      <c r="B137" s="77">
        <f>IF(Pipeline!$A137="","",IF(Pipeline!F137="","",Pipeline!F137))</f>
        <v/>
      </c>
      <c r="C137" s="96">
        <f>IF(Pipeline!$A137="","",IF(Pipeline!M137="","",Pipeline!M137))</f>
        <v/>
      </c>
      <c r="D137" s="97">
        <f>IF(Pipeline!$A137="","",IF(Pipeline!Q137="","",Pipeline!Q137))</f>
        <v/>
      </c>
      <c r="E137" s="98">
        <f>IF(Pipeline!$A137="","",IF(Pipeline!T137="","",Pipeline!T137))</f>
        <v/>
      </c>
      <c r="F137" s="77">
        <f>IF(Pipeline!$A137="","",IF(Pipeline!W137="","",Pipeline!W137))</f>
        <v/>
      </c>
      <c r="G137" s="99">
        <f>IF(Pipeline!$A137="","",IF(Pipeline!AH137="","",Pipeline!AH137))</f>
        <v/>
      </c>
      <c r="H137" s="77">
        <f>IF(Pipeline!$A137="","",IF(Pipeline!AI137="","",Pipeline!AI137))</f>
        <v/>
      </c>
      <c r="I137" s="77">
        <f>IF(Pipeline!$A137="","",IF(Pipeline!X137="","",Pipeline!X137))</f>
        <v/>
      </c>
      <c r="J137" s="77">
        <f>IF(Pipeline!$A137="","",IF(Pipeline!AF137="","–",Pipeline!AF137))</f>
        <v/>
      </c>
    </row>
    <row r="138" ht="15" customHeight="1" s="51">
      <c r="A138" s="77">
        <f>IF(Pipeline!$A138="","",IF(Pipeline!H138="","",Pipeline!H138))</f>
        <v/>
      </c>
      <c r="B138" s="77">
        <f>IF(Pipeline!$A138="","",IF(Pipeline!F138="","",Pipeline!F138))</f>
        <v/>
      </c>
      <c r="C138" s="96">
        <f>IF(Pipeline!$A138="","",IF(Pipeline!M138="","",Pipeline!M138))</f>
        <v/>
      </c>
      <c r="D138" s="97">
        <f>IF(Pipeline!$A138="","",IF(Pipeline!Q138="","",Pipeline!Q138))</f>
        <v/>
      </c>
      <c r="E138" s="98">
        <f>IF(Pipeline!$A138="","",IF(Pipeline!T138="","",Pipeline!T138))</f>
        <v/>
      </c>
      <c r="F138" s="77">
        <f>IF(Pipeline!$A138="","",IF(Pipeline!W138="","",Pipeline!W138))</f>
        <v/>
      </c>
      <c r="G138" s="99">
        <f>IF(Pipeline!$A138="","",IF(Pipeline!AH138="","",Pipeline!AH138))</f>
        <v/>
      </c>
      <c r="H138" s="77">
        <f>IF(Pipeline!$A138="","",IF(Pipeline!AI138="","",Pipeline!AI138))</f>
        <v/>
      </c>
      <c r="I138" s="77">
        <f>IF(Pipeline!$A138="","",IF(Pipeline!X138="","",Pipeline!X138))</f>
        <v/>
      </c>
      <c r="J138" s="77">
        <f>IF(Pipeline!$A138="","",IF(Pipeline!AF138="","–",Pipeline!AF138))</f>
        <v/>
      </c>
    </row>
    <row r="139" ht="15" customHeight="1" s="51">
      <c r="A139" s="77">
        <f>IF(Pipeline!$A139="","",IF(Pipeline!H139="","",Pipeline!H139))</f>
        <v/>
      </c>
      <c r="B139" s="77">
        <f>IF(Pipeline!$A139="","",IF(Pipeline!F139="","",Pipeline!F139))</f>
        <v/>
      </c>
      <c r="C139" s="96">
        <f>IF(Pipeline!$A139="","",IF(Pipeline!M139="","",Pipeline!M139))</f>
        <v/>
      </c>
      <c r="D139" s="97">
        <f>IF(Pipeline!$A139="","",IF(Pipeline!Q139="","",Pipeline!Q139))</f>
        <v/>
      </c>
      <c r="E139" s="98">
        <f>IF(Pipeline!$A139="","",IF(Pipeline!T139="","",Pipeline!T139))</f>
        <v/>
      </c>
      <c r="F139" s="77">
        <f>IF(Pipeline!$A139="","",IF(Pipeline!W139="","",Pipeline!W139))</f>
        <v/>
      </c>
      <c r="G139" s="99">
        <f>IF(Pipeline!$A139="","",IF(Pipeline!AH139="","",Pipeline!AH139))</f>
        <v/>
      </c>
      <c r="H139" s="77">
        <f>IF(Pipeline!$A139="","",IF(Pipeline!AI139="","",Pipeline!AI139))</f>
        <v/>
      </c>
      <c r="I139" s="77">
        <f>IF(Pipeline!$A139="","",IF(Pipeline!X139="","",Pipeline!X139))</f>
        <v/>
      </c>
      <c r="J139" s="77">
        <f>IF(Pipeline!$A139="","",IF(Pipeline!AF139="","–",Pipeline!AF139))</f>
        <v/>
      </c>
    </row>
    <row r="140" ht="15" customHeight="1" s="51">
      <c r="A140" s="77">
        <f>IF(Pipeline!$A140="","",IF(Pipeline!H140="","",Pipeline!H140))</f>
        <v/>
      </c>
      <c r="B140" s="77">
        <f>IF(Pipeline!$A140="","",IF(Pipeline!F140="","",Pipeline!F140))</f>
        <v/>
      </c>
      <c r="C140" s="96">
        <f>IF(Pipeline!$A140="","",IF(Pipeline!M140="","",Pipeline!M140))</f>
        <v/>
      </c>
      <c r="D140" s="97">
        <f>IF(Pipeline!$A140="","",IF(Pipeline!Q140="","",Pipeline!Q140))</f>
        <v/>
      </c>
      <c r="E140" s="98">
        <f>IF(Pipeline!$A140="","",IF(Pipeline!T140="","",Pipeline!T140))</f>
        <v/>
      </c>
      <c r="F140" s="77">
        <f>IF(Pipeline!$A140="","",IF(Pipeline!W140="","",Pipeline!W140))</f>
        <v/>
      </c>
      <c r="G140" s="99">
        <f>IF(Pipeline!$A140="","",IF(Pipeline!AH140="","",Pipeline!AH140))</f>
        <v/>
      </c>
      <c r="H140" s="77">
        <f>IF(Pipeline!$A140="","",IF(Pipeline!AI140="","",Pipeline!AI140))</f>
        <v/>
      </c>
      <c r="I140" s="77">
        <f>IF(Pipeline!$A140="","",IF(Pipeline!X140="","",Pipeline!X140))</f>
        <v/>
      </c>
      <c r="J140" s="77">
        <f>IF(Pipeline!$A140="","",IF(Pipeline!AF140="","–",Pipeline!AF140))</f>
        <v/>
      </c>
    </row>
    <row r="141" ht="15" customHeight="1" s="51">
      <c r="A141" s="77">
        <f>IF(Pipeline!$A141="","",IF(Pipeline!H141="","",Pipeline!H141))</f>
        <v/>
      </c>
      <c r="B141" s="77">
        <f>IF(Pipeline!$A141="","",IF(Pipeline!F141="","",Pipeline!F141))</f>
        <v/>
      </c>
      <c r="C141" s="96">
        <f>IF(Pipeline!$A141="","",IF(Pipeline!M141="","",Pipeline!M141))</f>
        <v/>
      </c>
      <c r="D141" s="97">
        <f>IF(Pipeline!$A141="","",IF(Pipeline!Q141="","",Pipeline!Q141))</f>
        <v/>
      </c>
      <c r="E141" s="98">
        <f>IF(Pipeline!$A141="","",IF(Pipeline!T141="","",Pipeline!T141))</f>
        <v/>
      </c>
      <c r="F141" s="77">
        <f>IF(Pipeline!$A141="","",IF(Pipeline!W141="","",Pipeline!W141))</f>
        <v/>
      </c>
      <c r="G141" s="99">
        <f>IF(Pipeline!$A141="","",IF(Pipeline!AH141="","",Pipeline!AH141))</f>
        <v/>
      </c>
      <c r="H141" s="77">
        <f>IF(Pipeline!$A141="","",IF(Pipeline!AI141="","",Pipeline!AI141))</f>
        <v/>
      </c>
      <c r="I141" s="77">
        <f>IF(Pipeline!$A141="","",IF(Pipeline!X141="","",Pipeline!X141))</f>
        <v/>
      </c>
      <c r="J141" s="77">
        <f>IF(Pipeline!$A141="","",IF(Pipeline!AF141="","–",Pipeline!AF141))</f>
        <v/>
      </c>
    </row>
    <row r="142" ht="15" customHeight="1" s="51">
      <c r="A142" s="77">
        <f>IF(Pipeline!$A142="","",IF(Pipeline!H142="","",Pipeline!H142))</f>
        <v/>
      </c>
      <c r="B142" s="77">
        <f>IF(Pipeline!$A142="","",IF(Pipeline!F142="","",Pipeline!F142))</f>
        <v/>
      </c>
      <c r="C142" s="96">
        <f>IF(Pipeline!$A142="","",IF(Pipeline!M142="","",Pipeline!M142))</f>
        <v/>
      </c>
      <c r="D142" s="97">
        <f>IF(Pipeline!$A142="","",IF(Pipeline!Q142="","",Pipeline!Q142))</f>
        <v/>
      </c>
      <c r="E142" s="98">
        <f>IF(Pipeline!$A142="","",IF(Pipeline!T142="","",Pipeline!T142))</f>
        <v/>
      </c>
      <c r="F142" s="77">
        <f>IF(Pipeline!$A142="","",IF(Pipeline!W142="","",Pipeline!W142))</f>
        <v/>
      </c>
      <c r="G142" s="99">
        <f>IF(Pipeline!$A142="","",IF(Pipeline!AH142="","",Pipeline!AH142))</f>
        <v/>
      </c>
      <c r="H142" s="77">
        <f>IF(Pipeline!$A142="","",IF(Pipeline!AI142="","",Pipeline!AI142))</f>
        <v/>
      </c>
      <c r="I142" s="77">
        <f>IF(Pipeline!$A142="","",IF(Pipeline!X142="","",Pipeline!X142))</f>
        <v/>
      </c>
      <c r="J142" s="77">
        <f>IF(Pipeline!$A142="","",IF(Pipeline!AF142="","–",Pipeline!AF142))</f>
        <v/>
      </c>
    </row>
    <row r="143" ht="15" customHeight="1" s="51">
      <c r="A143" s="77">
        <f>IF(Pipeline!$A143="","",IF(Pipeline!H143="","",Pipeline!H143))</f>
        <v/>
      </c>
      <c r="B143" s="77">
        <f>IF(Pipeline!$A143="","",IF(Pipeline!F143="","",Pipeline!F143))</f>
        <v/>
      </c>
      <c r="C143" s="96">
        <f>IF(Pipeline!$A143="","",IF(Pipeline!M143="","",Pipeline!M143))</f>
        <v/>
      </c>
      <c r="D143" s="97">
        <f>IF(Pipeline!$A143="","",IF(Pipeline!Q143="","",Pipeline!Q143))</f>
        <v/>
      </c>
      <c r="E143" s="98">
        <f>IF(Pipeline!$A143="","",IF(Pipeline!T143="","",Pipeline!T143))</f>
        <v/>
      </c>
      <c r="F143" s="77">
        <f>IF(Pipeline!$A143="","",IF(Pipeline!W143="","",Pipeline!W143))</f>
        <v/>
      </c>
      <c r="G143" s="99">
        <f>IF(Pipeline!$A143="","",IF(Pipeline!AH143="","",Pipeline!AH143))</f>
        <v/>
      </c>
      <c r="H143" s="77">
        <f>IF(Pipeline!$A143="","",IF(Pipeline!AI143="","",Pipeline!AI143))</f>
        <v/>
      </c>
      <c r="I143" s="77">
        <f>IF(Pipeline!$A143="","",IF(Pipeline!X143="","",Pipeline!X143))</f>
        <v/>
      </c>
      <c r="J143" s="77">
        <f>IF(Pipeline!$A143="","",IF(Pipeline!AF143="","–",Pipeline!AF143))</f>
        <v/>
      </c>
    </row>
    <row r="144" ht="15" customHeight="1" s="51">
      <c r="A144" s="77">
        <f>IF(Pipeline!$A144="","",IF(Pipeline!H144="","",Pipeline!H144))</f>
        <v/>
      </c>
      <c r="B144" s="77">
        <f>IF(Pipeline!$A144="","",IF(Pipeline!F144="","",Pipeline!F144))</f>
        <v/>
      </c>
      <c r="C144" s="96">
        <f>IF(Pipeline!$A144="","",IF(Pipeline!M144="","",Pipeline!M144))</f>
        <v/>
      </c>
      <c r="D144" s="97">
        <f>IF(Pipeline!$A144="","",IF(Pipeline!Q144="","",Pipeline!Q144))</f>
        <v/>
      </c>
      <c r="E144" s="98">
        <f>IF(Pipeline!$A144="","",IF(Pipeline!T144="","",Pipeline!T144))</f>
        <v/>
      </c>
      <c r="F144" s="77">
        <f>IF(Pipeline!$A144="","",IF(Pipeline!W144="","",Pipeline!W144))</f>
        <v/>
      </c>
      <c r="G144" s="99">
        <f>IF(Pipeline!$A144="","",IF(Pipeline!AH144="","",Pipeline!AH144))</f>
        <v/>
      </c>
      <c r="H144" s="77">
        <f>IF(Pipeline!$A144="","",IF(Pipeline!AI144="","",Pipeline!AI144))</f>
        <v/>
      </c>
      <c r="I144" s="77">
        <f>IF(Pipeline!$A144="","",IF(Pipeline!X144="","",Pipeline!X144))</f>
        <v/>
      </c>
      <c r="J144" s="77">
        <f>IF(Pipeline!$A144="","",IF(Pipeline!AF144="","–",Pipeline!AF144))</f>
        <v/>
      </c>
    </row>
    <row r="145" ht="15" customHeight="1" s="51">
      <c r="A145" s="77">
        <f>IF(Pipeline!$A145="","",IF(Pipeline!H145="","",Pipeline!H145))</f>
        <v/>
      </c>
      <c r="B145" s="77">
        <f>IF(Pipeline!$A145="","",IF(Pipeline!F145="","",Pipeline!F145))</f>
        <v/>
      </c>
      <c r="C145" s="96">
        <f>IF(Pipeline!$A145="","",IF(Pipeline!M145="","",Pipeline!M145))</f>
        <v/>
      </c>
      <c r="D145" s="97">
        <f>IF(Pipeline!$A145="","",IF(Pipeline!Q145="","",Pipeline!Q145))</f>
        <v/>
      </c>
      <c r="E145" s="98">
        <f>IF(Pipeline!$A145="","",IF(Pipeline!T145="","",Pipeline!T145))</f>
        <v/>
      </c>
      <c r="F145" s="77">
        <f>IF(Pipeline!$A145="","",IF(Pipeline!W145="","",Pipeline!W145))</f>
        <v/>
      </c>
      <c r="G145" s="99">
        <f>IF(Pipeline!$A145="","",IF(Pipeline!AH145="","",Pipeline!AH145))</f>
        <v/>
      </c>
      <c r="H145" s="77">
        <f>IF(Pipeline!$A145="","",IF(Pipeline!AI145="","",Pipeline!AI145))</f>
        <v/>
      </c>
      <c r="I145" s="77">
        <f>IF(Pipeline!$A145="","",IF(Pipeline!X145="","",Pipeline!X145))</f>
        <v/>
      </c>
      <c r="J145" s="77">
        <f>IF(Pipeline!$A145="","",IF(Pipeline!AF145="","–",Pipeline!AF145))</f>
        <v/>
      </c>
    </row>
    <row r="146" ht="15" customHeight="1" s="51">
      <c r="A146" s="77">
        <f>IF(Pipeline!$A146="","",IF(Pipeline!H146="","",Pipeline!H146))</f>
        <v/>
      </c>
      <c r="B146" s="77">
        <f>IF(Pipeline!$A146="","",IF(Pipeline!F146="","",Pipeline!F146))</f>
        <v/>
      </c>
      <c r="C146" s="96">
        <f>IF(Pipeline!$A146="","",IF(Pipeline!M146="","",Pipeline!M146))</f>
        <v/>
      </c>
      <c r="D146" s="97">
        <f>IF(Pipeline!$A146="","",IF(Pipeline!Q146="","",Pipeline!Q146))</f>
        <v/>
      </c>
      <c r="E146" s="98">
        <f>IF(Pipeline!$A146="","",IF(Pipeline!T146="","",Pipeline!T146))</f>
        <v/>
      </c>
      <c r="F146" s="77">
        <f>IF(Pipeline!$A146="","",IF(Pipeline!W146="","",Pipeline!W146))</f>
        <v/>
      </c>
      <c r="G146" s="99">
        <f>IF(Pipeline!$A146="","",IF(Pipeline!AH146="","",Pipeline!AH146))</f>
        <v/>
      </c>
      <c r="H146" s="77">
        <f>IF(Pipeline!$A146="","",IF(Pipeline!AI146="","",Pipeline!AI146))</f>
        <v/>
      </c>
      <c r="I146" s="77">
        <f>IF(Pipeline!$A146="","",IF(Pipeline!X146="","",Pipeline!X146))</f>
        <v/>
      </c>
      <c r="J146" s="77">
        <f>IF(Pipeline!$A146="","",IF(Pipeline!AF146="","–",Pipeline!AF146))</f>
        <v/>
      </c>
    </row>
    <row r="147" ht="15" customHeight="1" s="51">
      <c r="A147" s="77">
        <f>IF(Pipeline!$A147="","",IF(Pipeline!H147="","",Pipeline!H147))</f>
        <v/>
      </c>
      <c r="B147" s="77">
        <f>IF(Pipeline!$A147="","",IF(Pipeline!F147="","",Pipeline!F147))</f>
        <v/>
      </c>
      <c r="C147" s="96">
        <f>IF(Pipeline!$A147="","",IF(Pipeline!M147="","",Pipeline!M147))</f>
        <v/>
      </c>
      <c r="D147" s="97">
        <f>IF(Pipeline!$A147="","",IF(Pipeline!Q147="","",Pipeline!Q147))</f>
        <v/>
      </c>
      <c r="E147" s="98">
        <f>IF(Pipeline!$A147="","",IF(Pipeline!T147="","",Pipeline!T147))</f>
        <v/>
      </c>
      <c r="F147" s="77">
        <f>IF(Pipeline!$A147="","",IF(Pipeline!W147="","",Pipeline!W147))</f>
        <v/>
      </c>
      <c r="G147" s="99">
        <f>IF(Pipeline!$A147="","",IF(Pipeline!AH147="","",Pipeline!AH147))</f>
        <v/>
      </c>
      <c r="H147" s="77">
        <f>IF(Pipeline!$A147="","",IF(Pipeline!AI147="","",Pipeline!AI147))</f>
        <v/>
      </c>
      <c r="I147" s="77">
        <f>IF(Pipeline!$A147="","",IF(Pipeline!X147="","",Pipeline!X147))</f>
        <v/>
      </c>
      <c r="J147" s="77">
        <f>IF(Pipeline!$A147="","",IF(Pipeline!AF147="","–",Pipeline!AF147))</f>
        <v/>
      </c>
    </row>
    <row r="148" ht="15" customHeight="1" s="51">
      <c r="A148" s="77">
        <f>IF(Pipeline!$A148="","",IF(Pipeline!H148="","",Pipeline!H148))</f>
        <v/>
      </c>
      <c r="B148" s="77">
        <f>IF(Pipeline!$A148="","",IF(Pipeline!F148="","",Pipeline!F148))</f>
        <v/>
      </c>
      <c r="C148" s="96">
        <f>IF(Pipeline!$A148="","",IF(Pipeline!M148="","",Pipeline!M148))</f>
        <v/>
      </c>
      <c r="D148" s="97">
        <f>IF(Pipeline!$A148="","",IF(Pipeline!Q148="","",Pipeline!Q148))</f>
        <v/>
      </c>
      <c r="E148" s="98">
        <f>IF(Pipeline!$A148="","",IF(Pipeline!T148="","",Pipeline!T148))</f>
        <v/>
      </c>
      <c r="F148" s="77">
        <f>IF(Pipeline!$A148="","",IF(Pipeline!W148="","",Pipeline!W148))</f>
        <v/>
      </c>
      <c r="G148" s="99">
        <f>IF(Pipeline!$A148="","",IF(Pipeline!AH148="","",Pipeline!AH148))</f>
        <v/>
      </c>
      <c r="H148" s="77">
        <f>IF(Pipeline!$A148="","",IF(Pipeline!AI148="","",Pipeline!AI148))</f>
        <v/>
      </c>
      <c r="I148" s="77">
        <f>IF(Pipeline!$A148="","",IF(Pipeline!X148="","",Pipeline!X148))</f>
        <v/>
      </c>
      <c r="J148" s="77">
        <f>IF(Pipeline!$A148="","",IF(Pipeline!AF148="","–",Pipeline!AF148))</f>
        <v/>
      </c>
    </row>
    <row r="149" ht="15" customHeight="1" s="51">
      <c r="A149" s="77">
        <f>IF(Pipeline!$A149="","",IF(Pipeline!H149="","",Pipeline!H149))</f>
        <v/>
      </c>
      <c r="B149" s="77">
        <f>IF(Pipeline!$A149="","",IF(Pipeline!F149="","",Pipeline!F149))</f>
        <v/>
      </c>
      <c r="C149" s="96">
        <f>IF(Pipeline!$A149="","",IF(Pipeline!M149="","",Pipeline!M149))</f>
        <v/>
      </c>
      <c r="D149" s="97">
        <f>IF(Pipeline!$A149="","",IF(Pipeline!Q149="","",Pipeline!Q149))</f>
        <v/>
      </c>
      <c r="E149" s="98">
        <f>IF(Pipeline!$A149="","",IF(Pipeline!T149="","",Pipeline!T149))</f>
        <v/>
      </c>
      <c r="F149" s="77">
        <f>IF(Pipeline!$A149="","",IF(Pipeline!W149="","",Pipeline!W149))</f>
        <v/>
      </c>
      <c r="G149" s="99">
        <f>IF(Pipeline!$A149="","",IF(Pipeline!AH149="","",Pipeline!AH149))</f>
        <v/>
      </c>
      <c r="H149" s="77">
        <f>IF(Pipeline!$A149="","",IF(Pipeline!AI149="","",Pipeline!AI149))</f>
        <v/>
      </c>
      <c r="I149" s="77">
        <f>IF(Pipeline!$A149="","",IF(Pipeline!X149="","",Pipeline!X149))</f>
        <v/>
      </c>
      <c r="J149" s="77">
        <f>IF(Pipeline!$A149="","",IF(Pipeline!AF149="","–",Pipeline!AF149))</f>
        <v/>
      </c>
    </row>
    <row r="150" ht="15" customHeight="1" s="51">
      <c r="A150" s="77">
        <f>IF(Pipeline!$A150="","",IF(Pipeline!H150="","",Pipeline!H150))</f>
        <v/>
      </c>
      <c r="B150" s="77">
        <f>IF(Pipeline!$A150="","",IF(Pipeline!F150="","",Pipeline!F150))</f>
        <v/>
      </c>
      <c r="C150" s="96">
        <f>IF(Pipeline!$A150="","",IF(Pipeline!M150="","",Pipeline!M150))</f>
        <v/>
      </c>
      <c r="D150" s="97">
        <f>IF(Pipeline!$A150="","",IF(Pipeline!Q150="","",Pipeline!Q150))</f>
        <v/>
      </c>
      <c r="E150" s="98">
        <f>IF(Pipeline!$A150="","",IF(Pipeline!T150="","",Pipeline!T150))</f>
        <v/>
      </c>
      <c r="F150" s="77">
        <f>IF(Pipeline!$A150="","",IF(Pipeline!W150="","",Pipeline!W150))</f>
        <v/>
      </c>
      <c r="G150" s="99">
        <f>IF(Pipeline!$A150="","",IF(Pipeline!AH150="","",Pipeline!AH150))</f>
        <v/>
      </c>
      <c r="H150" s="77">
        <f>IF(Pipeline!$A150="","",IF(Pipeline!AI150="","",Pipeline!AI150))</f>
        <v/>
      </c>
      <c r="I150" s="77">
        <f>IF(Pipeline!$A150="","",IF(Pipeline!X150="","",Pipeline!X150))</f>
        <v/>
      </c>
      <c r="J150" s="77">
        <f>IF(Pipeline!$A150="","",IF(Pipeline!AF150="","–",Pipeline!AF150))</f>
        <v/>
      </c>
    </row>
    <row r="151" ht="15" customHeight="1" s="51">
      <c r="A151" s="77">
        <f>IF(Pipeline!$A151="","",IF(Pipeline!H151="","",Pipeline!H151))</f>
        <v/>
      </c>
      <c r="B151" s="77">
        <f>IF(Pipeline!$A151="","",IF(Pipeline!F151="","",Pipeline!F151))</f>
        <v/>
      </c>
      <c r="C151" s="96">
        <f>IF(Pipeline!$A151="","",IF(Pipeline!M151="","",Pipeline!M151))</f>
        <v/>
      </c>
      <c r="D151" s="97">
        <f>IF(Pipeline!$A151="","",IF(Pipeline!Q151="","",Pipeline!Q151))</f>
        <v/>
      </c>
      <c r="E151" s="98">
        <f>IF(Pipeline!$A151="","",IF(Pipeline!T151="","",Pipeline!T151))</f>
        <v/>
      </c>
      <c r="F151" s="77">
        <f>IF(Pipeline!$A151="","",IF(Pipeline!W151="","",Pipeline!W151))</f>
        <v/>
      </c>
      <c r="G151" s="99">
        <f>IF(Pipeline!$A151="","",IF(Pipeline!AH151="","",Pipeline!AH151))</f>
        <v/>
      </c>
      <c r="H151" s="77">
        <f>IF(Pipeline!$A151="","",IF(Pipeline!AI151="","",Pipeline!AI151))</f>
        <v/>
      </c>
      <c r="I151" s="77">
        <f>IF(Pipeline!$A151="","",IF(Pipeline!X151="","",Pipeline!X151))</f>
        <v/>
      </c>
      <c r="J151" s="77">
        <f>IF(Pipeline!$A151="","",IF(Pipeline!AF151="","–",Pipeline!AF151))</f>
        <v/>
      </c>
    </row>
    <row r="152" ht="15" customHeight="1" s="51">
      <c r="A152" s="77">
        <f>IF(Pipeline!$A152="","",IF(Pipeline!H152="","",Pipeline!H152))</f>
        <v/>
      </c>
      <c r="B152" s="77">
        <f>IF(Pipeline!$A152="","",IF(Pipeline!F152="","",Pipeline!F152))</f>
        <v/>
      </c>
      <c r="C152" s="96">
        <f>IF(Pipeline!$A152="","",IF(Pipeline!M152="","",Pipeline!M152))</f>
        <v/>
      </c>
      <c r="D152" s="97">
        <f>IF(Pipeline!$A152="","",IF(Pipeline!Q152="","",Pipeline!Q152))</f>
        <v/>
      </c>
      <c r="E152" s="98">
        <f>IF(Pipeline!$A152="","",IF(Pipeline!T152="","",Pipeline!T152))</f>
        <v/>
      </c>
      <c r="F152" s="77">
        <f>IF(Pipeline!$A152="","",IF(Pipeline!W152="","",Pipeline!W152))</f>
        <v/>
      </c>
      <c r="G152" s="99">
        <f>IF(Pipeline!$A152="","",IF(Pipeline!AH152="","",Pipeline!AH152))</f>
        <v/>
      </c>
      <c r="H152" s="77">
        <f>IF(Pipeline!$A152="","",IF(Pipeline!AI152="","",Pipeline!AI152))</f>
        <v/>
      </c>
      <c r="I152" s="77">
        <f>IF(Pipeline!$A152="","",IF(Pipeline!X152="","",Pipeline!X152))</f>
        <v/>
      </c>
      <c r="J152" s="77">
        <f>IF(Pipeline!$A152="","",IF(Pipeline!AF152="","–",Pipeline!AF152))</f>
        <v/>
      </c>
    </row>
    <row r="153" ht="15" customHeight="1" s="51">
      <c r="A153" s="77">
        <f>IF(Pipeline!$A153="","",IF(Pipeline!H153="","",Pipeline!H153))</f>
        <v/>
      </c>
      <c r="B153" s="77">
        <f>IF(Pipeline!$A153="","",IF(Pipeline!F153="","",Pipeline!F153))</f>
        <v/>
      </c>
      <c r="C153" s="96">
        <f>IF(Pipeline!$A153="","",IF(Pipeline!M153="","",Pipeline!M153))</f>
        <v/>
      </c>
      <c r="D153" s="97">
        <f>IF(Pipeline!$A153="","",IF(Pipeline!Q153="","",Pipeline!Q153))</f>
        <v/>
      </c>
      <c r="E153" s="98">
        <f>IF(Pipeline!$A153="","",IF(Pipeline!T153="","",Pipeline!T153))</f>
        <v/>
      </c>
      <c r="F153" s="77">
        <f>IF(Pipeline!$A153="","",IF(Pipeline!W153="","",Pipeline!W153))</f>
        <v/>
      </c>
      <c r="G153" s="99">
        <f>IF(Pipeline!$A153="","",IF(Pipeline!AH153="","",Pipeline!AH153))</f>
        <v/>
      </c>
      <c r="H153" s="77">
        <f>IF(Pipeline!$A153="","",IF(Pipeline!AI153="","",Pipeline!AI153))</f>
        <v/>
      </c>
      <c r="I153" s="77">
        <f>IF(Pipeline!$A153="","",IF(Pipeline!X153="","",Pipeline!X153))</f>
        <v/>
      </c>
      <c r="J153" s="77">
        <f>IF(Pipeline!$A153="","",IF(Pipeline!AF153="","–",Pipeline!AF153))</f>
        <v/>
      </c>
    </row>
    <row r="154" ht="15" customHeight="1" s="51">
      <c r="A154" s="77">
        <f>IF(Pipeline!$A154="","",IF(Pipeline!H154="","",Pipeline!H154))</f>
        <v/>
      </c>
      <c r="B154" s="77">
        <f>IF(Pipeline!$A154="","",IF(Pipeline!F154="","",Pipeline!F154))</f>
        <v/>
      </c>
      <c r="C154" s="96">
        <f>IF(Pipeline!$A154="","",IF(Pipeline!M154="","",Pipeline!M154))</f>
        <v/>
      </c>
      <c r="D154" s="97">
        <f>IF(Pipeline!$A154="","",IF(Pipeline!Q154="","",Pipeline!Q154))</f>
        <v/>
      </c>
      <c r="E154" s="98">
        <f>IF(Pipeline!$A154="","",IF(Pipeline!T154="","",Pipeline!T154))</f>
        <v/>
      </c>
      <c r="F154" s="77">
        <f>IF(Pipeline!$A154="","",IF(Pipeline!W154="","",Pipeline!W154))</f>
        <v/>
      </c>
      <c r="G154" s="99">
        <f>IF(Pipeline!$A154="","",IF(Pipeline!AH154="","",Pipeline!AH154))</f>
        <v/>
      </c>
      <c r="H154" s="77">
        <f>IF(Pipeline!$A154="","",IF(Pipeline!AI154="","",Pipeline!AI154))</f>
        <v/>
      </c>
      <c r="I154" s="77">
        <f>IF(Pipeline!$A154="","",IF(Pipeline!X154="","",Pipeline!X154))</f>
        <v/>
      </c>
      <c r="J154" s="77">
        <f>IF(Pipeline!$A154="","",IF(Pipeline!AF154="","–",Pipeline!AF154))</f>
        <v/>
      </c>
    </row>
    <row r="155" ht="15" customHeight="1" s="51">
      <c r="A155" s="77">
        <f>IF(Pipeline!$A155="","",IF(Pipeline!H155="","",Pipeline!H155))</f>
        <v/>
      </c>
      <c r="B155" s="77">
        <f>IF(Pipeline!$A155="","",IF(Pipeline!F155="","",Pipeline!F155))</f>
        <v/>
      </c>
      <c r="C155" s="96">
        <f>IF(Pipeline!$A155="","",IF(Pipeline!M155="","",Pipeline!M155))</f>
        <v/>
      </c>
      <c r="D155" s="97">
        <f>IF(Pipeline!$A155="","",IF(Pipeline!Q155="","",Pipeline!Q155))</f>
        <v/>
      </c>
      <c r="E155" s="98">
        <f>IF(Pipeline!$A155="","",IF(Pipeline!T155="","",Pipeline!T155))</f>
        <v/>
      </c>
      <c r="F155" s="77">
        <f>IF(Pipeline!$A155="","",IF(Pipeline!W155="","",Pipeline!W155))</f>
        <v/>
      </c>
      <c r="G155" s="99">
        <f>IF(Pipeline!$A155="","",IF(Pipeline!AH155="","",Pipeline!AH155))</f>
        <v/>
      </c>
      <c r="H155" s="77">
        <f>IF(Pipeline!$A155="","",IF(Pipeline!AI155="","",Pipeline!AI155))</f>
        <v/>
      </c>
      <c r="I155" s="77">
        <f>IF(Pipeline!$A155="","",IF(Pipeline!X155="","",Pipeline!X155))</f>
        <v/>
      </c>
      <c r="J155" s="77">
        <f>IF(Pipeline!$A155="","",IF(Pipeline!AF155="","–",Pipeline!AF155))</f>
        <v/>
      </c>
    </row>
    <row r="156" ht="15" customHeight="1" s="51">
      <c r="A156" s="77">
        <f>IF(Pipeline!$A156="","",IF(Pipeline!H156="","",Pipeline!H156))</f>
        <v/>
      </c>
      <c r="B156" s="77">
        <f>IF(Pipeline!$A156="","",IF(Pipeline!F156="","",Pipeline!F156))</f>
        <v/>
      </c>
      <c r="C156" s="96">
        <f>IF(Pipeline!$A156="","",IF(Pipeline!M156="","",Pipeline!M156))</f>
        <v/>
      </c>
      <c r="D156" s="97">
        <f>IF(Pipeline!$A156="","",IF(Pipeline!Q156="","",Pipeline!Q156))</f>
        <v/>
      </c>
      <c r="E156" s="98">
        <f>IF(Pipeline!$A156="","",IF(Pipeline!T156="","",Pipeline!T156))</f>
        <v/>
      </c>
      <c r="F156" s="77">
        <f>IF(Pipeline!$A156="","",IF(Pipeline!W156="","",Pipeline!W156))</f>
        <v/>
      </c>
      <c r="G156" s="99">
        <f>IF(Pipeline!$A156="","",IF(Pipeline!AH156="","",Pipeline!AH156))</f>
        <v/>
      </c>
      <c r="H156" s="77">
        <f>IF(Pipeline!$A156="","",IF(Pipeline!AI156="","",Pipeline!AI156))</f>
        <v/>
      </c>
      <c r="I156" s="77">
        <f>IF(Pipeline!$A156="","",IF(Pipeline!X156="","",Pipeline!X156))</f>
        <v/>
      </c>
      <c r="J156" s="77">
        <f>IF(Pipeline!$A156="","",IF(Pipeline!AF156="","–",Pipeline!AF156))</f>
        <v/>
      </c>
    </row>
    <row r="157" ht="15" customHeight="1" s="51">
      <c r="A157" s="77">
        <f>IF(Pipeline!$A157="","",IF(Pipeline!H157="","",Pipeline!H157))</f>
        <v/>
      </c>
      <c r="B157" s="77">
        <f>IF(Pipeline!$A157="","",IF(Pipeline!F157="","",Pipeline!F157))</f>
        <v/>
      </c>
      <c r="C157" s="96">
        <f>IF(Pipeline!$A157="","",IF(Pipeline!M157="","",Pipeline!M157))</f>
        <v/>
      </c>
      <c r="D157" s="97">
        <f>IF(Pipeline!$A157="","",IF(Pipeline!Q157="","",Pipeline!Q157))</f>
        <v/>
      </c>
      <c r="E157" s="98">
        <f>IF(Pipeline!$A157="","",IF(Pipeline!T157="","",Pipeline!T157))</f>
        <v/>
      </c>
      <c r="F157" s="77">
        <f>IF(Pipeline!$A157="","",IF(Pipeline!W157="","",Pipeline!W157))</f>
        <v/>
      </c>
      <c r="G157" s="99">
        <f>IF(Pipeline!$A157="","",IF(Pipeline!AH157="","",Pipeline!AH157))</f>
        <v/>
      </c>
      <c r="H157" s="77">
        <f>IF(Pipeline!$A157="","",IF(Pipeline!AI157="","",Pipeline!AI157))</f>
        <v/>
      </c>
      <c r="I157" s="77">
        <f>IF(Pipeline!$A157="","",IF(Pipeline!X157="","",Pipeline!X157))</f>
        <v/>
      </c>
      <c r="J157" s="77">
        <f>IF(Pipeline!$A157="","",IF(Pipeline!AF157="","–",Pipeline!AF157))</f>
        <v/>
      </c>
    </row>
    <row r="158" ht="15" customHeight="1" s="51">
      <c r="A158" s="77">
        <f>IF(Pipeline!$A158="","",IF(Pipeline!H158="","",Pipeline!H158))</f>
        <v/>
      </c>
      <c r="B158" s="77">
        <f>IF(Pipeline!$A158="","",IF(Pipeline!F158="","",Pipeline!F158))</f>
        <v/>
      </c>
      <c r="C158" s="96">
        <f>IF(Pipeline!$A158="","",IF(Pipeline!M158="","",Pipeline!M158))</f>
        <v/>
      </c>
      <c r="D158" s="97">
        <f>IF(Pipeline!$A158="","",IF(Pipeline!Q158="","",Pipeline!Q158))</f>
        <v/>
      </c>
      <c r="E158" s="98">
        <f>IF(Pipeline!$A158="","",IF(Pipeline!T158="","",Pipeline!T158))</f>
        <v/>
      </c>
      <c r="F158" s="77">
        <f>IF(Pipeline!$A158="","",IF(Pipeline!W158="","",Pipeline!W158))</f>
        <v/>
      </c>
      <c r="G158" s="99">
        <f>IF(Pipeline!$A158="","",IF(Pipeline!AH158="","",Pipeline!AH158))</f>
        <v/>
      </c>
      <c r="H158" s="77">
        <f>IF(Pipeline!$A158="","",IF(Pipeline!AI158="","",Pipeline!AI158))</f>
        <v/>
      </c>
      <c r="I158" s="77">
        <f>IF(Pipeline!$A158="","",IF(Pipeline!X158="","",Pipeline!X158))</f>
        <v/>
      </c>
      <c r="J158" s="77">
        <f>IF(Pipeline!$A158="","",IF(Pipeline!AF158="","–",Pipeline!AF158))</f>
        <v/>
      </c>
    </row>
    <row r="159" ht="15" customHeight="1" s="51">
      <c r="A159" s="77">
        <f>IF(Pipeline!$A159="","",IF(Pipeline!H159="","",Pipeline!H159))</f>
        <v/>
      </c>
      <c r="B159" s="77">
        <f>IF(Pipeline!$A159="","",IF(Pipeline!F159="","",Pipeline!F159))</f>
        <v/>
      </c>
      <c r="C159" s="96">
        <f>IF(Pipeline!$A159="","",IF(Pipeline!M159="","",Pipeline!M159))</f>
        <v/>
      </c>
      <c r="D159" s="97">
        <f>IF(Pipeline!$A159="","",IF(Pipeline!Q159="","",Pipeline!Q159))</f>
        <v/>
      </c>
      <c r="E159" s="98">
        <f>IF(Pipeline!$A159="","",IF(Pipeline!T159="","",Pipeline!T159))</f>
        <v/>
      </c>
      <c r="F159" s="77">
        <f>IF(Pipeline!$A159="","",IF(Pipeline!W159="","",Pipeline!W159))</f>
        <v/>
      </c>
      <c r="G159" s="99">
        <f>IF(Pipeline!$A159="","",IF(Pipeline!AH159="","",Pipeline!AH159))</f>
        <v/>
      </c>
      <c r="H159" s="77">
        <f>IF(Pipeline!$A159="","",IF(Pipeline!AI159="","",Pipeline!AI159))</f>
        <v/>
      </c>
      <c r="I159" s="77">
        <f>IF(Pipeline!$A159="","",IF(Pipeline!X159="","",Pipeline!X159))</f>
        <v/>
      </c>
      <c r="J159" s="77">
        <f>IF(Pipeline!$A159="","",IF(Pipeline!AF159="","–",Pipeline!AF159))</f>
        <v/>
      </c>
    </row>
    <row r="160" ht="15" customHeight="1" s="51">
      <c r="A160" s="77">
        <f>IF(Pipeline!$A160="","",IF(Pipeline!H160="","",Pipeline!H160))</f>
        <v/>
      </c>
      <c r="B160" s="77">
        <f>IF(Pipeline!$A160="","",IF(Pipeline!F160="","",Pipeline!F160))</f>
        <v/>
      </c>
      <c r="C160" s="96">
        <f>IF(Pipeline!$A160="","",IF(Pipeline!M160="","",Pipeline!M160))</f>
        <v/>
      </c>
      <c r="D160" s="97">
        <f>IF(Pipeline!$A160="","",IF(Pipeline!Q160="","",Pipeline!Q160))</f>
        <v/>
      </c>
      <c r="E160" s="98">
        <f>IF(Pipeline!$A160="","",IF(Pipeline!T160="","",Pipeline!T160))</f>
        <v/>
      </c>
      <c r="F160" s="77">
        <f>IF(Pipeline!$A160="","",IF(Pipeline!W160="","",Pipeline!W160))</f>
        <v/>
      </c>
      <c r="G160" s="99">
        <f>IF(Pipeline!$A160="","",IF(Pipeline!AH160="","",Pipeline!AH160))</f>
        <v/>
      </c>
      <c r="H160" s="77">
        <f>IF(Pipeline!$A160="","",IF(Pipeline!AI160="","",Pipeline!AI160))</f>
        <v/>
      </c>
      <c r="I160" s="77">
        <f>IF(Pipeline!$A160="","",IF(Pipeline!X160="","",Pipeline!X160))</f>
        <v/>
      </c>
      <c r="J160" s="77">
        <f>IF(Pipeline!$A160="","",IF(Pipeline!AF160="","–",Pipeline!AF160))</f>
        <v/>
      </c>
    </row>
    <row r="161" ht="15" customHeight="1" s="51">
      <c r="A161" s="77">
        <f>IF(Pipeline!$A161="","",IF(Pipeline!H161="","",Pipeline!H161))</f>
        <v/>
      </c>
      <c r="B161" s="77">
        <f>IF(Pipeline!$A161="","",IF(Pipeline!F161="","",Pipeline!F161))</f>
        <v/>
      </c>
      <c r="C161" s="96">
        <f>IF(Pipeline!$A161="","",IF(Pipeline!M161="","",Pipeline!M161))</f>
        <v/>
      </c>
      <c r="D161" s="97">
        <f>IF(Pipeline!$A161="","",IF(Pipeline!Q161="","",Pipeline!Q161))</f>
        <v/>
      </c>
      <c r="E161" s="98">
        <f>IF(Pipeline!$A161="","",IF(Pipeline!T161="","",Pipeline!T161))</f>
        <v/>
      </c>
      <c r="F161" s="77">
        <f>IF(Pipeline!$A161="","",IF(Pipeline!W161="","",Pipeline!W161))</f>
        <v/>
      </c>
      <c r="G161" s="99">
        <f>IF(Pipeline!$A161="","",IF(Pipeline!AH161="","",Pipeline!AH161))</f>
        <v/>
      </c>
      <c r="H161" s="77">
        <f>IF(Pipeline!$A161="","",IF(Pipeline!AI161="","",Pipeline!AI161))</f>
        <v/>
      </c>
      <c r="I161" s="77">
        <f>IF(Pipeline!$A161="","",IF(Pipeline!X161="","",Pipeline!X161))</f>
        <v/>
      </c>
      <c r="J161" s="77">
        <f>IF(Pipeline!$A161="","",IF(Pipeline!AF161="","–",Pipeline!AF161))</f>
        <v/>
      </c>
    </row>
    <row r="162" ht="15" customHeight="1" s="51">
      <c r="A162" s="77">
        <f>IF(Pipeline!$A162="","",IF(Pipeline!H162="","",Pipeline!H162))</f>
        <v/>
      </c>
      <c r="B162" s="77">
        <f>IF(Pipeline!$A162="","",IF(Pipeline!F162="","",Pipeline!F162))</f>
        <v/>
      </c>
      <c r="C162" s="96">
        <f>IF(Pipeline!$A162="","",IF(Pipeline!M162="","",Pipeline!M162))</f>
        <v/>
      </c>
      <c r="D162" s="97">
        <f>IF(Pipeline!$A162="","",IF(Pipeline!Q162="","",Pipeline!Q162))</f>
        <v/>
      </c>
      <c r="E162" s="98">
        <f>IF(Pipeline!$A162="","",IF(Pipeline!T162="","",Pipeline!T162))</f>
        <v/>
      </c>
      <c r="F162" s="77">
        <f>IF(Pipeline!$A162="","",IF(Pipeline!W162="","",Pipeline!W162))</f>
        <v/>
      </c>
      <c r="G162" s="99">
        <f>IF(Pipeline!$A162="","",IF(Pipeline!AH162="","",Pipeline!AH162))</f>
        <v/>
      </c>
      <c r="H162" s="77">
        <f>IF(Pipeline!$A162="","",IF(Pipeline!AI162="","",Pipeline!AI162))</f>
        <v/>
      </c>
      <c r="I162" s="77">
        <f>IF(Pipeline!$A162="","",IF(Pipeline!X162="","",Pipeline!X162))</f>
        <v/>
      </c>
      <c r="J162" s="77">
        <f>IF(Pipeline!$A162="","",IF(Pipeline!AF162="","–",Pipeline!AF162))</f>
        <v/>
      </c>
    </row>
    <row r="163" ht="15" customHeight="1" s="51">
      <c r="A163" s="77">
        <f>IF(Pipeline!$A163="","",IF(Pipeline!H163="","",Pipeline!H163))</f>
        <v/>
      </c>
      <c r="B163" s="77">
        <f>IF(Pipeline!$A163="","",IF(Pipeline!F163="","",Pipeline!F163))</f>
        <v/>
      </c>
      <c r="C163" s="96">
        <f>IF(Pipeline!$A163="","",IF(Pipeline!M163="","",Pipeline!M163))</f>
        <v/>
      </c>
      <c r="D163" s="97">
        <f>IF(Pipeline!$A163="","",IF(Pipeline!Q163="","",Pipeline!Q163))</f>
        <v/>
      </c>
      <c r="E163" s="98">
        <f>IF(Pipeline!$A163="","",IF(Pipeline!T163="","",Pipeline!T163))</f>
        <v/>
      </c>
      <c r="F163" s="77">
        <f>IF(Pipeline!$A163="","",IF(Pipeline!W163="","",Pipeline!W163))</f>
        <v/>
      </c>
      <c r="G163" s="99">
        <f>IF(Pipeline!$A163="","",IF(Pipeline!AH163="","",Pipeline!AH163))</f>
        <v/>
      </c>
      <c r="H163" s="77">
        <f>IF(Pipeline!$A163="","",IF(Pipeline!AI163="","",Pipeline!AI163))</f>
        <v/>
      </c>
      <c r="I163" s="77">
        <f>IF(Pipeline!$A163="","",IF(Pipeline!X163="","",Pipeline!X163))</f>
        <v/>
      </c>
      <c r="J163" s="77">
        <f>IF(Pipeline!$A163="","",IF(Pipeline!AF163="","–",Pipeline!AF163))</f>
        <v/>
      </c>
    </row>
    <row r="164" ht="15" customHeight="1" s="51">
      <c r="A164" s="77">
        <f>IF(Pipeline!$A164="","",IF(Pipeline!H164="","",Pipeline!H164))</f>
        <v/>
      </c>
      <c r="B164" s="77">
        <f>IF(Pipeline!$A164="","",IF(Pipeline!F164="","",Pipeline!F164))</f>
        <v/>
      </c>
      <c r="C164" s="96">
        <f>IF(Pipeline!$A164="","",IF(Pipeline!M164="","",Pipeline!M164))</f>
        <v/>
      </c>
      <c r="D164" s="97">
        <f>IF(Pipeline!$A164="","",IF(Pipeline!Q164="","",Pipeline!Q164))</f>
        <v/>
      </c>
      <c r="E164" s="98">
        <f>IF(Pipeline!$A164="","",IF(Pipeline!T164="","",Pipeline!T164))</f>
        <v/>
      </c>
      <c r="F164" s="77">
        <f>IF(Pipeline!$A164="","",IF(Pipeline!W164="","",Pipeline!W164))</f>
        <v/>
      </c>
      <c r="G164" s="99">
        <f>IF(Pipeline!$A164="","",IF(Pipeline!AH164="","",Pipeline!AH164))</f>
        <v/>
      </c>
      <c r="H164" s="77">
        <f>IF(Pipeline!$A164="","",IF(Pipeline!AI164="","",Pipeline!AI164))</f>
        <v/>
      </c>
      <c r="I164" s="77">
        <f>IF(Pipeline!$A164="","",IF(Pipeline!X164="","",Pipeline!X164))</f>
        <v/>
      </c>
      <c r="J164" s="77">
        <f>IF(Pipeline!$A164="","",IF(Pipeline!AF164="","–",Pipeline!AF164))</f>
        <v/>
      </c>
    </row>
    <row r="165" ht="15" customHeight="1" s="51">
      <c r="A165" s="77">
        <f>IF(Pipeline!$A165="","",IF(Pipeline!H165="","",Pipeline!H165))</f>
        <v/>
      </c>
      <c r="B165" s="77">
        <f>IF(Pipeline!$A165="","",IF(Pipeline!F165="","",Pipeline!F165))</f>
        <v/>
      </c>
      <c r="C165" s="96">
        <f>IF(Pipeline!$A165="","",IF(Pipeline!M165="","",Pipeline!M165))</f>
        <v/>
      </c>
      <c r="D165" s="97">
        <f>IF(Pipeline!$A165="","",IF(Pipeline!Q165="","",Pipeline!Q165))</f>
        <v/>
      </c>
      <c r="E165" s="98">
        <f>IF(Pipeline!$A165="","",IF(Pipeline!T165="","",Pipeline!T165))</f>
        <v/>
      </c>
      <c r="F165" s="77">
        <f>IF(Pipeline!$A165="","",IF(Pipeline!W165="","",Pipeline!W165))</f>
        <v/>
      </c>
      <c r="G165" s="99">
        <f>IF(Pipeline!$A165="","",IF(Pipeline!AH165="","",Pipeline!AH165))</f>
        <v/>
      </c>
      <c r="H165" s="77">
        <f>IF(Pipeline!$A165="","",IF(Pipeline!AI165="","",Pipeline!AI165))</f>
        <v/>
      </c>
      <c r="I165" s="77">
        <f>IF(Pipeline!$A165="","",IF(Pipeline!X165="","",Pipeline!X165))</f>
        <v/>
      </c>
      <c r="J165" s="77">
        <f>IF(Pipeline!$A165="","",IF(Pipeline!AF165="","–",Pipeline!AF165))</f>
        <v/>
      </c>
    </row>
    <row r="166" ht="15" customHeight="1" s="51">
      <c r="A166" s="77">
        <f>IF(Pipeline!$A166="","",IF(Pipeline!H166="","",Pipeline!H166))</f>
        <v/>
      </c>
      <c r="B166" s="77">
        <f>IF(Pipeline!$A166="","",IF(Pipeline!F166="","",Pipeline!F166))</f>
        <v/>
      </c>
      <c r="C166" s="96">
        <f>IF(Pipeline!$A166="","",IF(Pipeline!M166="","",Pipeline!M166))</f>
        <v/>
      </c>
      <c r="D166" s="97">
        <f>IF(Pipeline!$A166="","",IF(Pipeline!Q166="","",Pipeline!Q166))</f>
        <v/>
      </c>
      <c r="E166" s="98">
        <f>IF(Pipeline!$A166="","",IF(Pipeline!T166="","",Pipeline!T166))</f>
        <v/>
      </c>
      <c r="F166" s="77">
        <f>IF(Pipeline!$A166="","",IF(Pipeline!W166="","",Pipeline!W166))</f>
        <v/>
      </c>
      <c r="G166" s="99">
        <f>IF(Pipeline!$A166="","",IF(Pipeline!AH166="","",Pipeline!AH166))</f>
        <v/>
      </c>
      <c r="H166" s="77">
        <f>IF(Pipeline!$A166="","",IF(Pipeline!AI166="","",Pipeline!AI166))</f>
        <v/>
      </c>
      <c r="I166" s="77">
        <f>IF(Pipeline!$A166="","",IF(Pipeline!X166="","",Pipeline!X166))</f>
        <v/>
      </c>
      <c r="J166" s="77">
        <f>IF(Pipeline!$A166="","",IF(Pipeline!AF166="","–",Pipeline!AF166))</f>
        <v/>
      </c>
    </row>
    <row r="167" ht="15" customHeight="1" s="51">
      <c r="A167" s="77">
        <f>IF(Pipeline!$A167="","",IF(Pipeline!H167="","",Pipeline!H167))</f>
        <v/>
      </c>
      <c r="B167" s="77">
        <f>IF(Pipeline!$A167="","",IF(Pipeline!F167="","",Pipeline!F167))</f>
        <v/>
      </c>
      <c r="C167" s="96">
        <f>IF(Pipeline!$A167="","",IF(Pipeline!M167="","",Pipeline!M167))</f>
        <v/>
      </c>
      <c r="D167" s="97">
        <f>IF(Pipeline!$A167="","",IF(Pipeline!Q167="","",Pipeline!Q167))</f>
        <v/>
      </c>
      <c r="E167" s="98">
        <f>IF(Pipeline!$A167="","",IF(Pipeline!T167="","",Pipeline!T167))</f>
        <v/>
      </c>
      <c r="F167" s="77">
        <f>IF(Pipeline!$A167="","",IF(Pipeline!W167="","",Pipeline!W167))</f>
        <v/>
      </c>
      <c r="G167" s="99">
        <f>IF(Pipeline!$A167="","",IF(Pipeline!AH167="","",Pipeline!AH167))</f>
        <v/>
      </c>
      <c r="H167" s="77">
        <f>IF(Pipeline!$A167="","",IF(Pipeline!AI167="","",Pipeline!AI167))</f>
        <v/>
      </c>
      <c r="I167" s="77">
        <f>IF(Pipeline!$A167="","",IF(Pipeline!X167="","",Pipeline!X167))</f>
        <v/>
      </c>
      <c r="J167" s="77">
        <f>IF(Pipeline!$A167="","",IF(Pipeline!AF167="","–",Pipeline!AF167))</f>
        <v/>
      </c>
    </row>
    <row r="168" ht="15" customHeight="1" s="51">
      <c r="A168" s="77">
        <f>IF(Pipeline!$A168="","",IF(Pipeline!H168="","",Pipeline!H168))</f>
        <v/>
      </c>
      <c r="B168" s="77">
        <f>IF(Pipeline!$A168="","",IF(Pipeline!F168="","",Pipeline!F168))</f>
        <v/>
      </c>
      <c r="C168" s="96">
        <f>IF(Pipeline!$A168="","",IF(Pipeline!M168="","",Pipeline!M168))</f>
        <v/>
      </c>
      <c r="D168" s="97">
        <f>IF(Pipeline!$A168="","",IF(Pipeline!Q168="","",Pipeline!Q168))</f>
        <v/>
      </c>
      <c r="E168" s="98">
        <f>IF(Pipeline!$A168="","",IF(Pipeline!T168="","",Pipeline!T168))</f>
        <v/>
      </c>
      <c r="F168" s="77">
        <f>IF(Pipeline!$A168="","",IF(Pipeline!W168="","",Pipeline!W168))</f>
        <v/>
      </c>
      <c r="G168" s="99">
        <f>IF(Pipeline!$A168="","",IF(Pipeline!AH168="","",Pipeline!AH168))</f>
        <v/>
      </c>
      <c r="H168" s="77">
        <f>IF(Pipeline!$A168="","",IF(Pipeline!AI168="","",Pipeline!AI168))</f>
        <v/>
      </c>
      <c r="I168" s="77">
        <f>IF(Pipeline!$A168="","",IF(Pipeline!X168="","",Pipeline!X168))</f>
        <v/>
      </c>
      <c r="J168" s="77">
        <f>IF(Pipeline!$A168="","",IF(Pipeline!AF168="","–",Pipeline!AF168))</f>
        <v/>
      </c>
    </row>
    <row r="169" ht="15" customHeight="1" s="51">
      <c r="A169" s="77">
        <f>IF(Pipeline!$A169="","",IF(Pipeline!H169="","",Pipeline!H169))</f>
        <v/>
      </c>
      <c r="B169" s="77">
        <f>IF(Pipeline!$A169="","",IF(Pipeline!F169="","",Pipeline!F169))</f>
        <v/>
      </c>
      <c r="C169" s="96">
        <f>IF(Pipeline!$A169="","",IF(Pipeline!M169="","",Pipeline!M169))</f>
        <v/>
      </c>
      <c r="D169" s="97">
        <f>IF(Pipeline!$A169="","",IF(Pipeline!Q169="","",Pipeline!Q169))</f>
        <v/>
      </c>
      <c r="E169" s="98">
        <f>IF(Pipeline!$A169="","",IF(Pipeline!T169="","",Pipeline!T169))</f>
        <v/>
      </c>
      <c r="F169" s="77">
        <f>IF(Pipeline!$A169="","",IF(Pipeline!W169="","",Pipeline!W169))</f>
        <v/>
      </c>
      <c r="G169" s="99">
        <f>IF(Pipeline!$A169="","",IF(Pipeline!AH169="","",Pipeline!AH169))</f>
        <v/>
      </c>
      <c r="H169" s="77">
        <f>IF(Pipeline!$A169="","",IF(Pipeline!AI169="","",Pipeline!AI169))</f>
        <v/>
      </c>
      <c r="I169" s="77">
        <f>IF(Pipeline!$A169="","",IF(Pipeline!X169="","",Pipeline!X169))</f>
        <v/>
      </c>
      <c r="J169" s="77">
        <f>IF(Pipeline!$A169="","",IF(Pipeline!AF169="","–",Pipeline!AF169))</f>
        <v/>
      </c>
    </row>
    <row r="170" ht="15" customHeight="1" s="51">
      <c r="A170" s="77">
        <f>IF(Pipeline!$A170="","",IF(Pipeline!H170="","",Pipeline!H170))</f>
        <v/>
      </c>
      <c r="B170" s="77">
        <f>IF(Pipeline!$A170="","",IF(Pipeline!F170="","",Pipeline!F170))</f>
        <v/>
      </c>
      <c r="C170" s="96">
        <f>IF(Pipeline!$A170="","",IF(Pipeline!M170="","",Pipeline!M170))</f>
        <v/>
      </c>
      <c r="D170" s="97">
        <f>IF(Pipeline!$A170="","",IF(Pipeline!Q170="","",Pipeline!Q170))</f>
        <v/>
      </c>
      <c r="E170" s="98">
        <f>IF(Pipeline!$A170="","",IF(Pipeline!T170="","",Pipeline!T170))</f>
        <v/>
      </c>
      <c r="F170" s="77">
        <f>IF(Pipeline!$A170="","",IF(Pipeline!W170="","",Pipeline!W170))</f>
        <v/>
      </c>
      <c r="G170" s="99">
        <f>IF(Pipeline!$A170="","",IF(Pipeline!AH170="","",Pipeline!AH170))</f>
        <v/>
      </c>
      <c r="H170" s="77">
        <f>IF(Pipeline!$A170="","",IF(Pipeline!AI170="","",Pipeline!AI170))</f>
        <v/>
      </c>
      <c r="I170" s="77">
        <f>IF(Pipeline!$A170="","",IF(Pipeline!X170="","",Pipeline!X170))</f>
        <v/>
      </c>
      <c r="J170" s="77">
        <f>IF(Pipeline!$A170="","",IF(Pipeline!AF170="","–",Pipeline!AF170))</f>
        <v/>
      </c>
    </row>
    <row r="171" ht="15" customHeight="1" s="51">
      <c r="A171" s="77">
        <f>IF(Pipeline!$A171="","",IF(Pipeline!H171="","",Pipeline!H171))</f>
        <v/>
      </c>
      <c r="B171" s="77">
        <f>IF(Pipeline!$A171="","",IF(Pipeline!F171="","",Pipeline!F171))</f>
        <v/>
      </c>
      <c r="C171" s="96">
        <f>IF(Pipeline!$A171="","",IF(Pipeline!M171="","",Pipeline!M171))</f>
        <v/>
      </c>
      <c r="D171" s="97">
        <f>IF(Pipeline!$A171="","",IF(Pipeline!Q171="","",Pipeline!Q171))</f>
        <v/>
      </c>
      <c r="E171" s="98">
        <f>IF(Pipeline!$A171="","",IF(Pipeline!T171="","",Pipeline!T171))</f>
        <v/>
      </c>
      <c r="F171" s="77">
        <f>IF(Pipeline!$A171="","",IF(Pipeline!W171="","",Pipeline!W171))</f>
        <v/>
      </c>
      <c r="G171" s="99">
        <f>IF(Pipeline!$A171="","",IF(Pipeline!AH171="","",Pipeline!AH171))</f>
        <v/>
      </c>
      <c r="H171" s="77">
        <f>IF(Pipeline!$A171="","",IF(Pipeline!AI171="","",Pipeline!AI171))</f>
        <v/>
      </c>
      <c r="I171" s="77">
        <f>IF(Pipeline!$A171="","",IF(Pipeline!X171="","",Pipeline!X171))</f>
        <v/>
      </c>
      <c r="J171" s="77">
        <f>IF(Pipeline!$A171="","",IF(Pipeline!AF171="","–",Pipeline!AF171))</f>
        <v/>
      </c>
    </row>
    <row r="172" ht="15" customHeight="1" s="51">
      <c r="A172" s="77">
        <f>IF(Pipeline!$A172="","",IF(Pipeline!H172="","",Pipeline!H172))</f>
        <v/>
      </c>
      <c r="B172" s="77">
        <f>IF(Pipeline!$A172="","",IF(Pipeline!F172="","",Pipeline!F172))</f>
        <v/>
      </c>
      <c r="C172" s="96">
        <f>IF(Pipeline!$A172="","",IF(Pipeline!M172="","",Pipeline!M172))</f>
        <v/>
      </c>
      <c r="D172" s="97">
        <f>IF(Pipeline!$A172="","",IF(Pipeline!Q172="","",Pipeline!Q172))</f>
        <v/>
      </c>
      <c r="E172" s="98">
        <f>IF(Pipeline!$A172="","",IF(Pipeline!T172="","",Pipeline!T172))</f>
        <v/>
      </c>
      <c r="F172" s="77">
        <f>IF(Pipeline!$A172="","",IF(Pipeline!W172="","",Pipeline!W172))</f>
        <v/>
      </c>
      <c r="G172" s="99">
        <f>IF(Pipeline!$A172="","",IF(Pipeline!AH172="","",Pipeline!AH172))</f>
        <v/>
      </c>
      <c r="H172" s="77">
        <f>IF(Pipeline!$A172="","",IF(Pipeline!AI172="","",Pipeline!AI172))</f>
        <v/>
      </c>
      <c r="I172" s="77">
        <f>IF(Pipeline!$A172="","",IF(Pipeline!X172="","",Pipeline!X172))</f>
        <v/>
      </c>
      <c r="J172" s="77">
        <f>IF(Pipeline!$A172="","",IF(Pipeline!AF172="","–",Pipeline!AF172))</f>
        <v/>
      </c>
    </row>
    <row r="173" ht="15" customHeight="1" s="51">
      <c r="A173" s="77">
        <f>IF(Pipeline!$A173="","",IF(Pipeline!H173="","",Pipeline!H173))</f>
        <v/>
      </c>
      <c r="B173" s="77">
        <f>IF(Pipeline!$A173="","",IF(Pipeline!F173="","",Pipeline!F173))</f>
        <v/>
      </c>
      <c r="C173" s="96">
        <f>IF(Pipeline!$A173="","",IF(Pipeline!M173="","",Pipeline!M173))</f>
        <v/>
      </c>
      <c r="D173" s="97">
        <f>IF(Pipeline!$A173="","",IF(Pipeline!Q173="","",Pipeline!Q173))</f>
        <v/>
      </c>
      <c r="E173" s="98">
        <f>IF(Pipeline!$A173="","",IF(Pipeline!T173="","",Pipeline!T173))</f>
        <v/>
      </c>
      <c r="F173" s="77">
        <f>IF(Pipeline!$A173="","",IF(Pipeline!W173="","",Pipeline!W173))</f>
        <v/>
      </c>
      <c r="G173" s="99">
        <f>IF(Pipeline!$A173="","",IF(Pipeline!AH173="","",Pipeline!AH173))</f>
        <v/>
      </c>
      <c r="H173" s="77">
        <f>IF(Pipeline!$A173="","",IF(Pipeline!AI173="","",Pipeline!AI173))</f>
        <v/>
      </c>
      <c r="I173" s="77">
        <f>IF(Pipeline!$A173="","",IF(Pipeline!X173="","",Pipeline!X173))</f>
        <v/>
      </c>
      <c r="J173" s="77">
        <f>IF(Pipeline!$A173="","",IF(Pipeline!AF173="","–",Pipeline!AF173))</f>
        <v/>
      </c>
    </row>
    <row r="174" ht="15" customHeight="1" s="51">
      <c r="A174" s="77">
        <f>IF(Pipeline!$A174="","",IF(Pipeline!H174="","",Pipeline!H174))</f>
        <v/>
      </c>
      <c r="B174" s="77">
        <f>IF(Pipeline!$A174="","",IF(Pipeline!F174="","",Pipeline!F174))</f>
        <v/>
      </c>
      <c r="C174" s="96">
        <f>IF(Pipeline!$A174="","",IF(Pipeline!M174="","",Pipeline!M174))</f>
        <v/>
      </c>
      <c r="D174" s="97">
        <f>IF(Pipeline!$A174="","",IF(Pipeline!Q174="","",Pipeline!Q174))</f>
        <v/>
      </c>
      <c r="E174" s="98">
        <f>IF(Pipeline!$A174="","",IF(Pipeline!T174="","",Pipeline!T174))</f>
        <v/>
      </c>
      <c r="F174" s="77">
        <f>IF(Pipeline!$A174="","",IF(Pipeline!W174="","",Pipeline!W174))</f>
        <v/>
      </c>
      <c r="G174" s="99">
        <f>IF(Pipeline!$A174="","",IF(Pipeline!AH174="","",Pipeline!AH174))</f>
        <v/>
      </c>
      <c r="H174" s="77">
        <f>IF(Pipeline!$A174="","",IF(Pipeline!AI174="","",Pipeline!AI174))</f>
        <v/>
      </c>
      <c r="I174" s="77">
        <f>IF(Pipeline!$A174="","",IF(Pipeline!X174="","",Pipeline!X174))</f>
        <v/>
      </c>
      <c r="J174" s="77">
        <f>IF(Pipeline!$A174="","",IF(Pipeline!AF174="","–",Pipeline!AF174))</f>
        <v/>
      </c>
    </row>
    <row r="175" ht="15" customHeight="1" s="51">
      <c r="A175" s="77">
        <f>IF(Pipeline!$A175="","",IF(Pipeline!H175="","",Pipeline!H175))</f>
        <v/>
      </c>
      <c r="B175" s="77">
        <f>IF(Pipeline!$A175="","",IF(Pipeline!F175="","",Pipeline!F175))</f>
        <v/>
      </c>
      <c r="C175" s="96">
        <f>IF(Pipeline!$A175="","",IF(Pipeline!M175="","",Pipeline!M175))</f>
        <v/>
      </c>
      <c r="D175" s="97">
        <f>IF(Pipeline!$A175="","",IF(Pipeline!Q175="","",Pipeline!Q175))</f>
        <v/>
      </c>
      <c r="E175" s="98">
        <f>IF(Pipeline!$A175="","",IF(Pipeline!T175="","",Pipeline!T175))</f>
        <v/>
      </c>
      <c r="F175" s="77">
        <f>IF(Pipeline!$A175="","",IF(Pipeline!W175="","",Pipeline!W175))</f>
        <v/>
      </c>
      <c r="G175" s="99">
        <f>IF(Pipeline!$A175="","",IF(Pipeline!AH175="","",Pipeline!AH175))</f>
        <v/>
      </c>
      <c r="H175" s="77">
        <f>IF(Pipeline!$A175="","",IF(Pipeline!AI175="","",Pipeline!AI175))</f>
        <v/>
      </c>
      <c r="I175" s="77">
        <f>IF(Pipeline!$A175="","",IF(Pipeline!X175="","",Pipeline!X175))</f>
        <v/>
      </c>
      <c r="J175" s="77">
        <f>IF(Pipeline!$A175="","",IF(Pipeline!AF175="","–",Pipeline!AF175))</f>
        <v/>
      </c>
    </row>
    <row r="176" ht="15" customHeight="1" s="51">
      <c r="A176" s="77">
        <f>IF(Pipeline!$A176="","",IF(Pipeline!H176="","",Pipeline!H176))</f>
        <v/>
      </c>
      <c r="B176" s="77">
        <f>IF(Pipeline!$A176="","",IF(Pipeline!F176="","",Pipeline!F176))</f>
        <v/>
      </c>
      <c r="C176" s="96">
        <f>IF(Pipeline!$A176="","",IF(Pipeline!M176="","",Pipeline!M176))</f>
        <v/>
      </c>
      <c r="D176" s="97">
        <f>IF(Pipeline!$A176="","",IF(Pipeline!Q176="","",Pipeline!Q176))</f>
        <v/>
      </c>
      <c r="E176" s="98">
        <f>IF(Pipeline!$A176="","",IF(Pipeline!T176="","",Pipeline!T176))</f>
        <v/>
      </c>
      <c r="F176" s="77">
        <f>IF(Pipeline!$A176="","",IF(Pipeline!W176="","",Pipeline!W176))</f>
        <v/>
      </c>
      <c r="G176" s="99">
        <f>IF(Pipeline!$A176="","",IF(Pipeline!AH176="","",Pipeline!AH176))</f>
        <v/>
      </c>
      <c r="H176" s="77">
        <f>IF(Pipeline!$A176="","",IF(Pipeline!AI176="","",Pipeline!AI176))</f>
        <v/>
      </c>
      <c r="I176" s="77">
        <f>IF(Pipeline!$A176="","",IF(Pipeline!X176="","",Pipeline!X176))</f>
        <v/>
      </c>
      <c r="J176" s="77">
        <f>IF(Pipeline!$A176="","",IF(Pipeline!AF176="","–",Pipeline!AF176))</f>
        <v/>
      </c>
    </row>
    <row r="177" ht="15" customHeight="1" s="51">
      <c r="A177" s="77">
        <f>IF(Pipeline!$A177="","",IF(Pipeline!H177="","",Pipeline!H177))</f>
        <v/>
      </c>
      <c r="B177" s="77">
        <f>IF(Pipeline!$A177="","",IF(Pipeline!F177="","",Pipeline!F177))</f>
        <v/>
      </c>
      <c r="C177" s="96">
        <f>IF(Pipeline!$A177="","",IF(Pipeline!M177="","",Pipeline!M177))</f>
        <v/>
      </c>
      <c r="D177" s="97">
        <f>IF(Pipeline!$A177="","",IF(Pipeline!Q177="","",Pipeline!Q177))</f>
        <v/>
      </c>
      <c r="E177" s="98">
        <f>IF(Pipeline!$A177="","",IF(Pipeline!T177="","",Pipeline!T177))</f>
        <v/>
      </c>
      <c r="F177" s="77">
        <f>IF(Pipeline!$A177="","",IF(Pipeline!W177="","",Pipeline!W177))</f>
        <v/>
      </c>
      <c r="G177" s="99">
        <f>IF(Pipeline!$A177="","",IF(Pipeline!AH177="","",Pipeline!AH177))</f>
        <v/>
      </c>
      <c r="H177" s="77">
        <f>IF(Pipeline!$A177="","",IF(Pipeline!AI177="","",Pipeline!AI177))</f>
        <v/>
      </c>
      <c r="I177" s="77">
        <f>IF(Pipeline!$A177="","",IF(Pipeline!X177="","",Pipeline!X177))</f>
        <v/>
      </c>
      <c r="J177" s="77">
        <f>IF(Pipeline!$A177="","",IF(Pipeline!AF177="","–",Pipeline!AF177))</f>
        <v/>
      </c>
    </row>
    <row r="178" ht="15" customHeight="1" s="51">
      <c r="A178" s="77">
        <f>IF(Pipeline!$A178="","",IF(Pipeline!H178="","",Pipeline!H178))</f>
        <v/>
      </c>
      <c r="B178" s="77">
        <f>IF(Pipeline!$A178="","",IF(Pipeline!F178="","",Pipeline!F178))</f>
        <v/>
      </c>
      <c r="C178" s="96">
        <f>IF(Pipeline!$A178="","",IF(Pipeline!M178="","",Pipeline!M178))</f>
        <v/>
      </c>
      <c r="D178" s="97">
        <f>IF(Pipeline!$A178="","",IF(Pipeline!Q178="","",Pipeline!Q178))</f>
        <v/>
      </c>
      <c r="E178" s="98">
        <f>IF(Pipeline!$A178="","",IF(Pipeline!T178="","",Pipeline!T178))</f>
        <v/>
      </c>
      <c r="F178" s="77">
        <f>IF(Pipeline!$A178="","",IF(Pipeline!W178="","",Pipeline!W178))</f>
        <v/>
      </c>
      <c r="G178" s="99">
        <f>IF(Pipeline!$A178="","",IF(Pipeline!AH178="","",Pipeline!AH178))</f>
        <v/>
      </c>
      <c r="H178" s="77">
        <f>IF(Pipeline!$A178="","",IF(Pipeline!AI178="","",Pipeline!AI178))</f>
        <v/>
      </c>
      <c r="I178" s="77">
        <f>IF(Pipeline!$A178="","",IF(Pipeline!X178="","",Pipeline!X178))</f>
        <v/>
      </c>
      <c r="J178" s="77">
        <f>IF(Pipeline!$A178="","",IF(Pipeline!AF178="","–",Pipeline!AF178))</f>
        <v/>
      </c>
    </row>
    <row r="179" ht="15" customHeight="1" s="51">
      <c r="A179" s="77">
        <f>IF(Pipeline!$A179="","",IF(Pipeline!H179="","",Pipeline!H179))</f>
        <v/>
      </c>
      <c r="B179" s="77">
        <f>IF(Pipeline!$A179="","",IF(Pipeline!F179="","",Pipeline!F179))</f>
        <v/>
      </c>
      <c r="C179" s="96">
        <f>IF(Pipeline!$A179="","",IF(Pipeline!M179="","",Pipeline!M179))</f>
        <v/>
      </c>
      <c r="D179" s="97">
        <f>IF(Pipeline!$A179="","",IF(Pipeline!Q179="","",Pipeline!Q179))</f>
        <v/>
      </c>
      <c r="E179" s="98">
        <f>IF(Pipeline!$A179="","",IF(Pipeline!T179="","",Pipeline!T179))</f>
        <v/>
      </c>
      <c r="F179" s="77">
        <f>IF(Pipeline!$A179="","",IF(Pipeline!W179="","",Pipeline!W179))</f>
        <v/>
      </c>
      <c r="G179" s="99">
        <f>IF(Pipeline!$A179="","",IF(Pipeline!AH179="","",Pipeline!AH179))</f>
        <v/>
      </c>
      <c r="H179" s="77">
        <f>IF(Pipeline!$A179="","",IF(Pipeline!AI179="","",Pipeline!AI179))</f>
        <v/>
      </c>
      <c r="I179" s="77">
        <f>IF(Pipeline!$A179="","",IF(Pipeline!X179="","",Pipeline!X179))</f>
        <v/>
      </c>
      <c r="J179" s="77">
        <f>IF(Pipeline!$A179="","",IF(Pipeline!AF179="","–",Pipeline!AF179))</f>
        <v/>
      </c>
    </row>
    <row r="180" ht="15" customHeight="1" s="51">
      <c r="A180" s="77">
        <f>IF(Pipeline!$A180="","",IF(Pipeline!H180="","",Pipeline!H180))</f>
        <v/>
      </c>
      <c r="B180" s="77">
        <f>IF(Pipeline!$A180="","",IF(Pipeline!F180="","",Pipeline!F180))</f>
        <v/>
      </c>
      <c r="C180" s="96">
        <f>IF(Pipeline!$A180="","",IF(Pipeline!M180="","",Pipeline!M180))</f>
        <v/>
      </c>
      <c r="D180" s="97">
        <f>IF(Pipeline!$A180="","",IF(Pipeline!Q180="","",Pipeline!Q180))</f>
        <v/>
      </c>
      <c r="E180" s="98">
        <f>IF(Pipeline!$A180="","",IF(Pipeline!T180="","",Pipeline!T180))</f>
        <v/>
      </c>
      <c r="F180" s="77">
        <f>IF(Pipeline!$A180="","",IF(Pipeline!W180="","",Pipeline!W180))</f>
        <v/>
      </c>
      <c r="G180" s="99">
        <f>IF(Pipeline!$A180="","",IF(Pipeline!AH180="","",Pipeline!AH180))</f>
        <v/>
      </c>
      <c r="H180" s="77">
        <f>IF(Pipeline!$A180="","",IF(Pipeline!AI180="","",Pipeline!AI180))</f>
        <v/>
      </c>
      <c r="I180" s="77">
        <f>IF(Pipeline!$A180="","",IF(Pipeline!X180="","",Pipeline!X180))</f>
        <v/>
      </c>
      <c r="J180" s="77">
        <f>IF(Pipeline!$A180="","",IF(Pipeline!AF180="","–",Pipeline!AF180))</f>
        <v/>
      </c>
    </row>
    <row r="181" ht="15" customHeight="1" s="51">
      <c r="A181" s="77">
        <f>IF(Pipeline!$A181="","",IF(Pipeline!H181="","",Pipeline!H181))</f>
        <v/>
      </c>
      <c r="B181" s="77">
        <f>IF(Pipeline!$A181="","",IF(Pipeline!F181="","",Pipeline!F181))</f>
        <v/>
      </c>
      <c r="C181" s="96">
        <f>IF(Pipeline!$A181="","",IF(Pipeline!M181="","",Pipeline!M181))</f>
        <v/>
      </c>
      <c r="D181" s="97">
        <f>IF(Pipeline!$A181="","",IF(Pipeline!Q181="","",Pipeline!Q181))</f>
        <v/>
      </c>
      <c r="E181" s="98">
        <f>IF(Pipeline!$A181="","",IF(Pipeline!T181="","",Pipeline!T181))</f>
        <v/>
      </c>
      <c r="F181" s="77">
        <f>IF(Pipeline!$A181="","",IF(Pipeline!W181="","",Pipeline!W181))</f>
        <v/>
      </c>
      <c r="G181" s="99">
        <f>IF(Pipeline!$A181="","",IF(Pipeline!AH181="","",Pipeline!AH181))</f>
        <v/>
      </c>
      <c r="H181" s="77">
        <f>IF(Pipeline!$A181="","",IF(Pipeline!AI181="","",Pipeline!AI181))</f>
        <v/>
      </c>
      <c r="I181" s="77">
        <f>IF(Pipeline!$A181="","",IF(Pipeline!X181="","",Pipeline!X181))</f>
        <v/>
      </c>
      <c r="J181" s="77">
        <f>IF(Pipeline!$A181="","",IF(Pipeline!AF181="","–",Pipeline!AF181))</f>
        <v/>
      </c>
    </row>
    <row r="182" ht="15" customHeight="1" s="51">
      <c r="A182" s="77">
        <f>IF(Pipeline!$A182="","",IF(Pipeline!H182="","",Pipeline!H182))</f>
        <v/>
      </c>
      <c r="B182" s="77">
        <f>IF(Pipeline!$A182="","",IF(Pipeline!F182="","",Pipeline!F182))</f>
        <v/>
      </c>
      <c r="C182" s="96">
        <f>IF(Pipeline!$A182="","",IF(Pipeline!M182="","",Pipeline!M182))</f>
        <v/>
      </c>
      <c r="D182" s="97">
        <f>IF(Pipeline!$A182="","",IF(Pipeline!Q182="","",Pipeline!Q182))</f>
        <v/>
      </c>
      <c r="E182" s="98">
        <f>IF(Pipeline!$A182="","",IF(Pipeline!T182="","",Pipeline!T182))</f>
        <v/>
      </c>
      <c r="F182" s="77">
        <f>IF(Pipeline!$A182="","",IF(Pipeline!W182="","",Pipeline!W182))</f>
        <v/>
      </c>
      <c r="G182" s="99">
        <f>IF(Pipeline!$A182="","",IF(Pipeline!AH182="","",Pipeline!AH182))</f>
        <v/>
      </c>
      <c r="H182" s="77">
        <f>IF(Pipeline!$A182="","",IF(Pipeline!AI182="","",Pipeline!AI182))</f>
        <v/>
      </c>
      <c r="I182" s="77">
        <f>IF(Pipeline!$A182="","",IF(Pipeline!X182="","",Pipeline!X182))</f>
        <v/>
      </c>
      <c r="J182" s="77">
        <f>IF(Pipeline!$A182="","",IF(Pipeline!AF182="","–",Pipeline!AF182))</f>
        <v/>
      </c>
    </row>
    <row r="183" ht="15" customHeight="1" s="51">
      <c r="A183" s="77">
        <f>IF(Pipeline!$A183="","",IF(Pipeline!H183="","",Pipeline!H183))</f>
        <v/>
      </c>
      <c r="B183" s="77">
        <f>IF(Pipeline!$A183="","",IF(Pipeline!F183="","",Pipeline!F183))</f>
        <v/>
      </c>
      <c r="C183" s="96">
        <f>IF(Pipeline!$A183="","",IF(Pipeline!M183="","",Pipeline!M183))</f>
        <v/>
      </c>
      <c r="D183" s="97">
        <f>IF(Pipeline!$A183="","",IF(Pipeline!Q183="","",Pipeline!Q183))</f>
        <v/>
      </c>
      <c r="E183" s="98">
        <f>IF(Pipeline!$A183="","",IF(Pipeline!T183="","",Pipeline!T183))</f>
        <v/>
      </c>
      <c r="F183" s="77">
        <f>IF(Pipeline!$A183="","",IF(Pipeline!W183="","",Pipeline!W183))</f>
        <v/>
      </c>
      <c r="G183" s="99">
        <f>IF(Pipeline!$A183="","",IF(Pipeline!AH183="","",Pipeline!AH183))</f>
        <v/>
      </c>
      <c r="H183" s="77">
        <f>IF(Pipeline!$A183="","",IF(Pipeline!AI183="","",Pipeline!AI183))</f>
        <v/>
      </c>
      <c r="I183" s="77">
        <f>IF(Pipeline!$A183="","",IF(Pipeline!X183="","",Pipeline!X183))</f>
        <v/>
      </c>
      <c r="J183" s="77">
        <f>IF(Pipeline!$A183="","",IF(Pipeline!AF183="","–",Pipeline!AF183))</f>
        <v/>
      </c>
    </row>
    <row r="184" ht="15" customHeight="1" s="51">
      <c r="A184" s="77">
        <f>IF(Pipeline!$A184="","",IF(Pipeline!H184="","",Pipeline!H184))</f>
        <v/>
      </c>
      <c r="B184" s="77">
        <f>IF(Pipeline!$A184="","",IF(Pipeline!F184="","",Pipeline!F184))</f>
        <v/>
      </c>
      <c r="C184" s="96">
        <f>IF(Pipeline!$A184="","",IF(Pipeline!M184="","",Pipeline!M184))</f>
        <v/>
      </c>
      <c r="D184" s="97">
        <f>IF(Pipeline!$A184="","",IF(Pipeline!Q184="","",Pipeline!Q184))</f>
        <v/>
      </c>
      <c r="E184" s="98">
        <f>IF(Pipeline!$A184="","",IF(Pipeline!T184="","",Pipeline!T184))</f>
        <v/>
      </c>
      <c r="F184" s="77">
        <f>IF(Pipeline!$A184="","",IF(Pipeline!W184="","",Pipeline!W184))</f>
        <v/>
      </c>
      <c r="G184" s="99">
        <f>IF(Pipeline!$A184="","",IF(Pipeline!AH184="","",Pipeline!AH184))</f>
        <v/>
      </c>
      <c r="H184" s="77">
        <f>IF(Pipeline!$A184="","",IF(Pipeline!AI184="","",Pipeline!AI184))</f>
        <v/>
      </c>
      <c r="I184" s="77">
        <f>IF(Pipeline!$A184="","",IF(Pipeline!X184="","",Pipeline!X184))</f>
        <v/>
      </c>
      <c r="J184" s="77">
        <f>IF(Pipeline!$A184="","",IF(Pipeline!AF184="","–",Pipeline!AF184))</f>
        <v/>
      </c>
    </row>
    <row r="185" ht="15" customHeight="1" s="51">
      <c r="A185" s="77">
        <f>IF(Pipeline!$A185="","",IF(Pipeline!H185="","",Pipeline!H185))</f>
        <v/>
      </c>
      <c r="B185" s="77">
        <f>IF(Pipeline!$A185="","",IF(Pipeline!F185="","",Pipeline!F185))</f>
        <v/>
      </c>
      <c r="C185" s="96">
        <f>IF(Pipeline!$A185="","",IF(Pipeline!M185="","",Pipeline!M185))</f>
        <v/>
      </c>
      <c r="D185" s="97">
        <f>IF(Pipeline!$A185="","",IF(Pipeline!Q185="","",Pipeline!Q185))</f>
        <v/>
      </c>
      <c r="E185" s="98">
        <f>IF(Pipeline!$A185="","",IF(Pipeline!T185="","",Pipeline!T185))</f>
        <v/>
      </c>
      <c r="F185" s="77">
        <f>IF(Pipeline!$A185="","",IF(Pipeline!W185="","",Pipeline!W185))</f>
        <v/>
      </c>
      <c r="G185" s="99">
        <f>IF(Pipeline!$A185="","",IF(Pipeline!AH185="","",Pipeline!AH185))</f>
        <v/>
      </c>
      <c r="H185" s="77">
        <f>IF(Pipeline!$A185="","",IF(Pipeline!AI185="","",Pipeline!AI185))</f>
        <v/>
      </c>
      <c r="I185" s="77">
        <f>IF(Pipeline!$A185="","",IF(Pipeline!X185="","",Pipeline!X185))</f>
        <v/>
      </c>
      <c r="J185" s="77">
        <f>IF(Pipeline!$A185="","",IF(Pipeline!AF185="","–",Pipeline!AF185))</f>
        <v/>
      </c>
    </row>
    <row r="186" ht="15" customHeight="1" s="51">
      <c r="A186" s="77">
        <f>IF(Pipeline!$A186="","",IF(Pipeline!H186="","",Pipeline!H186))</f>
        <v/>
      </c>
      <c r="B186" s="77">
        <f>IF(Pipeline!$A186="","",IF(Pipeline!F186="","",Pipeline!F186))</f>
        <v/>
      </c>
      <c r="C186" s="96">
        <f>IF(Pipeline!$A186="","",IF(Pipeline!M186="","",Pipeline!M186))</f>
        <v/>
      </c>
      <c r="D186" s="97">
        <f>IF(Pipeline!$A186="","",IF(Pipeline!Q186="","",Pipeline!Q186))</f>
        <v/>
      </c>
      <c r="E186" s="98">
        <f>IF(Pipeline!$A186="","",IF(Pipeline!T186="","",Pipeline!T186))</f>
        <v/>
      </c>
      <c r="F186" s="77">
        <f>IF(Pipeline!$A186="","",IF(Pipeline!W186="","",Pipeline!W186))</f>
        <v/>
      </c>
      <c r="G186" s="99">
        <f>IF(Pipeline!$A186="","",IF(Pipeline!AH186="","",Pipeline!AH186))</f>
        <v/>
      </c>
      <c r="H186" s="77">
        <f>IF(Pipeline!$A186="","",IF(Pipeline!AI186="","",Pipeline!AI186))</f>
        <v/>
      </c>
      <c r="I186" s="77">
        <f>IF(Pipeline!$A186="","",IF(Pipeline!X186="","",Pipeline!X186))</f>
        <v/>
      </c>
      <c r="J186" s="77">
        <f>IF(Pipeline!$A186="","",IF(Pipeline!AF186="","–",Pipeline!AF186))</f>
        <v/>
      </c>
    </row>
    <row r="187" ht="15" customHeight="1" s="51">
      <c r="A187" s="77">
        <f>IF(Pipeline!$A187="","",IF(Pipeline!H187="","",Pipeline!H187))</f>
        <v/>
      </c>
      <c r="B187" s="77">
        <f>IF(Pipeline!$A187="","",IF(Pipeline!F187="","",Pipeline!F187))</f>
        <v/>
      </c>
      <c r="C187" s="96">
        <f>IF(Pipeline!$A187="","",IF(Pipeline!M187="","",Pipeline!M187))</f>
        <v/>
      </c>
      <c r="D187" s="97">
        <f>IF(Pipeline!$A187="","",IF(Pipeline!Q187="","",Pipeline!Q187))</f>
        <v/>
      </c>
      <c r="E187" s="98">
        <f>IF(Pipeline!$A187="","",IF(Pipeline!T187="","",Pipeline!T187))</f>
        <v/>
      </c>
      <c r="F187" s="77">
        <f>IF(Pipeline!$A187="","",IF(Pipeline!W187="","",Pipeline!W187))</f>
        <v/>
      </c>
      <c r="G187" s="99">
        <f>IF(Pipeline!$A187="","",IF(Pipeline!AH187="","",Pipeline!AH187))</f>
        <v/>
      </c>
      <c r="H187" s="77">
        <f>IF(Pipeline!$A187="","",IF(Pipeline!AI187="","",Pipeline!AI187))</f>
        <v/>
      </c>
      <c r="I187" s="77">
        <f>IF(Pipeline!$A187="","",IF(Pipeline!X187="","",Pipeline!X187))</f>
        <v/>
      </c>
      <c r="J187" s="77">
        <f>IF(Pipeline!$A187="","",IF(Pipeline!AF187="","–",Pipeline!AF187))</f>
        <v/>
      </c>
    </row>
    <row r="188" ht="15" customHeight="1" s="51">
      <c r="A188" s="77">
        <f>IF(Pipeline!$A188="","",IF(Pipeline!H188="","",Pipeline!H188))</f>
        <v/>
      </c>
      <c r="B188" s="77">
        <f>IF(Pipeline!$A188="","",IF(Pipeline!F188="","",Pipeline!F188))</f>
        <v/>
      </c>
      <c r="C188" s="96">
        <f>IF(Pipeline!$A188="","",IF(Pipeline!M188="","",Pipeline!M188))</f>
        <v/>
      </c>
      <c r="D188" s="97">
        <f>IF(Pipeline!$A188="","",IF(Pipeline!Q188="","",Pipeline!Q188))</f>
        <v/>
      </c>
      <c r="E188" s="98">
        <f>IF(Pipeline!$A188="","",IF(Pipeline!T188="","",Pipeline!T188))</f>
        <v/>
      </c>
      <c r="F188" s="77">
        <f>IF(Pipeline!$A188="","",IF(Pipeline!W188="","",Pipeline!W188))</f>
        <v/>
      </c>
      <c r="G188" s="99">
        <f>IF(Pipeline!$A188="","",IF(Pipeline!AH188="","",Pipeline!AH188))</f>
        <v/>
      </c>
      <c r="H188" s="77">
        <f>IF(Pipeline!$A188="","",IF(Pipeline!AI188="","",Pipeline!AI188))</f>
        <v/>
      </c>
      <c r="I188" s="77">
        <f>IF(Pipeline!$A188="","",IF(Pipeline!X188="","",Pipeline!X188))</f>
        <v/>
      </c>
      <c r="J188" s="77">
        <f>IF(Pipeline!$A188="","",IF(Pipeline!AF188="","–",Pipeline!AF188))</f>
        <v/>
      </c>
    </row>
    <row r="189" ht="15" customHeight="1" s="51">
      <c r="A189" s="77">
        <f>IF(Pipeline!$A189="","",IF(Pipeline!H189="","",Pipeline!H189))</f>
        <v/>
      </c>
      <c r="B189" s="77">
        <f>IF(Pipeline!$A189="","",IF(Pipeline!F189="","",Pipeline!F189))</f>
        <v/>
      </c>
      <c r="C189" s="96">
        <f>IF(Pipeline!$A189="","",IF(Pipeline!M189="","",Pipeline!M189))</f>
        <v/>
      </c>
      <c r="D189" s="97">
        <f>IF(Pipeline!$A189="","",IF(Pipeline!Q189="","",Pipeline!Q189))</f>
        <v/>
      </c>
      <c r="E189" s="98">
        <f>IF(Pipeline!$A189="","",IF(Pipeline!T189="","",Pipeline!T189))</f>
        <v/>
      </c>
      <c r="F189" s="77">
        <f>IF(Pipeline!$A189="","",IF(Pipeline!W189="","",Pipeline!W189))</f>
        <v/>
      </c>
      <c r="G189" s="99">
        <f>IF(Pipeline!$A189="","",IF(Pipeline!AH189="","",Pipeline!AH189))</f>
        <v/>
      </c>
      <c r="H189" s="77">
        <f>IF(Pipeline!$A189="","",IF(Pipeline!AI189="","",Pipeline!AI189))</f>
        <v/>
      </c>
      <c r="I189" s="77">
        <f>IF(Pipeline!$A189="","",IF(Pipeline!X189="","",Pipeline!X189))</f>
        <v/>
      </c>
      <c r="J189" s="77">
        <f>IF(Pipeline!$A189="","",IF(Pipeline!AF189="","–",Pipeline!AF189))</f>
        <v/>
      </c>
    </row>
    <row r="190" ht="15" customHeight="1" s="51">
      <c r="A190" s="77">
        <f>IF(Pipeline!$A190="","",IF(Pipeline!H190="","",Pipeline!H190))</f>
        <v/>
      </c>
      <c r="B190" s="77">
        <f>IF(Pipeline!$A190="","",IF(Pipeline!F190="","",Pipeline!F190))</f>
        <v/>
      </c>
      <c r="C190" s="96">
        <f>IF(Pipeline!$A190="","",IF(Pipeline!M190="","",Pipeline!M190))</f>
        <v/>
      </c>
      <c r="D190" s="97">
        <f>IF(Pipeline!$A190="","",IF(Pipeline!Q190="","",Pipeline!Q190))</f>
        <v/>
      </c>
      <c r="E190" s="98">
        <f>IF(Pipeline!$A190="","",IF(Pipeline!T190="","",Pipeline!T190))</f>
        <v/>
      </c>
      <c r="F190" s="77">
        <f>IF(Pipeline!$A190="","",IF(Pipeline!W190="","",Pipeline!W190))</f>
        <v/>
      </c>
      <c r="G190" s="99">
        <f>IF(Pipeline!$A190="","",IF(Pipeline!AH190="","",Pipeline!AH190))</f>
        <v/>
      </c>
      <c r="H190" s="77">
        <f>IF(Pipeline!$A190="","",IF(Pipeline!AI190="","",Pipeline!AI190))</f>
        <v/>
      </c>
      <c r="I190" s="77">
        <f>IF(Pipeline!$A190="","",IF(Pipeline!X190="","",Pipeline!X190))</f>
        <v/>
      </c>
      <c r="J190" s="77">
        <f>IF(Pipeline!$A190="","",IF(Pipeline!AF190="","–",Pipeline!AF190))</f>
        <v/>
      </c>
    </row>
    <row r="191" ht="15" customHeight="1" s="51">
      <c r="A191" s="77">
        <f>IF(Pipeline!$A191="","",IF(Pipeline!H191="","",Pipeline!H191))</f>
        <v/>
      </c>
      <c r="B191" s="77">
        <f>IF(Pipeline!$A191="","",IF(Pipeline!F191="","",Pipeline!F191))</f>
        <v/>
      </c>
      <c r="C191" s="96">
        <f>IF(Pipeline!$A191="","",IF(Pipeline!M191="","",Pipeline!M191))</f>
        <v/>
      </c>
      <c r="D191" s="97">
        <f>IF(Pipeline!$A191="","",IF(Pipeline!Q191="","",Pipeline!Q191))</f>
        <v/>
      </c>
      <c r="E191" s="98">
        <f>IF(Pipeline!$A191="","",IF(Pipeline!T191="","",Pipeline!T191))</f>
        <v/>
      </c>
      <c r="F191" s="77">
        <f>IF(Pipeline!$A191="","",IF(Pipeline!W191="","",Pipeline!W191))</f>
        <v/>
      </c>
      <c r="G191" s="99">
        <f>IF(Pipeline!$A191="","",IF(Pipeline!AH191="","",Pipeline!AH191))</f>
        <v/>
      </c>
      <c r="H191" s="77">
        <f>IF(Pipeline!$A191="","",IF(Pipeline!AI191="","",Pipeline!AI191))</f>
        <v/>
      </c>
      <c r="I191" s="77">
        <f>IF(Pipeline!$A191="","",IF(Pipeline!X191="","",Pipeline!X191))</f>
        <v/>
      </c>
      <c r="J191" s="77">
        <f>IF(Pipeline!$A191="","",IF(Pipeline!AF191="","–",Pipeline!AF191))</f>
        <v/>
      </c>
    </row>
    <row r="192" ht="15" customHeight="1" s="51">
      <c r="A192" s="77">
        <f>IF(Pipeline!$A192="","",IF(Pipeline!H192="","",Pipeline!H192))</f>
        <v/>
      </c>
      <c r="B192" s="77">
        <f>IF(Pipeline!$A192="","",IF(Pipeline!F192="","",Pipeline!F192))</f>
        <v/>
      </c>
      <c r="C192" s="96">
        <f>IF(Pipeline!$A192="","",IF(Pipeline!M192="","",Pipeline!M192))</f>
        <v/>
      </c>
      <c r="D192" s="97">
        <f>IF(Pipeline!$A192="","",IF(Pipeline!Q192="","",Pipeline!Q192))</f>
        <v/>
      </c>
      <c r="E192" s="98">
        <f>IF(Pipeline!$A192="","",IF(Pipeline!T192="","",Pipeline!T192))</f>
        <v/>
      </c>
      <c r="F192" s="77">
        <f>IF(Pipeline!$A192="","",IF(Pipeline!W192="","",Pipeline!W192))</f>
        <v/>
      </c>
      <c r="G192" s="99">
        <f>IF(Pipeline!$A192="","",IF(Pipeline!AH192="","",Pipeline!AH192))</f>
        <v/>
      </c>
      <c r="H192" s="77">
        <f>IF(Pipeline!$A192="","",IF(Pipeline!AI192="","",Pipeline!AI192))</f>
        <v/>
      </c>
      <c r="I192" s="77">
        <f>IF(Pipeline!$A192="","",IF(Pipeline!X192="","",Pipeline!X192))</f>
        <v/>
      </c>
      <c r="J192" s="77">
        <f>IF(Pipeline!$A192="","",IF(Pipeline!AF192="","–",Pipeline!AF192))</f>
        <v/>
      </c>
    </row>
    <row r="193" ht="15" customHeight="1" s="51">
      <c r="A193" s="77">
        <f>IF(Pipeline!$A193="","",IF(Pipeline!H193="","",Pipeline!H193))</f>
        <v/>
      </c>
      <c r="B193" s="77">
        <f>IF(Pipeline!$A193="","",IF(Pipeline!F193="","",Pipeline!F193))</f>
        <v/>
      </c>
      <c r="C193" s="96">
        <f>IF(Pipeline!$A193="","",IF(Pipeline!M193="","",Pipeline!M193))</f>
        <v/>
      </c>
      <c r="D193" s="97">
        <f>IF(Pipeline!$A193="","",IF(Pipeline!Q193="","",Pipeline!Q193))</f>
        <v/>
      </c>
      <c r="E193" s="98">
        <f>IF(Pipeline!$A193="","",IF(Pipeline!T193="","",Pipeline!T193))</f>
        <v/>
      </c>
      <c r="F193" s="77">
        <f>IF(Pipeline!$A193="","",IF(Pipeline!W193="","",Pipeline!W193))</f>
        <v/>
      </c>
      <c r="G193" s="99">
        <f>IF(Pipeline!$A193="","",IF(Pipeline!AH193="","",Pipeline!AH193))</f>
        <v/>
      </c>
      <c r="H193" s="77">
        <f>IF(Pipeline!$A193="","",IF(Pipeline!AI193="","",Pipeline!AI193))</f>
        <v/>
      </c>
      <c r="I193" s="77">
        <f>IF(Pipeline!$A193="","",IF(Pipeline!X193="","",Pipeline!X193))</f>
        <v/>
      </c>
      <c r="J193" s="77">
        <f>IF(Pipeline!$A193="","",IF(Pipeline!AF193="","–",Pipeline!AF193))</f>
        <v/>
      </c>
    </row>
    <row r="194" ht="15" customHeight="1" s="51">
      <c r="A194" s="77">
        <f>IF(Pipeline!$A194="","",IF(Pipeline!H194="","",Pipeline!H194))</f>
        <v/>
      </c>
      <c r="B194" s="77">
        <f>IF(Pipeline!$A194="","",IF(Pipeline!F194="","",Pipeline!F194))</f>
        <v/>
      </c>
      <c r="C194" s="96">
        <f>IF(Pipeline!$A194="","",IF(Pipeline!M194="","",Pipeline!M194))</f>
        <v/>
      </c>
      <c r="D194" s="97">
        <f>IF(Pipeline!$A194="","",IF(Pipeline!Q194="","",Pipeline!Q194))</f>
        <v/>
      </c>
      <c r="E194" s="98">
        <f>IF(Pipeline!$A194="","",IF(Pipeline!T194="","",Pipeline!T194))</f>
        <v/>
      </c>
      <c r="F194" s="77">
        <f>IF(Pipeline!$A194="","",IF(Pipeline!W194="","",Pipeline!W194))</f>
        <v/>
      </c>
      <c r="G194" s="99">
        <f>IF(Pipeline!$A194="","",IF(Pipeline!AH194="","",Pipeline!AH194))</f>
        <v/>
      </c>
      <c r="H194" s="77">
        <f>IF(Pipeline!$A194="","",IF(Pipeline!AI194="","",Pipeline!AI194))</f>
        <v/>
      </c>
      <c r="I194" s="77">
        <f>IF(Pipeline!$A194="","",IF(Pipeline!X194="","",Pipeline!X194))</f>
        <v/>
      </c>
      <c r="J194" s="77">
        <f>IF(Pipeline!$A194="","",IF(Pipeline!AF194="","–",Pipeline!AF194))</f>
        <v/>
      </c>
    </row>
    <row r="195" ht="15" customHeight="1" s="51">
      <c r="A195" s="77">
        <f>IF(Pipeline!$A195="","",IF(Pipeline!H195="","",Pipeline!H195))</f>
        <v/>
      </c>
      <c r="B195" s="77">
        <f>IF(Pipeline!$A195="","",IF(Pipeline!F195="","",Pipeline!F195))</f>
        <v/>
      </c>
      <c r="C195" s="96">
        <f>IF(Pipeline!$A195="","",IF(Pipeline!M195="","",Pipeline!M195))</f>
        <v/>
      </c>
      <c r="D195" s="97">
        <f>IF(Pipeline!$A195="","",IF(Pipeline!Q195="","",Pipeline!Q195))</f>
        <v/>
      </c>
      <c r="E195" s="98">
        <f>IF(Pipeline!$A195="","",IF(Pipeline!T195="","",Pipeline!T195))</f>
        <v/>
      </c>
      <c r="F195" s="77">
        <f>IF(Pipeline!$A195="","",IF(Pipeline!W195="","",Pipeline!W195))</f>
        <v/>
      </c>
      <c r="G195" s="99">
        <f>IF(Pipeline!$A195="","",IF(Pipeline!AH195="","",Pipeline!AH195))</f>
        <v/>
      </c>
      <c r="H195" s="77">
        <f>IF(Pipeline!$A195="","",IF(Pipeline!AI195="","",Pipeline!AI195))</f>
        <v/>
      </c>
      <c r="I195" s="77">
        <f>IF(Pipeline!$A195="","",IF(Pipeline!X195="","",Pipeline!X195))</f>
        <v/>
      </c>
      <c r="J195" s="77">
        <f>IF(Pipeline!$A195="","",IF(Pipeline!AF195="","–",Pipeline!AF195))</f>
        <v/>
      </c>
    </row>
    <row r="196" ht="15" customHeight="1" s="51">
      <c r="A196" s="77">
        <f>IF(Pipeline!$A196="","",IF(Pipeline!H196="","",Pipeline!H196))</f>
        <v/>
      </c>
      <c r="B196" s="77">
        <f>IF(Pipeline!$A196="","",IF(Pipeline!F196="","",Pipeline!F196))</f>
        <v/>
      </c>
      <c r="C196" s="96">
        <f>IF(Pipeline!$A196="","",IF(Pipeline!M196="","",Pipeline!M196))</f>
        <v/>
      </c>
      <c r="D196" s="97">
        <f>IF(Pipeline!$A196="","",IF(Pipeline!Q196="","",Pipeline!Q196))</f>
        <v/>
      </c>
      <c r="E196" s="98">
        <f>IF(Pipeline!$A196="","",IF(Pipeline!T196="","",Pipeline!T196))</f>
        <v/>
      </c>
      <c r="F196" s="77">
        <f>IF(Pipeline!$A196="","",IF(Pipeline!W196="","",Pipeline!W196))</f>
        <v/>
      </c>
      <c r="G196" s="99">
        <f>IF(Pipeline!$A196="","",IF(Pipeline!AH196="","",Pipeline!AH196))</f>
        <v/>
      </c>
      <c r="H196" s="77">
        <f>IF(Pipeline!$A196="","",IF(Pipeline!AI196="","",Pipeline!AI196))</f>
        <v/>
      </c>
      <c r="I196" s="77">
        <f>IF(Pipeline!$A196="","",IF(Pipeline!X196="","",Pipeline!X196))</f>
        <v/>
      </c>
      <c r="J196" s="77">
        <f>IF(Pipeline!$A196="","",IF(Pipeline!AF196="","–",Pipeline!AF196))</f>
        <v/>
      </c>
    </row>
    <row r="197" ht="15" customHeight="1" s="51">
      <c r="A197" s="77">
        <f>IF(Pipeline!$A197="","",IF(Pipeline!H197="","",Pipeline!H197))</f>
        <v/>
      </c>
      <c r="B197" s="77">
        <f>IF(Pipeline!$A197="","",IF(Pipeline!F197="","",Pipeline!F197))</f>
        <v/>
      </c>
      <c r="C197" s="96">
        <f>IF(Pipeline!$A197="","",IF(Pipeline!M197="","",Pipeline!M197))</f>
        <v/>
      </c>
      <c r="D197" s="97">
        <f>IF(Pipeline!$A197="","",IF(Pipeline!Q197="","",Pipeline!Q197))</f>
        <v/>
      </c>
      <c r="E197" s="98">
        <f>IF(Pipeline!$A197="","",IF(Pipeline!T197="","",Pipeline!T197))</f>
        <v/>
      </c>
      <c r="F197" s="77">
        <f>IF(Pipeline!$A197="","",IF(Pipeline!W197="","",Pipeline!W197))</f>
        <v/>
      </c>
      <c r="G197" s="99">
        <f>IF(Pipeline!$A197="","",IF(Pipeline!AH197="","",Pipeline!AH197))</f>
        <v/>
      </c>
      <c r="H197" s="77">
        <f>IF(Pipeline!$A197="","",IF(Pipeline!AI197="","",Pipeline!AI197))</f>
        <v/>
      </c>
      <c r="I197" s="77">
        <f>IF(Pipeline!$A197="","",IF(Pipeline!X197="","",Pipeline!X197))</f>
        <v/>
      </c>
      <c r="J197" s="77">
        <f>IF(Pipeline!$A197="","",IF(Pipeline!AF197="","–",Pipeline!AF197))</f>
        <v/>
      </c>
    </row>
    <row r="198" ht="15" customHeight="1" s="51">
      <c r="A198" s="77">
        <f>IF(Pipeline!$A198="","",IF(Pipeline!H198="","",Pipeline!H198))</f>
        <v/>
      </c>
      <c r="B198" s="77">
        <f>IF(Pipeline!$A198="","",IF(Pipeline!F198="","",Pipeline!F198))</f>
        <v/>
      </c>
      <c r="C198" s="96">
        <f>IF(Pipeline!$A198="","",IF(Pipeline!M198="","",Pipeline!M198))</f>
        <v/>
      </c>
      <c r="D198" s="97">
        <f>IF(Pipeline!$A198="","",IF(Pipeline!Q198="","",Pipeline!Q198))</f>
        <v/>
      </c>
      <c r="E198" s="98">
        <f>IF(Pipeline!$A198="","",IF(Pipeline!T198="","",Pipeline!T198))</f>
        <v/>
      </c>
      <c r="F198" s="77">
        <f>IF(Pipeline!$A198="","",IF(Pipeline!W198="","",Pipeline!W198))</f>
        <v/>
      </c>
      <c r="G198" s="99">
        <f>IF(Pipeline!$A198="","",IF(Pipeline!AH198="","",Pipeline!AH198))</f>
        <v/>
      </c>
      <c r="H198" s="77">
        <f>IF(Pipeline!$A198="","",IF(Pipeline!AI198="","",Pipeline!AI198))</f>
        <v/>
      </c>
      <c r="I198" s="77">
        <f>IF(Pipeline!$A198="","",IF(Pipeline!X198="","",Pipeline!X198))</f>
        <v/>
      </c>
      <c r="J198" s="77">
        <f>IF(Pipeline!$A198="","",IF(Pipeline!AF198="","–",Pipeline!AF198))</f>
        <v/>
      </c>
    </row>
    <row r="199" ht="15" customHeight="1" s="51">
      <c r="A199" s="77">
        <f>IF(Pipeline!$A199="","",IF(Pipeline!H199="","",Pipeline!H199))</f>
        <v/>
      </c>
      <c r="B199" s="77">
        <f>IF(Pipeline!$A199="","",IF(Pipeline!F199="","",Pipeline!F199))</f>
        <v/>
      </c>
      <c r="C199" s="96">
        <f>IF(Pipeline!$A199="","",IF(Pipeline!M199="","",Pipeline!M199))</f>
        <v/>
      </c>
      <c r="D199" s="97">
        <f>IF(Pipeline!$A199="","",IF(Pipeline!Q199="","",Pipeline!Q199))</f>
        <v/>
      </c>
      <c r="E199" s="98">
        <f>IF(Pipeline!$A199="","",IF(Pipeline!T199="","",Pipeline!T199))</f>
        <v/>
      </c>
      <c r="F199" s="77">
        <f>IF(Pipeline!$A199="","",IF(Pipeline!W199="","",Pipeline!W199))</f>
        <v/>
      </c>
      <c r="G199" s="99">
        <f>IF(Pipeline!$A199="","",IF(Pipeline!AH199="","",Pipeline!AH199))</f>
        <v/>
      </c>
      <c r="H199" s="77">
        <f>IF(Pipeline!$A199="","",IF(Pipeline!AI199="","",Pipeline!AI199))</f>
        <v/>
      </c>
      <c r="I199" s="77">
        <f>IF(Pipeline!$A199="","",IF(Pipeline!X199="","",Pipeline!X199))</f>
        <v/>
      </c>
      <c r="J199" s="77">
        <f>IF(Pipeline!$A199="","",IF(Pipeline!AF199="","–",Pipeline!AF199))</f>
        <v/>
      </c>
    </row>
    <row r="200" ht="15" customHeight="1" s="51">
      <c r="A200" s="77">
        <f>IF(Pipeline!$A200="","",IF(Pipeline!H200="","",Pipeline!H200))</f>
        <v/>
      </c>
      <c r="B200" s="77">
        <f>IF(Pipeline!$A200="","",IF(Pipeline!F200="","",Pipeline!F200))</f>
        <v/>
      </c>
      <c r="C200" s="96">
        <f>IF(Pipeline!$A200="","",IF(Pipeline!M200="","",Pipeline!M200))</f>
        <v/>
      </c>
      <c r="D200" s="97">
        <f>IF(Pipeline!$A200="","",IF(Pipeline!Q200="","",Pipeline!Q200))</f>
        <v/>
      </c>
      <c r="E200" s="98">
        <f>IF(Pipeline!$A200="","",IF(Pipeline!T200="","",Pipeline!T200))</f>
        <v/>
      </c>
      <c r="F200" s="77">
        <f>IF(Pipeline!$A200="","",IF(Pipeline!W200="","",Pipeline!W200))</f>
        <v/>
      </c>
      <c r="G200" s="99">
        <f>IF(Pipeline!$A200="","",IF(Pipeline!AH200="","",Pipeline!AH200))</f>
        <v/>
      </c>
      <c r="H200" s="77">
        <f>IF(Pipeline!$A200="","",IF(Pipeline!AI200="","",Pipeline!AI200))</f>
        <v/>
      </c>
      <c r="I200" s="77">
        <f>IF(Pipeline!$A200="","",IF(Pipeline!X200="","",Pipeline!X200))</f>
        <v/>
      </c>
      <c r="J200" s="77">
        <f>IF(Pipeline!$A200="","",IF(Pipeline!AF200="","–",Pipeline!AF200))</f>
        <v/>
      </c>
    </row>
    <row r="201" ht="15" customHeight="1" s="51">
      <c r="A201" s="77">
        <f>IF(Pipeline!$A201="","",IF(Pipeline!H201="","",Pipeline!H201))</f>
        <v/>
      </c>
      <c r="B201" s="77">
        <f>IF(Pipeline!$A201="","",IF(Pipeline!F201="","",Pipeline!F201))</f>
        <v/>
      </c>
      <c r="C201" s="96">
        <f>IF(Pipeline!$A201="","",IF(Pipeline!M201="","",Pipeline!M201))</f>
        <v/>
      </c>
      <c r="D201" s="97">
        <f>IF(Pipeline!$A201="","",IF(Pipeline!Q201="","",Pipeline!Q201))</f>
        <v/>
      </c>
      <c r="E201" s="98">
        <f>IF(Pipeline!$A201="","",IF(Pipeline!T201="","",Pipeline!T201))</f>
        <v/>
      </c>
      <c r="F201" s="77">
        <f>IF(Pipeline!$A201="","",IF(Pipeline!W201="","",Pipeline!W201))</f>
        <v/>
      </c>
      <c r="G201" s="99">
        <f>IF(Pipeline!$A201="","",IF(Pipeline!AH201="","",Pipeline!AH201))</f>
        <v/>
      </c>
      <c r="H201" s="77">
        <f>IF(Pipeline!$A201="","",IF(Pipeline!AI201="","",Pipeline!AI201))</f>
        <v/>
      </c>
      <c r="I201" s="77">
        <f>IF(Pipeline!$A201="","",IF(Pipeline!X201="","",Pipeline!X201))</f>
        <v/>
      </c>
      <c r="J201" s="77">
        <f>IF(Pipeline!$A201="","",IF(Pipeline!AF201="","–",Pipeline!AF201))</f>
        <v/>
      </c>
    </row>
    <row r="202" ht="15" customHeight="1" s="51">
      <c r="A202" s="77">
        <f>IF(Pipeline!$A202="","",IF(Pipeline!H202="","",Pipeline!H202))</f>
        <v/>
      </c>
      <c r="B202" s="77">
        <f>IF(Pipeline!$A202="","",IF(Pipeline!F202="","",Pipeline!F202))</f>
        <v/>
      </c>
      <c r="C202" s="96">
        <f>IF(Pipeline!$A202="","",IF(Pipeline!M202="","",Pipeline!M202))</f>
        <v/>
      </c>
      <c r="D202" s="97">
        <f>IF(Pipeline!$A202="","",IF(Pipeline!Q202="","",Pipeline!Q202))</f>
        <v/>
      </c>
      <c r="E202" s="98">
        <f>IF(Pipeline!$A202="","",IF(Pipeline!T202="","",Pipeline!T202))</f>
        <v/>
      </c>
      <c r="F202" s="77">
        <f>IF(Pipeline!$A202="","",IF(Pipeline!W202="","",Pipeline!W202))</f>
        <v/>
      </c>
      <c r="G202" s="99">
        <f>IF(Pipeline!$A202="","",IF(Pipeline!AH202="","",Pipeline!AH202))</f>
        <v/>
      </c>
      <c r="H202" s="77">
        <f>IF(Pipeline!$A202="","",IF(Pipeline!AI202="","",Pipeline!AI202))</f>
        <v/>
      </c>
      <c r="I202" s="77">
        <f>IF(Pipeline!$A202="","",IF(Pipeline!X202="","",Pipeline!X202))</f>
        <v/>
      </c>
      <c r="J202" s="77">
        <f>IF(Pipeline!$A202="","",IF(Pipeline!AF202="","–",Pipeline!AF202))</f>
        <v/>
      </c>
    </row>
    <row r="203" ht="15" customHeight="1" s="51">
      <c r="A203" s="77">
        <f>IF(Pipeline!$A203="","",IF(Pipeline!H203="","",Pipeline!H203))</f>
        <v/>
      </c>
      <c r="B203" s="77">
        <f>IF(Pipeline!$A203="","",IF(Pipeline!F203="","",Pipeline!F203))</f>
        <v/>
      </c>
      <c r="C203" s="96">
        <f>IF(Pipeline!$A203="","",IF(Pipeline!M203="","",Pipeline!M203))</f>
        <v/>
      </c>
      <c r="D203" s="97">
        <f>IF(Pipeline!$A203="","",IF(Pipeline!Q203="","",Pipeline!Q203))</f>
        <v/>
      </c>
      <c r="E203" s="98">
        <f>IF(Pipeline!$A203="","",IF(Pipeline!T203="","",Pipeline!T203))</f>
        <v/>
      </c>
      <c r="F203" s="77">
        <f>IF(Pipeline!$A203="","",IF(Pipeline!W203="","",Pipeline!W203))</f>
        <v/>
      </c>
      <c r="G203" s="99">
        <f>IF(Pipeline!$A203="","",IF(Pipeline!AH203="","",Pipeline!AH203))</f>
        <v/>
      </c>
      <c r="H203" s="77">
        <f>IF(Pipeline!$A203="","",IF(Pipeline!AI203="","",Pipeline!AI203))</f>
        <v/>
      </c>
      <c r="I203" s="77">
        <f>IF(Pipeline!$A203="","",IF(Pipeline!X203="","",Pipeline!X203))</f>
        <v/>
      </c>
      <c r="J203" s="77">
        <f>IF(Pipeline!$A203="","",IF(Pipeline!AF203="","–",Pipeline!AF203))</f>
        <v/>
      </c>
    </row>
    <row r="204" ht="15" customHeight="1" s="51">
      <c r="A204" s="77">
        <f>IF(Pipeline!$A204="","",IF(Pipeline!H204="","",Pipeline!H204))</f>
        <v/>
      </c>
      <c r="B204" s="77">
        <f>IF(Pipeline!$A204="","",IF(Pipeline!F204="","",Pipeline!F204))</f>
        <v/>
      </c>
      <c r="C204" s="96">
        <f>IF(Pipeline!$A204="","",IF(Pipeline!M204="","",Pipeline!M204))</f>
        <v/>
      </c>
      <c r="D204" s="97">
        <f>IF(Pipeline!$A204="","",IF(Pipeline!Q204="","",Pipeline!Q204))</f>
        <v/>
      </c>
      <c r="E204" s="98">
        <f>IF(Pipeline!$A204="","",IF(Pipeline!T204="","",Pipeline!T204))</f>
        <v/>
      </c>
      <c r="F204" s="77">
        <f>IF(Pipeline!$A204="","",IF(Pipeline!W204="","",Pipeline!W204))</f>
        <v/>
      </c>
      <c r="G204" s="99">
        <f>IF(Pipeline!$A204="","",IF(Pipeline!AH204="","",Pipeline!AH204))</f>
        <v/>
      </c>
      <c r="H204" s="77">
        <f>IF(Pipeline!$A204="","",IF(Pipeline!AI204="","",Pipeline!AI204))</f>
        <v/>
      </c>
      <c r="I204" s="77">
        <f>IF(Pipeline!$A204="","",IF(Pipeline!X204="","",Pipeline!X204))</f>
        <v/>
      </c>
      <c r="J204" s="77">
        <f>IF(Pipeline!$A204="","",IF(Pipeline!AF204="","–",Pipeline!AF204))</f>
        <v/>
      </c>
    </row>
    <row r="205" ht="15" customHeight="1" s="51">
      <c r="A205" s="77">
        <f>IF(Pipeline!$A205="","",IF(Pipeline!H205="","",Pipeline!H205))</f>
        <v/>
      </c>
      <c r="B205" s="77">
        <f>IF(Pipeline!$A205="","",IF(Pipeline!F205="","",Pipeline!F205))</f>
        <v/>
      </c>
      <c r="C205" s="96">
        <f>IF(Pipeline!$A205="","",IF(Pipeline!M205="","",Pipeline!M205))</f>
        <v/>
      </c>
      <c r="D205" s="97">
        <f>IF(Pipeline!$A205="","",IF(Pipeline!Q205="","",Pipeline!Q205))</f>
        <v/>
      </c>
      <c r="E205" s="98">
        <f>IF(Pipeline!$A205="","",IF(Pipeline!T205="","",Pipeline!T205))</f>
        <v/>
      </c>
      <c r="F205" s="77">
        <f>IF(Pipeline!$A205="","",IF(Pipeline!W205="","",Pipeline!W205))</f>
        <v/>
      </c>
      <c r="G205" s="99">
        <f>IF(Pipeline!$A205="","",IF(Pipeline!AH205="","",Pipeline!AH205))</f>
        <v/>
      </c>
      <c r="H205" s="77">
        <f>IF(Pipeline!$A205="","",IF(Pipeline!AI205="","",Pipeline!AI205))</f>
        <v/>
      </c>
      <c r="I205" s="77">
        <f>IF(Pipeline!$A205="","",IF(Pipeline!X205="","",Pipeline!X205))</f>
        <v/>
      </c>
      <c r="J205" s="77">
        <f>IF(Pipeline!$A205="","",IF(Pipeline!AF205="","–",Pipeline!AF205))</f>
        <v/>
      </c>
    </row>
    <row r="206" ht="15" customHeight="1" s="51">
      <c r="A206" s="77">
        <f>IF(Pipeline!$A206="","",IF(Pipeline!H206="","",Pipeline!H206))</f>
        <v/>
      </c>
      <c r="B206" s="77">
        <f>IF(Pipeline!$A206="","",IF(Pipeline!F206="","",Pipeline!F206))</f>
        <v/>
      </c>
      <c r="C206" s="96">
        <f>IF(Pipeline!$A206="","",IF(Pipeline!M206="","",Pipeline!M206))</f>
        <v/>
      </c>
      <c r="D206" s="97">
        <f>IF(Pipeline!$A206="","",IF(Pipeline!Q206="","",Pipeline!Q206))</f>
        <v/>
      </c>
      <c r="E206" s="98">
        <f>IF(Pipeline!$A206="","",IF(Pipeline!T206="","",Pipeline!T206))</f>
        <v/>
      </c>
      <c r="F206" s="77">
        <f>IF(Pipeline!$A206="","",IF(Pipeline!W206="","",Pipeline!W206))</f>
        <v/>
      </c>
      <c r="G206" s="99">
        <f>IF(Pipeline!$A206="","",IF(Pipeline!AH206="","",Pipeline!AH206))</f>
        <v/>
      </c>
      <c r="H206" s="77">
        <f>IF(Pipeline!$A206="","",IF(Pipeline!AI206="","",Pipeline!AI206))</f>
        <v/>
      </c>
      <c r="I206" s="77">
        <f>IF(Pipeline!$A206="","",IF(Pipeline!X206="","",Pipeline!X206))</f>
        <v/>
      </c>
      <c r="J206" s="77">
        <f>IF(Pipeline!$A206="","",IF(Pipeline!AF206="","–",Pipeline!AF206))</f>
        <v/>
      </c>
    </row>
    <row r="207" ht="15" customHeight="1" s="51">
      <c r="A207" s="77">
        <f>IF(Pipeline!$A207="","",IF(Pipeline!H207="","",Pipeline!H207))</f>
        <v/>
      </c>
      <c r="B207" s="77">
        <f>IF(Pipeline!$A207="","",IF(Pipeline!F207="","",Pipeline!F207))</f>
        <v/>
      </c>
      <c r="C207" s="96">
        <f>IF(Pipeline!$A207="","",IF(Pipeline!M207="","",Pipeline!M207))</f>
        <v/>
      </c>
      <c r="D207" s="97">
        <f>IF(Pipeline!$A207="","",IF(Pipeline!Q207="","",Pipeline!Q207))</f>
        <v/>
      </c>
      <c r="E207" s="98">
        <f>IF(Pipeline!$A207="","",IF(Pipeline!T207="","",Pipeline!T207))</f>
        <v/>
      </c>
      <c r="F207" s="77">
        <f>IF(Pipeline!$A207="","",IF(Pipeline!W207="","",Pipeline!W207))</f>
        <v/>
      </c>
      <c r="G207" s="99">
        <f>IF(Pipeline!$A207="","",IF(Pipeline!AH207="","",Pipeline!AH207))</f>
        <v/>
      </c>
      <c r="H207" s="77">
        <f>IF(Pipeline!$A207="","",IF(Pipeline!AI207="","",Pipeline!AI207))</f>
        <v/>
      </c>
      <c r="I207" s="77">
        <f>IF(Pipeline!$A207="","",IF(Pipeline!X207="","",Pipeline!X207))</f>
        <v/>
      </c>
      <c r="J207" s="77">
        <f>IF(Pipeline!$A207="","",IF(Pipeline!AF207="","–",Pipeline!AF207))</f>
        <v/>
      </c>
    </row>
    <row r="208" ht="15" customHeight="1" s="51">
      <c r="A208" s="77">
        <f>IF(Pipeline!$A208="","",IF(Pipeline!H208="","",Pipeline!H208))</f>
        <v/>
      </c>
      <c r="B208" s="77">
        <f>IF(Pipeline!$A208="","",IF(Pipeline!F208="","",Pipeline!F208))</f>
        <v/>
      </c>
      <c r="C208" s="96">
        <f>IF(Pipeline!$A208="","",IF(Pipeline!M208="","",Pipeline!M208))</f>
        <v/>
      </c>
      <c r="D208" s="97">
        <f>IF(Pipeline!$A208="","",IF(Pipeline!Q208="","",Pipeline!Q208))</f>
        <v/>
      </c>
      <c r="E208" s="98">
        <f>IF(Pipeline!$A208="","",IF(Pipeline!T208="","",Pipeline!T208))</f>
        <v/>
      </c>
      <c r="F208" s="77">
        <f>IF(Pipeline!$A208="","",IF(Pipeline!W208="","",Pipeline!W208))</f>
        <v/>
      </c>
      <c r="G208" s="99">
        <f>IF(Pipeline!$A208="","",IF(Pipeline!AH208="","",Pipeline!AH208))</f>
        <v/>
      </c>
      <c r="H208" s="77">
        <f>IF(Pipeline!$A208="","",IF(Pipeline!AI208="","",Pipeline!AI208))</f>
        <v/>
      </c>
      <c r="I208" s="77">
        <f>IF(Pipeline!$A208="","",IF(Pipeline!X208="","",Pipeline!X208))</f>
        <v/>
      </c>
      <c r="J208" s="77">
        <f>IF(Pipeline!$A208="","",IF(Pipeline!AF208="","–",Pipeline!AF208))</f>
        <v/>
      </c>
    </row>
    <row r="209" ht="15" customHeight="1" s="51">
      <c r="A209" s="77">
        <f>IF(Pipeline!$A209="","",IF(Pipeline!H209="","",Pipeline!H209))</f>
        <v/>
      </c>
      <c r="B209" s="77">
        <f>IF(Pipeline!$A209="","",IF(Pipeline!F209="","",Pipeline!F209))</f>
        <v/>
      </c>
      <c r="C209" s="96">
        <f>IF(Pipeline!$A209="","",IF(Pipeline!M209="","",Pipeline!M209))</f>
        <v/>
      </c>
      <c r="D209" s="97">
        <f>IF(Pipeline!$A209="","",IF(Pipeline!Q209="","",Pipeline!Q209))</f>
        <v/>
      </c>
      <c r="E209" s="98">
        <f>IF(Pipeline!$A209="","",IF(Pipeline!T209="","",Pipeline!T209))</f>
        <v/>
      </c>
      <c r="F209" s="77">
        <f>IF(Pipeline!$A209="","",IF(Pipeline!W209="","",Pipeline!W209))</f>
        <v/>
      </c>
      <c r="G209" s="99">
        <f>IF(Pipeline!$A209="","",IF(Pipeline!AH209="","",Pipeline!AH209))</f>
        <v/>
      </c>
      <c r="H209" s="77">
        <f>IF(Pipeline!$A209="","",IF(Pipeline!AI209="","",Pipeline!AI209))</f>
        <v/>
      </c>
      <c r="I209" s="77">
        <f>IF(Pipeline!$A209="","",IF(Pipeline!X209="","",Pipeline!X209))</f>
        <v/>
      </c>
      <c r="J209" s="77">
        <f>IF(Pipeline!$A209="","",IF(Pipeline!AF209="","–",Pipeline!AF209))</f>
        <v/>
      </c>
    </row>
    <row r="210" ht="15" customHeight="1" s="51">
      <c r="A210" s="77">
        <f>IF(Pipeline!$A210="","",IF(Pipeline!H210="","",Pipeline!H210))</f>
        <v/>
      </c>
      <c r="B210" s="77">
        <f>IF(Pipeline!$A210="","",IF(Pipeline!F210="","",Pipeline!F210))</f>
        <v/>
      </c>
      <c r="C210" s="96">
        <f>IF(Pipeline!$A210="","",IF(Pipeline!M210="","",Pipeline!M210))</f>
        <v/>
      </c>
      <c r="D210" s="97">
        <f>IF(Pipeline!$A210="","",IF(Pipeline!Q210="","",Pipeline!Q210))</f>
        <v/>
      </c>
      <c r="E210" s="98">
        <f>IF(Pipeline!$A210="","",IF(Pipeline!T210="","",Pipeline!T210))</f>
        <v/>
      </c>
      <c r="F210" s="77">
        <f>IF(Pipeline!$A210="","",IF(Pipeline!W210="","",Pipeline!W210))</f>
        <v/>
      </c>
      <c r="G210" s="99">
        <f>IF(Pipeline!$A210="","",IF(Pipeline!AH210="","",Pipeline!AH210))</f>
        <v/>
      </c>
      <c r="H210" s="77">
        <f>IF(Pipeline!$A210="","",IF(Pipeline!AI210="","",Pipeline!AI210))</f>
        <v/>
      </c>
      <c r="I210" s="77">
        <f>IF(Pipeline!$A210="","",IF(Pipeline!X210="","",Pipeline!X210))</f>
        <v/>
      </c>
      <c r="J210" s="77">
        <f>IF(Pipeline!$A210="","",IF(Pipeline!AF210="","–",Pipeline!AF210))</f>
        <v/>
      </c>
    </row>
    <row r="211" ht="15" customHeight="1" s="51">
      <c r="A211" s="77">
        <f>IF(Pipeline!$A211="","",IF(Pipeline!H211="","",Pipeline!H211))</f>
        <v/>
      </c>
      <c r="B211" s="77">
        <f>IF(Pipeline!$A211="","",IF(Pipeline!F211="","",Pipeline!F211))</f>
        <v/>
      </c>
      <c r="C211" s="96">
        <f>IF(Pipeline!$A211="","",IF(Pipeline!M211="","",Pipeline!M211))</f>
        <v/>
      </c>
      <c r="D211" s="97">
        <f>IF(Pipeline!$A211="","",IF(Pipeline!Q211="","",Pipeline!Q211))</f>
        <v/>
      </c>
      <c r="E211" s="98">
        <f>IF(Pipeline!$A211="","",IF(Pipeline!T211="","",Pipeline!T211))</f>
        <v/>
      </c>
      <c r="F211" s="77">
        <f>IF(Pipeline!$A211="","",IF(Pipeline!W211="","",Pipeline!W211))</f>
        <v/>
      </c>
      <c r="G211" s="99">
        <f>IF(Pipeline!$A211="","",IF(Pipeline!AH211="","",Pipeline!AH211))</f>
        <v/>
      </c>
      <c r="H211" s="77">
        <f>IF(Pipeline!$A211="","",IF(Pipeline!AI211="","",Pipeline!AI211))</f>
        <v/>
      </c>
      <c r="I211" s="77">
        <f>IF(Pipeline!$A211="","",IF(Pipeline!X211="","",Pipeline!X211))</f>
        <v/>
      </c>
      <c r="J211" s="77">
        <f>IF(Pipeline!$A211="","",IF(Pipeline!AF211="","–",Pipeline!AF211))</f>
        <v/>
      </c>
    </row>
    <row r="212" ht="15" customHeight="1" s="51">
      <c r="A212" s="77">
        <f>IF(Pipeline!$A212="","",IF(Pipeline!H212="","",Pipeline!H212))</f>
        <v/>
      </c>
      <c r="B212" s="77">
        <f>IF(Pipeline!$A212="","",IF(Pipeline!F212="","",Pipeline!F212))</f>
        <v/>
      </c>
      <c r="C212" s="96">
        <f>IF(Pipeline!$A212="","",IF(Pipeline!M212="","",Pipeline!M212))</f>
        <v/>
      </c>
      <c r="D212" s="97">
        <f>IF(Pipeline!$A212="","",IF(Pipeline!Q212="","",Pipeline!Q212))</f>
        <v/>
      </c>
      <c r="E212" s="98">
        <f>IF(Pipeline!$A212="","",IF(Pipeline!T212="","",Pipeline!T212))</f>
        <v/>
      </c>
      <c r="F212" s="77">
        <f>IF(Pipeline!$A212="","",IF(Pipeline!W212="","",Pipeline!W212))</f>
        <v/>
      </c>
      <c r="G212" s="99">
        <f>IF(Pipeline!$A212="","",IF(Pipeline!AH212="","",Pipeline!AH212))</f>
        <v/>
      </c>
      <c r="H212" s="77">
        <f>IF(Pipeline!$A212="","",IF(Pipeline!AI212="","",Pipeline!AI212))</f>
        <v/>
      </c>
      <c r="I212" s="77">
        <f>IF(Pipeline!$A212="","",IF(Pipeline!X212="","",Pipeline!X212))</f>
        <v/>
      </c>
      <c r="J212" s="77">
        <f>IF(Pipeline!$A212="","",IF(Pipeline!AF212="","–",Pipeline!AF212))</f>
        <v/>
      </c>
    </row>
    <row r="213" ht="15" customHeight="1" s="51">
      <c r="A213" s="77">
        <f>IF(Pipeline!$A213="","",IF(Pipeline!H213="","",Pipeline!H213))</f>
        <v/>
      </c>
      <c r="B213" s="77">
        <f>IF(Pipeline!$A213="","",IF(Pipeline!F213="","",Pipeline!F213))</f>
        <v/>
      </c>
      <c r="C213" s="96">
        <f>IF(Pipeline!$A213="","",IF(Pipeline!M213="","",Pipeline!M213))</f>
        <v/>
      </c>
      <c r="D213" s="97">
        <f>IF(Pipeline!$A213="","",IF(Pipeline!Q213="","",Pipeline!Q213))</f>
        <v/>
      </c>
      <c r="E213" s="98">
        <f>IF(Pipeline!$A213="","",IF(Pipeline!T213="","",Pipeline!T213))</f>
        <v/>
      </c>
      <c r="F213" s="77">
        <f>IF(Pipeline!$A213="","",IF(Pipeline!W213="","",Pipeline!W213))</f>
        <v/>
      </c>
      <c r="G213" s="99">
        <f>IF(Pipeline!$A213="","",IF(Pipeline!AH213="","",Pipeline!AH213))</f>
        <v/>
      </c>
      <c r="H213" s="77">
        <f>IF(Pipeline!$A213="","",IF(Pipeline!AI213="","",Pipeline!AI213))</f>
        <v/>
      </c>
      <c r="I213" s="77">
        <f>IF(Pipeline!$A213="","",IF(Pipeline!X213="","",Pipeline!X213))</f>
        <v/>
      </c>
      <c r="J213" s="77">
        <f>IF(Pipeline!$A213="","",IF(Pipeline!AF213="","–",Pipeline!AF213))</f>
        <v/>
      </c>
    </row>
    <row r="214" ht="15" customHeight="1" s="51">
      <c r="A214" s="77">
        <f>IF(Pipeline!$A214="","",IF(Pipeline!H214="","",Pipeline!H214))</f>
        <v/>
      </c>
      <c r="B214" s="77">
        <f>IF(Pipeline!$A214="","",IF(Pipeline!F214="","",Pipeline!F214))</f>
        <v/>
      </c>
      <c r="C214" s="96">
        <f>IF(Pipeline!$A214="","",IF(Pipeline!M214="","",Pipeline!M214))</f>
        <v/>
      </c>
      <c r="D214" s="97">
        <f>IF(Pipeline!$A214="","",IF(Pipeline!Q214="","",Pipeline!Q214))</f>
        <v/>
      </c>
      <c r="E214" s="98">
        <f>IF(Pipeline!$A214="","",IF(Pipeline!T214="","",Pipeline!T214))</f>
        <v/>
      </c>
      <c r="F214" s="77">
        <f>IF(Pipeline!$A214="","",IF(Pipeline!W214="","",Pipeline!W214))</f>
        <v/>
      </c>
      <c r="G214" s="99">
        <f>IF(Pipeline!$A214="","",IF(Pipeline!AH214="","",Pipeline!AH214))</f>
        <v/>
      </c>
      <c r="H214" s="77">
        <f>IF(Pipeline!$A214="","",IF(Pipeline!AI214="","",Pipeline!AI214))</f>
        <v/>
      </c>
      <c r="I214" s="77">
        <f>IF(Pipeline!$A214="","",IF(Pipeline!X214="","",Pipeline!X214))</f>
        <v/>
      </c>
      <c r="J214" s="77">
        <f>IF(Pipeline!$A214="","",IF(Pipeline!AF214="","–",Pipeline!AF214))</f>
        <v/>
      </c>
    </row>
    <row r="215" ht="15" customHeight="1" s="51">
      <c r="A215" s="77">
        <f>IF(Pipeline!$A215="","",IF(Pipeline!H215="","",Pipeline!H215))</f>
        <v/>
      </c>
      <c r="B215" s="77">
        <f>IF(Pipeline!$A215="","",IF(Pipeline!F215="","",Pipeline!F215))</f>
        <v/>
      </c>
      <c r="C215" s="96">
        <f>IF(Pipeline!$A215="","",IF(Pipeline!M215="","",Pipeline!M215))</f>
        <v/>
      </c>
      <c r="D215" s="97">
        <f>IF(Pipeline!$A215="","",IF(Pipeline!Q215="","",Pipeline!Q215))</f>
        <v/>
      </c>
      <c r="E215" s="98">
        <f>IF(Pipeline!$A215="","",IF(Pipeline!T215="","",Pipeline!T215))</f>
        <v/>
      </c>
      <c r="F215" s="77">
        <f>IF(Pipeline!$A215="","",IF(Pipeline!W215="","",Pipeline!W215))</f>
        <v/>
      </c>
      <c r="G215" s="99">
        <f>IF(Pipeline!$A215="","",IF(Pipeline!AH215="","",Pipeline!AH215))</f>
        <v/>
      </c>
      <c r="H215" s="77">
        <f>IF(Pipeline!$A215="","",IF(Pipeline!AI215="","",Pipeline!AI215))</f>
        <v/>
      </c>
      <c r="I215" s="77">
        <f>IF(Pipeline!$A215="","",IF(Pipeline!X215="","",Pipeline!X215))</f>
        <v/>
      </c>
      <c r="J215" s="77">
        <f>IF(Pipeline!$A215="","",IF(Pipeline!AF215="","–",Pipeline!AF215))</f>
        <v/>
      </c>
    </row>
    <row r="216" ht="15" customHeight="1" s="51">
      <c r="A216" s="77">
        <f>IF(Pipeline!$A216="","",IF(Pipeline!H216="","",Pipeline!H216))</f>
        <v/>
      </c>
      <c r="B216" s="77">
        <f>IF(Pipeline!$A216="","",IF(Pipeline!F216="","",Pipeline!F216))</f>
        <v/>
      </c>
      <c r="C216" s="96">
        <f>IF(Pipeline!$A216="","",IF(Pipeline!M216="","",Pipeline!M216))</f>
        <v/>
      </c>
      <c r="D216" s="97">
        <f>IF(Pipeline!$A216="","",IF(Pipeline!Q216="","",Pipeline!Q216))</f>
        <v/>
      </c>
      <c r="E216" s="98">
        <f>IF(Pipeline!$A216="","",IF(Pipeline!T216="","",Pipeline!T216))</f>
        <v/>
      </c>
      <c r="F216" s="77">
        <f>IF(Pipeline!$A216="","",IF(Pipeline!W216="","",Pipeline!W216))</f>
        <v/>
      </c>
      <c r="G216" s="99">
        <f>IF(Pipeline!$A216="","",IF(Pipeline!AH216="","",Pipeline!AH216))</f>
        <v/>
      </c>
      <c r="H216" s="77">
        <f>IF(Pipeline!$A216="","",IF(Pipeline!AI216="","",Pipeline!AI216))</f>
        <v/>
      </c>
      <c r="I216" s="77">
        <f>IF(Pipeline!$A216="","",IF(Pipeline!X216="","",Pipeline!X216))</f>
        <v/>
      </c>
      <c r="J216" s="77">
        <f>IF(Pipeline!$A216="","",IF(Pipeline!AF216="","–",Pipeline!AF216))</f>
        <v/>
      </c>
    </row>
    <row r="217" ht="15" customHeight="1" s="51">
      <c r="A217" s="77">
        <f>IF(Pipeline!$A217="","",IF(Pipeline!H217="","",Pipeline!H217))</f>
        <v/>
      </c>
      <c r="B217" s="77">
        <f>IF(Pipeline!$A217="","",IF(Pipeline!F217="","",Pipeline!F217))</f>
        <v/>
      </c>
      <c r="C217" s="96">
        <f>IF(Pipeline!$A217="","",IF(Pipeline!M217="","",Pipeline!M217))</f>
        <v/>
      </c>
      <c r="D217" s="97">
        <f>IF(Pipeline!$A217="","",IF(Pipeline!Q217="","",Pipeline!Q217))</f>
        <v/>
      </c>
      <c r="E217" s="98">
        <f>IF(Pipeline!$A217="","",IF(Pipeline!T217="","",Pipeline!T217))</f>
        <v/>
      </c>
      <c r="F217" s="77">
        <f>IF(Pipeline!$A217="","",IF(Pipeline!W217="","",Pipeline!W217))</f>
        <v/>
      </c>
      <c r="G217" s="99">
        <f>IF(Pipeline!$A217="","",IF(Pipeline!AH217="","",Pipeline!AH217))</f>
        <v/>
      </c>
      <c r="H217" s="77">
        <f>IF(Pipeline!$A217="","",IF(Pipeline!AI217="","",Pipeline!AI217))</f>
        <v/>
      </c>
      <c r="I217" s="77">
        <f>IF(Pipeline!$A217="","",IF(Pipeline!X217="","",Pipeline!X217))</f>
        <v/>
      </c>
      <c r="J217" s="77">
        <f>IF(Pipeline!$A217="","",IF(Pipeline!AF217="","–",Pipeline!AF217))</f>
        <v/>
      </c>
    </row>
    <row r="218" ht="15" customHeight="1" s="51">
      <c r="A218" s="77">
        <f>IF(Pipeline!$A218="","",IF(Pipeline!H218="","",Pipeline!H218))</f>
        <v/>
      </c>
      <c r="B218" s="77">
        <f>IF(Pipeline!$A218="","",IF(Pipeline!F218="","",Pipeline!F218))</f>
        <v/>
      </c>
      <c r="C218" s="96">
        <f>IF(Pipeline!$A218="","",IF(Pipeline!M218="","",Pipeline!M218))</f>
        <v/>
      </c>
      <c r="D218" s="97">
        <f>IF(Pipeline!$A218="","",IF(Pipeline!Q218="","",Pipeline!Q218))</f>
        <v/>
      </c>
      <c r="E218" s="98">
        <f>IF(Pipeline!$A218="","",IF(Pipeline!T218="","",Pipeline!T218))</f>
        <v/>
      </c>
      <c r="F218" s="77">
        <f>IF(Pipeline!$A218="","",IF(Pipeline!W218="","",Pipeline!W218))</f>
        <v/>
      </c>
      <c r="G218" s="99">
        <f>IF(Pipeline!$A218="","",IF(Pipeline!AH218="","",Pipeline!AH218))</f>
        <v/>
      </c>
      <c r="H218" s="77">
        <f>IF(Pipeline!$A218="","",IF(Pipeline!AI218="","",Pipeline!AI218))</f>
        <v/>
      </c>
      <c r="I218" s="77">
        <f>IF(Pipeline!$A218="","",IF(Pipeline!X218="","",Pipeline!X218))</f>
        <v/>
      </c>
      <c r="J218" s="77">
        <f>IF(Pipeline!$A218="","",IF(Pipeline!AF218="","–",Pipeline!AF218))</f>
        <v/>
      </c>
    </row>
    <row r="219" ht="15" customHeight="1" s="51">
      <c r="A219" s="77">
        <f>IF(Pipeline!$A219="","",IF(Pipeline!H219="","",Pipeline!H219))</f>
        <v/>
      </c>
      <c r="B219" s="77">
        <f>IF(Pipeline!$A219="","",IF(Pipeline!F219="","",Pipeline!F219))</f>
        <v/>
      </c>
      <c r="C219" s="96">
        <f>IF(Pipeline!$A219="","",IF(Pipeline!M219="","",Pipeline!M219))</f>
        <v/>
      </c>
      <c r="D219" s="97">
        <f>IF(Pipeline!$A219="","",IF(Pipeline!Q219="","",Pipeline!Q219))</f>
        <v/>
      </c>
      <c r="E219" s="98">
        <f>IF(Pipeline!$A219="","",IF(Pipeline!T219="","",Pipeline!T219))</f>
        <v/>
      </c>
      <c r="F219" s="77">
        <f>IF(Pipeline!$A219="","",IF(Pipeline!W219="","",Pipeline!W219))</f>
        <v/>
      </c>
      <c r="G219" s="99">
        <f>IF(Pipeline!$A219="","",IF(Pipeline!AH219="","",Pipeline!AH219))</f>
        <v/>
      </c>
      <c r="H219" s="77">
        <f>IF(Pipeline!$A219="","",IF(Pipeline!AI219="","",Pipeline!AI219))</f>
        <v/>
      </c>
      <c r="I219" s="77">
        <f>IF(Pipeline!$A219="","",IF(Pipeline!X219="","",Pipeline!X219))</f>
        <v/>
      </c>
      <c r="J219" s="77">
        <f>IF(Pipeline!$A219="","",IF(Pipeline!AF219="","–",Pipeline!AF219))</f>
        <v/>
      </c>
    </row>
    <row r="220" ht="15" customHeight="1" s="51">
      <c r="A220" s="77">
        <f>IF(Pipeline!$A220="","",IF(Pipeline!H220="","",Pipeline!H220))</f>
        <v/>
      </c>
      <c r="B220" s="77">
        <f>IF(Pipeline!$A220="","",IF(Pipeline!F220="","",Pipeline!F220))</f>
        <v/>
      </c>
      <c r="C220" s="96">
        <f>IF(Pipeline!$A220="","",IF(Pipeline!M220="","",Pipeline!M220))</f>
        <v/>
      </c>
      <c r="D220" s="97">
        <f>IF(Pipeline!$A220="","",IF(Pipeline!Q220="","",Pipeline!Q220))</f>
        <v/>
      </c>
      <c r="E220" s="98">
        <f>IF(Pipeline!$A220="","",IF(Pipeline!T220="","",Pipeline!T220))</f>
        <v/>
      </c>
      <c r="F220" s="77">
        <f>IF(Pipeline!$A220="","",IF(Pipeline!W220="","",Pipeline!W220))</f>
        <v/>
      </c>
      <c r="G220" s="99">
        <f>IF(Pipeline!$A220="","",IF(Pipeline!AH220="","",Pipeline!AH220))</f>
        <v/>
      </c>
      <c r="H220" s="77">
        <f>IF(Pipeline!$A220="","",IF(Pipeline!AI220="","",Pipeline!AI220))</f>
        <v/>
      </c>
      <c r="I220" s="77">
        <f>IF(Pipeline!$A220="","",IF(Pipeline!X220="","",Pipeline!X220))</f>
        <v/>
      </c>
      <c r="J220" s="77">
        <f>IF(Pipeline!$A220="","",IF(Pipeline!AF220="","–",Pipeline!AF220))</f>
        <v/>
      </c>
    </row>
    <row r="221" ht="15" customHeight="1" s="51">
      <c r="A221" s="77">
        <f>IF(Pipeline!$A221="","",IF(Pipeline!H221="","",Pipeline!H221))</f>
        <v/>
      </c>
      <c r="B221" s="77">
        <f>IF(Pipeline!$A221="","",IF(Pipeline!F221="","",Pipeline!F221))</f>
        <v/>
      </c>
      <c r="C221" s="96">
        <f>IF(Pipeline!$A221="","",IF(Pipeline!M221="","",Pipeline!M221))</f>
        <v/>
      </c>
      <c r="D221" s="97">
        <f>IF(Pipeline!$A221="","",IF(Pipeline!Q221="","",Pipeline!Q221))</f>
        <v/>
      </c>
      <c r="E221" s="98">
        <f>IF(Pipeline!$A221="","",IF(Pipeline!T221="","",Pipeline!T221))</f>
        <v/>
      </c>
      <c r="F221" s="77">
        <f>IF(Pipeline!$A221="","",IF(Pipeline!W221="","",Pipeline!W221))</f>
        <v/>
      </c>
      <c r="G221" s="99">
        <f>IF(Pipeline!$A221="","",IF(Pipeline!AH221="","",Pipeline!AH221))</f>
        <v/>
      </c>
      <c r="H221" s="77">
        <f>IF(Pipeline!$A221="","",IF(Pipeline!AI221="","",Pipeline!AI221))</f>
        <v/>
      </c>
      <c r="I221" s="77">
        <f>IF(Pipeline!$A221="","",IF(Pipeline!X221="","",Pipeline!X221))</f>
        <v/>
      </c>
      <c r="J221" s="77">
        <f>IF(Pipeline!$A221="","",IF(Pipeline!AF221="","–",Pipeline!AF221))</f>
        <v/>
      </c>
    </row>
    <row r="222" ht="15" customHeight="1" s="51">
      <c r="A222" s="77">
        <f>IF(Pipeline!$A222="","",IF(Pipeline!H222="","",Pipeline!H222))</f>
        <v/>
      </c>
      <c r="B222" s="77">
        <f>IF(Pipeline!$A222="","",IF(Pipeline!F222="","",Pipeline!F222))</f>
        <v/>
      </c>
      <c r="C222" s="96">
        <f>IF(Pipeline!$A222="","",IF(Pipeline!M222="","",Pipeline!M222))</f>
        <v/>
      </c>
      <c r="D222" s="97">
        <f>IF(Pipeline!$A222="","",IF(Pipeline!Q222="","",Pipeline!Q222))</f>
        <v/>
      </c>
      <c r="E222" s="98">
        <f>IF(Pipeline!$A222="","",IF(Pipeline!T222="","",Pipeline!T222))</f>
        <v/>
      </c>
      <c r="F222" s="77">
        <f>IF(Pipeline!$A222="","",IF(Pipeline!W222="","",Pipeline!W222))</f>
        <v/>
      </c>
      <c r="G222" s="99">
        <f>IF(Pipeline!$A222="","",IF(Pipeline!AH222="","",Pipeline!AH222))</f>
        <v/>
      </c>
      <c r="H222" s="77">
        <f>IF(Pipeline!$A222="","",IF(Pipeline!AI222="","",Pipeline!AI222))</f>
        <v/>
      </c>
      <c r="I222" s="77">
        <f>IF(Pipeline!$A222="","",IF(Pipeline!X222="","",Pipeline!X222))</f>
        <v/>
      </c>
      <c r="J222" s="77">
        <f>IF(Pipeline!$A222="","",IF(Pipeline!AF222="","–",Pipeline!AF222))</f>
        <v/>
      </c>
    </row>
    <row r="223" ht="15" customHeight="1" s="51">
      <c r="A223" s="77">
        <f>IF(Pipeline!$A223="","",IF(Pipeline!H223="","",Pipeline!H223))</f>
        <v/>
      </c>
      <c r="B223" s="77">
        <f>IF(Pipeline!$A223="","",IF(Pipeline!F223="","",Pipeline!F223))</f>
        <v/>
      </c>
      <c r="C223" s="96">
        <f>IF(Pipeline!$A223="","",IF(Pipeline!M223="","",Pipeline!M223))</f>
        <v/>
      </c>
      <c r="D223" s="97">
        <f>IF(Pipeline!$A223="","",IF(Pipeline!Q223="","",Pipeline!Q223))</f>
        <v/>
      </c>
      <c r="E223" s="98">
        <f>IF(Pipeline!$A223="","",IF(Pipeline!T223="","",Pipeline!T223))</f>
        <v/>
      </c>
      <c r="F223" s="77">
        <f>IF(Pipeline!$A223="","",IF(Pipeline!W223="","",Pipeline!W223))</f>
        <v/>
      </c>
      <c r="G223" s="99">
        <f>IF(Pipeline!$A223="","",IF(Pipeline!AH223="","",Pipeline!AH223))</f>
        <v/>
      </c>
      <c r="H223" s="77">
        <f>IF(Pipeline!$A223="","",IF(Pipeline!AI223="","",Pipeline!AI223))</f>
        <v/>
      </c>
      <c r="I223" s="77">
        <f>IF(Pipeline!$A223="","",IF(Pipeline!X223="","",Pipeline!X223))</f>
        <v/>
      </c>
      <c r="J223" s="77">
        <f>IF(Pipeline!$A223="","",IF(Pipeline!AF223="","–",Pipeline!AF223))</f>
        <v/>
      </c>
    </row>
    <row r="224" ht="15" customHeight="1" s="51">
      <c r="A224" s="77">
        <f>IF(Pipeline!$A224="","",IF(Pipeline!H224="","",Pipeline!H224))</f>
        <v/>
      </c>
      <c r="B224" s="77">
        <f>IF(Pipeline!$A224="","",IF(Pipeline!F224="","",Pipeline!F224))</f>
        <v/>
      </c>
      <c r="C224" s="96">
        <f>IF(Pipeline!$A224="","",IF(Pipeline!M224="","",Pipeline!M224))</f>
        <v/>
      </c>
      <c r="D224" s="97">
        <f>IF(Pipeline!$A224="","",IF(Pipeline!Q224="","",Pipeline!Q224))</f>
        <v/>
      </c>
      <c r="E224" s="98">
        <f>IF(Pipeline!$A224="","",IF(Pipeline!T224="","",Pipeline!T224))</f>
        <v/>
      </c>
      <c r="F224" s="77">
        <f>IF(Pipeline!$A224="","",IF(Pipeline!W224="","",Pipeline!W224))</f>
        <v/>
      </c>
      <c r="G224" s="99">
        <f>IF(Pipeline!$A224="","",IF(Pipeline!AH224="","",Pipeline!AH224))</f>
        <v/>
      </c>
      <c r="H224" s="77">
        <f>IF(Pipeline!$A224="","",IF(Pipeline!AI224="","",Pipeline!AI224))</f>
        <v/>
      </c>
      <c r="I224" s="77">
        <f>IF(Pipeline!$A224="","",IF(Pipeline!X224="","",Pipeline!X224))</f>
        <v/>
      </c>
      <c r="J224" s="77">
        <f>IF(Pipeline!$A224="","",IF(Pipeline!AF224="","–",Pipeline!AF224))</f>
        <v/>
      </c>
    </row>
    <row r="225" ht="15" customHeight="1" s="51">
      <c r="A225" s="77">
        <f>IF(Pipeline!$A225="","",IF(Pipeline!H225="","",Pipeline!H225))</f>
        <v/>
      </c>
      <c r="B225" s="77">
        <f>IF(Pipeline!$A225="","",IF(Pipeline!F225="","",Pipeline!F225))</f>
        <v/>
      </c>
      <c r="C225" s="96">
        <f>IF(Pipeline!$A225="","",IF(Pipeline!M225="","",Pipeline!M225))</f>
        <v/>
      </c>
      <c r="D225" s="97">
        <f>IF(Pipeline!$A225="","",IF(Pipeline!Q225="","",Pipeline!Q225))</f>
        <v/>
      </c>
      <c r="E225" s="98">
        <f>IF(Pipeline!$A225="","",IF(Pipeline!T225="","",Pipeline!T225))</f>
        <v/>
      </c>
      <c r="F225" s="77">
        <f>IF(Pipeline!$A225="","",IF(Pipeline!W225="","",Pipeline!W225))</f>
        <v/>
      </c>
      <c r="G225" s="99">
        <f>IF(Pipeline!$A225="","",IF(Pipeline!AH225="","",Pipeline!AH225))</f>
        <v/>
      </c>
      <c r="H225" s="77">
        <f>IF(Pipeline!$A225="","",IF(Pipeline!AI225="","",Pipeline!AI225))</f>
        <v/>
      </c>
      <c r="I225" s="77">
        <f>IF(Pipeline!$A225="","",IF(Pipeline!X225="","",Pipeline!X225))</f>
        <v/>
      </c>
      <c r="J225" s="77">
        <f>IF(Pipeline!$A225="","",IF(Pipeline!AF225="","–",Pipeline!AF225))</f>
        <v/>
      </c>
    </row>
    <row r="226" ht="15" customHeight="1" s="51">
      <c r="A226" s="77">
        <f>IF(Pipeline!$A226="","",IF(Pipeline!H226="","",Pipeline!H226))</f>
        <v/>
      </c>
      <c r="B226" s="77">
        <f>IF(Pipeline!$A226="","",IF(Pipeline!F226="","",Pipeline!F226))</f>
        <v/>
      </c>
      <c r="C226" s="96">
        <f>IF(Pipeline!$A226="","",IF(Pipeline!M226="","",Pipeline!M226))</f>
        <v/>
      </c>
      <c r="D226" s="97">
        <f>IF(Pipeline!$A226="","",IF(Pipeline!Q226="","",Pipeline!Q226))</f>
        <v/>
      </c>
      <c r="E226" s="98">
        <f>IF(Pipeline!$A226="","",IF(Pipeline!T226="","",Pipeline!T226))</f>
        <v/>
      </c>
      <c r="F226" s="77">
        <f>IF(Pipeline!$A226="","",IF(Pipeline!W226="","",Pipeline!W226))</f>
        <v/>
      </c>
      <c r="G226" s="99">
        <f>IF(Pipeline!$A226="","",IF(Pipeline!AH226="","",Pipeline!AH226))</f>
        <v/>
      </c>
      <c r="H226" s="77">
        <f>IF(Pipeline!$A226="","",IF(Pipeline!AI226="","",Pipeline!AI226))</f>
        <v/>
      </c>
      <c r="I226" s="77">
        <f>IF(Pipeline!$A226="","",IF(Pipeline!X226="","",Pipeline!X226))</f>
        <v/>
      </c>
      <c r="J226" s="77">
        <f>IF(Pipeline!$A226="","",IF(Pipeline!AF226="","–",Pipeline!AF226))</f>
        <v/>
      </c>
    </row>
    <row r="227" ht="15" customHeight="1" s="51">
      <c r="A227" s="77">
        <f>IF(Pipeline!$A227="","",IF(Pipeline!H227="","",Pipeline!H227))</f>
        <v/>
      </c>
      <c r="B227" s="77">
        <f>IF(Pipeline!$A227="","",IF(Pipeline!F227="","",Pipeline!F227))</f>
        <v/>
      </c>
      <c r="C227" s="96">
        <f>IF(Pipeline!$A227="","",IF(Pipeline!M227="","",Pipeline!M227))</f>
        <v/>
      </c>
      <c r="D227" s="97">
        <f>IF(Pipeline!$A227="","",IF(Pipeline!Q227="","",Pipeline!Q227))</f>
        <v/>
      </c>
      <c r="E227" s="98">
        <f>IF(Pipeline!$A227="","",IF(Pipeline!T227="","",Pipeline!T227))</f>
        <v/>
      </c>
      <c r="F227" s="77">
        <f>IF(Pipeline!$A227="","",IF(Pipeline!W227="","",Pipeline!W227))</f>
        <v/>
      </c>
      <c r="G227" s="99">
        <f>IF(Pipeline!$A227="","",IF(Pipeline!AH227="","",Pipeline!AH227))</f>
        <v/>
      </c>
      <c r="H227" s="77">
        <f>IF(Pipeline!$A227="","",IF(Pipeline!AI227="","",Pipeline!AI227))</f>
        <v/>
      </c>
      <c r="I227" s="77">
        <f>IF(Pipeline!$A227="","",IF(Pipeline!X227="","",Pipeline!X227))</f>
        <v/>
      </c>
      <c r="J227" s="77">
        <f>IF(Pipeline!$A227="","",IF(Pipeline!AF227="","–",Pipeline!AF227))</f>
        <v/>
      </c>
    </row>
    <row r="228" ht="15" customHeight="1" s="51">
      <c r="A228" s="77">
        <f>IF(Pipeline!$A228="","",IF(Pipeline!H228="","",Pipeline!H228))</f>
        <v/>
      </c>
      <c r="B228" s="77">
        <f>IF(Pipeline!$A228="","",IF(Pipeline!F228="","",Pipeline!F228))</f>
        <v/>
      </c>
      <c r="C228" s="96">
        <f>IF(Pipeline!$A228="","",IF(Pipeline!M228="","",Pipeline!M228))</f>
        <v/>
      </c>
      <c r="D228" s="97">
        <f>IF(Pipeline!$A228="","",IF(Pipeline!Q228="","",Pipeline!Q228))</f>
        <v/>
      </c>
      <c r="E228" s="98">
        <f>IF(Pipeline!$A228="","",IF(Pipeline!T228="","",Pipeline!T228))</f>
        <v/>
      </c>
      <c r="F228" s="77">
        <f>IF(Pipeline!$A228="","",IF(Pipeline!W228="","",Pipeline!W228))</f>
        <v/>
      </c>
      <c r="G228" s="99">
        <f>IF(Pipeline!$A228="","",IF(Pipeline!AH228="","",Pipeline!AH228))</f>
        <v/>
      </c>
      <c r="H228" s="77">
        <f>IF(Pipeline!$A228="","",IF(Pipeline!AI228="","",Pipeline!AI228))</f>
        <v/>
      </c>
      <c r="I228" s="77">
        <f>IF(Pipeline!$A228="","",IF(Pipeline!X228="","",Pipeline!X228))</f>
        <v/>
      </c>
      <c r="J228" s="77">
        <f>IF(Pipeline!$A228="","",IF(Pipeline!AF228="","–",Pipeline!AF228))</f>
        <v/>
      </c>
    </row>
    <row r="229" ht="15" customHeight="1" s="51">
      <c r="A229" s="77">
        <f>IF(Pipeline!$A229="","",IF(Pipeline!H229="","",Pipeline!H229))</f>
        <v/>
      </c>
      <c r="B229" s="77">
        <f>IF(Pipeline!$A229="","",IF(Pipeline!F229="","",Pipeline!F229))</f>
        <v/>
      </c>
      <c r="C229" s="96">
        <f>IF(Pipeline!$A229="","",IF(Pipeline!M229="","",Pipeline!M229))</f>
        <v/>
      </c>
      <c r="D229" s="97">
        <f>IF(Pipeline!$A229="","",IF(Pipeline!Q229="","",Pipeline!Q229))</f>
        <v/>
      </c>
      <c r="E229" s="98">
        <f>IF(Pipeline!$A229="","",IF(Pipeline!T229="","",Pipeline!T229))</f>
        <v/>
      </c>
      <c r="F229" s="77">
        <f>IF(Pipeline!$A229="","",IF(Pipeline!W229="","",Pipeline!W229))</f>
        <v/>
      </c>
      <c r="G229" s="99">
        <f>IF(Pipeline!$A229="","",IF(Pipeline!AH229="","",Pipeline!AH229))</f>
        <v/>
      </c>
      <c r="H229" s="77">
        <f>IF(Pipeline!$A229="","",IF(Pipeline!AI229="","",Pipeline!AI229))</f>
        <v/>
      </c>
      <c r="I229" s="77">
        <f>IF(Pipeline!$A229="","",IF(Pipeline!X229="","",Pipeline!X229))</f>
        <v/>
      </c>
      <c r="J229" s="77">
        <f>IF(Pipeline!$A229="","",IF(Pipeline!AF229="","–",Pipeline!AF229))</f>
        <v/>
      </c>
    </row>
    <row r="230" ht="15" customHeight="1" s="51">
      <c r="A230" s="77">
        <f>IF(Pipeline!$A230="","",IF(Pipeline!H230="","",Pipeline!H230))</f>
        <v/>
      </c>
      <c r="B230" s="77">
        <f>IF(Pipeline!$A230="","",IF(Pipeline!F230="","",Pipeline!F230))</f>
        <v/>
      </c>
      <c r="C230" s="96">
        <f>IF(Pipeline!$A230="","",IF(Pipeline!M230="","",Pipeline!M230))</f>
        <v/>
      </c>
      <c r="D230" s="97">
        <f>IF(Pipeline!$A230="","",IF(Pipeline!Q230="","",Pipeline!Q230))</f>
        <v/>
      </c>
      <c r="E230" s="98">
        <f>IF(Pipeline!$A230="","",IF(Pipeline!T230="","",Pipeline!T230))</f>
        <v/>
      </c>
      <c r="F230" s="77">
        <f>IF(Pipeline!$A230="","",IF(Pipeline!W230="","",Pipeline!W230))</f>
        <v/>
      </c>
      <c r="G230" s="99">
        <f>IF(Pipeline!$A230="","",IF(Pipeline!AH230="","",Pipeline!AH230))</f>
        <v/>
      </c>
      <c r="H230" s="77">
        <f>IF(Pipeline!$A230="","",IF(Pipeline!AI230="","",Pipeline!AI230))</f>
        <v/>
      </c>
      <c r="I230" s="77">
        <f>IF(Pipeline!$A230="","",IF(Pipeline!X230="","",Pipeline!X230))</f>
        <v/>
      </c>
      <c r="J230" s="77">
        <f>IF(Pipeline!$A230="","",IF(Pipeline!AF230="","–",Pipeline!AF230))</f>
        <v/>
      </c>
    </row>
    <row r="231" ht="15" customHeight="1" s="51">
      <c r="A231" s="77">
        <f>IF(Pipeline!$A231="","",IF(Pipeline!H231="","",Pipeline!H231))</f>
        <v/>
      </c>
      <c r="B231" s="77">
        <f>IF(Pipeline!$A231="","",IF(Pipeline!F231="","",Pipeline!F231))</f>
        <v/>
      </c>
      <c r="C231" s="96">
        <f>IF(Pipeline!$A231="","",IF(Pipeline!M231="","",Pipeline!M231))</f>
        <v/>
      </c>
      <c r="D231" s="97">
        <f>IF(Pipeline!$A231="","",IF(Pipeline!Q231="","",Pipeline!Q231))</f>
        <v/>
      </c>
      <c r="E231" s="98">
        <f>IF(Pipeline!$A231="","",IF(Pipeline!T231="","",Pipeline!T231))</f>
        <v/>
      </c>
      <c r="F231" s="77">
        <f>IF(Pipeline!$A231="","",IF(Pipeline!W231="","",Pipeline!W231))</f>
        <v/>
      </c>
      <c r="G231" s="99">
        <f>IF(Pipeline!$A231="","",IF(Pipeline!AH231="","",Pipeline!AH231))</f>
        <v/>
      </c>
      <c r="H231" s="77">
        <f>IF(Pipeline!$A231="","",IF(Pipeline!AI231="","",Pipeline!AI231))</f>
        <v/>
      </c>
      <c r="I231" s="77">
        <f>IF(Pipeline!$A231="","",IF(Pipeline!X231="","",Pipeline!X231))</f>
        <v/>
      </c>
      <c r="J231" s="77">
        <f>IF(Pipeline!$A231="","",IF(Pipeline!AF231="","–",Pipeline!AF231))</f>
        <v/>
      </c>
    </row>
    <row r="232" ht="15" customHeight="1" s="51">
      <c r="A232" s="77">
        <f>IF(Pipeline!$A232="","",IF(Pipeline!H232="","",Pipeline!H232))</f>
        <v/>
      </c>
      <c r="B232" s="77">
        <f>IF(Pipeline!$A232="","",IF(Pipeline!F232="","",Pipeline!F232))</f>
        <v/>
      </c>
      <c r="C232" s="96">
        <f>IF(Pipeline!$A232="","",IF(Pipeline!M232="","",Pipeline!M232))</f>
        <v/>
      </c>
      <c r="D232" s="97">
        <f>IF(Pipeline!$A232="","",IF(Pipeline!Q232="","",Pipeline!Q232))</f>
        <v/>
      </c>
      <c r="E232" s="98">
        <f>IF(Pipeline!$A232="","",IF(Pipeline!T232="","",Pipeline!T232))</f>
        <v/>
      </c>
      <c r="F232" s="77">
        <f>IF(Pipeline!$A232="","",IF(Pipeline!W232="","",Pipeline!W232))</f>
        <v/>
      </c>
      <c r="G232" s="99">
        <f>IF(Pipeline!$A232="","",IF(Pipeline!AH232="","",Pipeline!AH232))</f>
        <v/>
      </c>
      <c r="H232" s="77">
        <f>IF(Pipeline!$A232="","",IF(Pipeline!AI232="","",Pipeline!AI232))</f>
        <v/>
      </c>
      <c r="I232" s="77">
        <f>IF(Pipeline!$A232="","",IF(Pipeline!X232="","",Pipeline!X232))</f>
        <v/>
      </c>
      <c r="J232" s="77">
        <f>IF(Pipeline!$A232="","",IF(Pipeline!AF232="","–",Pipeline!AF232))</f>
        <v/>
      </c>
    </row>
    <row r="233" ht="15" customHeight="1" s="51">
      <c r="A233" s="77">
        <f>IF(Pipeline!$A233="","",IF(Pipeline!H233="","",Pipeline!H233))</f>
        <v/>
      </c>
      <c r="B233" s="77">
        <f>IF(Pipeline!$A233="","",IF(Pipeline!F233="","",Pipeline!F233))</f>
        <v/>
      </c>
      <c r="C233" s="96">
        <f>IF(Pipeline!$A233="","",IF(Pipeline!M233="","",Pipeline!M233))</f>
        <v/>
      </c>
      <c r="D233" s="97">
        <f>IF(Pipeline!$A233="","",IF(Pipeline!Q233="","",Pipeline!Q233))</f>
        <v/>
      </c>
      <c r="E233" s="98">
        <f>IF(Pipeline!$A233="","",IF(Pipeline!T233="","",Pipeline!T233))</f>
        <v/>
      </c>
      <c r="F233" s="77">
        <f>IF(Pipeline!$A233="","",IF(Pipeline!W233="","",Pipeline!W233))</f>
        <v/>
      </c>
      <c r="G233" s="99">
        <f>IF(Pipeline!$A233="","",IF(Pipeline!AH233="","",Pipeline!AH233))</f>
        <v/>
      </c>
      <c r="H233" s="77">
        <f>IF(Pipeline!$A233="","",IF(Pipeline!AI233="","",Pipeline!AI233))</f>
        <v/>
      </c>
      <c r="I233" s="77">
        <f>IF(Pipeline!$A233="","",IF(Pipeline!X233="","",Pipeline!X233))</f>
        <v/>
      </c>
      <c r="J233" s="77">
        <f>IF(Pipeline!$A233="","",IF(Pipeline!AF233="","–",Pipeline!AF233))</f>
        <v/>
      </c>
    </row>
    <row r="234" ht="15" customHeight="1" s="51">
      <c r="A234" s="77">
        <f>IF(Pipeline!$A234="","",IF(Pipeline!H234="","",Pipeline!H234))</f>
        <v/>
      </c>
      <c r="B234" s="77">
        <f>IF(Pipeline!$A234="","",IF(Pipeline!F234="","",Pipeline!F234))</f>
        <v/>
      </c>
      <c r="C234" s="96">
        <f>IF(Pipeline!$A234="","",IF(Pipeline!M234="","",Pipeline!M234))</f>
        <v/>
      </c>
      <c r="D234" s="97">
        <f>IF(Pipeline!$A234="","",IF(Pipeline!Q234="","",Pipeline!Q234))</f>
        <v/>
      </c>
      <c r="E234" s="98">
        <f>IF(Pipeline!$A234="","",IF(Pipeline!T234="","",Pipeline!T234))</f>
        <v/>
      </c>
      <c r="F234" s="77">
        <f>IF(Pipeline!$A234="","",IF(Pipeline!W234="","",Pipeline!W234))</f>
        <v/>
      </c>
      <c r="G234" s="99">
        <f>IF(Pipeline!$A234="","",IF(Pipeline!AH234="","",Pipeline!AH234))</f>
        <v/>
      </c>
      <c r="H234" s="77">
        <f>IF(Pipeline!$A234="","",IF(Pipeline!AI234="","",Pipeline!AI234))</f>
        <v/>
      </c>
      <c r="I234" s="77">
        <f>IF(Pipeline!$A234="","",IF(Pipeline!X234="","",Pipeline!X234))</f>
        <v/>
      </c>
      <c r="J234" s="77">
        <f>IF(Pipeline!$A234="","",IF(Pipeline!AF234="","–",Pipeline!AF234))</f>
        <v/>
      </c>
    </row>
    <row r="235" ht="15" customHeight="1" s="51">
      <c r="A235" s="77">
        <f>IF(Pipeline!$A235="","",IF(Pipeline!H235="","",Pipeline!H235))</f>
        <v/>
      </c>
      <c r="B235" s="77">
        <f>IF(Pipeline!$A235="","",IF(Pipeline!F235="","",Pipeline!F235))</f>
        <v/>
      </c>
      <c r="C235" s="96">
        <f>IF(Pipeline!$A235="","",IF(Pipeline!M235="","",Pipeline!M235))</f>
        <v/>
      </c>
      <c r="D235" s="97">
        <f>IF(Pipeline!$A235="","",IF(Pipeline!Q235="","",Pipeline!Q235))</f>
        <v/>
      </c>
      <c r="E235" s="98">
        <f>IF(Pipeline!$A235="","",IF(Pipeline!T235="","",Pipeline!T235))</f>
        <v/>
      </c>
      <c r="F235" s="77">
        <f>IF(Pipeline!$A235="","",IF(Pipeline!W235="","",Pipeline!W235))</f>
        <v/>
      </c>
      <c r="G235" s="99">
        <f>IF(Pipeline!$A235="","",IF(Pipeline!AH235="","",Pipeline!AH235))</f>
        <v/>
      </c>
      <c r="H235" s="77">
        <f>IF(Pipeline!$A235="","",IF(Pipeline!AI235="","",Pipeline!AI235))</f>
        <v/>
      </c>
      <c r="I235" s="77">
        <f>IF(Pipeline!$A235="","",IF(Pipeline!X235="","",Pipeline!X235))</f>
        <v/>
      </c>
      <c r="J235" s="77">
        <f>IF(Pipeline!$A235="","",IF(Pipeline!AF235="","–",Pipeline!AF235))</f>
        <v/>
      </c>
    </row>
    <row r="236" ht="15" customHeight="1" s="51">
      <c r="A236" s="77">
        <f>IF(Pipeline!$A236="","",IF(Pipeline!H236="","",Pipeline!H236))</f>
        <v/>
      </c>
      <c r="B236" s="77">
        <f>IF(Pipeline!$A236="","",IF(Pipeline!F236="","",Pipeline!F236))</f>
        <v/>
      </c>
      <c r="C236" s="96">
        <f>IF(Pipeline!$A236="","",IF(Pipeline!M236="","",Pipeline!M236))</f>
        <v/>
      </c>
      <c r="D236" s="97">
        <f>IF(Pipeline!$A236="","",IF(Pipeline!Q236="","",Pipeline!Q236))</f>
        <v/>
      </c>
      <c r="E236" s="98">
        <f>IF(Pipeline!$A236="","",IF(Pipeline!T236="","",Pipeline!T236))</f>
        <v/>
      </c>
      <c r="F236" s="77">
        <f>IF(Pipeline!$A236="","",IF(Pipeline!W236="","",Pipeline!W236))</f>
        <v/>
      </c>
      <c r="G236" s="99">
        <f>IF(Pipeline!$A236="","",IF(Pipeline!AH236="","",Pipeline!AH236))</f>
        <v/>
      </c>
      <c r="H236" s="77">
        <f>IF(Pipeline!$A236="","",IF(Pipeline!AI236="","",Pipeline!AI236))</f>
        <v/>
      </c>
      <c r="I236" s="77">
        <f>IF(Pipeline!$A236="","",IF(Pipeline!X236="","",Pipeline!X236))</f>
        <v/>
      </c>
      <c r="J236" s="77">
        <f>IF(Pipeline!$A236="","",IF(Pipeline!AF236="","–",Pipeline!AF236))</f>
        <v/>
      </c>
    </row>
    <row r="237" ht="15" customHeight="1" s="51">
      <c r="A237" s="77">
        <f>IF(Pipeline!$A237="","",IF(Pipeline!H237="","",Pipeline!H237))</f>
        <v/>
      </c>
      <c r="B237" s="77">
        <f>IF(Pipeline!$A237="","",IF(Pipeline!F237="","",Pipeline!F237))</f>
        <v/>
      </c>
      <c r="C237" s="96">
        <f>IF(Pipeline!$A237="","",IF(Pipeline!M237="","",Pipeline!M237))</f>
        <v/>
      </c>
      <c r="D237" s="97">
        <f>IF(Pipeline!$A237="","",IF(Pipeline!Q237="","",Pipeline!Q237))</f>
        <v/>
      </c>
      <c r="E237" s="98">
        <f>IF(Pipeline!$A237="","",IF(Pipeline!T237="","",Pipeline!T237))</f>
        <v/>
      </c>
      <c r="F237" s="77">
        <f>IF(Pipeline!$A237="","",IF(Pipeline!W237="","",Pipeline!W237))</f>
        <v/>
      </c>
      <c r="G237" s="99">
        <f>IF(Pipeline!$A237="","",IF(Pipeline!AH237="","",Pipeline!AH237))</f>
        <v/>
      </c>
      <c r="H237" s="77">
        <f>IF(Pipeline!$A237="","",IF(Pipeline!AI237="","",Pipeline!AI237))</f>
        <v/>
      </c>
      <c r="I237" s="77">
        <f>IF(Pipeline!$A237="","",IF(Pipeline!X237="","",Pipeline!X237))</f>
        <v/>
      </c>
      <c r="J237" s="77">
        <f>IF(Pipeline!$A237="","",IF(Pipeline!AF237="","–",Pipeline!AF237))</f>
        <v/>
      </c>
    </row>
    <row r="238" ht="15" customHeight="1" s="51">
      <c r="A238" s="77">
        <f>IF(Pipeline!$A238="","",IF(Pipeline!H238="","",Pipeline!H238))</f>
        <v/>
      </c>
      <c r="B238" s="77">
        <f>IF(Pipeline!$A238="","",IF(Pipeline!F238="","",Pipeline!F238))</f>
        <v/>
      </c>
      <c r="C238" s="96">
        <f>IF(Pipeline!$A238="","",IF(Pipeline!M238="","",Pipeline!M238))</f>
        <v/>
      </c>
      <c r="D238" s="97">
        <f>IF(Pipeline!$A238="","",IF(Pipeline!Q238="","",Pipeline!Q238))</f>
        <v/>
      </c>
      <c r="E238" s="98">
        <f>IF(Pipeline!$A238="","",IF(Pipeline!T238="","",Pipeline!T238))</f>
        <v/>
      </c>
      <c r="F238" s="77">
        <f>IF(Pipeline!$A238="","",IF(Pipeline!W238="","",Pipeline!W238))</f>
        <v/>
      </c>
      <c r="G238" s="99">
        <f>IF(Pipeline!$A238="","",IF(Pipeline!AH238="","",Pipeline!AH238))</f>
        <v/>
      </c>
      <c r="H238" s="77">
        <f>IF(Pipeline!$A238="","",IF(Pipeline!AI238="","",Pipeline!AI238))</f>
        <v/>
      </c>
      <c r="I238" s="77">
        <f>IF(Pipeline!$A238="","",IF(Pipeline!X238="","",Pipeline!X238))</f>
        <v/>
      </c>
      <c r="J238" s="77">
        <f>IF(Pipeline!$A238="","",IF(Pipeline!AF238="","–",Pipeline!AF238))</f>
        <v/>
      </c>
    </row>
    <row r="239" ht="15" customHeight="1" s="51">
      <c r="A239" s="77">
        <f>IF(Pipeline!$A239="","",IF(Pipeline!H239="","",Pipeline!H239))</f>
        <v/>
      </c>
      <c r="B239" s="77">
        <f>IF(Pipeline!$A239="","",IF(Pipeline!F239="","",Pipeline!F239))</f>
        <v/>
      </c>
      <c r="C239" s="96">
        <f>IF(Pipeline!$A239="","",IF(Pipeline!M239="","",Pipeline!M239))</f>
        <v/>
      </c>
      <c r="D239" s="97">
        <f>IF(Pipeline!$A239="","",IF(Pipeline!Q239="","",Pipeline!Q239))</f>
        <v/>
      </c>
      <c r="E239" s="98">
        <f>IF(Pipeline!$A239="","",IF(Pipeline!T239="","",Pipeline!T239))</f>
        <v/>
      </c>
      <c r="F239" s="77">
        <f>IF(Pipeline!$A239="","",IF(Pipeline!W239="","",Pipeline!W239))</f>
        <v/>
      </c>
      <c r="G239" s="99">
        <f>IF(Pipeline!$A239="","",IF(Pipeline!AH239="","",Pipeline!AH239))</f>
        <v/>
      </c>
      <c r="H239" s="77">
        <f>IF(Pipeline!$A239="","",IF(Pipeline!AI239="","",Pipeline!AI239))</f>
        <v/>
      </c>
      <c r="I239" s="77">
        <f>IF(Pipeline!$A239="","",IF(Pipeline!X239="","",Pipeline!X239))</f>
        <v/>
      </c>
      <c r="J239" s="77">
        <f>IF(Pipeline!$A239="","",IF(Pipeline!AF239="","–",Pipeline!AF239))</f>
        <v/>
      </c>
    </row>
    <row r="240" ht="15" customHeight="1" s="51">
      <c r="A240" s="77">
        <f>IF(Pipeline!$A240="","",IF(Pipeline!H240="","",Pipeline!H240))</f>
        <v/>
      </c>
      <c r="B240" s="77">
        <f>IF(Pipeline!$A240="","",IF(Pipeline!F240="","",Pipeline!F240))</f>
        <v/>
      </c>
      <c r="C240" s="96">
        <f>IF(Pipeline!$A240="","",IF(Pipeline!M240="","",Pipeline!M240))</f>
        <v/>
      </c>
      <c r="D240" s="97">
        <f>IF(Pipeline!$A240="","",IF(Pipeline!Q240="","",Pipeline!Q240))</f>
        <v/>
      </c>
      <c r="E240" s="98">
        <f>IF(Pipeline!$A240="","",IF(Pipeline!T240="","",Pipeline!T240))</f>
        <v/>
      </c>
      <c r="F240" s="77">
        <f>IF(Pipeline!$A240="","",IF(Pipeline!W240="","",Pipeline!W240))</f>
        <v/>
      </c>
      <c r="G240" s="99">
        <f>IF(Pipeline!$A240="","",IF(Pipeline!AH240="","",Pipeline!AH240))</f>
        <v/>
      </c>
      <c r="H240" s="77">
        <f>IF(Pipeline!$A240="","",IF(Pipeline!AI240="","",Pipeline!AI240))</f>
        <v/>
      </c>
      <c r="I240" s="77">
        <f>IF(Pipeline!$A240="","",IF(Pipeline!X240="","",Pipeline!X240))</f>
        <v/>
      </c>
      <c r="J240" s="77">
        <f>IF(Pipeline!$A240="","",IF(Pipeline!AF240="","–",Pipeline!AF240))</f>
        <v/>
      </c>
    </row>
    <row r="241" ht="15" customHeight="1" s="51">
      <c r="A241" s="77">
        <f>IF(Pipeline!$A241="","",IF(Pipeline!H241="","",Pipeline!H241))</f>
        <v/>
      </c>
      <c r="B241" s="77">
        <f>IF(Pipeline!$A241="","",IF(Pipeline!F241="","",Pipeline!F241))</f>
        <v/>
      </c>
      <c r="C241" s="96">
        <f>IF(Pipeline!$A241="","",IF(Pipeline!M241="","",Pipeline!M241))</f>
        <v/>
      </c>
      <c r="D241" s="97">
        <f>IF(Pipeline!$A241="","",IF(Pipeline!Q241="","",Pipeline!Q241))</f>
        <v/>
      </c>
      <c r="E241" s="98">
        <f>IF(Pipeline!$A241="","",IF(Pipeline!T241="","",Pipeline!T241))</f>
        <v/>
      </c>
      <c r="F241" s="77">
        <f>IF(Pipeline!$A241="","",IF(Pipeline!W241="","",Pipeline!W241))</f>
        <v/>
      </c>
      <c r="G241" s="99">
        <f>IF(Pipeline!$A241="","",IF(Pipeline!AH241="","",Pipeline!AH241))</f>
        <v/>
      </c>
      <c r="H241" s="77">
        <f>IF(Pipeline!$A241="","",IF(Pipeline!AI241="","",Pipeline!AI241))</f>
        <v/>
      </c>
      <c r="I241" s="77">
        <f>IF(Pipeline!$A241="","",IF(Pipeline!X241="","",Pipeline!X241))</f>
        <v/>
      </c>
      <c r="J241" s="77">
        <f>IF(Pipeline!$A241="","",IF(Pipeline!AF241="","–",Pipeline!AF241))</f>
        <v/>
      </c>
    </row>
    <row r="242" ht="15" customHeight="1" s="51">
      <c r="A242" s="77">
        <f>IF(Pipeline!$A242="","",IF(Pipeline!H242="","",Pipeline!H242))</f>
        <v/>
      </c>
      <c r="B242" s="77">
        <f>IF(Pipeline!$A242="","",IF(Pipeline!F242="","",Pipeline!F242))</f>
        <v/>
      </c>
      <c r="C242" s="96">
        <f>IF(Pipeline!$A242="","",IF(Pipeline!M242="","",Pipeline!M242))</f>
        <v/>
      </c>
      <c r="D242" s="97">
        <f>IF(Pipeline!$A242="","",IF(Pipeline!Q242="","",Pipeline!Q242))</f>
        <v/>
      </c>
      <c r="E242" s="98">
        <f>IF(Pipeline!$A242="","",IF(Pipeline!T242="","",Pipeline!T242))</f>
        <v/>
      </c>
      <c r="F242" s="77">
        <f>IF(Pipeline!$A242="","",IF(Pipeline!W242="","",Pipeline!W242))</f>
        <v/>
      </c>
      <c r="G242" s="99">
        <f>IF(Pipeline!$A242="","",IF(Pipeline!AH242="","",Pipeline!AH242))</f>
        <v/>
      </c>
      <c r="H242" s="77">
        <f>IF(Pipeline!$A242="","",IF(Pipeline!AI242="","",Pipeline!AI242))</f>
        <v/>
      </c>
      <c r="I242" s="77">
        <f>IF(Pipeline!$A242="","",IF(Pipeline!X242="","",Pipeline!X242))</f>
        <v/>
      </c>
      <c r="J242" s="77">
        <f>IF(Pipeline!$A242="","",IF(Pipeline!AF242="","–",Pipeline!AF242))</f>
        <v/>
      </c>
    </row>
    <row r="243" ht="15" customHeight="1" s="51">
      <c r="A243" s="77">
        <f>IF(Pipeline!$A243="","",IF(Pipeline!H243="","",Pipeline!H243))</f>
        <v/>
      </c>
      <c r="B243" s="77">
        <f>IF(Pipeline!$A243="","",IF(Pipeline!F243="","",Pipeline!F243))</f>
        <v/>
      </c>
      <c r="C243" s="96">
        <f>IF(Pipeline!$A243="","",IF(Pipeline!M243="","",Pipeline!M243))</f>
        <v/>
      </c>
      <c r="D243" s="97">
        <f>IF(Pipeline!$A243="","",IF(Pipeline!Q243="","",Pipeline!Q243))</f>
        <v/>
      </c>
      <c r="E243" s="98">
        <f>IF(Pipeline!$A243="","",IF(Pipeline!T243="","",Pipeline!T243))</f>
        <v/>
      </c>
      <c r="F243" s="77">
        <f>IF(Pipeline!$A243="","",IF(Pipeline!W243="","",Pipeline!W243))</f>
        <v/>
      </c>
      <c r="G243" s="99">
        <f>IF(Pipeline!$A243="","",IF(Pipeline!AH243="","",Pipeline!AH243))</f>
        <v/>
      </c>
      <c r="H243" s="77">
        <f>IF(Pipeline!$A243="","",IF(Pipeline!AI243="","",Pipeline!AI243))</f>
        <v/>
      </c>
      <c r="I243" s="77">
        <f>IF(Pipeline!$A243="","",IF(Pipeline!X243="","",Pipeline!X243))</f>
        <v/>
      </c>
      <c r="J243" s="77">
        <f>IF(Pipeline!$A243="","",IF(Pipeline!AF243="","–",Pipeline!AF243))</f>
        <v/>
      </c>
    </row>
    <row r="244" ht="15" customHeight="1" s="51">
      <c r="A244" s="77">
        <f>IF(Pipeline!$A244="","",IF(Pipeline!H244="","",Pipeline!H244))</f>
        <v/>
      </c>
      <c r="B244" s="77">
        <f>IF(Pipeline!$A244="","",IF(Pipeline!F244="","",Pipeline!F244))</f>
        <v/>
      </c>
      <c r="C244" s="96">
        <f>IF(Pipeline!$A244="","",IF(Pipeline!M244="","",Pipeline!M244))</f>
        <v/>
      </c>
      <c r="D244" s="97">
        <f>IF(Pipeline!$A244="","",IF(Pipeline!Q244="","",Pipeline!Q244))</f>
        <v/>
      </c>
      <c r="E244" s="98">
        <f>IF(Pipeline!$A244="","",IF(Pipeline!T244="","",Pipeline!T244))</f>
        <v/>
      </c>
      <c r="F244" s="77">
        <f>IF(Pipeline!$A244="","",IF(Pipeline!W244="","",Pipeline!W244))</f>
        <v/>
      </c>
      <c r="G244" s="99">
        <f>IF(Pipeline!$A244="","",IF(Pipeline!AH244="","",Pipeline!AH244))</f>
        <v/>
      </c>
      <c r="H244" s="77">
        <f>IF(Pipeline!$A244="","",IF(Pipeline!AI244="","",Pipeline!AI244))</f>
        <v/>
      </c>
      <c r="I244" s="77">
        <f>IF(Pipeline!$A244="","",IF(Pipeline!X244="","",Pipeline!X244))</f>
        <v/>
      </c>
      <c r="J244" s="77">
        <f>IF(Pipeline!$A244="","",IF(Pipeline!AF244="","–",Pipeline!AF244))</f>
        <v/>
      </c>
    </row>
    <row r="245" ht="15" customHeight="1" s="51">
      <c r="A245" s="77">
        <f>IF(Pipeline!$A245="","",IF(Pipeline!H245="","",Pipeline!H245))</f>
        <v/>
      </c>
      <c r="B245" s="77">
        <f>IF(Pipeline!$A245="","",IF(Pipeline!F245="","",Pipeline!F245))</f>
        <v/>
      </c>
      <c r="C245" s="96">
        <f>IF(Pipeline!$A245="","",IF(Pipeline!M245="","",Pipeline!M245))</f>
        <v/>
      </c>
      <c r="D245" s="97">
        <f>IF(Pipeline!$A245="","",IF(Pipeline!Q245="","",Pipeline!Q245))</f>
        <v/>
      </c>
      <c r="E245" s="98">
        <f>IF(Pipeline!$A245="","",IF(Pipeline!T245="","",Pipeline!T245))</f>
        <v/>
      </c>
      <c r="F245" s="77">
        <f>IF(Pipeline!$A245="","",IF(Pipeline!W245="","",Pipeline!W245))</f>
        <v/>
      </c>
      <c r="G245" s="99">
        <f>IF(Pipeline!$A245="","",IF(Pipeline!AH245="","",Pipeline!AH245))</f>
        <v/>
      </c>
      <c r="H245" s="77">
        <f>IF(Pipeline!$A245="","",IF(Pipeline!AI245="","",Pipeline!AI245))</f>
        <v/>
      </c>
      <c r="I245" s="77">
        <f>IF(Pipeline!$A245="","",IF(Pipeline!X245="","",Pipeline!X245))</f>
        <v/>
      </c>
      <c r="J245" s="77">
        <f>IF(Pipeline!$A245="","",IF(Pipeline!AF245="","–",Pipeline!AF245))</f>
        <v/>
      </c>
    </row>
    <row r="246" ht="15" customHeight="1" s="51">
      <c r="A246" s="77">
        <f>IF(Pipeline!$A246="","",IF(Pipeline!H246="","",Pipeline!H246))</f>
        <v/>
      </c>
      <c r="B246" s="77">
        <f>IF(Pipeline!$A246="","",IF(Pipeline!F246="","",Pipeline!F246))</f>
        <v/>
      </c>
      <c r="C246" s="96">
        <f>IF(Pipeline!$A246="","",IF(Pipeline!M246="","",Pipeline!M246))</f>
        <v/>
      </c>
      <c r="D246" s="97">
        <f>IF(Pipeline!$A246="","",IF(Pipeline!Q246="","",Pipeline!Q246))</f>
        <v/>
      </c>
      <c r="E246" s="98">
        <f>IF(Pipeline!$A246="","",IF(Pipeline!T246="","",Pipeline!T246))</f>
        <v/>
      </c>
      <c r="F246" s="77">
        <f>IF(Pipeline!$A246="","",IF(Pipeline!W246="","",Pipeline!W246))</f>
        <v/>
      </c>
      <c r="G246" s="99">
        <f>IF(Pipeline!$A246="","",IF(Pipeline!AH246="","",Pipeline!AH246))</f>
        <v/>
      </c>
      <c r="H246" s="77">
        <f>IF(Pipeline!$A246="","",IF(Pipeline!AI246="","",Pipeline!AI246))</f>
        <v/>
      </c>
      <c r="I246" s="77">
        <f>IF(Pipeline!$A246="","",IF(Pipeline!X246="","",Pipeline!X246))</f>
        <v/>
      </c>
      <c r="J246" s="77">
        <f>IF(Pipeline!$A246="","",IF(Pipeline!AF246="","–",Pipeline!AF246))</f>
        <v/>
      </c>
    </row>
    <row r="247" ht="15" customHeight="1" s="51">
      <c r="A247" s="77">
        <f>IF(Pipeline!$A247="","",IF(Pipeline!H247="","",Pipeline!H247))</f>
        <v/>
      </c>
      <c r="B247" s="77">
        <f>IF(Pipeline!$A247="","",IF(Pipeline!F247="","",Pipeline!F247))</f>
        <v/>
      </c>
      <c r="C247" s="96">
        <f>IF(Pipeline!$A247="","",IF(Pipeline!M247="","",Pipeline!M247))</f>
        <v/>
      </c>
      <c r="D247" s="97">
        <f>IF(Pipeline!$A247="","",IF(Pipeline!Q247="","",Pipeline!Q247))</f>
        <v/>
      </c>
      <c r="E247" s="98">
        <f>IF(Pipeline!$A247="","",IF(Pipeline!T247="","",Pipeline!T247))</f>
        <v/>
      </c>
      <c r="F247" s="77">
        <f>IF(Pipeline!$A247="","",IF(Pipeline!W247="","",Pipeline!W247))</f>
        <v/>
      </c>
      <c r="G247" s="99">
        <f>IF(Pipeline!$A247="","",IF(Pipeline!AH247="","",Pipeline!AH247))</f>
        <v/>
      </c>
      <c r="H247" s="77">
        <f>IF(Pipeline!$A247="","",IF(Pipeline!AI247="","",Pipeline!AI247))</f>
        <v/>
      </c>
      <c r="I247" s="77">
        <f>IF(Pipeline!$A247="","",IF(Pipeline!X247="","",Pipeline!X247))</f>
        <v/>
      </c>
      <c r="J247" s="77">
        <f>IF(Pipeline!$A247="","",IF(Pipeline!AF247="","–",Pipeline!AF247))</f>
        <v/>
      </c>
    </row>
    <row r="248" ht="15" customHeight="1" s="51">
      <c r="A248" s="77">
        <f>IF(Pipeline!$A248="","",IF(Pipeline!H248="","",Pipeline!H248))</f>
        <v/>
      </c>
      <c r="B248" s="77">
        <f>IF(Pipeline!$A248="","",IF(Pipeline!F248="","",Pipeline!F248))</f>
        <v/>
      </c>
      <c r="C248" s="96">
        <f>IF(Pipeline!$A248="","",IF(Pipeline!M248="","",Pipeline!M248))</f>
        <v/>
      </c>
      <c r="D248" s="97">
        <f>IF(Pipeline!$A248="","",IF(Pipeline!Q248="","",Pipeline!Q248))</f>
        <v/>
      </c>
      <c r="E248" s="98">
        <f>IF(Pipeline!$A248="","",IF(Pipeline!T248="","",Pipeline!T248))</f>
        <v/>
      </c>
      <c r="F248" s="77">
        <f>IF(Pipeline!$A248="","",IF(Pipeline!W248="","",Pipeline!W248))</f>
        <v/>
      </c>
      <c r="G248" s="99">
        <f>IF(Pipeline!$A248="","",IF(Pipeline!AH248="","",Pipeline!AH248))</f>
        <v/>
      </c>
      <c r="H248" s="77">
        <f>IF(Pipeline!$A248="","",IF(Pipeline!AI248="","",Pipeline!AI248))</f>
        <v/>
      </c>
      <c r="I248" s="77">
        <f>IF(Pipeline!$A248="","",IF(Pipeline!X248="","",Pipeline!X248))</f>
        <v/>
      </c>
      <c r="J248" s="77">
        <f>IF(Pipeline!$A248="","",IF(Pipeline!AF248="","–",Pipeline!AF248))</f>
        <v/>
      </c>
    </row>
    <row r="249" ht="15" customHeight="1" s="51">
      <c r="A249" s="77">
        <f>IF(Pipeline!$A249="","",IF(Pipeline!H249="","",Pipeline!H249))</f>
        <v/>
      </c>
      <c r="B249" s="77">
        <f>IF(Pipeline!$A249="","",IF(Pipeline!F249="","",Pipeline!F249))</f>
        <v/>
      </c>
      <c r="C249" s="96">
        <f>IF(Pipeline!$A249="","",IF(Pipeline!M249="","",Pipeline!M249))</f>
        <v/>
      </c>
      <c r="D249" s="97">
        <f>IF(Pipeline!$A249="","",IF(Pipeline!Q249="","",Pipeline!Q249))</f>
        <v/>
      </c>
      <c r="E249" s="98">
        <f>IF(Pipeline!$A249="","",IF(Pipeline!T249="","",Pipeline!T249))</f>
        <v/>
      </c>
      <c r="F249" s="77">
        <f>IF(Pipeline!$A249="","",IF(Pipeline!W249="","",Pipeline!W249))</f>
        <v/>
      </c>
      <c r="G249" s="99">
        <f>IF(Pipeline!$A249="","",IF(Pipeline!AH249="","",Pipeline!AH249))</f>
        <v/>
      </c>
      <c r="H249" s="77">
        <f>IF(Pipeline!$A249="","",IF(Pipeline!AI249="","",Pipeline!AI249))</f>
        <v/>
      </c>
      <c r="I249" s="77">
        <f>IF(Pipeline!$A249="","",IF(Pipeline!X249="","",Pipeline!X249))</f>
        <v/>
      </c>
      <c r="J249" s="77">
        <f>IF(Pipeline!$A249="","",IF(Pipeline!AF249="","–",Pipeline!AF249))</f>
        <v/>
      </c>
    </row>
    <row r="250" ht="15" customHeight="1" s="51">
      <c r="A250" s="77">
        <f>IF(Pipeline!$A250="","",IF(Pipeline!H250="","",Pipeline!H250))</f>
        <v/>
      </c>
      <c r="B250" s="77">
        <f>IF(Pipeline!$A250="","",IF(Pipeline!F250="","",Pipeline!F250))</f>
        <v/>
      </c>
      <c r="C250" s="96">
        <f>IF(Pipeline!$A250="","",IF(Pipeline!M250="","",Pipeline!M250))</f>
        <v/>
      </c>
      <c r="D250" s="97">
        <f>IF(Pipeline!$A250="","",IF(Pipeline!Q250="","",Pipeline!Q250))</f>
        <v/>
      </c>
      <c r="E250" s="98">
        <f>IF(Pipeline!$A250="","",IF(Pipeline!T250="","",Pipeline!T250))</f>
        <v/>
      </c>
      <c r="F250" s="77">
        <f>IF(Pipeline!$A250="","",IF(Pipeline!W250="","",Pipeline!W250))</f>
        <v/>
      </c>
      <c r="G250" s="99">
        <f>IF(Pipeline!$A250="","",IF(Pipeline!AH250="","",Pipeline!AH250))</f>
        <v/>
      </c>
      <c r="H250" s="77">
        <f>IF(Pipeline!$A250="","",IF(Pipeline!AI250="","",Pipeline!AI250))</f>
        <v/>
      </c>
      <c r="I250" s="77">
        <f>IF(Pipeline!$A250="","",IF(Pipeline!X250="","",Pipeline!X250))</f>
        <v/>
      </c>
      <c r="J250" s="77">
        <f>IF(Pipeline!$A250="","",IF(Pipeline!AF250="","–",Pipeline!AF250))</f>
        <v/>
      </c>
    </row>
    <row r="251" ht="15" customHeight="1" s="51">
      <c r="A251" s="77">
        <f>IF(Pipeline!$A251="","",IF(Pipeline!H251="","",Pipeline!H251))</f>
        <v/>
      </c>
      <c r="B251" s="77">
        <f>IF(Pipeline!$A251="","",IF(Pipeline!F251="","",Pipeline!F251))</f>
        <v/>
      </c>
      <c r="C251" s="96">
        <f>IF(Pipeline!$A251="","",IF(Pipeline!M251="","",Pipeline!M251))</f>
        <v/>
      </c>
      <c r="D251" s="97">
        <f>IF(Pipeline!$A251="","",IF(Pipeline!Q251="","",Pipeline!Q251))</f>
        <v/>
      </c>
      <c r="E251" s="98">
        <f>IF(Pipeline!$A251="","",IF(Pipeline!T251="","",Pipeline!T251))</f>
        <v/>
      </c>
      <c r="F251" s="77">
        <f>IF(Pipeline!$A251="","",IF(Pipeline!W251="","",Pipeline!W251))</f>
        <v/>
      </c>
      <c r="G251" s="99">
        <f>IF(Pipeline!$A251="","",IF(Pipeline!AH251="","",Pipeline!AH251))</f>
        <v/>
      </c>
      <c r="H251" s="77">
        <f>IF(Pipeline!$A251="","",IF(Pipeline!AI251="","",Pipeline!AI251))</f>
        <v/>
      </c>
      <c r="I251" s="77">
        <f>IF(Pipeline!$A251="","",IF(Pipeline!X251="","",Pipeline!X251))</f>
        <v/>
      </c>
      <c r="J251" s="77">
        <f>IF(Pipeline!$A251="","",IF(Pipeline!AF251="","–",Pipeline!AF251))</f>
        <v/>
      </c>
    </row>
    <row r="252" ht="15" customHeight="1" s="51">
      <c r="A252" s="77">
        <f>IF(Pipeline!$A252="","",IF(Pipeline!H252="","",Pipeline!H252))</f>
        <v/>
      </c>
      <c r="B252" s="77">
        <f>IF(Pipeline!$A252="","",IF(Pipeline!F252="","",Pipeline!F252))</f>
        <v/>
      </c>
      <c r="C252" s="96">
        <f>IF(Pipeline!$A252="","",IF(Pipeline!M252="","",Pipeline!M252))</f>
        <v/>
      </c>
      <c r="D252" s="97">
        <f>IF(Pipeline!$A252="","",IF(Pipeline!Q252="","",Pipeline!Q252))</f>
        <v/>
      </c>
      <c r="E252" s="98">
        <f>IF(Pipeline!$A252="","",IF(Pipeline!T252="","",Pipeline!T252))</f>
        <v/>
      </c>
      <c r="F252" s="77">
        <f>IF(Pipeline!$A252="","",IF(Pipeline!W252="","",Pipeline!W252))</f>
        <v/>
      </c>
      <c r="G252" s="99">
        <f>IF(Pipeline!$A252="","",IF(Pipeline!AH252="","",Pipeline!AH252))</f>
        <v/>
      </c>
      <c r="H252" s="77">
        <f>IF(Pipeline!$A252="","",IF(Pipeline!AI252="","",Pipeline!AI252))</f>
        <v/>
      </c>
      <c r="I252" s="77">
        <f>IF(Pipeline!$A252="","",IF(Pipeline!X252="","",Pipeline!X252))</f>
        <v/>
      </c>
      <c r="J252" s="77">
        <f>IF(Pipeline!$A252="","",IF(Pipeline!AF252="","–",Pipeline!AF252))</f>
        <v/>
      </c>
    </row>
    <row r="253" ht="15" customHeight="1" s="51">
      <c r="A253" s="77">
        <f>IF(Pipeline!$A253="","",IF(Pipeline!H253="","",Pipeline!H253))</f>
        <v/>
      </c>
      <c r="B253" s="77">
        <f>IF(Pipeline!$A253="","",IF(Pipeline!F253="","",Pipeline!F253))</f>
        <v/>
      </c>
      <c r="C253" s="96">
        <f>IF(Pipeline!$A253="","",IF(Pipeline!M253="","",Pipeline!M253))</f>
        <v/>
      </c>
      <c r="D253" s="97">
        <f>IF(Pipeline!$A253="","",IF(Pipeline!Q253="","",Pipeline!Q253))</f>
        <v/>
      </c>
      <c r="E253" s="98">
        <f>IF(Pipeline!$A253="","",IF(Pipeline!T253="","",Pipeline!T253))</f>
        <v/>
      </c>
      <c r="F253" s="77">
        <f>IF(Pipeline!$A253="","",IF(Pipeline!W253="","",Pipeline!W253))</f>
        <v/>
      </c>
      <c r="G253" s="99">
        <f>IF(Pipeline!$A253="","",IF(Pipeline!AH253="","",Pipeline!AH253))</f>
        <v/>
      </c>
      <c r="H253" s="77">
        <f>IF(Pipeline!$A253="","",IF(Pipeline!AI253="","",Pipeline!AI253))</f>
        <v/>
      </c>
      <c r="I253" s="77">
        <f>IF(Pipeline!$A253="","",IF(Pipeline!X253="","",Pipeline!X253))</f>
        <v/>
      </c>
      <c r="J253" s="77">
        <f>IF(Pipeline!$A253="","",IF(Pipeline!AF253="","–",Pipeline!AF253))</f>
        <v/>
      </c>
    </row>
    <row r="254" ht="15" customHeight="1" s="51">
      <c r="A254" s="77">
        <f>IF(Pipeline!$A254="","",IF(Pipeline!H254="","",Pipeline!H254))</f>
        <v/>
      </c>
      <c r="B254" s="77">
        <f>IF(Pipeline!$A254="","",IF(Pipeline!F254="","",Pipeline!F254))</f>
        <v/>
      </c>
      <c r="C254" s="96">
        <f>IF(Pipeline!$A254="","",IF(Pipeline!M254="","",Pipeline!M254))</f>
        <v/>
      </c>
      <c r="D254" s="97">
        <f>IF(Pipeline!$A254="","",IF(Pipeline!Q254="","",Pipeline!Q254))</f>
        <v/>
      </c>
      <c r="E254" s="98">
        <f>IF(Pipeline!$A254="","",IF(Pipeline!T254="","",Pipeline!T254))</f>
        <v/>
      </c>
      <c r="F254" s="77">
        <f>IF(Pipeline!$A254="","",IF(Pipeline!W254="","",Pipeline!W254))</f>
        <v/>
      </c>
      <c r="G254" s="99">
        <f>IF(Pipeline!$A254="","",IF(Pipeline!AH254="","",Pipeline!AH254))</f>
        <v/>
      </c>
      <c r="H254" s="77">
        <f>IF(Pipeline!$A254="","",IF(Pipeline!AI254="","",Pipeline!AI254))</f>
        <v/>
      </c>
      <c r="I254" s="77">
        <f>IF(Pipeline!$A254="","",IF(Pipeline!X254="","",Pipeline!X254))</f>
        <v/>
      </c>
      <c r="J254" s="77">
        <f>IF(Pipeline!$A254="","",IF(Pipeline!AF254="","–",Pipeline!AF254))</f>
        <v/>
      </c>
    </row>
    <row r="255" ht="15" customHeight="1" s="51">
      <c r="A255" s="77">
        <f>IF(Pipeline!$A255="","",IF(Pipeline!H255="","",Pipeline!H255))</f>
        <v/>
      </c>
      <c r="B255" s="77">
        <f>IF(Pipeline!$A255="","",IF(Pipeline!F255="","",Pipeline!F255))</f>
        <v/>
      </c>
      <c r="C255" s="96">
        <f>IF(Pipeline!$A255="","",IF(Pipeline!M255="","",Pipeline!M255))</f>
        <v/>
      </c>
      <c r="D255" s="97">
        <f>IF(Pipeline!$A255="","",IF(Pipeline!Q255="","",Pipeline!Q255))</f>
        <v/>
      </c>
      <c r="E255" s="98">
        <f>IF(Pipeline!$A255="","",IF(Pipeline!T255="","",Pipeline!T255))</f>
        <v/>
      </c>
      <c r="F255" s="77">
        <f>IF(Pipeline!$A255="","",IF(Pipeline!W255="","",Pipeline!W255))</f>
        <v/>
      </c>
      <c r="G255" s="99">
        <f>IF(Pipeline!$A255="","",IF(Pipeline!AH255="","",Pipeline!AH255))</f>
        <v/>
      </c>
      <c r="H255" s="77">
        <f>IF(Pipeline!$A255="","",IF(Pipeline!AI255="","",Pipeline!AI255))</f>
        <v/>
      </c>
      <c r="I255" s="77">
        <f>IF(Pipeline!$A255="","",IF(Pipeline!X255="","",Pipeline!X255))</f>
        <v/>
      </c>
      <c r="J255" s="77">
        <f>IF(Pipeline!$A255="","",IF(Pipeline!AF255="","–",Pipeline!AF255))</f>
        <v/>
      </c>
    </row>
    <row r="256" ht="15" customHeight="1" s="51">
      <c r="A256" s="77">
        <f>IF(Pipeline!$A256="","",IF(Pipeline!H256="","",Pipeline!H256))</f>
        <v/>
      </c>
      <c r="B256" s="77">
        <f>IF(Pipeline!$A256="","",IF(Pipeline!F256="","",Pipeline!F256))</f>
        <v/>
      </c>
      <c r="C256" s="96">
        <f>IF(Pipeline!$A256="","",IF(Pipeline!M256="","",Pipeline!M256))</f>
        <v/>
      </c>
      <c r="D256" s="97">
        <f>IF(Pipeline!$A256="","",IF(Pipeline!Q256="","",Pipeline!Q256))</f>
        <v/>
      </c>
      <c r="E256" s="98">
        <f>IF(Pipeline!$A256="","",IF(Pipeline!T256="","",Pipeline!T256))</f>
        <v/>
      </c>
      <c r="F256" s="77">
        <f>IF(Pipeline!$A256="","",IF(Pipeline!W256="","",Pipeline!W256))</f>
        <v/>
      </c>
      <c r="G256" s="99">
        <f>IF(Pipeline!$A256="","",IF(Pipeline!AH256="","",Pipeline!AH256))</f>
        <v/>
      </c>
      <c r="H256" s="77">
        <f>IF(Pipeline!$A256="","",IF(Pipeline!AI256="","",Pipeline!AI256))</f>
        <v/>
      </c>
      <c r="I256" s="77">
        <f>IF(Pipeline!$A256="","",IF(Pipeline!X256="","",Pipeline!X256))</f>
        <v/>
      </c>
      <c r="J256" s="77">
        <f>IF(Pipeline!$A256="","",IF(Pipeline!AF256="","–",Pipeline!AF256))</f>
        <v/>
      </c>
    </row>
    <row r="257" ht="15" customHeight="1" s="51">
      <c r="A257" s="77">
        <f>IF(Pipeline!$A257="","",IF(Pipeline!H257="","",Pipeline!H257))</f>
        <v/>
      </c>
      <c r="B257" s="77">
        <f>IF(Pipeline!$A257="","",IF(Pipeline!F257="","",Pipeline!F257))</f>
        <v/>
      </c>
      <c r="C257" s="96">
        <f>IF(Pipeline!$A257="","",IF(Pipeline!M257="","",Pipeline!M257))</f>
        <v/>
      </c>
      <c r="D257" s="97">
        <f>IF(Pipeline!$A257="","",IF(Pipeline!Q257="","",Pipeline!Q257))</f>
        <v/>
      </c>
      <c r="E257" s="98">
        <f>IF(Pipeline!$A257="","",IF(Pipeline!T257="","",Pipeline!T257))</f>
        <v/>
      </c>
      <c r="F257" s="77">
        <f>IF(Pipeline!$A257="","",IF(Pipeline!W257="","",Pipeline!W257))</f>
        <v/>
      </c>
      <c r="G257" s="99">
        <f>IF(Pipeline!$A257="","",IF(Pipeline!AH257="","",Pipeline!AH257))</f>
        <v/>
      </c>
      <c r="H257" s="77">
        <f>IF(Pipeline!$A257="","",IF(Pipeline!AI257="","",Pipeline!AI257))</f>
        <v/>
      </c>
      <c r="I257" s="77">
        <f>IF(Pipeline!$A257="","",IF(Pipeline!X257="","",Pipeline!X257))</f>
        <v/>
      </c>
      <c r="J257" s="77">
        <f>IF(Pipeline!$A257="","",IF(Pipeline!AF257="","–",Pipeline!AF257))</f>
        <v/>
      </c>
    </row>
    <row r="258" ht="15" customHeight="1" s="51">
      <c r="A258" s="77">
        <f>IF(Pipeline!$A258="","",IF(Pipeline!H258="","",Pipeline!H258))</f>
        <v/>
      </c>
      <c r="B258" s="77">
        <f>IF(Pipeline!$A258="","",IF(Pipeline!F258="","",Pipeline!F258))</f>
        <v/>
      </c>
      <c r="C258" s="96">
        <f>IF(Pipeline!$A258="","",IF(Pipeline!M258="","",Pipeline!M258))</f>
        <v/>
      </c>
      <c r="D258" s="97">
        <f>IF(Pipeline!$A258="","",IF(Pipeline!Q258="","",Pipeline!Q258))</f>
        <v/>
      </c>
      <c r="E258" s="98">
        <f>IF(Pipeline!$A258="","",IF(Pipeline!T258="","",Pipeline!T258))</f>
        <v/>
      </c>
      <c r="F258" s="77">
        <f>IF(Pipeline!$A258="","",IF(Pipeline!W258="","",Pipeline!W258))</f>
        <v/>
      </c>
      <c r="G258" s="99">
        <f>IF(Pipeline!$A258="","",IF(Pipeline!AH258="","",Pipeline!AH258))</f>
        <v/>
      </c>
      <c r="H258" s="77">
        <f>IF(Pipeline!$A258="","",IF(Pipeline!AI258="","",Pipeline!AI258))</f>
        <v/>
      </c>
      <c r="I258" s="77">
        <f>IF(Pipeline!$A258="","",IF(Pipeline!X258="","",Pipeline!X258))</f>
        <v/>
      </c>
      <c r="J258" s="77">
        <f>IF(Pipeline!$A258="","",IF(Pipeline!AF258="","–",Pipeline!AF258))</f>
        <v/>
      </c>
    </row>
    <row r="259" ht="15" customHeight="1" s="51">
      <c r="A259" s="77">
        <f>IF(Pipeline!$A259="","",IF(Pipeline!H259="","",Pipeline!H259))</f>
        <v/>
      </c>
      <c r="B259" s="77">
        <f>IF(Pipeline!$A259="","",IF(Pipeline!F259="","",Pipeline!F259))</f>
        <v/>
      </c>
      <c r="C259" s="96">
        <f>IF(Pipeline!$A259="","",IF(Pipeline!M259="","",Pipeline!M259))</f>
        <v/>
      </c>
      <c r="D259" s="97">
        <f>IF(Pipeline!$A259="","",IF(Pipeline!Q259="","",Pipeline!Q259))</f>
        <v/>
      </c>
      <c r="E259" s="98">
        <f>IF(Pipeline!$A259="","",IF(Pipeline!T259="","",Pipeline!T259))</f>
        <v/>
      </c>
      <c r="F259" s="77">
        <f>IF(Pipeline!$A259="","",IF(Pipeline!W259="","",Pipeline!W259))</f>
        <v/>
      </c>
      <c r="G259" s="99">
        <f>IF(Pipeline!$A259="","",IF(Pipeline!AH259="","",Pipeline!AH259))</f>
        <v/>
      </c>
      <c r="H259" s="77">
        <f>IF(Pipeline!$A259="","",IF(Pipeline!AI259="","",Pipeline!AI259))</f>
        <v/>
      </c>
      <c r="I259" s="77">
        <f>IF(Pipeline!$A259="","",IF(Pipeline!X259="","",Pipeline!X259))</f>
        <v/>
      </c>
      <c r="J259" s="77">
        <f>IF(Pipeline!$A259="","",IF(Pipeline!AF259="","–",Pipeline!AF259))</f>
        <v/>
      </c>
    </row>
    <row r="260" ht="15" customHeight="1" s="51">
      <c r="A260" s="77">
        <f>IF(Pipeline!$A260="","",IF(Pipeline!H260="","",Pipeline!H260))</f>
        <v/>
      </c>
      <c r="B260" s="77">
        <f>IF(Pipeline!$A260="","",IF(Pipeline!F260="","",Pipeline!F260))</f>
        <v/>
      </c>
      <c r="C260" s="96">
        <f>IF(Pipeline!$A260="","",IF(Pipeline!M260="","",Pipeline!M260))</f>
        <v/>
      </c>
      <c r="D260" s="97">
        <f>IF(Pipeline!$A260="","",IF(Pipeline!Q260="","",Pipeline!Q260))</f>
        <v/>
      </c>
      <c r="E260" s="98">
        <f>IF(Pipeline!$A260="","",IF(Pipeline!T260="","",Pipeline!T260))</f>
        <v/>
      </c>
      <c r="F260" s="77">
        <f>IF(Pipeline!$A260="","",IF(Pipeline!W260="","",Pipeline!W260))</f>
        <v/>
      </c>
      <c r="G260" s="99">
        <f>IF(Pipeline!$A260="","",IF(Pipeline!AH260="","",Pipeline!AH260))</f>
        <v/>
      </c>
      <c r="H260" s="77">
        <f>IF(Pipeline!$A260="","",IF(Pipeline!AI260="","",Pipeline!AI260))</f>
        <v/>
      </c>
      <c r="I260" s="77">
        <f>IF(Pipeline!$A260="","",IF(Pipeline!X260="","",Pipeline!X260))</f>
        <v/>
      </c>
      <c r="J260" s="77">
        <f>IF(Pipeline!$A260="","",IF(Pipeline!AF260="","–",Pipeline!AF260))</f>
        <v/>
      </c>
    </row>
    <row r="261" ht="15" customHeight="1" s="51">
      <c r="A261" s="77">
        <f>IF(Pipeline!$A261="","",IF(Pipeline!H261="","",Pipeline!H261))</f>
        <v/>
      </c>
      <c r="B261" s="77">
        <f>IF(Pipeline!$A261="","",IF(Pipeline!F261="","",Pipeline!F261))</f>
        <v/>
      </c>
      <c r="C261" s="96">
        <f>IF(Pipeline!$A261="","",IF(Pipeline!M261="","",Pipeline!M261))</f>
        <v/>
      </c>
      <c r="D261" s="97">
        <f>IF(Pipeline!$A261="","",IF(Pipeline!Q261="","",Pipeline!Q261))</f>
        <v/>
      </c>
      <c r="E261" s="98">
        <f>IF(Pipeline!$A261="","",IF(Pipeline!T261="","",Pipeline!T261))</f>
        <v/>
      </c>
      <c r="F261" s="77">
        <f>IF(Pipeline!$A261="","",IF(Pipeline!W261="","",Pipeline!W261))</f>
        <v/>
      </c>
      <c r="G261" s="99">
        <f>IF(Pipeline!$A261="","",IF(Pipeline!AH261="","",Pipeline!AH261))</f>
        <v/>
      </c>
      <c r="H261" s="77">
        <f>IF(Pipeline!$A261="","",IF(Pipeline!AI261="","",Pipeline!AI261))</f>
        <v/>
      </c>
      <c r="I261" s="77">
        <f>IF(Pipeline!$A261="","",IF(Pipeline!X261="","",Pipeline!X261))</f>
        <v/>
      </c>
      <c r="J261" s="77">
        <f>IF(Pipeline!$A261="","",IF(Pipeline!AF261="","–",Pipeline!AF261))</f>
        <v/>
      </c>
    </row>
    <row r="262" ht="15" customHeight="1" s="51">
      <c r="A262" s="77">
        <f>IF(Pipeline!$A262="","",IF(Pipeline!H262="","",Pipeline!H262))</f>
        <v/>
      </c>
      <c r="B262" s="77">
        <f>IF(Pipeline!$A262="","",IF(Pipeline!F262="","",Pipeline!F262))</f>
        <v/>
      </c>
      <c r="C262" s="96">
        <f>IF(Pipeline!$A262="","",IF(Pipeline!M262="","",Pipeline!M262))</f>
        <v/>
      </c>
      <c r="D262" s="97">
        <f>IF(Pipeline!$A262="","",IF(Pipeline!Q262="","",Pipeline!Q262))</f>
        <v/>
      </c>
      <c r="E262" s="98">
        <f>IF(Pipeline!$A262="","",IF(Pipeline!T262="","",Pipeline!T262))</f>
        <v/>
      </c>
      <c r="F262" s="77">
        <f>IF(Pipeline!$A262="","",IF(Pipeline!W262="","",Pipeline!W262))</f>
        <v/>
      </c>
      <c r="G262" s="99">
        <f>IF(Pipeline!$A262="","",IF(Pipeline!AH262="","",Pipeline!AH262))</f>
        <v/>
      </c>
      <c r="H262" s="77">
        <f>IF(Pipeline!$A262="","",IF(Pipeline!AI262="","",Pipeline!AI262))</f>
        <v/>
      </c>
      <c r="I262" s="77">
        <f>IF(Pipeline!$A262="","",IF(Pipeline!X262="","",Pipeline!X262))</f>
        <v/>
      </c>
      <c r="J262" s="77">
        <f>IF(Pipeline!$A262="","",IF(Pipeline!AF262="","–",Pipeline!AF262))</f>
        <v/>
      </c>
    </row>
    <row r="263" ht="15" customHeight="1" s="51">
      <c r="A263" s="77">
        <f>IF(Pipeline!$A263="","",IF(Pipeline!H263="","",Pipeline!H263))</f>
        <v/>
      </c>
      <c r="B263" s="77">
        <f>IF(Pipeline!$A263="","",IF(Pipeline!F263="","",Pipeline!F263))</f>
        <v/>
      </c>
      <c r="C263" s="96">
        <f>IF(Pipeline!$A263="","",IF(Pipeline!M263="","",Pipeline!M263))</f>
        <v/>
      </c>
      <c r="D263" s="97">
        <f>IF(Pipeline!$A263="","",IF(Pipeline!Q263="","",Pipeline!Q263))</f>
        <v/>
      </c>
      <c r="E263" s="98">
        <f>IF(Pipeline!$A263="","",IF(Pipeline!T263="","",Pipeline!T263))</f>
        <v/>
      </c>
      <c r="F263" s="77">
        <f>IF(Pipeline!$A263="","",IF(Pipeline!W263="","",Pipeline!W263))</f>
        <v/>
      </c>
      <c r="G263" s="99">
        <f>IF(Pipeline!$A263="","",IF(Pipeline!AH263="","",Pipeline!AH263))</f>
        <v/>
      </c>
      <c r="H263" s="77">
        <f>IF(Pipeline!$A263="","",IF(Pipeline!AI263="","",Pipeline!AI263))</f>
        <v/>
      </c>
      <c r="I263" s="77">
        <f>IF(Pipeline!$A263="","",IF(Pipeline!X263="","",Pipeline!X263))</f>
        <v/>
      </c>
      <c r="J263" s="77">
        <f>IF(Pipeline!$A263="","",IF(Pipeline!AF263="","–",Pipeline!AF263))</f>
        <v/>
      </c>
    </row>
    <row r="264" ht="15" customHeight="1" s="51">
      <c r="A264" s="77">
        <f>IF(Pipeline!$A264="","",IF(Pipeline!H264="","",Pipeline!H264))</f>
        <v/>
      </c>
      <c r="B264" s="77">
        <f>IF(Pipeline!$A264="","",IF(Pipeline!F264="","",Pipeline!F264))</f>
        <v/>
      </c>
      <c r="C264" s="96">
        <f>IF(Pipeline!$A264="","",IF(Pipeline!M264="","",Pipeline!M264))</f>
        <v/>
      </c>
      <c r="D264" s="97">
        <f>IF(Pipeline!$A264="","",IF(Pipeline!Q264="","",Pipeline!Q264))</f>
        <v/>
      </c>
      <c r="E264" s="98">
        <f>IF(Pipeline!$A264="","",IF(Pipeline!T264="","",Pipeline!T264))</f>
        <v/>
      </c>
      <c r="F264" s="77">
        <f>IF(Pipeline!$A264="","",IF(Pipeline!W264="","",Pipeline!W264))</f>
        <v/>
      </c>
      <c r="G264" s="99">
        <f>IF(Pipeline!$A264="","",IF(Pipeline!AH264="","",Pipeline!AH264))</f>
        <v/>
      </c>
      <c r="H264" s="77">
        <f>IF(Pipeline!$A264="","",IF(Pipeline!AI264="","",Pipeline!AI264))</f>
        <v/>
      </c>
      <c r="I264" s="77">
        <f>IF(Pipeline!$A264="","",IF(Pipeline!X264="","",Pipeline!X264))</f>
        <v/>
      </c>
      <c r="J264" s="77">
        <f>IF(Pipeline!$A264="","",IF(Pipeline!AF264="","–",Pipeline!AF264))</f>
        <v/>
      </c>
    </row>
    <row r="265" ht="15" customHeight="1" s="51">
      <c r="A265" s="77">
        <f>IF(Pipeline!$A265="","",IF(Pipeline!H265="","",Pipeline!H265))</f>
        <v/>
      </c>
      <c r="B265" s="77">
        <f>IF(Pipeline!$A265="","",IF(Pipeline!F265="","",Pipeline!F265))</f>
        <v/>
      </c>
      <c r="C265" s="96">
        <f>IF(Pipeline!$A265="","",IF(Pipeline!M265="","",Pipeline!M265))</f>
        <v/>
      </c>
      <c r="D265" s="97">
        <f>IF(Pipeline!$A265="","",IF(Pipeline!Q265="","",Pipeline!Q265))</f>
        <v/>
      </c>
      <c r="E265" s="98">
        <f>IF(Pipeline!$A265="","",IF(Pipeline!T265="","",Pipeline!T265))</f>
        <v/>
      </c>
      <c r="F265" s="77">
        <f>IF(Pipeline!$A265="","",IF(Pipeline!W265="","",Pipeline!W265))</f>
        <v/>
      </c>
      <c r="G265" s="99">
        <f>IF(Pipeline!$A265="","",IF(Pipeline!AH265="","",Pipeline!AH265))</f>
        <v/>
      </c>
      <c r="H265" s="77">
        <f>IF(Pipeline!$A265="","",IF(Pipeline!AI265="","",Pipeline!AI265))</f>
        <v/>
      </c>
      <c r="I265" s="77">
        <f>IF(Pipeline!$A265="","",IF(Pipeline!X265="","",Pipeline!X265))</f>
        <v/>
      </c>
      <c r="J265" s="77">
        <f>IF(Pipeline!$A265="","",IF(Pipeline!AF265="","–",Pipeline!AF265))</f>
        <v/>
      </c>
    </row>
    <row r="266" ht="15" customHeight="1" s="51">
      <c r="A266" s="77">
        <f>IF(Pipeline!$A266="","",IF(Pipeline!H266="","",Pipeline!H266))</f>
        <v/>
      </c>
      <c r="B266" s="77">
        <f>IF(Pipeline!$A266="","",IF(Pipeline!F266="","",Pipeline!F266))</f>
        <v/>
      </c>
      <c r="C266" s="96">
        <f>IF(Pipeline!$A266="","",IF(Pipeline!M266="","",Pipeline!M266))</f>
        <v/>
      </c>
      <c r="D266" s="97">
        <f>IF(Pipeline!$A266="","",IF(Pipeline!Q266="","",Pipeline!Q266))</f>
        <v/>
      </c>
      <c r="E266" s="98">
        <f>IF(Pipeline!$A266="","",IF(Pipeline!T266="","",Pipeline!T266))</f>
        <v/>
      </c>
      <c r="F266" s="77">
        <f>IF(Pipeline!$A266="","",IF(Pipeline!W266="","",Pipeline!W266))</f>
        <v/>
      </c>
      <c r="G266" s="99">
        <f>IF(Pipeline!$A266="","",IF(Pipeline!AH266="","",Pipeline!AH266))</f>
        <v/>
      </c>
      <c r="H266" s="77">
        <f>IF(Pipeline!$A266="","",IF(Pipeline!AI266="","",Pipeline!AI266))</f>
        <v/>
      </c>
      <c r="I266" s="77">
        <f>IF(Pipeline!$A266="","",IF(Pipeline!X266="","",Pipeline!X266))</f>
        <v/>
      </c>
      <c r="J266" s="77">
        <f>IF(Pipeline!$A266="","",IF(Pipeline!AF266="","–",Pipeline!AF266))</f>
        <v/>
      </c>
    </row>
    <row r="267" ht="15" customHeight="1" s="51">
      <c r="A267" s="77">
        <f>IF(Pipeline!$A267="","",IF(Pipeline!H267="","",Pipeline!H267))</f>
        <v/>
      </c>
      <c r="B267" s="77">
        <f>IF(Pipeline!$A267="","",IF(Pipeline!F267="","",Pipeline!F267))</f>
        <v/>
      </c>
      <c r="C267" s="96">
        <f>IF(Pipeline!$A267="","",IF(Pipeline!M267="","",Pipeline!M267))</f>
        <v/>
      </c>
      <c r="D267" s="97">
        <f>IF(Pipeline!$A267="","",IF(Pipeline!Q267="","",Pipeline!Q267))</f>
        <v/>
      </c>
      <c r="E267" s="98">
        <f>IF(Pipeline!$A267="","",IF(Pipeline!T267="","",Pipeline!T267))</f>
        <v/>
      </c>
      <c r="F267" s="77">
        <f>IF(Pipeline!$A267="","",IF(Pipeline!W267="","",Pipeline!W267))</f>
        <v/>
      </c>
      <c r="G267" s="99">
        <f>IF(Pipeline!$A267="","",IF(Pipeline!AH267="","",Pipeline!AH267))</f>
        <v/>
      </c>
      <c r="H267" s="77">
        <f>IF(Pipeline!$A267="","",IF(Pipeline!AI267="","",Pipeline!AI267))</f>
        <v/>
      </c>
      <c r="I267" s="77">
        <f>IF(Pipeline!$A267="","",IF(Pipeline!X267="","",Pipeline!X267))</f>
        <v/>
      </c>
      <c r="J267" s="77">
        <f>IF(Pipeline!$A267="","",IF(Pipeline!AF267="","–",Pipeline!AF267))</f>
        <v/>
      </c>
    </row>
    <row r="268" ht="15" customHeight="1" s="51">
      <c r="A268" s="77">
        <f>IF(Pipeline!$A268="","",IF(Pipeline!H268="","",Pipeline!H268))</f>
        <v/>
      </c>
      <c r="B268" s="77">
        <f>IF(Pipeline!$A268="","",IF(Pipeline!F268="","",Pipeline!F268))</f>
        <v/>
      </c>
      <c r="C268" s="96">
        <f>IF(Pipeline!$A268="","",IF(Pipeline!M268="","",Pipeline!M268))</f>
        <v/>
      </c>
      <c r="D268" s="97">
        <f>IF(Pipeline!$A268="","",IF(Pipeline!Q268="","",Pipeline!Q268))</f>
        <v/>
      </c>
      <c r="E268" s="98">
        <f>IF(Pipeline!$A268="","",IF(Pipeline!T268="","",Pipeline!T268))</f>
        <v/>
      </c>
      <c r="F268" s="77">
        <f>IF(Pipeline!$A268="","",IF(Pipeline!W268="","",Pipeline!W268))</f>
        <v/>
      </c>
      <c r="G268" s="99">
        <f>IF(Pipeline!$A268="","",IF(Pipeline!AH268="","",Pipeline!AH268))</f>
        <v/>
      </c>
      <c r="H268" s="77">
        <f>IF(Pipeline!$A268="","",IF(Pipeline!AI268="","",Pipeline!AI268))</f>
        <v/>
      </c>
      <c r="I268" s="77">
        <f>IF(Pipeline!$A268="","",IF(Pipeline!X268="","",Pipeline!X268))</f>
        <v/>
      </c>
      <c r="J268" s="77">
        <f>IF(Pipeline!$A268="","",IF(Pipeline!AF268="","–",Pipeline!AF268))</f>
        <v/>
      </c>
    </row>
    <row r="269" ht="15" customHeight="1" s="51">
      <c r="A269" s="77">
        <f>IF(Pipeline!$A269="","",IF(Pipeline!H269="","",Pipeline!H269))</f>
        <v/>
      </c>
      <c r="B269" s="77">
        <f>IF(Pipeline!$A269="","",IF(Pipeline!F269="","",Pipeline!F269))</f>
        <v/>
      </c>
      <c r="C269" s="96">
        <f>IF(Pipeline!$A269="","",IF(Pipeline!M269="","",Pipeline!M269))</f>
        <v/>
      </c>
      <c r="D269" s="97">
        <f>IF(Pipeline!$A269="","",IF(Pipeline!Q269="","",Pipeline!Q269))</f>
        <v/>
      </c>
      <c r="E269" s="98">
        <f>IF(Pipeline!$A269="","",IF(Pipeline!T269="","",Pipeline!T269))</f>
        <v/>
      </c>
      <c r="F269" s="77">
        <f>IF(Pipeline!$A269="","",IF(Pipeline!W269="","",Pipeline!W269))</f>
        <v/>
      </c>
      <c r="G269" s="99">
        <f>IF(Pipeline!$A269="","",IF(Pipeline!AH269="","",Pipeline!AH269))</f>
        <v/>
      </c>
      <c r="H269" s="77">
        <f>IF(Pipeline!$A269="","",IF(Pipeline!AI269="","",Pipeline!AI269))</f>
        <v/>
      </c>
      <c r="I269" s="77">
        <f>IF(Pipeline!$A269="","",IF(Pipeline!X269="","",Pipeline!X269))</f>
        <v/>
      </c>
      <c r="J269" s="77">
        <f>IF(Pipeline!$A269="","",IF(Pipeline!AF269="","–",Pipeline!AF269))</f>
        <v/>
      </c>
    </row>
    <row r="270" ht="15" customHeight="1" s="51">
      <c r="A270" s="77">
        <f>IF(Pipeline!$A270="","",IF(Pipeline!H270="","",Pipeline!H270))</f>
        <v/>
      </c>
      <c r="B270" s="77">
        <f>IF(Pipeline!$A270="","",IF(Pipeline!F270="","",Pipeline!F270))</f>
        <v/>
      </c>
      <c r="C270" s="96">
        <f>IF(Pipeline!$A270="","",IF(Pipeline!M270="","",Pipeline!M270))</f>
        <v/>
      </c>
      <c r="D270" s="97">
        <f>IF(Pipeline!$A270="","",IF(Pipeline!Q270="","",Pipeline!Q270))</f>
        <v/>
      </c>
      <c r="E270" s="98">
        <f>IF(Pipeline!$A270="","",IF(Pipeline!T270="","",Pipeline!T270))</f>
        <v/>
      </c>
      <c r="F270" s="77">
        <f>IF(Pipeline!$A270="","",IF(Pipeline!W270="","",Pipeline!W270))</f>
        <v/>
      </c>
      <c r="G270" s="99">
        <f>IF(Pipeline!$A270="","",IF(Pipeline!AH270="","",Pipeline!AH270))</f>
        <v/>
      </c>
      <c r="H270" s="77">
        <f>IF(Pipeline!$A270="","",IF(Pipeline!AI270="","",Pipeline!AI270))</f>
        <v/>
      </c>
      <c r="I270" s="77">
        <f>IF(Pipeline!$A270="","",IF(Pipeline!X270="","",Pipeline!X270))</f>
        <v/>
      </c>
      <c r="J270" s="77">
        <f>IF(Pipeline!$A270="","",IF(Pipeline!AF270="","–",Pipeline!AF270))</f>
        <v/>
      </c>
    </row>
    <row r="271" ht="15" customHeight="1" s="51">
      <c r="A271" s="77">
        <f>IF(Pipeline!$A271="","",IF(Pipeline!H271="","",Pipeline!H271))</f>
        <v/>
      </c>
      <c r="B271" s="77">
        <f>IF(Pipeline!$A271="","",IF(Pipeline!F271="","",Pipeline!F271))</f>
        <v/>
      </c>
      <c r="C271" s="96">
        <f>IF(Pipeline!$A271="","",IF(Pipeline!M271="","",Pipeline!M271))</f>
        <v/>
      </c>
      <c r="D271" s="97">
        <f>IF(Pipeline!$A271="","",IF(Pipeline!Q271="","",Pipeline!Q271))</f>
        <v/>
      </c>
      <c r="E271" s="98">
        <f>IF(Pipeline!$A271="","",IF(Pipeline!T271="","",Pipeline!T271))</f>
        <v/>
      </c>
      <c r="F271" s="77">
        <f>IF(Pipeline!$A271="","",IF(Pipeline!W271="","",Pipeline!W271))</f>
        <v/>
      </c>
      <c r="G271" s="99">
        <f>IF(Pipeline!$A271="","",IF(Pipeline!AH271="","",Pipeline!AH271))</f>
        <v/>
      </c>
      <c r="H271" s="77">
        <f>IF(Pipeline!$A271="","",IF(Pipeline!AI271="","",Pipeline!AI271))</f>
        <v/>
      </c>
      <c r="I271" s="77">
        <f>IF(Pipeline!$A271="","",IF(Pipeline!X271="","",Pipeline!X271))</f>
        <v/>
      </c>
      <c r="J271" s="77">
        <f>IF(Pipeline!$A271="","",IF(Pipeline!AF271="","–",Pipeline!AF271))</f>
        <v/>
      </c>
    </row>
    <row r="272" ht="15" customHeight="1" s="51">
      <c r="A272" s="77">
        <f>IF(Pipeline!$A272="","",IF(Pipeline!H272="","",Pipeline!H272))</f>
        <v/>
      </c>
      <c r="B272" s="77">
        <f>IF(Pipeline!$A272="","",IF(Pipeline!F272="","",Pipeline!F272))</f>
        <v/>
      </c>
      <c r="C272" s="96">
        <f>IF(Pipeline!$A272="","",IF(Pipeline!M272="","",Pipeline!M272))</f>
        <v/>
      </c>
      <c r="D272" s="97">
        <f>IF(Pipeline!$A272="","",IF(Pipeline!Q272="","",Pipeline!Q272))</f>
        <v/>
      </c>
      <c r="E272" s="98">
        <f>IF(Pipeline!$A272="","",IF(Pipeline!T272="","",Pipeline!T272))</f>
        <v/>
      </c>
      <c r="F272" s="77">
        <f>IF(Pipeline!$A272="","",IF(Pipeline!W272="","",Pipeline!W272))</f>
        <v/>
      </c>
      <c r="G272" s="99">
        <f>IF(Pipeline!$A272="","",IF(Pipeline!AH272="","",Pipeline!AH272))</f>
        <v/>
      </c>
      <c r="H272" s="77">
        <f>IF(Pipeline!$A272="","",IF(Pipeline!AI272="","",Pipeline!AI272))</f>
        <v/>
      </c>
      <c r="I272" s="77">
        <f>IF(Pipeline!$A272="","",IF(Pipeline!X272="","",Pipeline!X272))</f>
        <v/>
      </c>
      <c r="J272" s="77">
        <f>IF(Pipeline!$A272="","",IF(Pipeline!AF272="","–",Pipeline!AF272))</f>
        <v/>
      </c>
    </row>
    <row r="273" ht="15" customHeight="1" s="51">
      <c r="A273" s="77">
        <f>IF(Pipeline!$A273="","",IF(Pipeline!H273="","",Pipeline!H273))</f>
        <v/>
      </c>
      <c r="B273" s="77">
        <f>IF(Pipeline!$A273="","",IF(Pipeline!F273="","",Pipeline!F273))</f>
        <v/>
      </c>
      <c r="C273" s="96">
        <f>IF(Pipeline!$A273="","",IF(Pipeline!M273="","",Pipeline!M273))</f>
        <v/>
      </c>
      <c r="D273" s="97">
        <f>IF(Pipeline!$A273="","",IF(Pipeline!Q273="","",Pipeline!Q273))</f>
        <v/>
      </c>
      <c r="E273" s="98">
        <f>IF(Pipeline!$A273="","",IF(Pipeline!T273="","",Pipeline!T273))</f>
        <v/>
      </c>
      <c r="F273" s="77">
        <f>IF(Pipeline!$A273="","",IF(Pipeline!W273="","",Pipeline!W273))</f>
        <v/>
      </c>
      <c r="G273" s="99">
        <f>IF(Pipeline!$A273="","",IF(Pipeline!AH273="","",Pipeline!AH273))</f>
        <v/>
      </c>
      <c r="H273" s="77">
        <f>IF(Pipeline!$A273="","",IF(Pipeline!AI273="","",Pipeline!AI273))</f>
        <v/>
      </c>
      <c r="I273" s="77">
        <f>IF(Pipeline!$A273="","",IF(Pipeline!X273="","",Pipeline!X273))</f>
        <v/>
      </c>
      <c r="J273" s="77">
        <f>IF(Pipeline!$A273="","",IF(Pipeline!AF273="","–",Pipeline!AF273))</f>
        <v/>
      </c>
    </row>
    <row r="274" ht="15" customHeight="1" s="51">
      <c r="A274" s="77">
        <f>IF(Pipeline!$A274="","",IF(Pipeline!H274="","",Pipeline!H274))</f>
        <v/>
      </c>
      <c r="B274" s="77">
        <f>IF(Pipeline!$A274="","",IF(Pipeline!F274="","",Pipeline!F274))</f>
        <v/>
      </c>
      <c r="C274" s="96">
        <f>IF(Pipeline!$A274="","",IF(Pipeline!M274="","",Pipeline!M274))</f>
        <v/>
      </c>
      <c r="D274" s="97">
        <f>IF(Pipeline!$A274="","",IF(Pipeline!Q274="","",Pipeline!Q274))</f>
        <v/>
      </c>
      <c r="E274" s="98">
        <f>IF(Pipeline!$A274="","",IF(Pipeline!T274="","",Pipeline!T274))</f>
        <v/>
      </c>
      <c r="F274" s="77">
        <f>IF(Pipeline!$A274="","",IF(Pipeline!W274="","",Pipeline!W274))</f>
        <v/>
      </c>
      <c r="G274" s="99">
        <f>IF(Pipeline!$A274="","",IF(Pipeline!AH274="","",Pipeline!AH274))</f>
        <v/>
      </c>
      <c r="H274" s="77">
        <f>IF(Pipeline!$A274="","",IF(Pipeline!AI274="","",Pipeline!AI274))</f>
        <v/>
      </c>
      <c r="I274" s="77">
        <f>IF(Pipeline!$A274="","",IF(Pipeline!X274="","",Pipeline!X274))</f>
        <v/>
      </c>
      <c r="J274" s="77">
        <f>IF(Pipeline!$A274="","",IF(Pipeline!AF274="","–",Pipeline!AF274))</f>
        <v/>
      </c>
    </row>
    <row r="275" ht="15" customHeight="1" s="51">
      <c r="A275" s="77">
        <f>IF(Pipeline!$A275="","",IF(Pipeline!H275="","",Pipeline!H275))</f>
        <v/>
      </c>
      <c r="B275" s="77">
        <f>IF(Pipeline!$A275="","",IF(Pipeline!F275="","",Pipeline!F275))</f>
        <v/>
      </c>
      <c r="C275" s="96">
        <f>IF(Pipeline!$A275="","",IF(Pipeline!M275="","",Pipeline!M275))</f>
        <v/>
      </c>
      <c r="D275" s="97">
        <f>IF(Pipeline!$A275="","",IF(Pipeline!Q275="","",Pipeline!Q275))</f>
        <v/>
      </c>
      <c r="E275" s="98">
        <f>IF(Pipeline!$A275="","",IF(Pipeline!T275="","",Pipeline!T275))</f>
        <v/>
      </c>
      <c r="F275" s="77">
        <f>IF(Pipeline!$A275="","",IF(Pipeline!W275="","",Pipeline!W275))</f>
        <v/>
      </c>
      <c r="G275" s="99">
        <f>IF(Pipeline!$A275="","",IF(Pipeline!AH275="","",Pipeline!AH275))</f>
        <v/>
      </c>
      <c r="H275" s="77">
        <f>IF(Pipeline!$A275="","",IF(Pipeline!AI275="","",Pipeline!AI275))</f>
        <v/>
      </c>
      <c r="I275" s="77">
        <f>IF(Pipeline!$A275="","",IF(Pipeline!X275="","",Pipeline!X275))</f>
        <v/>
      </c>
      <c r="J275" s="77">
        <f>IF(Pipeline!$A275="","",IF(Pipeline!AF275="","–",Pipeline!AF275))</f>
        <v/>
      </c>
    </row>
    <row r="276" ht="15" customHeight="1" s="51">
      <c r="A276" s="77">
        <f>IF(Pipeline!$A276="","",IF(Pipeline!H276="","",Pipeline!H276))</f>
        <v/>
      </c>
      <c r="B276" s="77">
        <f>IF(Pipeline!$A276="","",IF(Pipeline!F276="","",Pipeline!F276))</f>
        <v/>
      </c>
      <c r="C276" s="96">
        <f>IF(Pipeline!$A276="","",IF(Pipeline!M276="","",Pipeline!M276))</f>
        <v/>
      </c>
      <c r="D276" s="97">
        <f>IF(Pipeline!$A276="","",IF(Pipeline!Q276="","",Pipeline!Q276))</f>
        <v/>
      </c>
      <c r="E276" s="98">
        <f>IF(Pipeline!$A276="","",IF(Pipeline!T276="","",Pipeline!T276))</f>
        <v/>
      </c>
      <c r="F276" s="77">
        <f>IF(Pipeline!$A276="","",IF(Pipeline!W276="","",Pipeline!W276))</f>
        <v/>
      </c>
      <c r="G276" s="99">
        <f>IF(Pipeline!$A276="","",IF(Pipeline!AH276="","",Pipeline!AH276))</f>
        <v/>
      </c>
      <c r="H276" s="77">
        <f>IF(Pipeline!$A276="","",IF(Pipeline!AI276="","",Pipeline!AI276))</f>
        <v/>
      </c>
      <c r="I276" s="77">
        <f>IF(Pipeline!$A276="","",IF(Pipeline!X276="","",Pipeline!X276))</f>
        <v/>
      </c>
      <c r="J276" s="77">
        <f>IF(Pipeline!$A276="","",IF(Pipeline!AF276="","–",Pipeline!AF276))</f>
        <v/>
      </c>
    </row>
    <row r="277" ht="15" customHeight="1" s="51">
      <c r="A277" s="77">
        <f>IF(Pipeline!$A277="","",IF(Pipeline!H277="","",Pipeline!H277))</f>
        <v/>
      </c>
      <c r="B277" s="77">
        <f>IF(Pipeline!$A277="","",IF(Pipeline!F277="","",Pipeline!F277))</f>
        <v/>
      </c>
      <c r="C277" s="96">
        <f>IF(Pipeline!$A277="","",IF(Pipeline!M277="","",Pipeline!M277))</f>
        <v/>
      </c>
      <c r="D277" s="97">
        <f>IF(Pipeline!$A277="","",IF(Pipeline!Q277="","",Pipeline!Q277))</f>
        <v/>
      </c>
      <c r="E277" s="98">
        <f>IF(Pipeline!$A277="","",IF(Pipeline!T277="","",Pipeline!T277))</f>
        <v/>
      </c>
      <c r="F277" s="77">
        <f>IF(Pipeline!$A277="","",IF(Pipeline!W277="","",Pipeline!W277))</f>
        <v/>
      </c>
      <c r="G277" s="99">
        <f>IF(Pipeline!$A277="","",IF(Pipeline!AH277="","",Pipeline!AH277))</f>
        <v/>
      </c>
      <c r="H277" s="77">
        <f>IF(Pipeline!$A277="","",IF(Pipeline!AI277="","",Pipeline!AI277))</f>
        <v/>
      </c>
      <c r="I277" s="77">
        <f>IF(Pipeline!$A277="","",IF(Pipeline!X277="","",Pipeline!X277))</f>
        <v/>
      </c>
      <c r="J277" s="77">
        <f>IF(Pipeline!$A277="","",IF(Pipeline!AF277="","–",Pipeline!AF277))</f>
        <v/>
      </c>
    </row>
    <row r="278" ht="15" customHeight="1" s="51">
      <c r="A278" s="77">
        <f>IF(Pipeline!$A278="","",IF(Pipeline!H278="","",Pipeline!H278))</f>
        <v/>
      </c>
      <c r="B278" s="77">
        <f>IF(Pipeline!$A278="","",IF(Pipeline!F278="","",Pipeline!F278))</f>
        <v/>
      </c>
      <c r="C278" s="96">
        <f>IF(Pipeline!$A278="","",IF(Pipeline!M278="","",Pipeline!M278))</f>
        <v/>
      </c>
      <c r="D278" s="97">
        <f>IF(Pipeline!$A278="","",IF(Pipeline!Q278="","",Pipeline!Q278))</f>
        <v/>
      </c>
      <c r="E278" s="98">
        <f>IF(Pipeline!$A278="","",IF(Pipeline!T278="","",Pipeline!T278))</f>
        <v/>
      </c>
      <c r="F278" s="77">
        <f>IF(Pipeline!$A278="","",IF(Pipeline!W278="","",Pipeline!W278))</f>
        <v/>
      </c>
      <c r="G278" s="99">
        <f>IF(Pipeline!$A278="","",IF(Pipeline!AH278="","",Pipeline!AH278))</f>
        <v/>
      </c>
      <c r="H278" s="77">
        <f>IF(Pipeline!$A278="","",IF(Pipeline!AI278="","",Pipeline!AI278))</f>
        <v/>
      </c>
      <c r="I278" s="77">
        <f>IF(Pipeline!$A278="","",IF(Pipeline!X278="","",Pipeline!X278))</f>
        <v/>
      </c>
      <c r="J278" s="77">
        <f>IF(Pipeline!$A278="","",IF(Pipeline!AF278="","–",Pipeline!AF278))</f>
        <v/>
      </c>
    </row>
    <row r="279" ht="15" customHeight="1" s="51">
      <c r="A279" s="77">
        <f>IF(Pipeline!$A279="","",IF(Pipeline!H279="","",Pipeline!H279))</f>
        <v/>
      </c>
      <c r="B279" s="77">
        <f>IF(Pipeline!$A279="","",IF(Pipeline!F279="","",Pipeline!F279))</f>
        <v/>
      </c>
      <c r="C279" s="96">
        <f>IF(Pipeline!$A279="","",IF(Pipeline!M279="","",Pipeline!M279))</f>
        <v/>
      </c>
      <c r="D279" s="97">
        <f>IF(Pipeline!$A279="","",IF(Pipeline!Q279="","",Pipeline!Q279))</f>
        <v/>
      </c>
      <c r="E279" s="98">
        <f>IF(Pipeline!$A279="","",IF(Pipeline!T279="","",Pipeline!T279))</f>
        <v/>
      </c>
      <c r="F279" s="77">
        <f>IF(Pipeline!$A279="","",IF(Pipeline!W279="","",Pipeline!W279))</f>
        <v/>
      </c>
      <c r="G279" s="99">
        <f>IF(Pipeline!$A279="","",IF(Pipeline!AH279="","",Pipeline!AH279))</f>
        <v/>
      </c>
      <c r="H279" s="77">
        <f>IF(Pipeline!$A279="","",IF(Pipeline!AI279="","",Pipeline!AI279))</f>
        <v/>
      </c>
      <c r="I279" s="77">
        <f>IF(Pipeline!$A279="","",IF(Pipeline!X279="","",Pipeline!X279))</f>
        <v/>
      </c>
      <c r="J279" s="77">
        <f>IF(Pipeline!$A279="","",IF(Pipeline!AF279="","–",Pipeline!AF279))</f>
        <v/>
      </c>
    </row>
    <row r="280" ht="15" customHeight="1" s="51">
      <c r="A280" s="77">
        <f>IF(Pipeline!$A280="","",IF(Pipeline!H280="","",Pipeline!H280))</f>
        <v/>
      </c>
      <c r="B280" s="77">
        <f>IF(Pipeline!$A280="","",IF(Pipeline!F280="","",Pipeline!F280))</f>
        <v/>
      </c>
      <c r="C280" s="96">
        <f>IF(Pipeline!$A280="","",IF(Pipeline!M280="","",Pipeline!M280))</f>
        <v/>
      </c>
      <c r="D280" s="97">
        <f>IF(Pipeline!$A280="","",IF(Pipeline!Q280="","",Pipeline!Q280))</f>
        <v/>
      </c>
      <c r="E280" s="98">
        <f>IF(Pipeline!$A280="","",IF(Pipeline!T280="","",Pipeline!T280))</f>
        <v/>
      </c>
      <c r="F280" s="77">
        <f>IF(Pipeline!$A280="","",IF(Pipeline!W280="","",Pipeline!W280))</f>
        <v/>
      </c>
      <c r="G280" s="99">
        <f>IF(Pipeline!$A280="","",IF(Pipeline!AH280="","",Pipeline!AH280))</f>
        <v/>
      </c>
      <c r="H280" s="77">
        <f>IF(Pipeline!$A280="","",IF(Pipeline!AI280="","",Pipeline!AI280))</f>
        <v/>
      </c>
      <c r="I280" s="77">
        <f>IF(Pipeline!$A280="","",IF(Pipeline!X280="","",Pipeline!X280))</f>
        <v/>
      </c>
      <c r="J280" s="77">
        <f>IF(Pipeline!$A280="","",IF(Pipeline!AF280="","–",Pipeline!AF280))</f>
        <v/>
      </c>
    </row>
    <row r="281" ht="15" customHeight="1" s="51">
      <c r="A281" s="77">
        <f>IF(Pipeline!$A281="","",IF(Pipeline!H281="","",Pipeline!H281))</f>
        <v/>
      </c>
      <c r="B281" s="77">
        <f>IF(Pipeline!$A281="","",IF(Pipeline!F281="","",Pipeline!F281))</f>
        <v/>
      </c>
      <c r="C281" s="96">
        <f>IF(Pipeline!$A281="","",IF(Pipeline!M281="","",Pipeline!M281))</f>
        <v/>
      </c>
      <c r="D281" s="97">
        <f>IF(Pipeline!$A281="","",IF(Pipeline!Q281="","",Pipeline!Q281))</f>
        <v/>
      </c>
      <c r="E281" s="98">
        <f>IF(Pipeline!$A281="","",IF(Pipeline!T281="","",Pipeline!T281))</f>
        <v/>
      </c>
      <c r="F281" s="77">
        <f>IF(Pipeline!$A281="","",IF(Pipeline!W281="","",Pipeline!W281))</f>
        <v/>
      </c>
      <c r="G281" s="99">
        <f>IF(Pipeline!$A281="","",IF(Pipeline!AH281="","",Pipeline!AH281))</f>
        <v/>
      </c>
      <c r="H281" s="77">
        <f>IF(Pipeline!$A281="","",IF(Pipeline!AI281="","",Pipeline!AI281))</f>
        <v/>
      </c>
      <c r="I281" s="77">
        <f>IF(Pipeline!$A281="","",IF(Pipeline!X281="","",Pipeline!X281))</f>
        <v/>
      </c>
      <c r="J281" s="77">
        <f>IF(Pipeline!$A281="","",IF(Pipeline!AF281="","–",Pipeline!AF281))</f>
        <v/>
      </c>
    </row>
    <row r="282" ht="15" customHeight="1" s="51">
      <c r="A282" s="77">
        <f>IF(Pipeline!$A282="","",IF(Pipeline!H282="","",Pipeline!H282))</f>
        <v/>
      </c>
      <c r="B282" s="77">
        <f>IF(Pipeline!$A282="","",IF(Pipeline!F282="","",Pipeline!F282))</f>
        <v/>
      </c>
      <c r="C282" s="96">
        <f>IF(Pipeline!$A282="","",IF(Pipeline!M282="","",Pipeline!M282))</f>
        <v/>
      </c>
      <c r="D282" s="97">
        <f>IF(Pipeline!$A282="","",IF(Pipeline!Q282="","",Pipeline!Q282))</f>
        <v/>
      </c>
      <c r="E282" s="98">
        <f>IF(Pipeline!$A282="","",IF(Pipeline!T282="","",Pipeline!T282))</f>
        <v/>
      </c>
      <c r="F282" s="77">
        <f>IF(Pipeline!$A282="","",IF(Pipeline!W282="","",Pipeline!W282))</f>
        <v/>
      </c>
      <c r="G282" s="99">
        <f>IF(Pipeline!$A282="","",IF(Pipeline!AH282="","",Pipeline!AH282))</f>
        <v/>
      </c>
      <c r="H282" s="77">
        <f>IF(Pipeline!$A282="","",IF(Pipeline!AI282="","",Pipeline!AI282))</f>
        <v/>
      </c>
      <c r="I282" s="77">
        <f>IF(Pipeline!$A282="","",IF(Pipeline!X282="","",Pipeline!X282))</f>
        <v/>
      </c>
      <c r="J282" s="77">
        <f>IF(Pipeline!$A282="","",IF(Pipeline!AF282="","–",Pipeline!AF282))</f>
        <v/>
      </c>
    </row>
    <row r="283" ht="15" customHeight="1" s="51">
      <c r="A283" s="77">
        <f>IF(Pipeline!$A283="","",IF(Pipeline!H283="","",Pipeline!H283))</f>
        <v/>
      </c>
      <c r="B283" s="77">
        <f>IF(Pipeline!$A283="","",IF(Pipeline!F283="","",Pipeline!F283))</f>
        <v/>
      </c>
      <c r="C283" s="96">
        <f>IF(Pipeline!$A283="","",IF(Pipeline!M283="","",Pipeline!M283))</f>
        <v/>
      </c>
      <c r="D283" s="97">
        <f>IF(Pipeline!$A283="","",IF(Pipeline!Q283="","",Pipeline!Q283))</f>
        <v/>
      </c>
      <c r="E283" s="98">
        <f>IF(Pipeline!$A283="","",IF(Pipeline!T283="","",Pipeline!T283))</f>
        <v/>
      </c>
      <c r="F283" s="77">
        <f>IF(Pipeline!$A283="","",IF(Pipeline!W283="","",Pipeline!W283))</f>
        <v/>
      </c>
      <c r="G283" s="99">
        <f>IF(Pipeline!$A283="","",IF(Pipeline!AH283="","",Pipeline!AH283))</f>
        <v/>
      </c>
      <c r="H283" s="77">
        <f>IF(Pipeline!$A283="","",IF(Pipeline!AI283="","",Pipeline!AI283))</f>
        <v/>
      </c>
      <c r="I283" s="77">
        <f>IF(Pipeline!$A283="","",IF(Pipeline!X283="","",Pipeline!X283))</f>
        <v/>
      </c>
      <c r="J283" s="77">
        <f>IF(Pipeline!$A283="","",IF(Pipeline!AF283="","–",Pipeline!AF283))</f>
        <v/>
      </c>
    </row>
    <row r="284" ht="15" customHeight="1" s="51">
      <c r="A284" s="77">
        <f>IF(Pipeline!$A284="","",IF(Pipeline!H284="","",Pipeline!H284))</f>
        <v/>
      </c>
      <c r="B284" s="77">
        <f>IF(Pipeline!$A284="","",IF(Pipeline!F284="","",Pipeline!F284))</f>
        <v/>
      </c>
      <c r="C284" s="96">
        <f>IF(Pipeline!$A284="","",IF(Pipeline!M284="","",Pipeline!M284))</f>
        <v/>
      </c>
      <c r="D284" s="97">
        <f>IF(Pipeline!$A284="","",IF(Pipeline!Q284="","",Pipeline!Q284))</f>
        <v/>
      </c>
      <c r="E284" s="98">
        <f>IF(Pipeline!$A284="","",IF(Pipeline!T284="","",Pipeline!T284))</f>
        <v/>
      </c>
      <c r="F284" s="77">
        <f>IF(Pipeline!$A284="","",IF(Pipeline!W284="","",Pipeline!W284))</f>
        <v/>
      </c>
      <c r="G284" s="99">
        <f>IF(Pipeline!$A284="","",IF(Pipeline!AH284="","",Pipeline!AH284))</f>
        <v/>
      </c>
      <c r="H284" s="77">
        <f>IF(Pipeline!$A284="","",IF(Pipeline!AI284="","",Pipeline!AI284))</f>
        <v/>
      </c>
      <c r="I284" s="77">
        <f>IF(Pipeline!$A284="","",IF(Pipeline!X284="","",Pipeline!X284))</f>
        <v/>
      </c>
      <c r="J284" s="77">
        <f>IF(Pipeline!$A284="","",IF(Pipeline!AF284="","–",Pipeline!AF284))</f>
        <v/>
      </c>
    </row>
    <row r="285" ht="15" customHeight="1" s="51">
      <c r="A285" s="77">
        <f>IF(Pipeline!$A285="","",IF(Pipeline!H285="","",Pipeline!H285))</f>
        <v/>
      </c>
      <c r="B285" s="77">
        <f>IF(Pipeline!$A285="","",IF(Pipeline!F285="","",Pipeline!F285))</f>
        <v/>
      </c>
      <c r="C285" s="96">
        <f>IF(Pipeline!$A285="","",IF(Pipeline!M285="","",Pipeline!M285))</f>
        <v/>
      </c>
      <c r="D285" s="97">
        <f>IF(Pipeline!$A285="","",IF(Pipeline!Q285="","",Pipeline!Q285))</f>
        <v/>
      </c>
      <c r="E285" s="98">
        <f>IF(Pipeline!$A285="","",IF(Pipeline!T285="","",Pipeline!T285))</f>
        <v/>
      </c>
      <c r="F285" s="77">
        <f>IF(Pipeline!$A285="","",IF(Pipeline!W285="","",Pipeline!W285))</f>
        <v/>
      </c>
      <c r="G285" s="99">
        <f>IF(Pipeline!$A285="","",IF(Pipeline!AH285="","",Pipeline!AH285))</f>
        <v/>
      </c>
      <c r="H285" s="77">
        <f>IF(Pipeline!$A285="","",IF(Pipeline!AI285="","",Pipeline!AI285))</f>
        <v/>
      </c>
      <c r="I285" s="77">
        <f>IF(Pipeline!$A285="","",IF(Pipeline!X285="","",Pipeline!X285))</f>
        <v/>
      </c>
      <c r="J285" s="77">
        <f>IF(Pipeline!$A285="","",IF(Pipeline!AF285="","–",Pipeline!AF285))</f>
        <v/>
      </c>
    </row>
    <row r="286" ht="15" customHeight="1" s="51">
      <c r="A286" s="77">
        <f>IF(Pipeline!$A286="","",IF(Pipeline!H286="","",Pipeline!H286))</f>
        <v/>
      </c>
      <c r="B286" s="77">
        <f>IF(Pipeline!$A286="","",IF(Pipeline!F286="","",Pipeline!F286))</f>
        <v/>
      </c>
      <c r="C286" s="96">
        <f>IF(Pipeline!$A286="","",IF(Pipeline!M286="","",Pipeline!M286))</f>
        <v/>
      </c>
      <c r="D286" s="97">
        <f>IF(Pipeline!$A286="","",IF(Pipeline!Q286="","",Pipeline!Q286))</f>
        <v/>
      </c>
      <c r="E286" s="98">
        <f>IF(Pipeline!$A286="","",IF(Pipeline!T286="","",Pipeline!T286))</f>
        <v/>
      </c>
      <c r="F286" s="77">
        <f>IF(Pipeline!$A286="","",IF(Pipeline!W286="","",Pipeline!W286))</f>
        <v/>
      </c>
      <c r="G286" s="99">
        <f>IF(Pipeline!$A286="","",IF(Pipeline!AH286="","",Pipeline!AH286))</f>
        <v/>
      </c>
      <c r="H286" s="77">
        <f>IF(Pipeline!$A286="","",IF(Pipeline!AI286="","",Pipeline!AI286))</f>
        <v/>
      </c>
      <c r="I286" s="77">
        <f>IF(Pipeline!$A286="","",IF(Pipeline!X286="","",Pipeline!X286))</f>
        <v/>
      </c>
      <c r="J286" s="77">
        <f>IF(Pipeline!$A286="","",IF(Pipeline!AF286="","–",Pipeline!AF286))</f>
        <v/>
      </c>
    </row>
    <row r="287" ht="15" customHeight="1" s="51">
      <c r="A287" s="77">
        <f>IF(Pipeline!$A287="","",IF(Pipeline!H287="","",Pipeline!H287))</f>
        <v/>
      </c>
      <c r="B287" s="77">
        <f>IF(Pipeline!$A287="","",IF(Pipeline!F287="","",Pipeline!F287))</f>
        <v/>
      </c>
      <c r="C287" s="96">
        <f>IF(Pipeline!$A287="","",IF(Pipeline!M287="","",Pipeline!M287))</f>
        <v/>
      </c>
      <c r="D287" s="97">
        <f>IF(Pipeline!$A287="","",IF(Pipeline!Q287="","",Pipeline!Q287))</f>
        <v/>
      </c>
      <c r="E287" s="98">
        <f>IF(Pipeline!$A287="","",IF(Pipeline!T287="","",Pipeline!T287))</f>
        <v/>
      </c>
      <c r="F287" s="77">
        <f>IF(Pipeline!$A287="","",IF(Pipeline!W287="","",Pipeline!W287))</f>
        <v/>
      </c>
      <c r="G287" s="99">
        <f>IF(Pipeline!$A287="","",IF(Pipeline!AH287="","",Pipeline!AH287))</f>
        <v/>
      </c>
      <c r="H287" s="77">
        <f>IF(Pipeline!$A287="","",IF(Pipeline!AI287="","",Pipeline!AI287))</f>
        <v/>
      </c>
      <c r="I287" s="77">
        <f>IF(Pipeline!$A287="","",IF(Pipeline!X287="","",Pipeline!X287))</f>
        <v/>
      </c>
      <c r="J287" s="77">
        <f>IF(Pipeline!$A287="","",IF(Pipeline!AF287="","–",Pipeline!AF287))</f>
        <v/>
      </c>
    </row>
    <row r="288" ht="15" customHeight="1" s="51">
      <c r="A288" s="77">
        <f>IF(Pipeline!$A288="","",IF(Pipeline!H288="","",Pipeline!H288))</f>
        <v/>
      </c>
      <c r="B288" s="77">
        <f>IF(Pipeline!$A288="","",IF(Pipeline!F288="","",Pipeline!F288))</f>
        <v/>
      </c>
      <c r="C288" s="96">
        <f>IF(Pipeline!$A288="","",IF(Pipeline!M288="","",Pipeline!M288))</f>
        <v/>
      </c>
      <c r="D288" s="97">
        <f>IF(Pipeline!$A288="","",IF(Pipeline!Q288="","",Pipeline!Q288))</f>
        <v/>
      </c>
      <c r="E288" s="98">
        <f>IF(Pipeline!$A288="","",IF(Pipeline!T288="","",Pipeline!T288))</f>
        <v/>
      </c>
      <c r="F288" s="77">
        <f>IF(Pipeline!$A288="","",IF(Pipeline!W288="","",Pipeline!W288))</f>
        <v/>
      </c>
      <c r="G288" s="99">
        <f>IF(Pipeline!$A288="","",IF(Pipeline!AH288="","",Pipeline!AH288))</f>
        <v/>
      </c>
      <c r="H288" s="77">
        <f>IF(Pipeline!$A288="","",IF(Pipeline!AI288="","",Pipeline!AI288))</f>
        <v/>
      </c>
      <c r="I288" s="77">
        <f>IF(Pipeline!$A288="","",IF(Pipeline!X288="","",Pipeline!X288))</f>
        <v/>
      </c>
      <c r="J288" s="77">
        <f>IF(Pipeline!$A288="","",IF(Pipeline!AF288="","–",Pipeline!AF288))</f>
        <v/>
      </c>
    </row>
    <row r="289" ht="15" customHeight="1" s="51">
      <c r="A289" s="77">
        <f>IF(Pipeline!$A289="","",IF(Pipeline!H289="","",Pipeline!H289))</f>
        <v/>
      </c>
      <c r="B289" s="77">
        <f>IF(Pipeline!$A289="","",IF(Pipeline!F289="","",Pipeline!F289))</f>
        <v/>
      </c>
      <c r="C289" s="96">
        <f>IF(Pipeline!$A289="","",IF(Pipeline!M289="","",Pipeline!M289))</f>
        <v/>
      </c>
      <c r="D289" s="97">
        <f>IF(Pipeline!$A289="","",IF(Pipeline!Q289="","",Pipeline!Q289))</f>
        <v/>
      </c>
      <c r="E289" s="98">
        <f>IF(Pipeline!$A289="","",IF(Pipeline!T289="","",Pipeline!T289))</f>
        <v/>
      </c>
      <c r="F289" s="77">
        <f>IF(Pipeline!$A289="","",IF(Pipeline!W289="","",Pipeline!W289))</f>
        <v/>
      </c>
      <c r="G289" s="99">
        <f>IF(Pipeline!$A289="","",IF(Pipeline!AH289="","",Pipeline!AH289))</f>
        <v/>
      </c>
      <c r="H289" s="77">
        <f>IF(Pipeline!$A289="","",IF(Pipeline!AI289="","",Pipeline!AI289))</f>
        <v/>
      </c>
      <c r="I289" s="77">
        <f>IF(Pipeline!$A289="","",IF(Pipeline!X289="","",Pipeline!X289))</f>
        <v/>
      </c>
      <c r="J289" s="77">
        <f>IF(Pipeline!$A289="","",IF(Pipeline!AF289="","–",Pipeline!AF289))</f>
        <v/>
      </c>
    </row>
    <row r="290" ht="15" customHeight="1" s="51">
      <c r="A290" s="77">
        <f>IF(Pipeline!$A290="","",IF(Pipeline!H290="","",Pipeline!H290))</f>
        <v/>
      </c>
      <c r="B290" s="77">
        <f>IF(Pipeline!$A290="","",IF(Pipeline!F290="","",Pipeline!F290))</f>
        <v/>
      </c>
      <c r="C290" s="96">
        <f>IF(Pipeline!$A290="","",IF(Pipeline!M290="","",Pipeline!M290))</f>
        <v/>
      </c>
      <c r="D290" s="97">
        <f>IF(Pipeline!$A290="","",IF(Pipeline!Q290="","",Pipeline!Q290))</f>
        <v/>
      </c>
      <c r="E290" s="98">
        <f>IF(Pipeline!$A290="","",IF(Pipeline!T290="","",Pipeline!T290))</f>
        <v/>
      </c>
      <c r="F290" s="77">
        <f>IF(Pipeline!$A290="","",IF(Pipeline!W290="","",Pipeline!W290))</f>
        <v/>
      </c>
      <c r="G290" s="99">
        <f>IF(Pipeline!$A290="","",IF(Pipeline!AH290="","",Pipeline!AH290))</f>
        <v/>
      </c>
      <c r="H290" s="77">
        <f>IF(Pipeline!$A290="","",IF(Pipeline!AI290="","",Pipeline!AI290))</f>
        <v/>
      </c>
      <c r="I290" s="77">
        <f>IF(Pipeline!$A290="","",IF(Pipeline!X290="","",Pipeline!X290))</f>
        <v/>
      </c>
      <c r="J290" s="77">
        <f>IF(Pipeline!$A290="","",IF(Pipeline!AF290="","–",Pipeline!AF290))</f>
        <v/>
      </c>
    </row>
    <row r="291" ht="15" customHeight="1" s="51">
      <c r="A291" s="77">
        <f>IF(Pipeline!$A291="","",IF(Pipeline!H291="","",Pipeline!H291))</f>
        <v/>
      </c>
      <c r="B291" s="77">
        <f>IF(Pipeline!$A291="","",IF(Pipeline!F291="","",Pipeline!F291))</f>
        <v/>
      </c>
      <c r="C291" s="96">
        <f>IF(Pipeline!$A291="","",IF(Pipeline!M291="","",Pipeline!M291))</f>
        <v/>
      </c>
      <c r="D291" s="97">
        <f>IF(Pipeline!$A291="","",IF(Pipeline!Q291="","",Pipeline!Q291))</f>
        <v/>
      </c>
      <c r="E291" s="98">
        <f>IF(Pipeline!$A291="","",IF(Pipeline!T291="","",Pipeline!T291))</f>
        <v/>
      </c>
      <c r="F291" s="77">
        <f>IF(Pipeline!$A291="","",IF(Pipeline!W291="","",Pipeline!W291))</f>
        <v/>
      </c>
      <c r="G291" s="99">
        <f>IF(Pipeline!$A291="","",IF(Pipeline!AH291="","",Pipeline!AH291))</f>
        <v/>
      </c>
      <c r="H291" s="77">
        <f>IF(Pipeline!$A291="","",IF(Pipeline!AI291="","",Pipeline!AI291))</f>
        <v/>
      </c>
      <c r="I291" s="77">
        <f>IF(Pipeline!$A291="","",IF(Pipeline!X291="","",Pipeline!X291))</f>
        <v/>
      </c>
      <c r="J291" s="77">
        <f>IF(Pipeline!$A291="","",IF(Pipeline!AF291="","–",Pipeline!AF291))</f>
        <v/>
      </c>
    </row>
    <row r="292" ht="15" customHeight="1" s="51">
      <c r="A292" s="77">
        <f>IF(Pipeline!$A292="","",IF(Pipeline!H292="","",Pipeline!H292))</f>
        <v/>
      </c>
      <c r="B292" s="77">
        <f>IF(Pipeline!$A292="","",IF(Pipeline!F292="","",Pipeline!F292))</f>
        <v/>
      </c>
      <c r="C292" s="96">
        <f>IF(Pipeline!$A292="","",IF(Pipeline!M292="","",Pipeline!M292))</f>
        <v/>
      </c>
      <c r="D292" s="97">
        <f>IF(Pipeline!$A292="","",IF(Pipeline!Q292="","",Pipeline!Q292))</f>
        <v/>
      </c>
      <c r="E292" s="98">
        <f>IF(Pipeline!$A292="","",IF(Pipeline!T292="","",Pipeline!T292))</f>
        <v/>
      </c>
      <c r="F292" s="77">
        <f>IF(Pipeline!$A292="","",IF(Pipeline!W292="","",Pipeline!W292))</f>
        <v/>
      </c>
      <c r="G292" s="99">
        <f>IF(Pipeline!$A292="","",IF(Pipeline!AH292="","",Pipeline!AH292))</f>
        <v/>
      </c>
      <c r="H292" s="77">
        <f>IF(Pipeline!$A292="","",IF(Pipeline!AI292="","",Pipeline!AI292))</f>
        <v/>
      </c>
      <c r="I292" s="77">
        <f>IF(Pipeline!$A292="","",IF(Pipeline!X292="","",Pipeline!X292))</f>
        <v/>
      </c>
      <c r="J292" s="77">
        <f>IF(Pipeline!$A292="","",IF(Pipeline!AF292="","–",Pipeline!AF292))</f>
        <v/>
      </c>
    </row>
    <row r="293" ht="15" customHeight="1" s="51">
      <c r="A293" s="77">
        <f>IF(Pipeline!$A293="","",IF(Pipeline!H293="","",Pipeline!H293))</f>
        <v/>
      </c>
      <c r="B293" s="77">
        <f>IF(Pipeline!$A293="","",IF(Pipeline!F293="","",Pipeline!F293))</f>
        <v/>
      </c>
      <c r="C293" s="96">
        <f>IF(Pipeline!$A293="","",IF(Pipeline!M293="","",Pipeline!M293))</f>
        <v/>
      </c>
      <c r="D293" s="97">
        <f>IF(Pipeline!$A293="","",IF(Pipeline!Q293="","",Pipeline!Q293))</f>
        <v/>
      </c>
      <c r="E293" s="98">
        <f>IF(Pipeline!$A293="","",IF(Pipeline!T293="","",Pipeline!T293))</f>
        <v/>
      </c>
      <c r="F293" s="77">
        <f>IF(Pipeline!$A293="","",IF(Pipeline!W293="","",Pipeline!W293))</f>
        <v/>
      </c>
      <c r="G293" s="99">
        <f>IF(Pipeline!$A293="","",IF(Pipeline!AH293="","",Pipeline!AH293))</f>
        <v/>
      </c>
      <c r="H293" s="77">
        <f>IF(Pipeline!$A293="","",IF(Pipeline!AI293="","",Pipeline!AI293))</f>
        <v/>
      </c>
      <c r="I293" s="77">
        <f>IF(Pipeline!$A293="","",IF(Pipeline!X293="","",Pipeline!X293))</f>
        <v/>
      </c>
      <c r="J293" s="77">
        <f>IF(Pipeline!$A293="","",IF(Pipeline!AF293="","–",Pipeline!AF293))</f>
        <v/>
      </c>
    </row>
    <row r="294" ht="15" customHeight="1" s="51">
      <c r="A294" s="77">
        <f>IF(Pipeline!$A294="","",IF(Pipeline!H294="","",Pipeline!H294))</f>
        <v/>
      </c>
      <c r="B294" s="77">
        <f>IF(Pipeline!$A294="","",IF(Pipeline!F294="","",Pipeline!F294))</f>
        <v/>
      </c>
      <c r="C294" s="96">
        <f>IF(Pipeline!$A294="","",IF(Pipeline!M294="","",Pipeline!M294))</f>
        <v/>
      </c>
      <c r="D294" s="97">
        <f>IF(Pipeline!$A294="","",IF(Pipeline!Q294="","",Pipeline!Q294))</f>
        <v/>
      </c>
      <c r="E294" s="98">
        <f>IF(Pipeline!$A294="","",IF(Pipeline!T294="","",Pipeline!T294))</f>
        <v/>
      </c>
      <c r="F294" s="77">
        <f>IF(Pipeline!$A294="","",IF(Pipeline!W294="","",Pipeline!W294))</f>
        <v/>
      </c>
      <c r="G294" s="99">
        <f>IF(Pipeline!$A294="","",IF(Pipeline!AH294="","",Pipeline!AH294))</f>
        <v/>
      </c>
      <c r="H294" s="77">
        <f>IF(Pipeline!$A294="","",IF(Pipeline!AI294="","",Pipeline!AI294))</f>
        <v/>
      </c>
      <c r="I294" s="77">
        <f>IF(Pipeline!$A294="","",IF(Pipeline!X294="","",Pipeline!X294))</f>
        <v/>
      </c>
      <c r="J294" s="77">
        <f>IF(Pipeline!$A294="","",IF(Pipeline!AF294="","–",Pipeline!AF294))</f>
        <v/>
      </c>
    </row>
    <row r="295" ht="15" customHeight="1" s="51">
      <c r="A295" s="77">
        <f>IF(Pipeline!$A295="","",IF(Pipeline!H295="","",Pipeline!H295))</f>
        <v/>
      </c>
      <c r="B295" s="77">
        <f>IF(Pipeline!$A295="","",IF(Pipeline!F295="","",Pipeline!F295))</f>
        <v/>
      </c>
      <c r="C295" s="96">
        <f>IF(Pipeline!$A295="","",IF(Pipeline!M295="","",Pipeline!M295))</f>
        <v/>
      </c>
      <c r="D295" s="97">
        <f>IF(Pipeline!$A295="","",IF(Pipeline!Q295="","",Pipeline!Q295))</f>
        <v/>
      </c>
      <c r="E295" s="98">
        <f>IF(Pipeline!$A295="","",IF(Pipeline!T295="","",Pipeline!T295))</f>
        <v/>
      </c>
      <c r="F295" s="77">
        <f>IF(Pipeline!$A295="","",IF(Pipeline!W295="","",Pipeline!W295))</f>
        <v/>
      </c>
      <c r="G295" s="99">
        <f>IF(Pipeline!$A295="","",IF(Pipeline!AH295="","",Pipeline!AH295))</f>
        <v/>
      </c>
      <c r="H295" s="77">
        <f>IF(Pipeline!$A295="","",IF(Pipeline!AI295="","",Pipeline!AI295))</f>
        <v/>
      </c>
      <c r="I295" s="77">
        <f>IF(Pipeline!$A295="","",IF(Pipeline!X295="","",Pipeline!X295))</f>
        <v/>
      </c>
      <c r="J295" s="77">
        <f>IF(Pipeline!$A295="","",IF(Pipeline!AF295="","–",Pipeline!AF295))</f>
        <v/>
      </c>
    </row>
    <row r="296" ht="15" customHeight="1" s="51">
      <c r="A296" s="77">
        <f>IF(Pipeline!$A296="","",IF(Pipeline!H296="","",Pipeline!H296))</f>
        <v/>
      </c>
      <c r="B296" s="77">
        <f>IF(Pipeline!$A296="","",IF(Pipeline!F296="","",Pipeline!F296))</f>
        <v/>
      </c>
      <c r="C296" s="96">
        <f>IF(Pipeline!$A296="","",IF(Pipeline!M296="","",Pipeline!M296))</f>
        <v/>
      </c>
      <c r="D296" s="97">
        <f>IF(Pipeline!$A296="","",IF(Pipeline!Q296="","",Pipeline!Q296))</f>
        <v/>
      </c>
      <c r="E296" s="98">
        <f>IF(Pipeline!$A296="","",IF(Pipeline!T296="","",Pipeline!T296))</f>
        <v/>
      </c>
      <c r="F296" s="77">
        <f>IF(Pipeline!$A296="","",IF(Pipeline!W296="","",Pipeline!W296))</f>
        <v/>
      </c>
      <c r="G296" s="99">
        <f>IF(Pipeline!$A296="","",IF(Pipeline!AH296="","",Pipeline!AH296))</f>
        <v/>
      </c>
      <c r="H296" s="77">
        <f>IF(Pipeline!$A296="","",IF(Pipeline!AI296="","",Pipeline!AI296))</f>
        <v/>
      </c>
      <c r="I296" s="77">
        <f>IF(Pipeline!$A296="","",IF(Pipeline!X296="","",Pipeline!X296))</f>
        <v/>
      </c>
      <c r="J296" s="77">
        <f>IF(Pipeline!$A296="","",IF(Pipeline!AF296="","–",Pipeline!AF296))</f>
        <v/>
      </c>
    </row>
    <row r="297" ht="15" customHeight="1" s="51">
      <c r="A297" s="77">
        <f>IF(Pipeline!$A297="","",IF(Pipeline!H297="","",Pipeline!H297))</f>
        <v/>
      </c>
      <c r="B297" s="77">
        <f>IF(Pipeline!$A297="","",IF(Pipeline!F297="","",Pipeline!F297))</f>
        <v/>
      </c>
      <c r="C297" s="96">
        <f>IF(Pipeline!$A297="","",IF(Pipeline!M297="","",Pipeline!M297))</f>
        <v/>
      </c>
      <c r="D297" s="97">
        <f>IF(Pipeline!$A297="","",IF(Pipeline!Q297="","",Pipeline!Q297))</f>
        <v/>
      </c>
      <c r="E297" s="98">
        <f>IF(Pipeline!$A297="","",IF(Pipeline!T297="","",Pipeline!T297))</f>
        <v/>
      </c>
      <c r="F297" s="77">
        <f>IF(Pipeline!$A297="","",IF(Pipeline!W297="","",Pipeline!W297))</f>
        <v/>
      </c>
      <c r="G297" s="99">
        <f>IF(Pipeline!$A297="","",IF(Pipeline!AH297="","",Pipeline!AH297))</f>
        <v/>
      </c>
      <c r="H297" s="77">
        <f>IF(Pipeline!$A297="","",IF(Pipeline!AI297="","",Pipeline!AI297))</f>
        <v/>
      </c>
      <c r="I297" s="77">
        <f>IF(Pipeline!$A297="","",IF(Pipeline!X297="","",Pipeline!X297))</f>
        <v/>
      </c>
      <c r="J297" s="77">
        <f>IF(Pipeline!$A297="","",IF(Pipeline!AF297="","–",Pipeline!AF297))</f>
        <v/>
      </c>
    </row>
    <row r="298" ht="15" customHeight="1" s="51">
      <c r="A298" s="77">
        <f>IF(Pipeline!$A298="","",IF(Pipeline!H298="","",Pipeline!H298))</f>
        <v/>
      </c>
      <c r="B298" s="77">
        <f>IF(Pipeline!$A298="","",IF(Pipeline!F298="","",Pipeline!F298))</f>
        <v/>
      </c>
      <c r="C298" s="96">
        <f>IF(Pipeline!$A298="","",IF(Pipeline!M298="","",Pipeline!M298))</f>
        <v/>
      </c>
      <c r="D298" s="97">
        <f>IF(Pipeline!$A298="","",IF(Pipeline!Q298="","",Pipeline!Q298))</f>
        <v/>
      </c>
      <c r="E298" s="98">
        <f>IF(Pipeline!$A298="","",IF(Pipeline!T298="","",Pipeline!T298))</f>
        <v/>
      </c>
      <c r="F298" s="77">
        <f>IF(Pipeline!$A298="","",IF(Pipeline!W298="","",Pipeline!W298))</f>
        <v/>
      </c>
      <c r="G298" s="99">
        <f>IF(Pipeline!$A298="","",IF(Pipeline!AH298="","",Pipeline!AH298))</f>
        <v/>
      </c>
      <c r="H298" s="77">
        <f>IF(Pipeline!$A298="","",IF(Pipeline!AI298="","",Pipeline!AI298))</f>
        <v/>
      </c>
      <c r="I298" s="77">
        <f>IF(Pipeline!$A298="","",IF(Pipeline!X298="","",Pipeline!X298))</f>
        <v/>
      </c>
      <c r="J298" s="77">
        <f>IF(Pipeline!$A298="","",IF(Pipeline!AF298="","–",Pipeline!AF298))</f>
        <v/>
      </c>
    </row>
    <row r="299" ht="15" customHeight="1" s="51">
      <c r="A299" s="77">
        <f>IF(Pipeline!$A299="","",IF(Pipeline!H299="","",Pipeline!H299))</f>
        <v/>
      </c>
      <c r="B299" s="77">
        <f>IF(Pipeline!$A299="","",IF(Pipeline!F299="","",Pipeline!F299))</f>
        <v/>
      </c>
      <c r="C299" s="96">
        <f>IF(Pipeline!$A299="","",IF(Pipeline!M299="","",Pipeline!M299))</f>
        <v/>
      </c>
      <c r="D299" s="97">
        <f>IF(Pipeline!$A299="","",IF(Pipeline!Q299="","",Pipeline!Q299))</f>
        <v/>
      </c>
      <c r="E299" s="98">
        <f>IF(Pipeline!$A299="","",IF(Pipeline!T299="","",Pipeline!T299))</f>
        <v/>
      </c>
      <c r="F299" s="77">
        <f>IF(Pipeline!$A299="","",IF(Pipeline!W299="","",Pipeline!W299))</f>
        <v/>
      </c>
      <c r="G299" s="99">
        <f>IF(Pipeline!$A299="","",IF(Pipeline!AH299="","",Pipeline!AH299))</f>
        <v/>
      </c>
      <c r="H299" s="77">
        <f>IF(Pipeline!$A299="","",IF(Pipeline!AI299="","",Pipeline!AI299))</f>
        <v/>
      </c>
      <c r="I299" s="77">
        <f>IF(Pipeline!$A299="","",IF(Pipeline!X299="","",Pipeline!X299))</f>
        <v/>
      </c>
      <c r="J299" s="77">
        <f>IF(Pipeline!$A299="","",IF(Pipeline!AF299="","–",Pipeline!AF299))</f>
        <v/>
      </c>
    </row>
    <row r="300" ht="15" customHeight="1" s="51">
      <c r="A300" s="77">
        <f>IF(Pipeline!$A300="","",IF(Pipeline!H300="","",Pipeline!H300))</f>
        <v/>
      </c>
      <c r="B300" s="77">
        <f>IF(Pipeline!$A300="","",IF(Pipeline!F300="","",Pipeline!F300))</f>
        <v/>
      </c>
      <c r="C300" s="96">
        <f>IF(Pipeline!$A300="","",IF(Pipeline!M300="","",Pipeline!M300))</f>
        <v/>
      </c>
      <c r="D300" s="97">
        <f>IF(Pipeline!$A300="","",IF(Pipeline!Q300="","",Pipeline!Q300))</f>
        <v/>
      </c>
      <c r="E300" s="98">
        <f>IF(Pipeline!$A300="","",IF(Pipeline!T300="","",Pipeline!T300))</f>
        <v/>
      </c>
      <c r="F300" s="77">
        <f>IF(Pipeline!$A300="","",IF(Pipeline!W300="","",Pipeline!W300))</f>
        <v/>
      </c>
      <c r="G300" s="99">
        <f>IF(Pipeline!$A300="","",IF(Pipeline!AH300="","",Pipeline!AH300))</f>
        <v/>
      </c>
      <c r="H300" s="77">
        <f>IF(Pipeline!$A300="","",IF(Pipeline!AI300="","",Pipeline!AI300))</f>
        <v/>
      </c>
      <c r="I300" s="77">
        <f>IF(Pipeline!$A300="","",IF(Pipeline!X300="","",Pipeline!X300))</f>
        <v/>
      </c>
      <c r="J300" s="77">
        <f>IF(Pipeline!$A300="","",IF(Pipeline!AF300="","–",Pipeline!AF300))</f>
        <v/>
      </c>
    </row>
    <row r="301" ht="15" customHeight="1" s="51">
      <c r="A301" s="77">
        <f>IF(Pipeline!$A301="","",IF(Pipeline!H301="","",Pipeline!H301))</f>
        <v/>
      </c>
      <c r="B301" s="77">
        <f>IF(Pipeline!$A301="","",IF(Pipeline!F301="","",Pipeline!F301))</f>
        <v/>
      </c>
      <c r="C301" s="96">
        <f>IF(Pipeline!$A301="","",IF(Pipeline!M301="","",Pipeline!M301))</f>
        <v/>
      </c>
      <c r="D301" s="97">
        <f>IF(Pipeline!$A301="","",IF(Pipeline!Q301="","",Pipeline!Q301))</f>
        <v/>
      </c>
      <c r="E301" s="98">
        <f>IF(Pipeline!$A301="","",IF(Pipeline!T301="","",Pipeline!T301))</f>
        <v/>
      </c>
      <c r="F301" s="77">
        <f>IF(Pipeline!$A301="","",IF(Pipeline!W301="","",Pipeline!W301))</f>
        <v/>
      </c>
      <c r="G301" s="99">
        <f>IF(Pipeline!$A301="","",IF(Pipeline!AH301="","",Pipeline!AH301))</f>
        <v/>
      </c>
      <c r="H301" s="77">
        <f>IF(Pipeline!$A301="","",IF(Pipeline!AI301="","",Pipeline!AI301))</f>
        <v/>
      </c>
      <c r="I301" s="77">
        <f>IF(Pipeline!$A301="","",IF(Pipeline!X301="","",Pipeline!X301))</f>
        <v/>
      </c>
      <c r="J301" s="77">
        <f>IF(Pipeline!$A301="","",IF(Pipeline!AF301="","–",Pipeline!AF301))</f>
        <v/>
      </c>
    </row>
    <row r="302" ht="15" customHeight="1" s="51">
      <c r="A302" s="77">
        <f>IF(Pipeline!$A302="","",IF(Pipeline!H302="","",Pipeline!H302))</f>
        <v/>
      </c>
      <c r="B302" s="77">
        <f>IF(Pipeline!$A302="","",IF(Pipeline!F302="","",Pipeline!F302))</f>
        <v/>
      </c>
      <c r="C302" s="96">
        <f>IF(Pipeline!$A302="","",IF(Pipeline!M302="","",Pipeline!M302))</f>
        <v/>
      </c>
      <c r="D302" s="97">
        <f>IF(Pipeline!$A302="","",IF(Pipeline!Q302="","",Pipeline!Q302))</f>
        <v/>
      </c>
      <c r="E302" s="98">
        <f>IF(Pipeline!$A302="","",IF(Pipeline!T302="","",Pipeline!T302))</f>
        <v/>
      </c>
      <c r="F302" s="77">
        <f>IF(Pipeline!$A302="","",IF(Pipeline!W302="","",Pipeline!W302))</f>
        <v/>
      </c>
      <c r="G302" s="99">
        <f>IF(Pipeline!$A302="","",IF(Pipeline!AH302="","",Pipeline!AH302))</f>
        <v/>
      </c>
      <c r="H302" s="77">
        <f>IF(Pipeline!$A302="","",IF(Pipeline!AI302="","",Pipeline!AI302))</f>
        <v/>
      </c>
      <c r="I302" s="77">
        <f>IF(Pipeline!$A302="","",IF(Pipeline!X302="","",Pipeline!X302))</f>
        <v/>
      </c>
      <c r="J302" s="77">
        <f>IF(Pipeline!$A302="","",IF(Pipeline!AF302="","–",Pipeline!AF302))</f>
        <v/>
      </c>
    </row>
    <row r="303" ht="15" customHeight="1" s="51">
      <c r="A303" s="77">
        <f>IF(Pipeline!$A303="","",IF(Pipeline!H303="","",Pipeline!H303))</f>
        <v/>
      </c>
      <c r="B303" s="77">
        <f>IF(Pipeline!$A303="","",IF(Pipeline!F303="","",Pipeline!F303))</f>
        <v/>
      </c>
      <c r="C303" s="96">
        <f>IF(Pipeline!$A303="","",IF(Pipeline!M303="","",Pipeline!M303))</f>
        <v/>
      </c>
      <c r="D303" s="97">
        <f>IF(Pipeline!$A303="","",IF(Pipeline!Q303="","",Pipeline!Q303))</f>
        <v/>
      </c>
      <c r="E303" s="98">
        <f>IF(Pipeline!$A303="","",IF(Pipeline!T303="","",Pipeline!T303))</f>
        <v/>
      </c>
      <c r="F303" s="77">
        <f>IF(Pipeline!$A303="","",IF(Pipeline!W303="","",Pipeline!W303))</f>
        <v/>
      </c>
      <c r="G303" s="99">
        <f>IF(Pipeline!$A303="","",IF(Pipeline!AH303="","",Pipeline!AH303))</f>
        <v/>
      </c>
      <c r="H303" s="77">
        <f>IF(Pipeline!$A303="","",IF(Pipeline!AI303="","",Pipeline!AI303))</f>
        <v/>
      </c>
      <c r="I303" s="77">
        <f>IF(Pipeline!$A303="","",IF(Pipeline!X303="","",Pipeline!X303))</f>
        <v/>
      </c>
      <c r="J303" s="77">
        <f>IF(Pipeline!$A303="","",IF(Pipeline!AF303="","–",Pipeline!AF303))</f>
        <v/>
      </c>
    </row>
    <row r="304" ht="15" customHeight="1" s="51">
      <c r="A304" s="77">
        <f>IF(Pipeline!$A304="","",IF(Pipeline!H304="","",Pipeline!H304))</f>
        <v/>
      </c>
      <c r="B304" s="77">
        <f>IF(Pipeline!$A304="","",IF(Pipeline!F304="","",Pipeline!F304))</f>
        <v/>
      </c>
      <c r="C304" s="96">
        <f>IF(Pipeline!$A304="","",IF(Pipeline!M304="","",Pipeline!M304))</f>
        <v/>
      </c>
      <c r="D304" s="97">
        <f>IF(Pipeline!$A304="","",IF(Pipeline!Q304="","",Pipeline!Q304))</f>
        <v/>
      </c>
      <c r="E304" s="98">
        <f>IF(Pipeline!$A304="","",IF(Pipeline!T304="","",Pipeline!T304))</f>
        <v/>
      </c>
      <c r="F304" s="77">
        <f>IF(Pipeline!$A304="","",IF(Pipeline!W304="","",Pipeline!W304))</f>
        <v/>
      </c>
      <c r="G304" s="99">
        <f>IF(Pipeline!$A304="","",IF(Pipeline!AH304="","",Pipeline!AH304))</f>
        <v/>
      </c>
      <c r="H304" s="77">
        <f>IF(Pipeline!$A304="","",IF(Pipeline!AI304="","",Pipeline!AI304))</f>
        <v/>
      </c>
      <c r="I304" s="77">
        <f>IF(Pipeline!$A304="","",IF(Pipeline!X304="","",Pipeline!X304))</f>
        <v/>
      </c>
      <c r="J304" s="77">
        <f>IF(Pipeline!$A304="","",IF(Pipeline!AF304="","–",Pipeline!AF304))</f>
        <v/>
      </c>
    </row>
    <row r="305" ht="15" customHeight="1" s="51">
      <c r="A305" s="77">
        <f>IF(Pipeline!$A305="","",IF(Pipeline!H305="","",Pipeline!H305))</f>
        <v/>
      </c>
      <c r="B305" s="77">
        <f>IF(Pipeline!$A305="","",IF(Pipeline!F305="","",Pipeline!F305))</f>
        <v/>
      </c>
      <c r="C305" s="96">
        <f>IF(Pipeline!$A305="","",IF(Pipeline!M305="","",Pipeline!M305))</f>
        <v/>
      </c>
      <c r="D305" s="97">
        <f>IF(Pipeline!$A305="","",IF(Pipeline!Q305="","",Pipeline!Q305))</f>
        <v/>
      </c>
      <c r="E305" s="98">
        <f>IF(Pipeline!$A305="","",IF(Pipeline!T305="","",Pipeline!T305))</f>
        <v/>
      </c>
      <c r="F305" s="77">
        <f>IF(Pipeline!$A305="","",IF(Pipeline!W305="","",Pipeline!W305))</f>
        <v/>
      </c>
      <c r="G305" s="99">
        <f>IF(Pipeline!$A305="","",IF(Pipeline!AH305="","",Pipeline!AH305))</f>
        <v/>
      </c>
      <c r="H305" s="77">
        <f>IF(Pipeline!$A305="","",IF(Pipeline!AI305="","",Pipeline!AI305))</f>
        <v/>
      </c>
      <c r="I305" s="77">
        <f>IF(Pipeline!$A305="","",IF(Pipeline!X305="","",Pipeline!X305))</f>
        <v/>
      </c>
      <c r="J305" s="77">
        <f>IF(Pipeline!$A305="","",IF(Pipeline!AF305="","–",Pipeline!AF305))</f>
        <v/>
      </c>
    </row>
    <row r="306" ht="15" customHeight="1" s="51">
      <c r="A306" s="77">
        <f>IF(Pipeline!$A306="","",IF(Pipeline!H306="","",Pipeline!H306))</f>
        <v/>
      </c>
      <c r="B306" s="77">
        <f>IF(Pipeline!$A306="","",IF(Pipeline!F306="","",Pipeline!F306))</f>
        <v/>
      </c>
      <c r="C306" s="96">
        <f>IF(Pipeline!$A306="","",IF(Pipeline!M306="","",Pipeline!M306))</f>
        <v/>
      </c>
      <c r="D306" s="97">
        <f>IF(Pipeline!$A306="","",IF(Pipeline!Q306="","",Pipeline!Q306))</f>
        <v/>
      </c>
      <c r="E306" s="98">
        <f>IF(Pipeline!$A306="","",IF(Pipeline!T306="","",Pipeline!T306))</f>
        <v/>
      </c>
      <c r="F306" s="77">
        <f>IF(Pipeline!$A306="","",IF(Pipeline!W306="","",Pipeline!W306))</f>
        <v/>
      </c>
      <c r="G306" s="99">
        <f>IF(Pipeline!$A306="","",IF(Pipeline!AH306="","",Pipeline!AH306))</f>
        <v/>
      </c>
      <c r="H306" s="77">
        <f>IF(Pipeline!$A306="","",IF(Pipeline!AI306="","",Pipeline!AI306))</f>
        <v/>
      </c>
      <c r="I306" s="77">
        <f>IF(Pipeline!$A306="","",IF(Pipeline!X306="","",Pipeline!X306))</f>
        <v/>
      </c>
      <c r="J306" s="77">
        <f>IF(Pipeline!$A306="","",IF(Pipeline!AF306="","–",Pipeline!AF306))</f>
        <v/>
      </c>
    </row>
    <row r="307" ht="15" customHeight="1" s="51">
      <c r="A307" s="77">
        <f>IF(Pipeline!$A307="","",IF(Pipeline!H307="","",Pipeline!H307))</f>
        <v/>
      </c>
      <c r="B307" s="77">
        <f>IF(Pipeline!$A307="","",IF(Pipeline!F307="","",Pipeline!F307))</f>
        <v/>
      </c>
      <c r="C307" s="96">
        <f>IF(Pipeline!$A307="","",IF(Pipeline!M307="","",Pipeline!M307))</f>
        <v/>
      </c>
      <c r="D307" s="97">
        <f>IF(Pipeline!$A307="","",IF(Pipeline!Q307="","",Pipeline!Q307))</f>
        <v/>
      </c>
      <c r="E307" s="98">
        <f>IF(Pipeline!$A307="","",IF(Pipeline!T307="","",Pipeline!T307))</f>
        <v/>
      </c>
      <c r="F307" s="77">
        <f>IF(Pipeline!$A307="","",IF(Pipeline!W307="","",Pipeline!W307))</f>
        <v/>
      </c>
      <c r="G307" s="99">
        <f>IF(Pipeline!$A307="","",IF(Pipeline!AH307="","",Pipeline!AH307))</f>
        <v/>
      </c>
      <c r="H307" s="77">
        <f>IF(Pipeline!$A307="","",IF(Pipeline!AI307="","",Pipeline!AI307))</f>
        <v/>
      </c>
      <c r="I307" s="77">
        <f>IF(Pipeline!$A307="","",IF(Pipeline!X307="","",Pipeline!X307))</f>
        <v/>
      </c>
      <c r="J307" s="77">
        <f>IF(Pipeline!$A307="","",IF(Pipeline!AF307="","–",Pipeline!AF307))</f>
        <v/>
      </c>
    </row>
    <row r="308" ht="15" customHeight="1" s="51">
      <c r="A308" s="77">
        <f>IF(Pipeline!$A308="","",IF(Pipeline!H308="","",Pipeline!H308))</f>
        <v/>
      </c>
      <c r="B308" s="77">
        <f>IF(Pipeline!$A308="","",IF(Pipeline!F308="","",Pipeline!F308))</f>
        <v/>
      </c>
      <c r="C308" s="96">
        <f>IF(Pipeline!$A308="","",IF(Pipeline!M308="","",Pipeline!M308))</f>
        <v/>
      </c>
      <c r="D308" s="97">
        <f>IF(Pipeline!$A308="","",IF(Pipeline!Q308="","",Pipeline!Q308))</f>
        <v/>
      </c>
      <c r="E308" s="98">
        <f>IF(Pipeline!$A308="","",IF(Pipeline!T308="","",Pipeline!T308))</f>
        <v/>
      </c>
      <c r="F308" s="77">
        <f>IF(Pipeline!$A308="","",IF(Pipeline!W308="","",Pipeline!W308))</f>
        <v/>
      </c>
      <c r="G308" s="99">
        <f>IF(Pipeline!$A308="","",IF(Pipeline!AH308="","",Pipeline!AH308))</f>
        <v/>
      </c>
      <c r="H308" s="77">
        <f>IF(Pipeline!$A308="","",IF(Pipeline!AI308="","",Pipeline!AI308))</f>
        <v/>
      </c>
      <c r="I308" s="77">
        <f>IF(Pipeline!$A308="","",IF(Pipeline!X308="","",Pipeline!X308))</f>
        <v/>
      </c>
      <c r="J308" s="77">
        <f>IF(Pipeline!$A308="","",IF(Pipeline!AF308="","–",Pipeline!AF308))</f>
        <v/>
      </c>
    </row>
    <row r="309" ht="15" customHeight="1" s="51">
      <c r="A309" s="77">
        <f>IF(Pipeline!$A309="","",IF(Pipeline!H309="","",Pipeline!H309))</f>
        <v/>
      </c>
      <c r="B309" s="77">
        <f>IF(Pipeline!$A309="","",IF(Pipeline!F309="","",Pipeline!F309))</f>
        <v/>
      </c>
      <c r="C309" s="96">
        <f>IF(Pipeline!$A309="","",IF(Pipeline!M309="","",Pipeline!M309))</f>
        <v/>
      </c>
      <c r="D309" s="97">
        <f>IF(Pipeline!$A309="","",IF(Pipeline!Q309="","",Pipeline!Q309))</f>
        <v/>
      </c>
      <c r="E309" s="98">
        <f>IF(Pipeline!$A309="","",IF(Pipeline!T309="","",Pipeline!T309))</f>
        <v/>
      </c>
      <c r="F309" s="77">
        <f>IF(Pipeline!$A309="","",IF(Pipeline!W309="","",Pipeline!W309))</f>
        <v/>
      </c>
      <c r="G309" s="99">
        <f>IF(Pipeline!$A309="","",IF(Pipeline!AH309="","",Pipeline!AH309))</f>
        <v/>
      </c>
      <c r="H309" s="77">
        <f>IF(Pipeline!$A309="","",IF(Pipeline!AI309="","",Pipeline!AI309))</f>
        <v/>
      </c>
      <c r="I309" s="77">
        <f>IF(Pipeline!$A309="","",IF(Pipeline!X309="","",Pipeline!X309))</f>
        <v/>
      </c>
      <c r="J309" s="77">
        <f>IF(Pipeline!$A309="","",IF(Pipeline!AF309="","–",Pipeline!AF309))</f>
        <v/>
      </c>
    </row>
    <row r="310" ht="15" customHeight="1" s="51">
      <c r="A310" s="77">
        <f>IF(Pipeline!$A310="","",IF(Pipeline!H310="","",Pipeline!H310))</f>
        <v/>
      </c>
      <c r="B310" s="77">
        <f>IF(Pipeline!$A310="","",IF(Pipeline!F310="","",Pipeline!F310))</f>
        <v/>
      </c>
      <c r="C310" s="96">
        <f>IF(Pipeline!$A310="","",IF(Pipeline!M310="","",Pipeline!M310))</f>
        <v/>
      </c>
      <c r="D310" s="97">
        <f>IF(Pipeline!$A310="","",IF(Pipeline!Q310="","",Pipeline!Q310))</f>
        <v/>
      </c>
      <c r="E310" s="98">
        <f>IF(Pipeline!$A310="","",IF(Pipeline!T310="","",Pipeline!T310))</f>
        <v/>
      </c>
      <c r="F310" s="77">
        <f>IF(Pipeline!$A310="","",IF(Pipeline!W310="","",Pipeline!W310))</f>
        <v/>
      </c>
      <c r="G310" s="99">
        <f>IF(Pipeline!$A310="","",IF(Pipeline!AH310="","",Pipeline!AH310))</f>
        <v/>
      </c>
      <c r="H310" s="77">
        <f>IF(Pipeline!$A310="","",IF(Pipeline!AI310="","",Pipeline!AI310))</f>
        <v/>
      </c>
      <c r="I310" s="77">
        <f>IF(Pipeline!$A310="","",IF(Pipeline!X310="","",Pipeline!X310))</f>
        <v/>
      </c>
      <c r="J310" s="77">
        <f>IF(Pipeline!$A310="","",IF(Pipeline!AF310="","–",Pipeline!AF310))</f>
        <v/>
      </c>
    </row>
    <row r="311" ht="15" customHeight="1" s="51">
      <c r="A311" s="77">
        <f>IF(Pipeline!$A311="","",IF(Pipeline!H311="","",Pipeline!H311))</f>
        <v/>
      </c>
      <c r="B311" s="77">
        <f>IF(Pipeline!$A311="","",IF(Pipeline!F311="","",Pipeline!F311))</f>
        <v/>
      </c>
      <c r="C311" s="96">
        <f>IF(Pipeline!$A311="","",IF(Pipeline!M311="","",Pipeline!M311))</f>
        <v/>
      </c>
      <c r="D311" s="97">
        <f>IF(Pipeline!$A311="","",IF(Pipeline!Q311="","",Pipeline!Q311))</f>
        <v/>
      </c>
      <c r="E311" s="98">
        <f>IF(Pipeline!$A311="","",IF(Pipeline!T311="","",Pipeline!T311))</f>
        <v/>
      </c>
      <c r="F311" s="77">
        <f>IF(Pipeline!$A311="","",IF(Pipeline!W311="","",Pipeline!W311))</f>
        <v/>
      </c>
      <c r="G311" s="99">
        <f>IF(Pipeline!$A311="","",IF(Pipeline!AH311="","",Pipeline!AH311))</f>
        <v/>
      </c>
      <c r="H311" s="77">
        <f>IF(Pipeline!$A311="","",IF(Pipeline!AI311="","",Pipeline!AI311))</f>
        <v/>
      </c>
      <c r="I311" s="77">
        <f>IF(Pipeline!$A311="","",IF(Pipeline!X311="","",Pipeline!X311))</f>
        <v/>
      </c>
      <c r="J311" s="77">
        <f>IF(Pipeline!$A311="","",IF(Pipeline!AF311="","–",Pipeline!AF311))</f>
        <v/>
      </c>
    </row>
    <row r="312" ht="15" customHeight="1" s="51">
      <c r="A312" s="77">
        <f>IF(Pipeline!$A312="","",IF(Pipeline!H312="","",Pipeline!H312))</f>
        <v/>
      </c>
      <c r="B312" s="77">
        <f>IF(Pipeline!$A312="","",IF(Pipeline!F312="","",Pipeline!F312))</f>
        <v/>
      </c>
      <c r="C312" s="96">
        <f>IF(Pipeline!$A312="","",IF(Pipeline!M312="","",Pipeline!M312))</f>
        <v/>
      </c>
      <c r="D312" s="97">
        <f>IF(Pipeline!$A312="","",IF(Pipeline!Q312="","",Pipeline!Q312))</f>
        <v/>
      </c>
      <c r="E312" s="98">
        <f>IF(Pipeline!$A312="","",IF(Pipeline!T312="","",Pipeline!T312))</f>
        <v/>
      </c>
      <c r="F312" s="77">
        <f>IF(Pipeline!$A312="","",IF(Pipeline!W312="","",Pipeline!W312))</f>
        <v/>
      </c>
      <c r="G312" s="99">
        <f>IF(Pipeline!$A312="","",IF(Pipeline!AH312="","",Pipeline!AH312))</f>
        <v/>
      </c>
      <c r="H312" s="77">
        <f>IF(Pipeline!$A312="","",IF(Pipeline!AI312="","",Pipeline!AI312))</f>
        <v/>
      </c>
      <c r="I312" s="77">
        <f>IF(Pipeline!$A312="","",IF(Pipeline!X312="","",Pipeline!X312))</f>
        <v/>
      </c>
      <c r="J312" s="77">
        <f>IF(Pipeline!$A312="","",IF(Pipeline!AF312="","–",Pipeline!AF312))</f>
        <v/>
      </c>
    </row>
    <row r="313" ht="15" customHeight="1" s="51">
      <c r="A313" s="77">
        <f>IF(Pipeline!$A313="","",IF(Pipeline!H313="","",Pipeline!H313))</f>
        <v/>
      </c>
      <c r="B313" s="77">
        <f>IF(Pipeline!$A313="","",IF(Pipeline!F313="","",Pipeline!F313))</f>
        <v/>
      </c>
      <c r="C313" s="96">
        <f>IF(Pipeline!$A313="","",IF(Pipeline!M313="","",Pipeline!M313))</f>
        <v/>
      </c>
      <c r="D313" s="97">
        <f>IF(Pipeline!$A313="","",IF(Pipeline!Q313="","",Pipeline!Q313))</f>
        <v/>
      </c>
      <c r="E313" s="98">
        <f>IF(Pipeline!$A313="","",IF(Pipeline!T313="","",Pipeline!T313))</f>
        <v/>
      </c>
      <c r="F313" s="77">
        <f>IF(Pipeline!$A313="","",IF(Pipeline!W313="","",Pipeline!W313))</f>
        <v/>
      </c>
      <c r="G313" s="99">
        <f>IF(Pipeline!$A313="","",IF(Pipeline!AH313="","",Pipeline!AH313))</f>
        <v/>
      </c>
      <c r="H313" s="77">
        <f>IF(Pipeline!$A313="","",IF(Pipeline!AI313="","",Pipeline!AI313))</f>
        <v/>
      </c>
      <c r="I313" s="77">
        <f>IF(Pipeline!$A313="","",IF(Pipeline!X313="","",Pipeline!X313))</f>
        <v/>
      </c>
      <c r="J313" s="77">
        <f>IF(Pipeline!$A313="","",IF(Pipeline!AF313="","–",Pipeline!AF313))</f>
        <v/>
      </c>
    </row>
    <row r="314" ht="15" customHeight="1" s="51">
      <c r="A314" s="77">
        <f>IF(Pipeline!$A314="","",IF(Pipeline!H314="","",Pipeline!H314))</f>
        <v/>
      </c>
      <c r="B314" s="77">
        <f>IF(Pipeline!$A314="","",IF(Pipeline!F314="","",Pipeline!F314))</f>
        <v/>
      </c>
      <c r="C314" s="96">
        <f>IF(Pipeline!$A314="","",IF(Pipeline!M314="","",Pipeline!M314))</f>
        <v/>
      </c>
      <c r="D314" s="97">
        <f>IF(Pipeline!$A314="","",IF(Pipeline!Q314="","",Pipeline!Q314))</f>
        <v/>
      </c>
      <c r="E314" s="98">
        <f>IF(Pipeline!$A314="","",IF(Pipeline!T314="","",Pipeline!T314))</f>
        <v/>
      </c>
      <c r="F314" s="77">
        <f>IF(Pipeline!$A314="","",IF(Pipeline!W314="","",Pipeline!W314))</f>
        <v/>
      </c>
      <c r="G314" s="99">
        <f>IF(Pipeline!$A314="","",IF(Pipeline!AH314="","",Pipeline!AH314))</f>
        <v/>
      </c>
      <c r="H314" s="77">
        <f>IF(Pipeline!$A314="","",IF(Pipeline!AI314="","",Pipeline!AI314))</f>
        <v/>
      </c>
      <c r="I314" s="77">
        <f>IF(Pipeline!$A314="","",IF(Pipeline!X314="","",Pipeline!X314))</f>
        <v/>
      </c>
      <c r="J314" s="77">
        <f>IF(Pipeline!$A314="","",IF(Pipeline!AF314="","–",Pipeline!AF314))</f>
        <v/>
      </c>
    </row>
    <row r="315" ht="15" customHeight="1" s="51">
      <c r="A315" s="77">
        <f>IF(Pipeline!$A315="","",IF(Pipeline!H315="","",Pipeline!H315))</f>
        <v/>
      </c>
      <c r="B315" s="77">
        <f>IF(Pipeline!$A315="","",IF(Pipeline!F315="","",Pipeline!F315))</f>
        <v/>
      </c>
      <c r="C315" s="96">
        <f>IF(Pipeline!$A315="","",IF(Pipeline!M315="","",Pipeline!M315))</f>
        <v/>
      </c>
      <c r="D315" s="97">
        <f>IF(Pipeline!$A315="","",IF(Pipeline!Q315="","",Pipeline!Q315))</f>
        <v/>
      </c>
      <c r="E315" s="98">
        <f>IF(Pipeline!$A315="","",IF(Pipeline!T315="","",Pipeline!T315))</f>
        <v/>
      </c>
      <c r="F315" s="77">
        <f>IF(Pipeline!$A315="","",IF(Pipeline!W315="","",Pipeline!W315))</f>
        <v/>
      </c>
      <c r="G315" s="99">
        <f>IF(Pipeline!$A315="","",IF(Pipeline!AH315="","",Pipeline!AH315))</f>
        <v/>
      </c>
      <c r="H315" s="77">
        <f>IF(Pipeline!$A315="","",IF(Pipeline!AI315="","",Pipeline!AI315))</f>
        <v/>
      </c>
      <c r="I315" s="77">
        <f>IF(Pipeline!$A315="","",IF(Pipeline!X315="","",Pipeline!X315))</f>
        <v/>
      </c>
      <c r="J315" s="77">
        <f>IF(Pipeline!$A315="","",IF(Pipeline!AF315="","–",Pipeline!AF315))</f>
        <v/>
      </c>
    </row>
    <row r="316" ht="15" customHeight="1" s="51">
      <c r="A316" s="77">
        <f>IF(Pipeline!$A316="","",IF(Pipeline!H316="","",Pipeline!H316))</f>
        <v/>
      </c>
      <c r="B316" s="77">
        <f>IF(Pipeline!$A316="","",IF(Pipeline!F316="","",Pipeline!F316))</f>
        <v/>
      </c>
      <c r="C316" s="96">
        <f>IF(Pipeline!$A316="","",IF(Pipeline!M316="","",Pipeline!M316))</f>
        <v/>
      </c>
      <c r="D316" s="97">
        <f>IF(Pipeline!$A316="","",IF(Pipeline!Q316="","",Pipeline!Q316))</f>
        <v/>
      </c>
      <c r="E316" s="98">
        <f>IF(Pipeline!$A316="","",IF(Pipeline!T316="","",Pipeline!T316))</f>
        <v/>
      </c>
      <c r="F316" s="77">
        <f>IF(Pipeline!$A316="","",IF(Pipeline!W316="","",Pipeline!W316))</f>
        <v/>
      </c>
      <c r="G316" s="99">
        <f>IF(Pipeline!$A316="","",IF(Pipeline!AH316="","",Pipeline!AH316))</f>
        <v/>
      </c>
      <c r="H316" s="77">
        <f>IF(Pipeline!$A316="","",IF(Pipeline!AI316="","",Pipeline!AI316))</f>
        <v/>
      </c>
      <c r="I316" s="77">
        <f>IF(Pipeline!$A316="","",IF(Pipeline!X316="","",Pipeline!X316))</f>
        <v/>
      </c>
      <c r="J316" s="77">
        <f>IF(Pipeline!$A316="","",IF(Pipeline!AF316="","–",Pipeline!AF316))</f>
        <v/>
      </c>
    </row>
    <row r="317" ht="15" customHeight="1" s="51">
      <c r="A317" s="77">
        <f>IF(Pipeline!$A317="","",IF(Pipeline!H317="","",Pipeline!H317))</f>
        <v/>
      </c>
      <c r="B317" s="77">
        <f>IF(Pipeline!$A317="","",IF(Pipeline!F317="","",Pipeline!F317))</f>
        <v/>
      </c>
      <c r="C317" s="96">
        <f>IF(Pipeline!$A317="","",IF(Pipeline!M317="","",Pipeline!M317))</f>
        <v/>
      </c>
      <c r="D317" s="97">
        <f>IF(Pipeline!$A317="","",IF(Pipeline!Q317="","",Pipeline!Q317))</f>
        <v/>
      </c>
      <c r="E317" s="98">
        <f>IF(Pipeline!$A317="","",IF(Pipeline!T317="","",Pipeline!T317))</f>
        <v/>
      </c>
      <c r="F317" s="77">
        <f>IF(Pipeline!$A317="","",IF(Pipeline!W317="","",Pipeline!W317))</f>
        <v/>
      </c>
      <c r="G317" s="99">
        <f>IF(Pipeline!$A317="","",IF(Pipeline!AH317="","",Pipeline!AH317))</f>
        <v/>
      </c>
      <c r="H317" s="77">
        <f>IF(Pipeline!$A317="","",IF(Pipeline!AI317="","",Pipeline!AI317))</f>
        <v/>
      </c>
      <c r="I317" s="77">
        <f>IF(Pipeline!$A317="","",IF(Pipeline!X317="","",Pipeline!X317))</f>
        <v/>
      </c>
      <c r="J317" s="77">
        <f>IF(Pipeline!$A317="","",IF(Pipeline!AF317="","–",Pipeline!AF317))</f>
        <v/>
      </c>
    </row>
    <row r="318" ht="15" customHeight="1" s="51">
      <c r="A318" s="77">
        <f>IF(Pipeline!$A318="","",IF(Pipeline!H318="","",Pipeline!H318))</f>
        <v/>
      </c>
      <c r="B318" s="77">
        <f>IF(Pipeline!$A318="","",IF(Pipeline!F318="","",Pipeline!F318))</f>
        <v/>
      </c>
      <c r="C318" s="96">
        <f>IF(Pipeline!$A318="","",IF(Pipeline!M318="","",Pipeline!M318))</f>
        <v/>
      </c>
      <c r="D318" s="97">
        <f>IF(Pipeline!$A318="","",IF(Pipeline!Q318="","",Pipeline!Q318))</f>
        <v/>
      </c>
      <c r="E318" s="98">
        <f>IF(Pipeline!$A318="","",IF(Pipeline!T318="","",Pipeline!T318))</f>
        <v/>
      </c>
      <c r="F318" s="77">
        <f>IF(Pipeline!$A318="","",IF(Pipeline!W318="","",Pipeline!W318))</f>
        <v/>
      </c>
      <c r="G318" s="99">
        <f>IF(Pipeline!$A318="","",IF(Pipeline!AH318="","",Pipeline!AH318))</f>
        <v/>
      </c>
      <c r="H318" s="77">
        <f>IF(Pipeline!$A318="","",IF(Pipeline!AI318="","",Pipeline!AI318))</f>
        <v/>
      </c>
      <c r="I318" s="77">
        <f>IF(Pipeline!$A318="","",IF(Pipeline!X318="","",Pipeline!X318))</f>
        <v/>
      </c>
      <c r="J318" s="77">
        <f>IF(Pipeline!$A318="","",IF(Pipeline!AF318="","–",Pipeline!AF318))</f>
        <v/>
      </c>
    </row>
    <row r="319" ht="15" customHeight="1" s="51">
      <c r="A319" s="77">
        <f>IF(Pipeline!$A319="","",IF(Pipeline!H319="","",Pipeline!H319))</f>
        <v/>
      </c>
      <c r="B319" s="77">
        <f>IF(Pipeline!$A319="","",IF(Pipeline!F319="","",Pipeline!F319))</f>
        <v/>
      </c>
      <c r="C319" s="96">
        <f>IF(Pipeline!$A319="","",IF(Pipeline!M319="","",Pipeline!M319))</f>
        <v/>
      </c>
      <c r="D319" s="97">
        <f>IF(Pipeline!$A319="","",IF(Pipeline!Q319="","",Pipeline!Q319))</f>
        <v/>
      </c>
      <c r="E319" s="98">
        <f>IF(Pipeline!$A319="","",IF(Pipeline!T319="","",Pipeline!T319))</f>
        <v/>
      </c>
      <c r="F319" s="77">
        <f>IF(Pipeline!$A319="","",IF(Pipeline!W319="","",Pipeline!W319))</f>
        <v/>
      </c>
      <c r="G319" s="99">
        <f>IF(Pipeline!$A319="","",IF(Pipeline!AH319="","",Pipeline!AH319))</f>
        <v/>
      </c>
      <c r="H319" s="77">
        <f>IF(Pipeline!$A319="","",IF(Pipeline!AI319="","",Pipeline!AI319))</f>
        <v/>
      </c>
      <c r="I319" s="77">
        <f>IF(Pipeline!$A319="","",IF(Pipeline!X319="","",Pipeline!X319))</f>
        <v/>
      </c>
      <c r="J319" s="77">
        <f>IF(Pipeline!$A319="","",IF(Pipeline!AF319="","–",Pipeline!AF319))</f>
        <v/>
      </c>
    </row>
    <row r="320" ht="15" customHeight="1" s="51">
      <c r="A320" s="77">
        <f>IF(Pipeline!$A320="","",IF(Pipeline!H320="","",Pipeline!H320))</f>
        <v/>
      </c>
      <c r="B320" s="77">
        <f>IF(Pipeline!$A320="","",IF(Pipeline!F320="","",Pipeline!F320))</f>
        <v/>
      </c>
      <c r="C320" s="96">
        <f>IF(Pipeline!$A320="","",IF(Pipeline!M320="","",Pipeline!M320))</f>
        <v/>
      </c>
      <c r="D320" s="97">
        <f>IF(Pipeline!$A320="","",IF(Pipeline!Q320="","",Pipeline!Q320))</f>
        <v/>
      </c>
      <c r="E320" s="98">
        <f>IF(Pipeline!$A320="","",IF(Pipeline!T320="","",Pipeline!T320))</f>
        <v/>
      </c>
      <c r="F320" s="77">
        <f>IF(Pipeline!$A320="","",IF(Pipeline!W320="","",Pipeline!W320))</f>
        <v/>
      </c>
      <c r="G320" s="99">
        <f>IF(Pipeline!$A320="","",IF(Pipeline!AH320="","",Pipeline!AH320))</f>
        <v/>
      </c>
      <c r="H320" s="77">
        <f>IF(Pipeline!$A320="","",IF(Pipeline!AI320="","",Pipeline!AI320))</f>
        <v/>
      </c>
      <c r="I320" s="77">
        <f>IF(Pipeline!$A320="","",IF(Pipeline!X320="","",Pipeline!X320))</f>
        <v/>
      </c>
      <c r="J320" s="77">
        <f>IF(Pipeline!$A320="","",IF(Pipeline!AF320="","–",Pipeline!AF320))</f>
        <v/>
      </c>
    </row>
    <row r="321" ht="15" customHeight="1" s="51">
      <c r="A321" s="77">
        <f>IF(Pipeline!$A321="","",IF(Pipeline!H321="","",Pipeline!H321))</f>
        <v/>
      </c>
      <c r="B321" s="77">
        <f>IF(Pipeline!$A321="","",IF(Pipeline!F321="","",Pipeline!F321))</f>
        <v/>
      </c>
      <c r="C321" s="96">
        <f>IF(Pipeline!$A321="","",IF(Pipeline!M321="","",Pipeline!M321))</f>
        <v/>
      </c>
      <c r="D321" s="97">
        <f>IF(Pipeline!$A321="","",IF(Pipeline!Q321="","",Pipeline!Q321))</f>
        <v/>
      </c>
      <c r="E321" s="98">
        <f>IF(Pipeline!$A321="","",IF(Pipeline!T321="","",Pipeline!T321))</f>
        <v/>
      </c>
      <c r="F321" s="77">
        <f>IF(Pipeline!$A321="","",IF(Pipeline!W321="","",Pipeline!W321))</f>
        <v/>
      </c>
      <c r="G321" s="99">
        <f>IF(Pipeline!$A321="","",IF(Pipeline!AH321="","",Pipeline!AH321))</f>
        <v/>
      </c>
      <c r="H321" s="77">
        <f>IF(Pipeline!$A321="","",IF(Pipeline!AI321="","",Pipeline!AI321))</f>
        <v/>
      </c>
      <c r="I321" s="77">
        <f>IF(Pipeline!$A321="","",IF(Pipeline!X321="","",Pipeline!X321))</f>
        <v/>
      </c>
      <c r="J321" s="77">
        <f>IF(Pipeline!$A321="","",IF(Pipeline!AF321="","–",Pipeline!AF321))</f>
        <v/>
      </c>
    </row>
    <row r="322" ht="15" customHeight="1" s="51">
      <c r="A322" s="77">
        <f>IF(Pipeline!$A322="","",IF(Pipeline!H322="","",Pipeline!H322))</f>
        <v/>
      </c>
      <c r="B322" s="77">
        <f>IF(Pipeline!$A322="","",IF(Pipeline!F322="","",Pipeline!F322))</f>
        <v/>
      </c>
      <c r="C322" s="96">
        <f>IF(Pipeline!$A322="","",IF(Pipeline!M322="","",Pipeline!M322))</f>
        <v/>
      </c>
      <c r="D322" s="97">
        <f>IF(Pipeline!$A322="","",IF(Pipeline!Q322="","",Pipeline!Q322))</f>
        <v/>
      </c>
      <c r="E322" s="98">
        <f>IF(Pipeline!$A322="","",IF(Pipeline!T322="","",Pipeline!T322))</f>
        <v/>
      </c>
      <c r="F322" s="77">
        <f>IF(Pipeline!$A322="","",IF(Pipeline!W322="","",Pipeline!W322))</f>
        <v/>
      </c>
      <c r="G322" s="99">
        <f>IF(Pipeline!$A322="","",IF(Pipeline!AH322="","",Pipeline!AH322))</f>
        <v/>
      </c>
      <c r="H322" s="77">
        <f>IF(Pipeline!$A322="","",IF(Pipeline!AI322="","",Pipeline!AI322))</f>
        <v/>
      </c>
      <c r="I322" s="77">
        <f>IF(Pipeline!$A322="","",IF(Pipeline!X322="","",Pipeline!X322))</f>
        <v/>
      </c>
      <c r="J322" s="77">
        <f>IF(Pipeline!$A322="","",IF(Pipeline!AF322="","–",Pipeline!AF322))</f>
        <v/>
      </c>
    </row>
    <row r="323" ht="15" customHeight="1" s="51">
      <c r="A323" s="77">
        <f>IF(Pipeline!$A323="","",IF(Pipeline!H323="","",Pipeline!H323))</f>
        <v/>
      </c>
      <c r="B323" s="77">
        <f>IF(Pipeline!$A323="","",IF(Pipeline!F323="","",Pipeline!F323))</f>
        <v/>
      </c>
      <c r="C323" s="96">
        <f>IF(Pipeline!$A323="","",IF(Pipeline!M323="","",Pipeline!M323))</f>
        <v/>
      </c>
      <c r="D323" s="97">
        <f>IF(Pipeline!$A323="","",IF(Pipeline!Q323="","",Pipeline!Q323))</f>
        <v/>
      </c>
      <c r="E323" s="98">
        <f>IF(Pipeline!$A323="","",IF(Pipeline!T323="","",Pipeline!T323))</f>
        <v/>
      </c>
      <c r="F323" s="77">
        <f>IF(Pipeline!$A323="","",IF(Pipeline!W323="","",Pipeline!W323))</f>
        <v/>
      </c>
      <c r="G323" s="99">
        <f>IF(Pipeline!$A323="","",IF(Pipeline!AH323="","",Pipeline!AH323))</f>
        <v/>
      </c>
      <c r="H323" s="77">
        <f>IF(Pipeline!$A323="","",IF(Pipeline!AI323="","",Pipeline!AI323))</f>
        <v/>
      </c>
      <c r="I323" s="77">
        <f>IF(Pipeline!$A323="","",IF(Pipeline!X323="","",Pipeline!X323))</f>
        <v/>
      </c>
      <c r="J323" s="77">
        <f>IF(Pipeline!$A323="","",IF(Pipeline!AF323="","–",Pipeline!AF323))</f>
        <v/>
      </c>
    </row>
    <row r="324" ht="15" customHeight="1" s="51">
      <c r="A324" s="77">
        <f>IF(Pipeline!$A324="","",IF(Pipeline!H324="","",Pipeline!H324))</f>
        <v/>
      </c>
      <c r="B324" s="77">
        <f>IF(Pipeline!$A324="","",IF(Pipeline!F324="","",Pipeline!F324))</f>
        <v/>
      </c>
      <c r="C324" s="96">
        <f>IF(Pipeline!$A324="","",IF(Pipeline!M324="","",Pipeline!M324))</f>
        <v/>
      </c>
      <c r="D324" s="97">
        <f>IF(Pipeline!$A324="","",IF(Pipeline!Q324="","",Pipeline!Q324))</f>
        <v/>
      </c>
      <c r="E324" s="98">
        <f>IF(Pipeline!$A324="","",IF(Pipeline!T324="","",Pipeline!T324))</f>
        <v/>
      </c>
      <c r="F324" s="77">
        <f>IF(Pipeline!$A324="","",IF(Pipeline!W324="","",Pipeline!W324))</f>
        <v/>
      </c>
      <c r="G324" s="99">
        <f>IF(Pipeline!$A324="","",IF(Pipeline!AH324="","",Pipeline!AH324))</f>
        <v/>
      </c>
      <c r="H324" s="77">
        <f>IF(Pipeline!$A324="","",IF(Pipeline!AI324="","",Pipeline!AI324))</f>
        <v/>
      </c>
      <c r="I324" s="77">
        <f>IF(Pipeline!$A324="","",IF(Pipeline!X324="","",Pipeline!X324))</f>
        <v/>
      </c>
      <c r="J324" s="77">
        <f>IF(Pipeline!$A324="","",IF(Pipeline!AF324="","–",Pipeline!AF324))</f>
        <v/>
      </c>
    </row>
    <row r="325" ht="15" customHeight="1" s="51">
      <c r="A325" s="77">
        <f>IF(Pipeline!$A325="","",IF(Pipeline!H325="","",Pipeline!H325))</f>
        <v/>
      </c>
      <c r="B325" s="77">
        <f>IF(Pipeline!$A325="","",IF(Pipeline!F325="","",Pipeline!F325))</f>
        <v/>
      </c>
      <c r="C325" s="96">
        <f>IF(Pipeline!$A325="","",IF(Pipeline!M325="","",Pipeline!M325))</f>
        <v/>
      </c>
      <c r="D325" s="97">
        <f>IF(Pipeline!$A325="","",IF(Pipeline!Q325="","",Pipeline!Q325))</f>
        <v/>
      </c>
      <c r="E325" s="98">
        <f>IF(Pipeline!$A325="","",IF(Pipeline!T325="","",Pipeline!T325))</f>
        <v/>
      </c>
      <c r="F325" s="77">
        <f>IF(Pipeline!$A325="","",IF(Pipeline!W325="","",Pipeline!W325))</f>
        <v/>
      </c>
      <c r="G325" s="99">
        <f>IF(Pipeline!$A325="","",IF(Pipeline!AH325="","",Pipeline!AH325))</f>
        <v/>
      </c>
      <c r="H325" s="77">
        <f>IF(Pipeline!$A325="","",IF(Pipeline!AI325="","",Pipeline!AI325))</f>
        <v/>
      </c>
      <c r="I325" s="77">
        <f>IF(Pipeline!$A325="","",IF(Pipeline!X325="","",Pipeline!X325))</f>
        <v/>
      </c>
      <c r="J325" s="77">
        <f>IF(Pipeline!$A325="","",IF(Pipeline!AF325="","–",Pipeline!AF325))</f>
        <v/>
      </c>
    </row>
    <row r="326" ht="15" customHeight="1" s="51">
      <c r="A326" s="77">
        <f>IF(Pipeline!$A326="","",IF(Pipeline!H326="","",Pipeline!H326))</f>
        <v/>
      </c>
      <c r="B326" s="77">
        <f>IF(Pipeline!$A326="","",IF(Pipeline!F326="","",Pipeline!F326))</f>
        <v/>
      </c>
      <c r="C326" s="96">
        <f>IF(Pipeline!$A326="","",IF(Pipeline!M326="","",Pipeline!M326))</f>
        <v/>
      </c>
      <c r="D326" s="97">
        <f>IF(Pipeline!$A326="","",IF(Pipeline!Q326="","",Pipeline!Q326))</f>
        <v/>
      </c>
      <c r="E326" s="98">
        <f>IF(Pipeline!$A326="","",IF(Pipeline!T326="","",Pipeline!T326))</f>
        <v/>
      </c>
      <c r="F326" s="77">
        <f>IF(Pipeline!$A326="","",IF(Pipeline!W326="","",Pipeline!W326))</f>
        <v/>
      </c>
      <c r="G326" s="99">
        <f>IF(Pipeline!$A326="","",IF(Pipeline!AH326="","",Pipeline!AH326))</f>
        <v/>
      </c>
      <c r="H326" s="77">
        <f>IF(Pipeline!$A326="","",IF(Pipeline!AI326="","",Pipeline!AI326))</f>
        <v/>
      </c>
      <c r="I326" s="77">
        <f>IF(Pipeline!$A326="","",IF(Pipeline!X326="","",Pipeline!X326))</f>
        <v/>
      </c>
      <c r="J326" s="77">
        <f>IF(Pipeline!$A326="","",IF(Pipeline!AF326="","–",Pipeline!AF326))</f>
        <v/>
      </c>
    </row>
    <row r="327" ht="15" customHeight="1" s="51">
      <c r="A327" s="77">
        <f>IF(Pipeline!$A327="","",IF(Pipeline!H327="","",Pipeline!H327))</f>
        <v/>
      </c>
      <c r="B327" s="77">
        <f>IF(Pipeline!$A327="","",IF(Pipeline!F327="","",Pipeline!F327))</f>
        <v/>
      </c>
      <c r="C327" s="96">
        <f>IF(Pipeline!$A327="","",IF(Pipeline!M327="","",Pipeline!M327))</f>
        <v/>
      </c>
      <c r="D327" s="97">
        <f>IF(Pipeline!$A327="","",IF(Pipeline!Q327="","",Pipeline!Q327))</f>
        <v/>
      </c>
      <c r="E327" s="98">
        <f>IF(Pipeline!$A327="","",IF(Pipeline!T327="","",Pipeline!T327))</f>
        <v/>
      </c>
      <c r="F327" s="77">
        <f>IF(Pipeline!$A327="","",IF(Pipeline!W327="","",Pipeline!W327))</f>
        <v/>
      </c>
      <c r="G327" s="99">
        <f>IF(Pipeline!$A327="","",IF(Pipeline!AH327="","",Pipeline!AH327))</f>
        <v/>
      </c>
      <c r="H327" s="77">
        <f>IF(Pipeline!$A327="","",IF(Pipeline!AI327="","",Pipeline!AI327))</f>
        <v/>
      </c>
      <c r="I327" s="77">
        <f>IF(Pipeline!$A327="","",IF(Pipeline!X327="","",Pipeline!X327))</f>
        <v/>
      </c>
      <c r="J327" s="77">
        <f>IF(Pipeline!$A327="","",IF(Pipeline!AF327="","–",Pipeline!AF327))</f>
        <v/>
      </c>
    </row>
    <row r="328" ht="15" customHeight="1" s="51">
      <c r="A328" s="77">
        <f>IF(Pipeline!$A328="","",IF(Pipeline!H328="","",Pipeline!H328))</f>
        <v/>
      </c>
      <c r="B328" s="77">
        <f>IF(Pipeline!$A328="","",IF(Pipeline!F328="","",Pipeline!F328))</f>
        <v/>
      </c>
      <c r="C328" s="96">
        <f>IF(Pipeline!$A328="","",IF(Pipeline!M328="","",Pipeline!M328))</f>
        <v/>
      </c>
      <c r="D328" s="97">
        <f>IF(Pipeline!$A328="","",IF(Pipeline!Q328="","",Pipeline!Q328))</f>
        <v/>
      </c>
      <c r="E328" s="98">
        <f>IF(Pipeline!$A328="","",IF(Pipeline!T328="","",Pipeline!T328))</f>
        <v/>
      </c>
      <c r="F328" s="77">
        <f>IF(Pipeline!$A328="","",IF(Pipeline!W328="","",Pipeline!W328))</f>
        <v/>
      </c>
      <c r="G328" s="99">
        <f>IF(Pipeline!$A328="","",IF(Pipeline!AH328="","",Pipeline!AH328))</f>
        <v/>
      </c>
      <c r="H328" s="77">
        <f>IF(Pipeline!$A328="","",IF(Pipeline!AI328="","",Pipeline!AI328))</f>
        <v/>
      </c>
      <c r="I328" s="77">
        <f>IF(Pipeline!$A328="","",IF(Pipeline!X328="","",Pipeline!X328))</f>
        <v/>
      </c>
      <c r="J328" s="77">
        <f>IF(Pipeline!$A328="","",IF(Pipeline!AF328="","–",Pipeline!AF328))</f>
        <v/>
      </c>
    </row>
    <row r="329" ht="15" customHeight="1" s="51">
      <c r="A329" s="77">
        <f>IF(Pipeline!$A329="","",IF(Pipeline!H329="","",Pipeline!H329))</f>
        <v/>
      </c>
      <c r="B329" s="77">
        <f>IF(Pipeline!$A329="","",IF(Pipeline!F329="","",Pipeline!F329))</f>
        <v/>
      </c>
      <c r="C329" s="96">
        <f>IF(Pipeline!$A329="","",IF(Pipeline!M329="","",Pipeline!M329))</f>
        <v/>
      </c>
      <c r="D329" s="97">
        <f>IF(Pipeline!$A329="","",IF(Pipeline!Q329="","",Pipeline!Q329))</f>
        <v/>
      </c>
      <c r="E329" s="98">
        <f>IF(Pipeline!$A329="","",IF(Pipeline!T329="","",Pipeline!T329))</f>
        <v/>
      </c>
      <c r="F329" s="77">
        <f>IF(Pipeline!$A329="","",IF(Pipeline!W329="","",Pipeline!W329))</f>
        <v/>
      </c>
      <c r="G329" s="99">
        <f>IF(Pipeline!$A329="","",IF(Pipeline!AH329="","",Pipeline!AH329))</f>
        <v/>
      </c>
      <c r="H329" s="77">
        <f>IF(Pipeline!$A329="","",IF(Pipeline!AI329="","",Pipeline!AI329))</f>
        <v/>
      </c>
      <c r="I329" s="77">
        <f>IF(Pipeline!$A329="","",IF(Pipeline!X329="","",Pipeline!X329))</f>
        <v/>
      </c>
      <c r="J329" s="77">
        <f>IF(Pipeline!$A329="","",IF(Pipeline!AF329="","–",Pipeline!AF329))</f>
        <v/>
      </c>
    </row>
    <row r="330" ht="15" customHeight="1" s="51">
      <c r="A330" s="77">
        <f>IF(Pipeline!$A330="","",IF(Pipeline!H330="","",Pipeline!H330))</f>
        <v/>
      </c>
      <c r="B330" s="77">
        <f>IF(Pipeline!$A330="","",IF(Pipeline!F330="","",Pipeline!F330))</f>
        <v/>
      </c>
      <c r="C330" s="96">
        <f>IF(Pipeline!$A330="","",IF(Pipeline!M330="","",Pipeline!M330))</f>
        <v/>
      </c>
      <c r="D330" s="97">
        <f>IF(Pipeline!$A330="","",IF(Pipeline!Q330="","",Pipeline!Q330))</f>
        <v/>
      </c>
      <c r="E330" s="98">
        <f>IF(Pipeline!$A330="","",IF(Pipeline!T330="","",Pipeline!T330))</f>
        <v/>
      </c>
      <c r="F330" s="77">
        <f>IF(Pipeline!$A330="","",IF(Pipeline!W330="","",Pipeline!W330))</f>
        <v/>
      </c>
      <c r="G330" s="99">
        <f>IF(Pipeline!$A330="","",IF(Pipeline!AH330="","",Pipeline!AH330))</f>
        <v/>
      </c>
      <c r="H330" s="77">
        <f>IF(Pipeline!$A330="","",IF(Pipeline!AI330="","",Pipeline!AI330))</f>
        <v/>
      </c>
      <c r="I330" s="77">
        <f>IF(Pipeline!$A330="","",IF(Pipeline!X330="","",Pipeline!X330))</f>
        <v/>
      </c>
      <c r="J330" s="77">
        <f>IF(Pipeline!$A330="","",IF(Pipeline!AF330="","–",Pipeline!AF330))</f>
        <v/>
      </c>
    </row>
    <row r="331" ht="15" customHeight="1" s="51">
      <c r="A331" s="77">
        <f>IF(Pipeline!$A331="","",IF(Pipeline!H331="","",Pipeline!H331))</f>
        <v/>
      </c>
      <c r="B331" s="77">
        <f>IF(Pipeline!$A331="","",IF(Pipeline!F331="","",Pipeline!F331))</f>
        <v/>
      </c>
      <c r="C331" s="96">
        <f>IF(Pipeline!$A331="","",IF(Pipeline!M331="","",Pipeline!M331))</f>
        <v/>
      </c>
      <c r="D331" s="97">
        <f>IF(Pipeline!$A331="","",IF(Pipeline!Q331="","",Pipeline!Q331))</f>
        <v/>
      </c>
      <c r="E331" s="98">
        <f>IF(Pipeline!$A331="","",IF(Pipeline!T331="","",Pipeline!T331))</f>
        <v/>
      </c>
      <c r="F331" s="77">
        <f>IF(Pipeline!$A331="","",IF(Pipeline!W331="","",Pipeline!W331))</f>
        <v/>
      </c>
      <c r="G331" s="99">
        <f>IF(Pipeline!$A331="","",IF(Pipeline!AH331="","",Pipeline!AH331))</f>
        <v/>
      </c>
      <c r="H331" s="77">
        <f>IF(Pipeline!$A331="","",IF(Pipeline!AI331="","",Pipeline!AI331))</f>
        <v/>
      </c>
      <c r="I331" s="77">
        <f>IF(Pipeline!$A331="","",IF(Pipeline!X331="","",Pipeline!X331))</f>
        <v/>
      </c>
      <c r="J331" s="77">
        <f>IF(Pipeline!$A331="","",IF(Pipeline!AF331="","–",Pipeline!AF331))</f>
        <v/>
      </c>
    </row>
    <row r="332" ht="15" customHeight="1" s="51">
      <c r="A332" s="77">
        <f>IF(Pipeline!$A332="","",IF(Pipeline!H332="","",Pipeline!H332))</f>
        <v/>
      </c>
      <c r="B332" s="77">
        <f>IF(Pipeline!$A332="","",IF(Pipeline!F332="","",Pipeline!F332))</f>
        <v/>
      </c>
      <c r="C332" s="96">
        <f>IF(Pipeline!$A332="","",IF(Pipeline!M332="","",Pipeline!M332))</f>
        <v/>
      </c>
      <c r="D332" s="97">
        <f>IF(Pipeline!$A332="","",IF(Pipeline!Q332="","",Pipeline!Q332))</f>
        <v/>
      </c>
      <c r="E332" s="98">
        <f>IF(Pipeline!$A332="","",IF(Pipeline!T332="","",Pipeline!T332))</f>
        <v/>
      </c>
      <c r="F332" s="77">
        <f>IF(Pipeline!$A332="","",IF(Pipeline!W332="","",Pipeline!W332))</f>
        <v/>
      </c>
      <c r="G332" s="99">
        <f>IF(Pipeline!$A332="","",IF(Pipeline!AH332="","",Pipeline!AH332))</f>
        <v/>
      </c>
      <c r="H332" s="77">
        <f>IF(Pipeline!$A332="","",IF(Pipeline!AI332="","",Pipeline!AI332))</f>
        <v/>
      </c>
      <c r="I332" s="77">
        <f>IF(Pipeline!$A332="","",IF(Pipeline!X332="","",Pipeline!X332))</f>
        <v/>
      </c>
      <c r="J332" s="77">
        <f>IF(Pipeline!$A332="","",IF(Pipeline!AF332="","–",Pipeline!AF332))</f>
        <v/>
      </c>
    </row>
    <row r="333" ht="15" customHeight="1" s="51">
      <c r="A333" s="77">
        <f>IF(Pipeline!$A333="","",IF(Pipeline!H333="","",Pipeline!H333))</f>
        <v/>
      </c>
      <c r="B333" s="77">
        <f>IF(Pipeline!$A333="","",IF(Pipeline!F333="","",Pipeline!F333))</f>
        <v/>
      </c>
      <c r="C333" s="96">
        <f>IF(Pipeline!$A333="","",IF(Pipeline!M333="","",Pipeline!M333))</f>
        <v/>
      </c>
      <c r="D333" s="97">
        <f>IF(Pipeline!$A333="","",IF(Pipeline!Q333="","",Pipeline!Q333))</f>
        <v/>
      </c>
      <c r="E333" s="98">
        <f>IF(Pipeline!$A333="","",IF(Pipeline!T333="","",Pipeline!T333))</f>
        <v/>
      </c>
      <c r="F333" s="77">
        <f>IF(Pipeline!$A333="","",IF(Pipeline!W333="","",Pipeline!W333))</f>
        <v/>
      </c>
      <c r="G333" s="99">
        <f>IF(Pipeline!$A333="","",IF(Pipeline!AH333="","",Pipeline!AH333))</f>
        <v/>
      </c>
      <c r="H333" s="77">
        <f>IF(Pipeline!$A333="","",IF(Pipeline!AI333="","",Pipeline!AI333))</f>
        <v/>
      </c>
      <c r="I333" s="77">
        <f>IF(Pipeline!$A333="","",IF(Pipeline!X333="","",Pipeline!X333))</f>
        <v/>
      </c>
      <c r="J333" s="77">
        <f>IF(Pipeline!$A333="","",IF(Pipeline!AF333="","–",Pipeline!AF333))</f>
        <v/>
      </c>
    </row>
    <row r="334" ht="15" customHeight="1" s="51">
      <c r="A334" s="77">
        <f>IF(Pipeline!$A334="","",IF(Pipeline!H334="","",Pipeline!H334))</f>
        <v/>
      </c>
      <c r="B334" s="77">
        <f>IF(Pipeline!$A334="","",IF(Pipeline!F334="","",Pipeline!F334))</f>
        <v/>
      </c>
      <c r="C334" s="96">
        <f>IF(Pipeline!$A334="","",IF(Pipeline!M334="","",Pipeline!M334))</f>
        <v/>
      </c>
      <c r="D334" s="97">
        <f>IF(Pipeline!$A334="","",IF(Pipeline!Q334="","",Pipeline!Q334))</f>
        <v/>
      </c>
      <c r="E334" s="98">
        <f>IF(Pipeline!$A334="","",IF(Pipeline!T334="","",Pipeline!T334))</f>
        <v/>
      </c>
      <c r="F334" s="77">
        <f>IF(Pipeline!$A334="","",IF(Pipeline!W334="","",Pipeline!W334))</f>
        <v/>
      </c>
      <c r="G334" s="99">
        <f>IF(Pipeline!$A334="","",IF(Pipeline!AH334="","",Pipeline!AH334))</f>
        <v/>
      </c>
      <c r="H334" s="77">
        <f>IF(Pipeline!$A334="","",IF(Pipeline!AI334="","",Pipeline!AI334))</f>
        <v/>
      </c>
      <c r="I334" s="77">
        <f>IF(Pipeline!$A334="","",IF(Pipeline!X334="","",Pipeline!X334))</f>
        <v/>
      </c>
      <c r="J334" s="77">
        <f>IF(Pipeline!$A334="","",IF(Pipeline!AF334="","–",Pipeline!AF334))</f>
        <v/>
      </c>
    </row>
    <row r="335" ht="15" customHeight="1" s="51">
      <c r="A335" s="77">
        <f>IF(Pipeline!$A335="","",IF(Pipeline!H335="","",Pipeline!H335))</f>
        <v/>
      </c>
      <c r="B335" s="77">
        <f>IF(Pipeline!$A335="","",IF(Pipeline!F335="","",Pipeline!F335))</f>
        <v/>
      </c>
      <c r="C335" s="96">
        <f>IF(Pipeline!$A335="","",IF(Pipeline!M335="","",Pipeline!M335))</f>
        <v/>
      </c>
      <c r="D335" s="97">
        <f>IF(Pipeline!$A335="","",IF(Pipeline!Q335="","",Pipeline!Q335))</f>
        <v/>
      </c>
      <c r="E335" s="98">
        <f>IF(Pipeline!$A335="","",IF(Pipeline!T335="","",Pipeline!T335))</f>
        <v/>
      </c>
      <c r="F335" s="77">
        <f>IF(Pipeline!$A335="","",IF(Pipeline!W335="","",Pipeline!W335))</f>
        <v/>
      </c>
      <c r="G335" s="99">
        <f>IF(Pipeline!$A335="","",IF(Pipeline!AH335="","",Pipeline!AH335))</f>
        <v/>
      </c>
      <c r="H335" s="77">
        <f>IF(Pipeline!$A335="","",IF(Pipeline!AI335="","",Pipeline!AI335))</f>
        <v/>
      </c>
      <c r="I335" s="77">
        <f>IF(Pipeline!$A335="","",IF(Pipeline!X335="","",Pipeline!X335))</f>
        <v/>
      </c>
      <c r="J335" s="77">
        <f>IF(Pipeline!$A335="","",IF(Pipeline!AF335="","–",Pipeline!AF335))</f>
        <v/>
      </c>
    </row>
    <row r="336" ht="15" customHeight="1" s="51">
      <c r="A336" s="77">
        <f>IF(Pipeline!$A336="","",IF(Pipeline!H336="","",Pipeline!H336))</f>
        <v/>
      </c>
      <c r="B336" s="77">
        <f>IF(Pipeline!$A336="","",IF(Pipeline!F336="","",Pipeline!F336))</f>
        <v/>
      </c>
      <c r="C336" s="96">
        <f>IF(Pipeline!$A336="","",IF(Pipeline!M336="","",Pipeline!M336))</f>
        <v/>
      </c>
      <c r="D336" s="97">
        <f>IF(Pipeline!$A336="","",IF(Pipeline!Q336="","",Pipeline!Q336))</f>
        <v/>
      </c>
      <c r="E336" s="98">
        <f>IF(Pipeline!$A336="","",IF(Pipeline!T336="","",Pipeline!T336))</f>
        <v/>
      </c>
      <c r="F336" s="77">
        <f>IF(Pipeline!$A336="","",IF(Pipeline!W336="","",Pipeline!W336))</f>
        <v/>
      </c>
      <c r="G336" s="99">
        <f>IF(Pipeline!$A336="","",IF(Pipeline!AH336="","",Pipeline!AH336))</f>
        <v/>
      </c>
      <c r="H336" s="77">
        <f>IF(Pipeline!$A336="","",IF(Pipeline!AI336="","",Pipeline!AI336))</f>
        <v/>
      </c>
      <c r="I336" s="77">
        <f>IF(Pipeline!$A336="","",IF(Pipeline!X336="","",Pipeline!X336))</f>
        <v/>
      </c>
      <c r="J336" s="77">
        <f>IF(Pipeline!$A336="","",IF(Pipeline!AF336="","–",Pipeline!AF336))</f>
        <v/>
      </c>
    </row>
    <row r="337" ht="15" customHeight="1" s="51">
      <c r="A337" s="77">
        <f>IF(Pipeline!$A337="","",IF(Pipeline!H337="","",Pipeline!H337))</f>
        <v/>
      </c>
      <c r="B337" s="77">
        <f>IF(Pipeline!$A337="","",IF(Pipeline!F337="","",Pipeline!F337))</f>
        <v/>
      </c>
      <c r="C337" s="96">
        <f>IF(Pipeline!$A337="","",IF(Pipeline!M337="","",Pipeline!M337))</f>
        <v/>
      </c>
      <c r="D337" s="97">
        <f>IF(Pipeline!$A337="","",IF(Pipeline!Q337="","",Pipeline!Q337))</f>
        <v/>
      </c>
      <c r="E337" s="98">
        <f>IF(Pipeline!$A337="","",IF(Pipeline!T337="","",Pipeline!T337))</f>
        <v/>
      </c>
      <c r="F337" s="77">
        <f>IF(Pipeline!$A337="","",IF(Pipeline!W337="","",Pipeline!W337))</f>
        <v/>
      </c>
      <c r="G337" s="99">
        <f>IF(Pipeline!$A337="","",IF(Pipeline!AH337="","",Pipeline!AH337))</f>
        <v/>
      </c>
      <c r="H337" s="77">
        <f>IF(Pipeline!$A337="","",IF(Pipeline!AI337="","",Pipeline!AI337))</f>
        <v/>
      </c>
      <c r="I337" s="77">
        <f>IF(Pipeline!$A337="","",IF(Pipeline!X337="","",Pipeline!X337))</f>
        <v/>
      </c>
      <c r="J337" s="77">
        <f>IF(Pipeline!$A337="","",IF(Pipeline!AF337="","–",Pipeline!AF337))</f>
        <v/>
      </c>
    </row>
    <row r="338" ht="15" customHeight="1" s="51">
      <c r="A338" s="77">
        <f>IF(Pipeline!$A338="","",IF(Pipeline!H338="","",Pipeline!H338))</f>
        <v/>
      </c>
      <c r="B338" s="77">
        <f>IF(Pipeline!$A338="","",IF(Pipeline!F338="","",Pipeline!F338))</f>
        <v/>
      </c>
      <c r="C338" s="96">
        <f>IF(Pipeline!$A338="","",IF(Pipeline!M338="","",Pipeline!M338))</f>
        <v/>
      </c>
      <c r="D338" s="97">
        <f>IF(Pipeline!$A338="","",IF(Pipeline!Q338="","",Pipeline!Q338))</f>
        <v/>
      </c>
      <c r="E338" s="98">
        <f>IF(Pipeline!$A338="","",IF(Pipeline!T338="","",Pipeline!T338))</f>
        <v/>
      </c>
      <c r="F338" s="77">
        <f>IF(Pipeline!$A338="","",IF(Pipeline!W338="","",Pipeline!W338))</f>
        <v/>
      </c>
      <c r="G338" s="99">
        <f>IF(Pipeline!$A338="","",IF(Pipeline!AH338="","",Pipeline!AH338))</f>
        <v/>
      </c>
      <c r="H338" s="77">
        <f>IF(Pipeline!$A338="","",IF(Pipeline!AI338="","",Pipeline!AI338))</f>
        <v/>
      </c>
      <c r="I338" s="77">
        <f>IF(Pipeline!$A338="","",IF(Pipeline!X338="","",Pipeline!X338))</f>
        <v/>
      </c>
      <c r="J338" s="77">
        <f>IF(Pipeline!$A338="","",IF(Pipeline!AF338="","–",Pipeline!AF338))</f>
        <v/>
      </c>
    </row>
    <row r="339" ht="15" customHeight="1" s="51">
      <c r="A339" s="77">
        <f>IF(Pipeline!$A339="","",IF(Pipeline!H339="","",Pipeline!H339))</f>
        <v/>
      </c>
      <c r="B339" s="77">
        <f>IF(Pipeline!$A339="","",IF(Pipeline!F339="","",Pipeline!F339))</f>
        <v/>
      </c>
      <c r="C339" s="96">
        <f>IF(Pipeline!$A339="","",IF(Pipeline!M339="","",Pipeline!M339))</f>
        <v/>
      </c>
      <c r="D339" s="97">
        <f>IF(Pipeline!$A339="","",IF(Pipeline!Q339="","",Pipeline!Q339))</f>
        <v/>
      </c>
      <c r="E339" s="98">
        <f>IF(Pipeline!$A339="","",IF(Pipeline!T339="","",Pipeline!T339))</f>
        <v/>
      </c>
      <c r="F339" s="77">
        <f>IF(Pipeline!$A339="","",IF(Pipeline!W339="","",Pipeline!W339))</f>
        <v/>
      </c>
      <c r="G339" s="99">
        <f>IF(Pipeline!$A339="","",IF(Pipeline!AH339="","",Pipeline!AH339))</f>
        <v/>
      </c>
      <c r="H339" s="77">
        <f>IF(Pipeline!$A339="","",IF(Pipeline!AI339="","",Pipeline!AI339))</f>
        <v/>
      </c>
      <c r="I339" s="77">
        <f>IF(Pipeline!$A339="","",IF(Pipeline!X339="","",Pipeline!X339))</f>
        <v/>
      </c>
      <c r="J339" s="77">
        <f>IF(Pipeline!$A339="","",IF(Pipeline!AF339="","–",Pipeline!AF339))</f>
        <v/>
      </c>
    </row>
    <row r="340" ht="15" customHeight="1" s="51">
      <c r="A340" s="77">
        <f>IF(Pipeline!$A340="","",IF(Pipeline!H340="","",Pipeline!H340))</f>
        <v/>
      </c>
      <c r="B340" s="77">
        <f>IF(Pipeline!$A340="","",IF(Pipeline!F340="","",Pipeline!F340))</f>
        <v/>
      </c>
      <c r="C340" s="96">
        <f>IF(Pipeline!$A340="","",IF(Pipeline!M340="","",Pipeline!M340))</f>
        <v/>
      </c>
      <c r="D340" s="97">
        <f>IF(Pipeline!$A340="","",IF(Pipeline!Q340="","",Pipeline!Q340))</f>
        <v/>
      </c>
      <c r="E340" s="98">
        <f>IF(Pipeline!$A340="","",IF(Pipeline!T340="","",Pipeline!T340))</f>
        <v/>
      </c>
      <c r="F340" s="77">
        <f>IF(Pipeline!$A340="","",IF(Pipeline!W340="","",Pipeline!W340))</f>
        <v/>
      </c>
      <c r="G340" s="99">
        <f>IF(Pipeline!$A340="","",IF(Pipeline!AH340="","",Pipeline!AH340))</f>
        <v/>
      </c>
      <c r="H340" s="77">
        <f>IF(Pipeline!$A340="","",IF(Pipeline!AI340="","",Pipeline!AI340))</f>
        <v/>
      </c>
      <c r="I340" s="77">
        <f>IF(Pipeline!$A340="","",IF(Pipeline!X340="","",Pipeline!X340))</f>
        <v/>
      </c>
      <c r="J340" s="77">
        <f>IF(Pipeline!$A340="","",IF(Pipeline!AF340="","–",Pipeline!AF340))</f>
        <v/>
      </c>
    </row>
    <row r="341" ht="15" customHeight="1" s="51">
      <c r="A341" s="77">
        <f>IF(Pipeline!$A341="","",IF(Pipeline!H341="","",Pipeline!H341))</f>
        <v/>
      </c>
      <c r="B341" s="77">
        <f>IF(Pipeline!$A341="","",IF(Pipeline!F341="","",Pipeline!F341))</f>
        <v/>
      </c>
      <c r="C341" s="96">
        <f>IF(Pipeline!$A341="","",IF(Pipeline!M341="","",Pipeline!M341))</f>
        <v/>
      </c>
      <c r="D341" s="97">
        <f>IF(Pipeline!$A341="","",IF(Pipeline!Q341="","",Pipeline!Q341))</f>
        <v/>
      </c>
      <c r="E341" s="98">
        <f>IF(Pipeline!$A341="","",IF(Pipeline!T341="","",Pipeline!T341))</f>
        <v/>
      </c>
      <c r="F341" s="77">
        <f>IF(Pipeline!$A341="","",IF(Pipeline!W341="","",Pipeline!W341))</f>
        <v/>
      </c>
      <c r="G341" s="99">
        <f>IF(Pipeline!$A341="","",IF(Pipeline!AH341="","",Pipeline!AH341))</f>
        <v/>
      </c>
      <c r="H341" s="77">
        <f>IF(Pipeline!$A341="","",IF(Pipeline!AI341="","",Pipeline!AI341))</f>
        <v/>
      </c>
      <c r="I341" s="77">
        <f>IF(Pipeline!$A341="","",IF(Pipeline!X341="","",Pipeline!X341))</f>
        <v/>
      </c>
      <c r="J341" s="77">
        <f>IF(Pipeline!$A341="","",IF(Pipeline!AF341="","–",Pipeline!AF341))</f>
        <v/>
      </c>
    </row>
    <row r="342" ht="15" customHeight="1" s="51">
      <c r="A342" s="77">
        <f>IF(Pipeline!$A342="","",IF(Pipeline!H342="","",Pipeline!H342))</f>
        <v/>
      </c>
      <c r="B342" s="77">
        <f>IF(Pipeline!$A342="","",IF(Pipeline!F342="","",Pipeline!F342))</f>
        <v/>
      </c>
      <c r="C342" s="96">
        <f>IF(Pipeline!$A342="","",IF(Pipeline!M342="","",Pipeline!M342))</f>
        <v/>
      </c>
      <c r="D342" s="97">
        <f>IF(Pipeline!$A342="","",IF(Pipeline!Q342="","",Pipeline!Q342))</f>
        <v/>
      </c>
      <c r="E342" s="98">
        <f>IF(Pipeline!$A342="","",IF(Pipeline!T342="","",Pipeline!T342))</f>
        <v/>
      </c>
      <c r="F342" s="77">
        <f>IF(Pipeline!$A342="","",IF(Pipeline!W342="","",Pipeline!W342))</f>
        <v/>
      </c>
      <c r="G342" s="99">
        <f>IF(Pipeline!$A342="","",IF(Pipeline!AH342="","",Pipeline!AH342))</f>
        <v/>
      </c>
      <c r="H342" s="77">
        <f>IF(Pipeline!$A342="","",IF(Pipeline!AI342="","",Pipeline!AI342))</f>
        <v/>
      </c>
      <c r="I342" s="77">
        <f>IF(Pipeline!$A342="","",IF(Pipeline!X342="","",Pipeline!X342))</f>
        <v/>
      </c>
      <c r="J342" s="77">
        <f>IF(Pipeline!$A342="","",IF(Pipeline!AF342="","–",Pipeline!AF342))</f>
        <v/>
      </c>
    </row>
    <row r="343" ht="15" customHeight="1" s="51">
      <c r="A343" s="77">
        <f>IF(Pipeline!$A343="","",IF(Pipeline!H343="","",Pipeline!H343))</f>
        <v/>
      </c>
      <c r="B343" s="77">
        <f>IF(Pipeline!$A343="","",IF(Pipeline!F343="","",Pipeline!F343))</f>
        <v/>
      </c>
      <c r="C343" s="96">
        <f>IF(Pipeline!$A343="","",IF(Pipeline!M343="","",Pipeline!M343))</f>
        <v/>
      </c>
      <c r="D343" s="97">
        <f>IF(Pipeline!$A343="","",IF(Pipeline!Q343="","",Pipeline!Q343))</f>
        <v/>
      </c>
      <c r="E343" s="98">
        <f>IF(Pipeline!$A343="","",IF(Pipeline!T343="","",Pipeline!T343))</f>
        <v/>
      </c>
      <c r="F343" s="77">
        <f>IF(Pipeline!$A343="","",IF(Pipeline!W343="","",Pipeline!W343))</f>
        <v/>
      </c>
      <c r="G343" s="99">
        <f>IF(Pipeline!$A343="","",IF(Pipeline!AH343="","",Pipeline!AH343))</f>
        <v/>
      </c>
      <c r="H343" s="77">
        <f>IF(Pipeline!$A343="","",IF(Pipeline!AI343="","",Pipeline!AI343))</f>
        <v/>
      </c>
      <c r="I343" s="77">
        <f>IF(Pipeline!$A343="","",IF(Pipeline!X343="","",Pipeline!X343))</f>
        <v/>
      </c>
      <c r="J343" s="77">
        <f>IF(Pipeline!$A343="","",IF(Pipeline!AF343="","–",Pipeline!AF343))</f>
        <v/>
      </c>
    </row>
    <row r="344" ht="15" customHeight="1" s="51">
      <c r="A344" s="77">
        <f>IF(Pipeline!$A344="","",IF(Pipeline!H344="","",Pipeline!H344))</f>
        <v/>
      </c>
      <c r="B344" s="77">
        <f>IF(Pipeline!$A344="","",IF(Pipeline!F344="","",Pipeline!F344))</f>
        <v/>
      </c>
      <c r="C344" s="96">
        <f>IF(Pipeline!$A344="","",IF(Pipeline!M344="","",Pipeline!M344))</f>
        <v/>
      </c>
      <c r="D344" s="97">
        <f>IF(Pipeline!$A344="","",IF(Pipeline!Q344="","",Pipeline!Q344))</f>
        <v/>
      </c>
      <c r="E344" s="98">
        <f>IF(Pipeline!$A344="","",IF(Pipeline!T344="","",Pipeline!T344))</f>
        <v/>
      </c>
      <c r="F344" s="77">
        <f>IF(Pipeline!$A344="","",IF(Pipeline!W344="","",Pipeline!W344))</f>
        <v/>
      </c>
      <c r="G344" s="99">
        <f>IF(Pipeline!$A344="","",IF(Pipeline!AH344="","",Pipeline!AH344))</f>
        <v/>
      </c>
      <c r="H344" s="77">
        <f>IF(Pipeline!$A344="","",IF(Pipeline!AI344="","",Pipeline!AI344))</f>
        <v/>
      </c>
      <c r="I344" s="77">
        <f>IF(Pipeline!$A344="","",IF(Pipeline!X344="","",Pipeline!X344))</f>
        <v/>
      </c>
      <c r="J344" s="77">
        <f>IF(Pipeline!$A344="","",IF(Pipeline!AF344="","–",Pipeline!AF344))</f>
        <v/>
      </c>
    </row>
    <row r="345" ht="15" customHeight="1" s="51">
      <c r="A345" s="77">
        <f>IF(Pipeline!$A345="","",IF(Pipeline!H345="","",Pipeline!H345))</f>
        <v/>
      </c>
      <c r="B345" s="77">
        <f>IF(Pipeline!$A345="","",IF(Pipeline!F345="","",Pipeline!F345))</f>
        <v/>
      </c>
      <c r="C345" s="96">
        <f>IF(Pipeline!$A345="","",IF(Pipeline!M345="","",Pipeline!M345))</f>
        <v/>
      </c>
      <c r="D345" s="97">
        <f>IF(Pipeline!$A345="","",IF(Pipeline!Q345="","",Pipeline!Q345))</f>
        <v/>
      </c>
      <c r="E345" s="98">
        <f>IF(Pipeline!$A345="","",IF(Pipeline!T345="","",Pipeline!T345))</f>
        <v/>
      </c>
      <c r="F345" s="77">
        <f>IF(Pipeline!$A345="","",IF(Pipeline!W345="","",Pipeline!W345))</f>
        <v/>
      </c>
      <c r="G345" s="99">
        <f>IF(Pipeline!$A345="","",IF(Pipeline!AH345="","",Pipeline!AH345))</f>
        <v/>
      </c>
      <c r="H345" s="77">
        <f>IF(Pipeline!$A345="","",IF(Pipeline!AI345="","",Pipeline!AI345))</f>
        <v/>
      </c>
      <c r="I345" s="77">
        <f>IF(Pipeline!$A345="","",IF(Pipeline!X345="","",Pipeline!X345))</f>
        <v/>
      </c>
      <c r="J345" s="77">
        <f>IF(Pipeline!$A345="","",IF(Pipeline!AF345="","–",Pipeline!AF345))</f>
        <v/>
      </c>
    </row>
    <row r="346" ht="15" customHeight="1" s="51">
      <c r="A346" s="77">
        <f>IF(Pipeline!$A346="","",IF(Pipeline!H346="","",Pipeline!H346))</f>
        <v/>
      </c>
      <c r="B346" s="77">
        <f>IF(Pipeline!$A346="","",IF(Pipeline!F346="","",Pipeline!F346))</f>
        <v/>
      </c>
      <c r="C346" s="96">
        <f>IF(Pipeline!$A346="","",IF(Pipeline!M346="","",Pipeline!M346))</f>
        <v/>
      </c>
      <c r="D346" s="97">
        <f>IF(Pipeline!$A346="","",IF(Pipeline!Q346="","",Pipeline!Q346))</f>
        <v/>
      </c>
      <c r="E346" s="98">
        <f>IF(Pipeline!$A346="","",IF(Pipeline!T346="","",Pipeline!T346))</f>
        <v/>
      </c>
      <c r="F346" s="77">
        <f>IF(Pipeline!$A346="","",IF(Pipeline!W346="","",Pipeline!W346))</f>
        <v/>
      </c>
      <c r="G346" s="99">
        <f>IF(Pipeline!$A346="","",IF(Pipeline!AH346="","",Pipeline!AH346))</f>
        <v/>
      </c>
      <c r="H346" s="77">
        <f>IF(Pipeline!$A346="","",IF(Pipeline!AI346="","",Pipeline!AI346))</f>
        <v/>
      </c>
      <c r="I346" s="77">
        <f>IF(Pipeline!$A346="","",IF(Pipeline!X346="","",Pipeline!X346))</f>
        <v/>
      </c>
      <c r="J346" s="77">
        <f>IF(Pipeline!$A346="","",IF(Pipeline!AF346="","–",Pipeline!AF346))</f>
        <v/>
      </c>
    </row>
    <row r="347" ht="15" customHeight="1" s="51">
      <c r="A347" s="77">
        <f>IF(Pipeline!$A347="","",IF(Pipeline!H347="","",Pipeline!H347))</f>
        <v/>
      </c>
      <c r="B347" s="77">
        <f>IF(Pipeline!$A347="","",IF(Pipeline!F347="","",Pipeline!F347))</f>
        <v/>
      </c>
      <c r="C347" s="96">
        <f>IF(Pipeline!$A347="","",IF(Pipeline!M347="","",Pipeline!M347))</f>
        <v/>
      </c>
      <c r="D347" s="97">
        <f>IF(Pipeline!$A347="","",IF(Pipeline!Q347="","",Pipeline!Q347))</f>
        <v/>
      </c>
      <c r="E347" s="98">
        <f>IF(Pipeline!$A347="","",IF(Pipeline!T347="","",Pipeline!T347))</f>
        <v/>
      </c>
      <c r="F347" s="77">
        <f>IF(Pipeline!$A347="","",IF(Pipeline!W347="","",Pipeline!W347))</f>
        <v/>
      </c>
      <c r="G347" s="99">
        <f>IF(Pipeline!$A347="","",IF(Pipeline!AH347="","",Pipeline!AH347))</f>
        <v/>
      </c>
      <c r="H347" s="77">
        <f>IF(Pipeline!$A347="","",IF(Pipeline!AI347="","",Pipeline!AI347))</f>
        <v/>
      </c>
      <c r="I347" s="77">
        <f>IF(Pipeline!$A347="","",IF(Pipeline!X347="","",Pipeline!X347))</f>
        <v/>
      </c>
      <c r="J347" s="77">
        <f>IF(Pipeline!$A347="","",IF(Pipeline!AF347="","–",Pipeline!AF347))</f>
        <v/>
      </c>
    </row>
    <row r="348" ht="15" customHeight="1" s="51">
      <c r="A348" s="77">
        <f>IF(Pipeline!$A348="","",IF(Pipeline!H348="","",Pipeline!H348))</f>
        <v/>
      </c>
      <c r="B348" s="77">
        <f>IF(Pipeline!$A348="","",IF(Pipeline!F348="","",Pipeline!F348))</f>
        <v/>
      </c>
      <c r="C348" s="96">
        <f>IF(Pipeline!$A348="","",IF(Pipeline!M348="","",Pipeline!M348))</f>
        <v/>
      </c>
      <c r="D348" s="97">
        <f>IF(Pipeline!$A348="","",IF(Pipeline!Q348="","",Pipeline!Q348))</f>
        <v/>
      </c>
      <c r="E348" s="98">
        <f>IF(Pipeline!$A348="","",IF(Pipeline!T348="","",Pipeline!T348))</f>
        <v/>
      </c>
      <c r="F348" s="77">
        <f>IF(Pipeline!$A348="","",IF(Pipeline!W348="","",Pipeline!W348))</f>
        <v/>
      </c>
      <c r="G348" s="99">
        <f>IF(Pipeline!$A348="","",IF(Pipeline!AH348="","",Pipeline!AH348))</f>
        <v/>
      </c>
      <c r="H348" s="77">
        <f>IF(Pipeline!$A348="","",IF(Pipeline!AI348="","",Pipeline!AI348))</f>
        <v/>
      </c>
      <c r="I348" s="77">
        <f>IF(Pipeline!$A348="","",IF(Pipeline!X348="","",Pipeline!X348))</f>
        <v/>
      </c>
      <c r="J348" s="77">
        <f>IF(Pipeline!$A348="","",IF(Pipeline!AF348="","–",Pipeline!AF348))</f>
        <v/>
      </c>
    </row>
    <row r="349" ht="15" customHeight="1" s="51">
      <c r="A349" s="77">
        <f>IF(Pipeline!$A349="","",IF(Pipeline!H349="","",Pipeline!H349))</f>
        <v/>
      </c>
      <c r="B349" s="77">
        <f>IF(Pipeline!$A349="","",IF(Pipeline!F349="","",Pipeline!F349))</f>
        <v/>
      </c>
      <c r="C349" s="96">
        <f>IF(Pipeline!$A349="","",IF(Pipeline!M349="","",Pipeline!M349))</f>
        <v/>
      </c>
      <c r="D349" s="97">
        <f>IF(Pipeline!$A349="","",IF(Pipeline!Q349="","",Pipeline!Q349))</f>
        <v/>
      </c>
      <c r="E349" s="98">
        <f>IF(Pipeline!$A349="","",IF(Pipeline!T349="","",Pipeline!T349))</f>
        <v/>
      </c>
      <c r="F349" s="77">
        <f>IF(Pipeline!$A349="","",IF(Pipeline!W349="","",Pipeline!W349))</f>
        <v/>
      </c>
      <c r="G349" s="99">
        <f>IF(Pipeline!$A349="","",IF(Pipeline!AH349="","",Pipeline!AH349))</f>
        <v/>
      </c>
      <c r="H349" s="77">
        <f>IF(Pipeline!$A349="","",IF(Pipeline!AI349="","",Pipeline!AI349))</f>
        <v/>
      </c>
      <c r="I349" s="77">
        <f>IF(Pipeline!$A349="","",IF(Pipeline!X349="","",Pipeline!X349))</f>
        <v/>
      </c>
      <c r="J349" s="77">
        <f>IF(Pipeline!$A349="","",IF(Pipeline!AF349="","–",Pipeline!AF349))</f>
        <v/>
      </c>
    </row>
    <row r="350" ht="15" customHeight="1" s="51">
      <c r="A350" s="77">
        <f>IF(Pipeline!$A350="","",IF(Pipeline!H350="","",Pipeline!H350))</f>
        <v/>
      </c>
      <c r="B350" s="77">
        <f>IF(Pipeline!$A350="","",IF(Pipeline!F350="","",Pipeline!F350))</f>
        <v/>
      </c>
      <c r="C350" s="96">
        <f>IF(Pipeline!$A350="","",IF(Pipeline!M350="","",Pipeline!M350))</f>
        <v/>
      </c>
      <c r="D350" s="97">
        <f>IF(Pipeline!$A350="","",IF(Pipeline!Q350="","",Pipeline!Q350))</f>
        <v/>
      </c>
      <c r="E350" s="98">
        <f>IF(Pipeline!$A350="","",IF(Pipeline!T350="","",Pipeline!T350))</f>
        <v/>
      </c>
      <c r="F350" s="77">
        <f>IF(Pipeline!$A350="","",IF(Pipeline!W350="","",Pipeline!W350))</f>
        <v/>
      </c>
      <c r="G350" s="99">
        <f>IF(Pipeline!$A350="","",IF(Pipeline!AH350="","",Pipeline!AH350))</f>
        <v/>
      </c>
      <c r="H350" s="77">
        <f>IF(Pipeline!$A350="","",IF(Pipeline!AI350="","",Pipeline!AI350))</f>
        <v/>
      </c>
      <c r="I350" s="77">
        <f>IF(Pipeline!$A350="","",IF(Pipeline!X350="","",Pipeline!X350))</f>
        <v/>
      </c>
      <c r="J350" s="77">
        <f>IF(Pipeline!$A350="","",IF(Pipeline!AF350="","–",Pipeline!AF350))</f>
        <v/>
      </c>
    </row>
    <row r="351" ht="15" customHeight="1" s="51">
      <c r="A351" s="77">
        <f>IF(Pipeline!$A351="","",IF(Pipeline!H351="","",Pipeline!H351))</f>
        <v/>
      </c>
      <c r="B351" s="77">
        <f>IF(Pipeline!$A351="","",IF(Pipeline!F351="","",Pipeline!F351))</f>
        <v/>
      </c>
      <c r="C351" s="96">
        <f>IF(Pipeline!$A351="","",IF(Pipeline!M351="","",Pipeline!M351))</f>
        <v/>
      </c>
      <c r="D351" s="97">
        <f>IF(Pipeline!$A351="","",IF(Pipeline!Q351="","",Pipeline!Q351))</f>
        <v/>
      </c>
      <c r="E351" s="98">
        <f>IF(Pipeline!$A351="","",IF(Pipeline!T351="","",Pipeline!T351))</f>
        <v/>
      </c>
      <c r="F351" s="77">
        <f>IF(Pipeline!$A351="","",IF(Pipeline!W351="","",Pipeline!W351))</f>
        <v/>
      </c>
      <c r="G351" s="99">
        <f>IF(Pipeline!$A351="","",IF(Pipeline!AH351="","",Pipeline!AH351))</f>
        <v/>
      </c>
      <c r="H351" s="77">
        <f>IF(Pipeline!$A351="","",IF(Pipeline!AI351="","",Pipeline!AI351))</f>
        <v/>
      </c>
      <c r="I351" s="77">
        <f>IF(Pipeline!$A351="","",IF(Pipeline!X351="","",Pipeline!X351))</f>
        <v/>
      </c>
      <c r="J351" s="77">
        <f>IF(Pipeline!$A351="","",IF(Pipeline!AF351="","–",Pipeline!AF351))</f>
        <v/>
      </c>
    </row>
    <row r="352" ht="15" customHeight="1" s="51">
      <c r="A352" s="77">
        <f>IF(Pipeline!$A352="","",IF(Pipeline!H352="","",Pipeline!H352))</f>
        <v/>
      </c>
      <c r="B352" s="77">
        <f>IF(Pipeline!$A352="","",IF(Pipeline!F352="","",Pipeline!F352))</f>
        <v/>
      </c>
      <c r="C352" s="96">
        <f>IF(Pipeline!$A352="","",IF(Pipeline!M352="","",Pipeline!M352))</f>
        <v/>
      </c>
      <c r="D352" s="97">
        <f>IF(Pipeline!$A352="","",IF(Pipeline!Q352="","",Pipeline!Q352))</f>
        <v/>
      </c>
      <c r="E352" s="98">
        <f>IF(Pipeline!$A352="","",IF(Pipeline!T352="","",Pipeline!T352))</f>
        <v/>
      </c>
      <c r="F352" s="77">
        <f>IF(Pipeline!$A352="","",IF(Pipeline!W352="","",Pipeline!W352))</f>
        <v/>
      </c>
      <c r="G352" s="99">
        <f>IF(Pipeline!$A352="","",IF(Pipeline!AH352="","",Pipeline!AH352))</f>
        <v/>
      </c>
      <c r="H352" s="77">
        <f>IF(Pipeline!$A352="","",IF(Pipeline!AI352="","",Pipeline!AI352))</f>
        <v/>
      </c>
      <c r="I352" s="77">
        <f>IF(Pipeline!$A352="","",IF(Pipeline!X352="","",Pipeline!X352))</f>
        <v/>
      </c>
      <c r="J352" s="77">
        <f>IF(Pipeline!$A352="","",IF(Pipeline!AF352="","–",Pipeline!AF352))</f>
        <v/>
      </c>
    </row>
    <row r="353" ht="15" customHeight="1" s="51">
      <c r="A353" s="77">
        <f>IF(Pipeline!$A353="","",IF(Pipeline!H353="","",Pipeline!H353))</f>
        <v/>
      </c>
      <c r="B353" s="77">
        <f>IF(Pipeline!$A353="","",IF(Pipeline!F353="","",Pipeline!F353))</f>
        <v/>
      </c>
      <c r="C353" s="96">
        <f>IF(Pipeline!$A353="","",IF(Pipeline!M353="","",Pipeline!M353))</f>
        <v/>
      </c>
      <c r="D353" s="97">
        <f>IF(Pipeline!$A353="","",IF(Pipeline!Q353="","",Pipeline!Q353))</f>
        <v/>
      </c>
      <c r="E353" s="98">
        <f>IF(Pipeline!$A353="","",IF(Pipeline!T353="","",Pipeline!T353))</f>
        <v/>
      </c>
      <c r="F353" s="77">
        <f>IF(Pipeline!$A353="","",IF(Pipeline!W353="","",Pipeline!W353))</f>
        <v/>
      </c>
      <c r="G353" s="99">
        <f>IF(Pipeline!$A353="","",IF(Pipeline!AH353="","",Pipeline!AH353))</f>
        <v/>
      </c>
      <c r="H353" s="77">
        <f>IF(Pipeline!$A353="","",IF(Pipeline!AI353="","",Pipeline!AI353))</f>
        <v/>
      </c>
      <c r="I353" s="77">
        <f>IF(Pipeline!$A353="","",IF(Pipeline!X353="","",Pipeline!X353))</f>
        <v/>
      </c>
      <c r="J353" s="77">
        <f>IF(Pipeline!$A353="","",IF(Pipeline!AF353="","–",Pipeline!AF353))</f>
        <v/>
      </c>
    </row>
    <row r="354" ht="15" customHeight="1" s="51">
      <c r="A354" s="77">
        <f>IF(Pipeline!$A354="","",IF(Pipeline!H354="","",Pipeline!H354))</f>
        <v/>
      </c>
      <c r="B354" s="77">
        <f>IF(Pipeline!$A354="","",IF(Pipeline!F354="","",Pipeline!F354))</f>
        <v/>
      </c>
      <c r="C354" s="96">
        <f>IF(Pipeline!$A354="","",IF(Pipeline!M354="","",Pipeline!M354))</f>
        <v/>
      </c>
      <c r="D354" s="97">
        <f>IF(Pipeline!$A354="","",IF(Pipeline!Q354="","",Pipeline!Q354))</f>
        <v/>
      </c>
      <c r="E354" s="98">
        <f>IF(Pipeline!$A354="","",IF(Pipeline!T354="","",Pipeline!T354))</f>
        <v/>
      </c>
      <c r="F354" s="77">
        <f>IF(Pipeline!$A354="","",IF(Pipeline!W354="","",Pipeline!W354))</f>
        <v/>
      </c>
      <c r="G354" s="99">
        <f>IF(Pipeline!$A354="","",IF(Pipeline!AH354="","",Pipeline!AH354))</f>
        <v/>
      </c>
      <c r="H354" s="77">
        <f>IF(Pipeline!$A354="","",IF(Pipeline!AI354="","",Pipeline!AI354))</f>
        <v/>
      </c>
      <c r="I354" s="77">
        <f>IF(Pipeline!$A354="","",IF(Pipeline!X354="","",Pipeline!X354))</f>
        <v/>
      </c>
      <c r="J354" s="77">
        <f>IF(Pipeline!$A354="","",IF(Pipeline!AF354="","–",Pipeline!AF354))</f>
        <v/>
      </c>
    </row>
    <row r="355" ht="15" customHeight="1" s="51">
      <c r="A355" s="77">
        <f>IF(Pipeline!$A355="","",IF(Pipeline!H355="","",Pipeline!H355))</f>
        <v/>
      </c>
      <c r="B355" s="77">
        <f>IF(Pipeline!$A355="","",IF(Pipeline!F355="","",Pipeline!F355))</f>
        <v/>
      </c>
      <c r="C355" s="96">
        <f>IF(Pipeline!$A355="","",IF(Pipeline!M355="","",Pipeline!M355))</f>
        <v/>
      </c>
      <c r="D355" s="97">
        <f>IF(Pipeline!$A355="","",IF(Pipeline!Q355="","",Pipeline!Q355))</f>
        <v/>
      </c>
      <c r="E355" s="98">
        <f>IF(Pipeline!$A355="","",IF(Pipeline!T355="","",Pipeline!T355))</f>
        <v/>
      </c>
      <c r="F355" s="77">
        <f>IF(Pipeline!$A355="","",IF(Pipeline!W355="","",Pipeline!W355))</f>
        <v/>
      </c>
      <c r="G355" s="99">
        <f>IF(Pipeline!$A355="","",IF(Pipeline!AH355="","",Pipeline!AH355))</f>
        <v/>
      </c>
      <c r="H355" s="77">
        <f>IF(Pipeline!$A355="","",IF(Pipeline!AI355="","",Pipeline!AI355))</f>
        <v/>
      </c>
      <c r="I355" s="77">
        <f>IF(Pipeline!$A355="","",IF(Pipeline!X355="","",Pipeline!X355))</f>
        <v/>
      </c>
      <c r="J355" s="77">
        <f>IF(Pipeline!$A355="","",IF(Pipeline!AF355="","–",Pipeline!AF355))</f>
        <v/>
      </c>
    </row>
    <row r="356" ht="15" customHeight="1" s="51">
      <c r="A356" s="77">
        <f>IF(Pipeline!$A356="","",IF(Pipeline!H356="","",Pipeline!H356))</f>
        <v/>
      </c>
      <c r="B356" s="77">
        <f>IF(Pipeline!$A356="","",IF(Pipeline!F356="","",Pipeline!F356))</f>
        <v/>
      </c>
      <c r="C356" s="96">
        <f>IF(Pipeline!$A356="","",IF(Pipeline!M356="","",Pipeline!M356))</f>
        <v/>
      </c>
      <c r="D356" s="97">
        <f>IF(Pipeline!$A356="","",IF(Pipeline!Q356="","",Pipeline!Q356))</f>
        <v/>
      </c>
      <c r="E356" s="98">
        <f>IF(Pipeline!$A356="","",IF(Pipeline!T356="","",Pipeline!T356))</f>
        <v/>
      </c>
      <c r="F356" s="77">
        <f>IF(Pipeline!$A356="","",IF(Pipeline!W356="","",Pipeline!W356))</f>
        <v/>
      </c>
      <c r="G356" s="99">
        <f>IF(Pipeline!$A356="","",IF(Pipeline!AH356="","",Pipeline!AH356))</f>
        <v/>
      </c>
      <c r="H356" s="77">
        <f>IF(Pipeline!$A356="","",IF(Pipeline!AI356="","",Pipeline!AI356))</f>
        <v/>
      </c>
      <c r="I356" s="77">
        <f>IF(Pipeline!$A356="","",IF(Pipeline!X356="","",Pipeline!X356))</f>
        <v/>
      </c>
      <c r="J356" s="77">
        <f>IF(Pipeline!$A356="","",IF(Pipeline!AF356="","–",Pipeline!AF356))</f>
        <v/>
      </c>
    </row>
    <row r="357" ht="15" customHeight="1" s="51">
      <c r="A357" s="77">
        <f>IF(Pipeline!$A357="","",IF(Pipeline!H357="","",Pipeline!H357))</f>
        <v/>
      </c>
      <c r="B357" s="77">
        <f>IF(Pipeline!$A357="","",IF(Pipeline!F357="","",Pipeline!F357))</f>
        <v/>
      </c>
      <c r="C357" s="96">
        <f>IF(Pipeline!$A357="","",IF(Pipeline!M357="","",Pipeline!M357))</f>
        <v/>
      </c>
      <c r="D357" s="97">
        <f>IF(Pipeline!$A357="","",IF(Pipeline!Q357="","",Pipeline!Q357))</f>
        <v/>
      </c>
      <c r="E357" s="98">
        <f>IF(Pipeline!$A357="","",IF(Pipeline!T357="","",Pipeline!T357))</f>
        <v/>
      </c>
      <c r="F357" s="77">
        <f>IF(Pipeline!$A357="","",IF(Pipeline!W357="","",Pipeline!W357))</f>
        <v/>
      </c>
      <c r="G357" s="99">
        <f>IF(Pipeline!$A357="","",IF(Pipeline!AH357="","",Pipeline!AH357))</f>
        <v/>
      </c>
      <c r="H357" s="77">
        <f>IF(Pipeline!$A357="","",IF(Pipeline!AI357="","",Pipeline!AI357))</f>
        <v/>
      </c>
      <c r="I357" s="77">
        <f>IF(Pipeline!$A357="","",IF(Pipeline!X357="","",Pipeline!X357))</f>
        <v/>
      </c>
      <c r="J357" s="77">
        <f>IF(Pipeline!$A357="","",IF(Pipeline!AF357="","–",Pipeline!AF357))</f>
        <v/>
      </c>
    </row>
    <row r="358" ht="15" customHeight="1" s="51">
      <c r="A358" s="77">
        <f>IF(Pipeline!$A358="","",IF(Pipeline!H358="","",Pipeline!H358))</f>
        <v/>
      </c>
      <c r="B358" s="77">
        <f>IF(Pipeline!$A358="","",IF(Pipeline!F358="","",Pipeline!F358))</f>
        <v/>
      </c>
      <c r="C358" s="96">
        <f>IF(Pipeline!$A358="","",IF(Pipeline!M358="","",Pipeline!M358))</f>
        <v/>
      </c>
      <c r="D358" s="97">
        <f>IF(Pipeline!$A358="","",IF(Pipeline!Q358="","",Pipeline!Q358))</f>
        <v/>
      </c>
      <c r="E358" s="98">
        <f>IF(Pipeline!$A358="","",IF(Pipeline!T358="","",Pipeline!T358))</f>
        <v/>
      </c>
      <c r="F358" s="77">
        <f>IF(Pipeline!$A358="","",IF(Pipeline!W358="","",Pipeline!W358))</f>
        <v/>
      </c>
      <c r="G358" s="99">
        <f>IF(Pipeline!$A358="","",IF(Pipeline!AH358="","",Pipeline!AH358))</f>
        <v/>
      </c>
      <c r="H358" s="77">
        <f>IF(Pipeline!$A358="","",IF(Pipeline!AI358="","",Pipeline!AI358))</f>
        <v/>
      </c>
      <c r="I358" s="77">
        <f>IF(Pipeline!$A358="","",IF(Pipeline!X358="","",Pipeline!X358))</f>
        <v/>
      </c>
      <c r="J358" s="77">
        <f>IF(Pipeline!$A358="","",IF(Pipeline!AF358="","–",Pipeline!AF358))</f>
        <v/>
      </c>
    </row>
    <row r="359" ht="15" customHeight="1" s="51">
      <c r="A359" s="77">
        <f>IF(Pipeline!$A359="","",IF(Pipeline!H359="","",Pipeline!H359))</f>
        <v/>
      </c>
      <c r="B359" s="77">
        <f>IF(Pipeline!$A359="","",IF(Pipeline!F359="","",Pipeline!F359))</f>
        <v/>
      </c>
      <c r="C359" s="96">
        <f>IF(Pipeline!$A359="","",IF(Pipeline!M359="","",Pipeline!M359))</f>
        <v/>
      </c>
      <c r="D359" s="97">
        <f>IF(Pipeline!$A359="","",IF(Pipeline!Q359="","",Pipeline!Q359))</f>
        <v/>
      </c>
      <c r="E359" s="98">
        <f>IF(Pipeline!$A359="","",IF(Pipeline!T359="","",Pipeline!T359))</f>
        <v/>
      </c>
      <c r="F359" s="77">
        <f>IF(Pipeline!$A359="","",IF(Pipeline!W359="","",Pipeline!W359))</f>
        <v/>
      </c>
      <c r="G359" s="99">
        <f>IF(Pipeline!$A359="","",IF(Pipeline!AH359="","",Pipeline!AH359))</f>
        <v/>
      </c>
      <c r="H359" s="77">
        <f>IF(Pipeline!$A359="","",IF(Pipeline!AI359="","",Pipeline!AI359))</f>
        <v/>
      </c>
      <c r="I359" s="77">
        <f>IF(Pipeline!$A359="","",IF(Pipeline!X359="","",Pipeline!X359))</f>
        <v/>
      </c>
      <c r="J359" s="77">
        <f>IF(Pipeline!$A359="","",IF(Pipeline!AF359="","–",Pipeline!AF359))</f>
        <v/>
      </c>
    </row>
    <row r="360" ht="15" customHeight="1" s="51">
      <c r="A360" s="77">
        <f>IF(Pipeline!$A360="","",IF(Pipeline!H360="","",Pipeline!H360))</f>
        <v/>
      </c>
      <c r="B360" s="77">
        <f>IF(Pipeline!$A360="","",IF(Pipeline!F360="","",Pipeline!F360))</f>
        <v/>
      </c>
      <c r="C360" s="96">
        <f>IF(Pipeline!$A360="","",IF(Pipeline!M360="","",Pipeline!M360))</f>
        <v/>
      </c>
      <c r="D360" s="97">
        <f>IF(Pipeline!$A360="","",IF(Pipeline!Q360="","",Pipeline!Q360))</f>
        <v/>
      </c>
      <c r="E360" s="98">
        <f>IF(Pipeline!$A360="","",IF(Pipeline!T360="","",Pipeline!T360))</f>
        <v/>
      </c>
      <c r="F360" s="77">
        <f>IF(Pipeline!$A360="","",IF(Pipeline!W360="","",Pipeline!W360))</f>
        <v/>
      </c>
      <c r="G360" s="99">
        <f>IF(Pipeline!$A360="","",IF(Pipeline!AH360="","",Pipeline!AH360))</f>
        <v/>
      </c>
      <c r="H360" s="77">
        <f>IF(Pipeline!$A360="","",IF(Pipeline!AI360="","",Pipeline!AI360))</f>
        <v/>
      </c>
      <c r="I360" s="77">
        <f>IF(Pipeline!$A360="","",IF(Pipeline!X360="","",Pipeline!X360))</f>
        <v/>
      </c>
      <c r="J360" s="77">
        <f>IF(Pipeline!$A360="","",IF(Pipeline!AF360="","–",Pipeline!AF360))</f>
        <v/>
      </c>
    </row>
    <row r="361" ht="15" customHeight="1" s="51">
      <c r="A361" s="77">
        <f>IF(Pipeline!$A361="","",IF(Pipeline!H361="","",Pipeline!H361))</f>
        <v/>
      </c>
      <c r="B361" s="77">
        <f>IF(Pipeline!$A361="","",IF(Pipeline!F361="","",Pipeline!F361))</f>
        <v/>
      </c>
      <c r="C361" s="96">
        <f>IF(Pipeline!$A361="","",IF(Pipeline!M361="","",Pipeline!M361))</f>
        <v/>
      </c>
      <c r="D361" s="97">
        <f>IF(Pipeline!$A361="","",IF(Pipeline!Q361="","",Pipeline!Q361))</f>
        <v/>
      </c>
      <c r="E361" s="98">
        <f>IF(Pipeline!$A361="","",IF(Pipeline!T361="","",Pipeline!T361))</f>
        <v/>
      </c>
      <c r="F361" s="77">
        <f>IF(Pipeline!$A361="","",IF(Pipeline!W361="","",Pipeline!W361))</f>
        <v/>
      </c>
      <c r="G361" s="99">
        <f>IF(Pipeline!$A361="","",IF(Pipeline!AH361="","",Pipeline!AH361))</f>
        <v/>
      </c>
      <c r="H361" s="77">
        <f>IF(Pipeline!$A361="","",IF(Pipeline!AI361="","",Pipeline!AI361))</f>
        <v/>
      </c>
      <c r="I361" s="77">
        <f>IF(Pipeline!$A361="","",IF(Pipeline!X361="","",Pipeline!X361))</f>
        <v/>
      </c>
      <c r="J361" s="77">
        <f>IF(Pipeline!$A361="","",IF(Pipeline!AF361="","–",Pipeline!AF361))</f>
        <v/>
      </c>
    </row>
    <row r="362" ht="15" customHeight="1" s="51">
      <c r="A362" s="77">
        <f>IF(Pipeline!$A362="","",IF(Pipeline!H362="","",Pipeline!H362))</f>
        <v/>
      </c>
      <c r="B362" s="77">
        <f>IF(Pipeline!$A362="","",IF(Pipeline!F362="","",Pipeline!F362))</f>
        <v/>
      </c>
      <c r="C362" s="96">
        <f>IF(Pipeline!$A362="","",IF(Pipeline!M362="","",Pipeline!M362))</f>
        <v/>
      </c>
      <c r="D362" s="97">
        <f>IF(Pipeline!$A362="","",IF(Pipeline!Q362="","",Pipeline!Q362))</f>
        <v/>
      </c>
      <c r="E362" s="98">
        <f>IF(Pipeline!$A362="","",IF(Pipeline!T362="","",Pipeline!T362))</f>
        <v/>
      </c>
      <c r="F362" s="77">
        <f>IF(Pipeline!$A362="","",IF(Pipeline!W362="","",Pipeline!W362))</f>
        <v/>
      </c>
      <c r="G362" s="99">
        <f>IF(Pipeline!$A362="","",IF(Pipeline!AH362="","",Pipeline!AH362))</f>
        <v/>
      </c>
      <c r="H362" s="77">
        <f>IF(Pipeline!$A362="","",IF(Pipeline!AI362="","",Pipeline!AI362))</f>
        <v/>
      </c>
      <c r="I362" s="77">
        <f>IF(Pipeline!$A362="","",IF(Pipeline!X362="","",Pipeline!X362))</f>
        <v/>
      </c>
      <c r="J362" s="77">
        <f>IF(Pipeline!$A362="","",IF(Pipeline!AF362="","–",Pipeline!AF362))</f>
        <v/>
      </c>
    </row>
    <row r="363" ht="15" customHeight="1" s="51">
      <c r="A363" s="77">
        <f>IF(Pipeline!$A363="","",IF(Pipeline!H363="","",Pipeline!H363))</f>
        <v/>
      </c>
      <c r="B363" s="77">
        <f>IF(Pipeline!$A363="","",IF(Pipeline!F363="","",Pipeline!F363))</f>
        <v/>
      </c>
      <c r="C363" s="96">
        <f>IF(Pipeline!$A363="","",IF(Pipeline!M363="","",Pipeline!M363))</f>
        <v/>
      </c>
      <c r="D363" s="97">
        <f>IF(Pipeline!$A363="","",IF(Pipeline!Q363="","",Pipeline!Q363))</f>
        <v/>
      </c>
      <c r="E363" s="98">
        <f>IF(Pipeline!$A363="","",IF(Pipeline!T363="","",Pipeline!T363))</f>
        <v/>
      </c>
      <c r="F363" s="77">
        <f>IF(Pipeline!$A363="","",IF(Pipeline!W363="","",Pipeline!W363))</f>
        <v/>
      </c>
      <c r="G363" s="99">
        <f>IF(Pipeline!$A363="","",IF(Pipeline!AH363="","",Pipeline!AH363))</f>
        <v/>
      </c>
      <c r="H363" s="77">
        <f>IF(Pipeline!$A363="","",IF(Pipeline!AI363="","",Pipeline!AI363))</f>
        <v/>
      </c>
      <c r="I363" s="77">
        <f>IF(Pipeline!$A363="","",IF(Pipeline!X363="","",Pipeline!X363))</f>
        <v/>
      </c>
      <c r="J363" s="77">
        <f>IF(Pipeline!$A363="","",IF(Pipeline!AF363="","–",Pipeline!AF363))</f>
        <v/>
      </c>
    </row>
    <row r="364" ht="15" customHeight="1" s="51">
      <c r="A364" s="77">
        <f>IF(Pipeline!$A364="","",IF(Pipeline!H364="","",Pipeline!H364))</f>
        <v/>
      </c>
      <c r="B364" s="77">
        <f>IF(Pipeline!$A364="","",IF(Pipeline!F364="","",Pipeline!F364))</f>
        <v/>
      </c>
      <c r="C364" s="96">
        <f>IF(Pipeline!$A364="","",IF(Pipeline!M364="","",Pipeline!M364))</f>
        <v/>
      </c>
      <c r="D364" s="97">
        <f>IF(Pipeline!$A364="","",IF(Pipeline!Q364="","",Pipeline!Q364))</f>
        <v/>
      </c>
      <c r="E364" s="98">
        <f>IF(Pipeline!$A364="","",IF(Pipeline!T364="","",Pipeline!T364))</f>
        <v/>
      </c>
      <c r="F364" s="77">
        <f>IF(Pipeline!$A364="","",IF(Pipeline!W364="","",Pipeline!W364))</f>
        <v/>
      </c>
      <c r="G364" s="99">
        <f>IF(Pipeline!$A364="","",IF(Pipeline!AH364="","",Pipeline!AH364))</f>
        <v/>
      </c>
      <c r="H364" s="77">
        <f>IF(Pipeline!$A364="","",IF(Pipeline!AI364="","",Pipeline!AI364))</f>
        <v/>
      </c>
      <c r="I364" s="77">
        <f>IF(Pipeline!$A364="","",IF(Pipeline!X364="","",Pipeline!X364))</f>
        <v/>
      </c>
      <c r="J364" s="77">
        <f>IF(Pipeline!$A364="","",IF(Pipeline!AF364="","–",Pipeline!AF364))</f>
        <v/>
      </c>
    </row>
    <row r="365" ht="15" customHeight="1" s="51">
      <c r="A365" s="77">
        <f>IF(Pipeline!$A365="","",IF(Pipeline!H365="","",Pipeline!H365))</f>
        <v/>
      </c>
      <c r="B365" s="77">
        <f>IF(Pipeline!$A365="","",IF(Pipeline!F365="","",Pipeline!F365))</f>
        <v/>
      </c>
      <c r="C365" s="96">
        <f>IF(Pipeline!$A365="","",IF(Pipeline!M365="","",Pipeline!M365))</f>
        <v/>
      </c>
      <c r="D365" s="97">
        <f>IF(Pipeline!$A365="","",IF(Pipeline!Q365="","",Pipeline!Q365))</f>
        <v/>
      </c>
      <c r="E365" s="98">
        <f>IF(Pipeline!$A365="","",IF(Pipeline!T365="","",Pipeline!T365))</f>
        <v/>
      </c>
      <c r="F365" s="77">
        <f>IF(Pipeline!$A365="","",IF(Pipeline!W365="","",Pipeline!W365))</f>
        <v/>
      </c>
      <c r="G365" s="99">
        <f>IF(Pipeline!$A365="","",IF(Pipeline!AH365="","",Pipeline!AH365))</f>
        <v/>
      </c>
      <c r="H365" s="77">
        <f>IF(Pipeline!$A365="","",IF(Pipeline!AI365="","",Pipeline!AI365))</f>
        <v/>
      </c>
      <c r="I365" s="77">
        <f>IF(Pipeline!$A365="","",IF(Pipeline!X365="","",Pipeline!X365))</f>
        <v/>
      </c>
      <c r="J365" s="77">
        <f>IF(Pipeline!$A365="","",IF(Pipeline!AF365="","–",Pipeline!AF365))</f>
        <v/>
      </c>
    </row>
    <row r="366" ht="15" customHeight="1" s="51">
      <c r="A366" s="77">
        <f>IF(Pipeline!$A366="","",IF(Pipeline!H366="","",Pipeline!H366))</f>
        <v/>
      </c>
      <c r="B366" s="77">
        <f>IF(Pipeline!$A366="","",IF(Pipeline!F366="","",Pipeline!F366))</f>
        <v/>
      </c>
      <c r="C366" s="96">
        <f>IF(Pipeline!$A366="","",IF(Pipeline!M366="","",Pipeline!M366))</f>
        <v/>
      </c>
      <c r="D366" s="97">
        <f>IF(Pipeline!$A366="","",IF(Pipeline!Q366="","",Pipeline!Q366))</f>
        <v/>
      </c>
      <c r="E366" s="98">
        <f>IF(Pipeline!$A366="","",IF(Pipeline!T366="","",Pipeline!T366))</f>
        <v/>
      </c>
      <c r="F366" s="77">
        <f>IF(Pipeline!$A366="","",IF(Pipeline!W366="","",Pipeline!W366))</f>
        <v/>
      </c>
      <c r="G366" s="99">
        <f>IF(Pipeline!$A366="","",IF(Pipeline!AH366="","",Pipeline!AH366))</f>
        <v/>
      </c>
      <c r="H366" s="77">
        <f>IF(Pipeline!$A366="","",IF(Pipeline!AI366="","",Pipeline!AI366))</f>
        <v/>
      </c>
      <c r="I366" s="77">
        <f>IF(Pipeline!$A366="","",IF(Pipeline!X366="","",Pipeline!X366))</f>
        <v/>
      </c>
      <c r="J366" s="77">
        <f>IF(Pipeline!$A366="","",IF(Pipeline!AF366="","–",Pipeline!AF366))</f>
        <v/>
      </c>
    </row>
    <row r="367" ht="15" customHeight="1" s="51">
      <c r="A367" s="77">
        <f>IF(Pipeline!$A367="","",IF(Pipeline!H367="","",Pipeline!H367))</f>
        <v/>
      </c>
      <c r="B367" s="77">
        <f>IF(Pipeline!$A367="","",IF(Pipeline!F367="","",Pipeline!F367))</f>
        <v/>
      </c>
      <c r="C367" s="96">
        <f>IF(Pipeline!$A367="","",IF(Pipeline!M367="","",Pipeline!M367))</f>
        <v/>
      </c>
      <c r="D367" s="97">
        <f>IF(Pipeline!$A367="","",IF(Pipeline!Q367="","",Pipeline!Q367))</f>
        <v/>
      </c>
      <c r="E367" s="98">
        <f>IF(Pipeline!$A367="","",IF(Pipeline!T367="","",Pipeline!T367))</f>
        <v/>
      </c>
      <c r="F367" s="77">
        <f>IF(Pipeline!$A367="","",IF(Pipeline!W367="","",Pipeline!W367))</f>
        <v/>
      </c>
      <c r="G367" s="99">
        <f>IF(Pipeline!$A367="","",IF(Pipeline!AH367="","",Pipeline!AH367))</f>
        <v/>
      </c>
      <c r="H367" s="77">
        <f>IF(Pipeline!$A367="","",IF(Pipeline!AI367="","",Pipeline!AI367))</f>
        <v/>
      </c>
      <c r="I367" s="77">
        <f>IF(Pipeline!$A367="","",IF(Pipeline!X367="","",Pipeline!X367))</f>
        <v/>
      </c>
      <c r="J367" s="77">
        <f>IF(Pipeline!$A367="","",IF(Pipeline!AF367="","–",Pipeline!AF367))</f>
        <v/>
      </c>
    </row>
    <row r="368" ht="15" customHeight="1" s="51">
      <c r="A368" s="77">
        <f>IF(Pipeline!$A368="","",IF(Pipeline!H368="","",Pipeline!H368))</f>
        <v/>
      </c>
      <c r="B368" s="77">
        <f>IF(Pipeline!$A368="","",IF(Pipeline!F368="","",Pipeline!F368))</f>
        <v/>
      </c>
      <c r="C368" s="96">
        <f>IF(Pipeline!$A368="","",IF(Pipeline!M368="","",Pipeline!M368))</f>
        <v/>
      </c>
      <c r="D368" s="97">
        <f>IF(Pipeline!$A368="","",IF(Pipeline!Q368="","",Pipeline!Q368))</f>
        <v/>
      </c>
      <c r="E368" s="98">
        <f>IF(Pipeline!$A368="","",IF(Pipeline!T368="","",Pipeline!T368))</f>
        <v/>
      </c>
      <c r="F368" s="77">
        <f>IF(Pipeline!$A368="","",IF(Pipeline!W368="","",Pipeline!W368))</f>
        <v/>
      </c>
      <c r="G368" s="99">
        <f>IF(Pipeline!$A368="","",IF(Pipeline!AH368="","",Pipeline!AH368))</f>
        <v/>
      </c>
      <c r="H368" s="77">
        <f>IF(Pipeline!$A368="","",IF(Pipeline!AI368="","",Pipeline!AI368))</f>
        <v/>
      </c>
      <c r="I368" s="77">
        <f>IF(Pipeline!$A368="","",IF(Pipeline!X368="","",Pipeline!X368))</f>
        <v/>
      </c>
      <c r="J368" s="77">
        <f>IF(Pipeline!$A368="","",IF(Pipeline!AF368="","–",Pipeline!AF368))</f>
        <v/>
      </c>
    </row>
    <row r="369" ht="15" customHeight="1" s="51">
      <c r="A369" s="77">
        <f>IF(Pipeline!$A369="","",IF(Pipeline!H369="","",Pipeline!H369))</f>
        <v/>
      </c>
      <c r="B369" s="77">
        <f>IF(Pipeline!$A369="","",IF(Pipeline!F369="","",Pipeline!F369))</f>
        <v/>
      </c>
      <c r="C369" s="96">
        <f>IF(Pipeline!$A369="","",IF(Pipeline!M369="","",Pipeline!M369))</f>
        <v/>
      </c>
      <c r="D369" s="97">
        <f>IF(Pipeline!$A369="","",IF(Pipeline!Q369="","",Pipeline!Q369))</f>
        <v/>
      </c>
      <c r="E369" s="98">
        <f>IF(Pipeline!$A369="","",IF(Pipeline!T369="","",Pipeline!T369))</f>
        <v/>
      </c>
      <c r="F369" s="77">
        <f>IF(Pipeline!$A369="","",IF(Pipeline!W369="","",Pipeline!W369))</f>
        <v/>
      </c>
      <c r="G369" s="99">
        <f>IF(Pipeline!$A369="","",IF(Pipeline!AH369="","",Pipeline!AH369))</f>
        <v/>
      </c>
      <c r="H369" s="77">
        <f>IF(Pipeline!$A369="","",IF(Pipeline!AI369="","",Pipeline!AI369))</f>
        <v/>
      </c>
      <c r="I369" s="77">
        <f>IF(Pipeline!$A369="","",IF(Pipeline!X369="","",Pipeline!X369))</f>
        <v/>
      </c>
      <c r="J369" s="77">
        <f>IF(Pipeline!$A369="","",IF(Pipeline!AF369="","–",Pipeline!AF369))</f>
        <v/>
      </c>
    </row>
    <row r="370" ht="15" customHeight="1" s="51">
      <c r="A370" s="77">
        <f>IF(Pipeline!$A370="","",IF(Pipeline!H370="","",Pipeline!H370))</f>
        <v/>
      </c>
      <c r="B370" s="77">
        <f>IF(Pipeline!$A370="","",IF(Pipeline!F370="","",Pipeline!F370))</f>
        <v/>
      </c>
      <c r="C370" s="96">
        <f>IF(Pipeline!$A370="","",IF(Pipeline!M370="","",Pipeline!M370))</f>
        <v/>
      </c>
      <c r="D370" s="97">
        <f>IF(Pipeline!$A370="","",IF(Pipeline!Q370="","",Pipeline!Q370))</f>
        <v/>
      </c>
      <c r="E370" s="98">
        <f>IF(Pipeline!$A370="","",IF(Pipeline!T370="","",Pipeline!T370))</f>
        <v/>
      </c>
      <c r="F370" s="77">
        <f>IF(Pipeline!$A370="","",IF(Pipeline!W370="","",Pipeline!W370))</f>
        <v/>
      </c>
      <c r="G370" s="99">
        <f>IF(Pipeline!$A370="","",IF(Pipeline!AH370="","",Pipeline!AH370))</f>
        <v/>
      </c>
      <c r="H370" s="77">
        <f>IF(Pipeline!$A370="","",IF(Pipeline!AI370="","",Pipeline!AI370))</f>
        <v/>
      </c>
      <c r="I370" s="77">
        <f>IF(Pipeline!$A370="","",IF(Pipeline!X370="","",Pipeline!X370))</f>
        <v/>
      </c>
      <c r="J370" s="77">
        <f>IF(Pipeline!$A370="","",IF(Pipeline!AF370="","–",Pipeline!AF370))</f>
        <v/>
      </c>
    </row>
    <row r="371" ht="15" customHeight="1" s="51">
      <c r="A371" s="77">
        <f>IF(Pipeline!$A371="","",IF(Pipeline!H371="","",Pipeline!H371))</f>
        <v/>
      </c>
      <c r="B371" s="77">
        <f>IF(Pipeline!$A371="","",IF(Pipeline!F371="","",Pipeline!F371))</f>
        <v/>
      </c>
      <c r="C371" s="96">
        <f>IF(Pipeline!$A371="","",IF(Pipeline!M371="","",Pipeline!M371))</f>
        <v/>
      </c>
      <c r="D371" s="97">
        <f>IF(Pipeline!$A371="","",IF(Pipeline!Q371="","",Pipeline!Q371))</f>
        <v/>
      </c>
      <c r="E371" s="98">
        <f>IF(Pipeline!$A371="","",IF(Pipeline!T371="","",Pipeline!T371))</f>
        <v/>
      </c>
      <c r="F371" s="77">
        <f>IF(Pipeline!$A371="","",IF(Pipeline!W371="","",Pipeline!W371))</f>
        <v/>
      </c>
      <c r="G371" s="99">
        <f>IF(Pipeline!$A371="","",IF(Pipeline!AH371="","",Pipeline!AH371))</f>
        <v/>
      </c>
      <c r="H371" s="77">
        <f>IF(Pipeline!$A371="","",IF(Pipeline!AI371="","",Pipeline!AI371))</f>
        <v/>
      </c>
      <c r="I371" s="77">
        <f>IF(Pipeline!$A371="","",IF(Pipeline!X371="","",Pipeline!X371))</f>
        <v/>
      </c>
      <c r="J371" s="77">
        <f>IF(Pipeline!$A371="","",IF(Pipeline!AF371="","–",Pipeline!AF371))</f>
        <v/>
      </c>
    </row>
    <row r="372" ht="15" customHeight="1" s="51">
      <c r="A372" s="77">
        <f>IF(Pipeline!$A372="","",IF(Pipeline!H372="","",Pipeline!H372))</f>
        <v/>
      </c>
      <c r="B372" s="77">
        <f>IF(Pipeline!$A372="","",IF(Pipeline!F372="","",Pipeline!F372))</f>
        <v/>
      </c>
      <c r="C372" s="96">
        <f>IF(Pipeline!$A372="","",IF(Pipeline!M372="","",Pipeline!M372))</f>
        <v/>
      </c>
      <c r="D372" s="97">
        <f>IF(Pipeline!$A372="","",IF(Pipeline!Q372="","",Pipeline!Q372))</f>
        <v/>
      </c>
      <c r="E372" s="98">
        <f>IF(Pipeline!$A372="","",IF(Pipeline!T372="","",Pipeline!T372))</f>
        <v/>
      </c>
      <c r="F372" s="77">
        <f>IF(Pipeline!$A372="","",IF(Pipeline!W372="","",Pipeline!W372))</f>
        <v/>
      </c>
      <c r="G372" s="99">
        <f>IF(Pipeline!$A372="","",IF(Pipeline!AH372="","",Pipeline!AH372))</f>
        <v/>
      </c>
      <c r="H372" s="77">
        <f>IF(Pipeline!$A372="","",IF(Pipeline!AI372="","",Pipeline!AI372))</f>
        <v/>
      </c>
      <c r="I372" s="77">
        <f>IF(Pipeline!$A372="","",IF(Pipeline!X372="","",Pipeline!X372))</f>
        <v/>
      </c>
      <c r="J372" s="77">
        <f>IF(Pipeline!$A372="","",IF(Pipeline!AF372="","–",Pipeline!AF372))</f>
        <v/>
      </c>
    </row>
    <row r="373" ht="15" customHeight="1" s="51">
      <c r="A373" s="77">
        <f>IF(Pipeline!$A373="","",IF(Pipeline!H373="","",Pipeline!H373))</f>
        <v/>
      </c>
      <c r="B373" s="77">
        <f>IF(Pipeline!$A373="","",IF(Pipeline!F373="","",Pipeline!F373))</f>
        <v/>
      </c>
      <c r="C373" s="96">
        <f>IF(Pipeline!$A373="","",IF(Pipeline!M373="","",Pipeline!M373))</f>
        <v/>
      </c>
      <c r="D373" s="97">
        <f>IF(Pipeline!$A373="","",IF(Pipeline!Q373="","",Pipeline!Q373))</f>
        <v/>
      </c>
      <c r="E373" s="98">
        <f>IF(Pipeline!$A373="","",IF(Pipeline!T373="","",Pipeline!T373))</f>
        <v/>
      </c>
      <c r="F373" s="77">
        <f>IF(Pipeline!$A373="","",IF(Pipeline!W373="","",Pipeline!W373))</f>
        <v/>
      </c>
      <c r="G373" s="99">
        <f>IF(Pipeline!$A373="","",IF(Pipeline!AH373="","",Pipeline!AH373))</f>
        <v/>
      </c>
      <c r="H373" s="77">
        <f>IF(Pipeline!$A373="","",IF(Pipeline!AI373="","",Pipeline!AI373))</f>
        <v/>
      </c>
      <c r="I373" s="77">
        <f>IF(Pipeline!$A373="","",IF(Pipeline!X373="","",Pipeline!X373))</f>
        <v/>
      </c>
      <c r="J373" s="77">
        <f>IF(Pipeline!$A373="","",IF(Pipeline!AF373="","–",Pipeline!AF373))</f>
        <v/>
      </c>
    </row>
    <row r="374" ht="15" customHeight="1" s="51">
      <c r="A374" s="77">
        <f>IF(Pipeline!$A374="","",IF(Pipeline!H374="","",Pipeline!H374))</f>
        <v/>
      </c>
      <c r="B374" s="77">
        <f>IF(Pipeline!$A374="","",IF(Pipeline!F374="","",Pipeline!F374))</f>
        <v/>
      </c>
      <c r="C374" s="96">
        <f>IF(Pipeline!$A374="","",IF(Pipeline!M374="","",Pipeline!M374))</f>
        <v/>
      </c>
      <c r="D374" s="97">
        <f>IF(Pipeline!$A374="","",IF(Pipeline!Q374="","",Pipeline!Q374))</f>
        <v/>
      </c>
      <c r="E374" s="98">
        <f>IF(Pipeline!$A374="","",IF(Pipeline!T374="","",Pipeline!T374))</f>
        <v/>
      </c>
      <c r="F374" s="77">
        <f>IF(Pipeline!$A374="","",IF(Pipeline!W374="","",Pipeline!W374))</f>
        <v/>
      </c>
      <c r="G374" s="99">
        <f>IF(Pipeline!$A374="","",IF(Pipeline!AH374="","",Pipeline!AH374))</f>
        <v/>
      </c>
      <c r="H374" s="77">
        <f>IF(Pipeline!$A374="","",IF(Pipeline!AI374="","",Pipeline!AI374))</f>
        <v/>
      </c>
      <c r="I374" s="77">
        <f>IF(Pipeline!$A374="","",IF(Pipeline!X374="","",Pipeline!X374))</f>
        <v/>
      </c>
      <c r="J374" s="77">
        <f>IF(Pipeline!$A374="","",IF(Pipeline!AF374="","–",Pipeline!AF374))</f>
        <v/>
      </c>
    </row>
    <row r="375" ht="15" customHeight="1" s="51">
      <c r="A375" s="77">
        <f>IF(Pipeline!$A375="","",IF(Pipeline!H375="","",Pipeline!H375))</f>
        <v/>
      </c>
      <c r="B375" s="77">
        <f>IF(Pipeline!$A375="","",IF(Pipeline!F375="","",Pipeline!F375))</f>
        <v/>
      </c>
      <c r="C375" s="96">
        <f>IF(Pipeline!$A375="","",IF(Pipeline!M375="","",Pipeline!M375))</f>
        <v/>
      </c>
      <c r="D375" s="97">
        <f>IF(Pipeline!$A375="","",IF(Pipeline!Q375="","",Pipeline!Q375))</f>
        <v/>
      </c>
      <c r="E375" s="98">
        <f>IF(Pipeline!$A375="","",IF(Pipeline!T375="","",Pipeline!T375))</f>
        <v/>
      </c>
      <c r="F375" s="77">
        <f>IF(Pipeline!$A375="","",IF(Pipeline!W375="","",Pipeline!W375))</f>
        <v/>
      </c>
      <c r="G375" s="99">
        <f>IF(Pipeline!$A375="","",IF(Pipeline!AH375="","",Pipeline!AH375))</f>
        <v/>
      </c>
      <c r="H375" s="77">
        <f>IF(Pipeline!$A375="","",IF(Pipeline!AI375="","",Pipeline!AI375))</f>
        <v/>
      </c>
      <c r="I375" s="77">
        <f>IF(Pipeline!$A375="","",IF(Pipeline!X375="","",Pipeline!X375))</f>
        <v/>
      </c>
      <c r="J375" s="77">
        <f>IF(Pipeline!$A375="","",IF(Pipeline!AF375="","–",Pipeline!AF375))</f>
        <v/>
      </c>
    </row>
    <row r="376" ht="15" customHeight="1" s="51">
      <c r="A376" s="77">
        <f>IF(Pipeline!$A376="","",IF(Pipeline!H376="","",Pipeline!H376))</f>
        <v/>
      </c>
      <c r="B376" s="77">
        <f>IF(Pipeline!$A376="","",IF(Pipeline!F376="","",Pipeline!F376))</f>
        <v/>
      </c>
      <c r="C376" s="96">
        <f>IF(Pipeline!$A376="","",IF(Pipeline!M376="","",Pipeline!M376))</f>
        <v/>
      </c>
      <c r="D376" s="97">
        <f>IF(Pipeline!$A376="","",IF(Pipeline!Q376="","",Pipeline!Q376))</f>
        <v/>
      </c>
      <c r="E376" s="98">
        <f>IF(Pipeline!$A376="","",IF(Pipeline!T376="","",Pipeline!T376))</f>
        <v/>
      </c>
      <c r="F376" s="77">
        <f>IF(Pipeline!$A376="","",IF(Pipeline!W376="","",Pipeline!W376))</f>
        <v/>
      </c>
      <c r="G376" s="99">
        <f>IF(Pipeline!$A376="","",IF(Pipeline!AH376="","",Pipeline!AH376))</f>
        <v/>
      </c>
      <c r="H376" s="77">
        <f>IF(Pipeline!$A376="","",IF(Pipeline!AI376="","",Pipeline!AI376))</f>
        <v/>
      </c>
      <c r="I376" s="77">
        <f>IF(Pipeline!$A376="","",IF(Pipeline!X376="","",Pipeline!X376))</f>
        <v/>
      </c>
      <c r="J376" s="77">
        <f>IF(Pipeline!$A376="","",IF(Pipeline!AF376="","–",Pipeline!AF376))</f>
        <v/>
      </c>
    </row>
    <row r="377" ht="15" customHeight="1" s="51">
      <c r="A377" s="77">
        <f>IF(Pipeline!$A377="","",IF(Pipeline!H377="","",Pipeline!H377))</f>
        <v/>
      </c>
      <c r="B377" s="77">
        <f>IF(Pipeline!$A377="","",IF(Pipeline!F377="","",Pipeline!F377))</f>
        <v/>
      </c>
      <c r="C377" s="96">
        <f>IF(Pipeline!$A377="","",IF(Pipeline!M377="","",Pipeline!M377))</f>
        <v/>
      </c>
      <c r="D377" s="97">
        <f>IF(Pipeline!$A377="","",IF(Pipeline!Q377="","",Pipeline!Q377))</f>
        <v/>
      </c>
      <c r="E377" s="98">
        <f>IF(Pipeline!$A377="","",IF(Pipeline!T377="","",Pipeline!T377))</f>
        <v/>
      </c>
      <c r="F377" s="77">
        <f>IF(Pipeline!$A377="","",IF(Pipeline!W377="","",Pipeline!W377))</f>
        <v/>
      </c>
      <c r="G377" s="99">
        <f>IF(Pipeline!$A377="","",IF(Pipeline!AH377="","",Pipeline!AH377))</f>
        <v/>
      </c>
      <c r="H377" s="77">
        <f>IF(Pipeline!$A377="","",IF(Pipeline!AI377="","",Pipeline!AI377))</f>
        <v/>
      </c>
      <c r="I377" s="77">
        <f>IF(Pipeline!$A377="","",IF(Pipeline!X377="","",Pipeline!X377))</f>
        <v/>
      </c>
      <c r="J377" s="77">
        <f>IF(Pipeline!$A377="","",IF(Pipeline!AF377="","–",Pipeline!AF377))</f>
        <v/>
      </c>
    </row>
    <row r="378" ht="15" customHeight="1" s="51">
      <c r="A378" s="77">
        <f>IF(Pipeline!$A378="","",IF(Pipeline!H378="","",Pipeline!H378))</f>
        <v/>
      </c>
      <c r="B378" s="77">
        <f>IF(Pipeline!$A378="","",IF(Pipeline!F378="","",Pipeline!F378))</f>
        <v/>
      </c>
      <c r="C378" s="96">
        <f>IF(Pipeline!$A378="","",IF(Pipeline!M378="","",Pipeline!M378))</f>
        <v/>
      </c>
      <c r="D378" s="97">
        <f>IF(Pipeline!$A378="","",IF(Pipeline!Q378="","",Pipeline!Q378))</f>
        <v/>
      </c>
      <c r="E378" s="98">
        <f>IF(Pipeline!$A378="","",IF(Pipeline!T378="","",Pipeline!T378))</f>
        <v/>
      </c>
      <c r="F378" s="77">
        <f>IF(Pipeline!$A378="","",IF(Pipeline!W378="","",Pipeline!W378))</f>
        <v/>
      </c>
      <c r="G378" s="99">
        <f>IF(Pipeline!$A378="","",IF(Pipeline!AH378="","",Pipeline!AH378))</f>
        <v/>
      </c>
      <c r="H378" s="77">
        <f>IF(Pipeline!$A378="","",IF(Pipeline!AI378="","",Pipeline!AI378))</f>
        <v/>
      </c>
      <c r="I378" s="77">
        <f>IF(Pipeline!$A378="","",IF(Pipeline!X378="","",Pipeline!X378))</f>
        <v/>
      </c>
      <c r="J378" s="77">
        <f>IF(Pipeline!$A378="","",IF(Pipeline!AF378="","–",Pipeline!AF378))</f>
        <v/>
      </c>
    </row>
    <row r="379" ht="15" customHeight="1" s="51">
      <c r="A379" s="77">
        <f>IF(Pipeline!$A379="","",IF(Pipeline!H379="","",Pipeline!H379))</f>
        <v/>
      </c>
      <c r="B379" s="77">
        <f>IF(Pipeline!$A379="","",IF(Pipeline!F379="","",Pipeline!F379))</f>
        <v/>
      </c>
      <c r="C379" s="96">
        <f>IF(Pipeline!$A379="","",IF(Pipeline!M379="","",Pipeline!M379))</f>
        <v/>
      </c>
      <c r="D379" s="97">
        <f>IF(Pipeline!$A379="","",IF(Pipeline!Q379="","",Pipeline!Q379))</f>
        <v/>
      </c>
      <c r="E379" s="98">
        <f>IF(Pipeline!$A379="","",IF(Pipeline!T379="","",Pipeline!T379))</f>
        <v/>
      </c>
      <c r="F379" s="77">
        <f>IF(Pipeline!$A379="","",IF(Pipeline!W379="","",Pipeline!W379))</f>
        <v/>
      </c>
      <c r="G379" s="99">
        <f>IF(Pipeline!$A379="","",IF(Pipeline!AH379="","",Pipeline!AH379))</f>
        <v/>
      </c>
      <c r="H379" s="77">
        <f>IF(Pipeline!$A379="","",IF(Pipeline!AI379="","",Pipeline!AI379))</f>
        <v/>
      </c>
      <c r="I379" s="77">
        <f>IF(Pipeline!$A379="","",IF(Pipeline!X379="","",Pipeline!X379))</f>
        <v/>
      </c>
      <c r="J379" s="77">
        <f>IF(Pipeline!$A379="","",IF(Pipeline!AF379="","–",Pipeline!AF379))</f>
        <v/>
      </c>
    </row>
    <row r="380" ht="15" customHeight="1" s="51">
      <c r="A380" s="77">
        <f>IF(Pipeline!$A380="","",IF(Pipeline!H380="","",Pipeline!H380))</f>
        <v/>
      </c>
      <c r="B380" s="77">
        <f>IF(Pipeline!$A380="","",IF(Pipeline!F380="","",Pipeline!F380))</f>
        <v/>
      </c>
      <c r="C380" s="96">
        <f>IF(Pipeline!$A380="","",IF(Pipeline!M380="","",Pipeline!M380))</f>
        <v/>
      </c>
      <c r="D380" s="97">
        <f>IF(Pipeline!$A380="","",IF(Pipeline!Q380="","",Pipeline!Q380))</f>
        <v/>
      </c>
      <c r="E380" s="98">
        <f>IF(Pipeline!$A380="","",IF(Pipeline!T380="","",Pipeline!T380))</f>
        <v/>
      </c>
      <c r="F380" s="77">
        <f>IF(Pipeline!$A380="","",IF(Pipeline!W380="","",Pipeline!W380))</f>
        <v/>
      </c>
      <c r="G380" s="99">
        <f>IF(Pipeline!$A380="","",IF(Pipeline!AH380="","",Pipeline!AH380))</f>
        <v/>
      </c>
      <c r="H380" s="77">
        <f>IF(Pipeline!$A380="","",IF(Pipeline!AI380="","",Pipeline!AI380))</f>
        <v/>
      </c>
      <c r="I380" s="77">
        <f>IF(Pipeline!$A380="","",IF(Pipeline!X380="","",Pipeline!X380))</f>
        <v/>
      </c>
      <c r="J380" s="77">
        <f>IF(Pipeline!$A380="","",IF(Pipeline!AF380="","–",Pipeline!AF380))</f>
        <v/>
      </c>
    </row>
    <row r="381" ht="15" customHeight="1" s="51">
      <c r="A381" s="77">
        <f>IF(Pipeline!$A381="","",IF(Pipeline!H381="","",Pipeline!H381))</f>
        <v/>
      </c>
      <c r="B381" s="77">
        <f>IF(Pipeline!$A381="","",IF(Pipeline!F381="","",Pipeline!F381))</f>
        <v/>
      </c>
      <c r="C381" s="96">
        <f>IF(Pipeline!$A381="","",IF(Pipeline!M381="","",Pipeline!M381))</f>
        <v/>
      </c>
      <c r="D381" s="97">
        <f>IF(Pipeline!$A381="","",IF(Pipeline!Q381="","",Pipeline!Q381))</f>
        <v/>
      </c>
      <c r="E381" s="98">
        <f>IF(Pipeline!$A381="","",IF(Pipeline!T381="","",Pipeline!T381))</f>
        <v/>
      </c>
      <c r="F381" s="77">
        <f>IF(Pipeline!$A381="","",IF(Pipeline!W381="","",Pipeline!W381))</f>
        <v/>
      </c>
      <c r="G381" s="99">
        <f>IF(Pipeline!$A381="","",IF(Pipeline!AH381="","",Pipeline!AH381))</f>
        <v/>
      </c>
      <c r="H381" s="77">
        <f>IF(Pipeline!$A381="","",IF(Pipeline!AI381="","",Pipeline!AI381))</f>
        <v/>
      </c>
      <c r="I381" s="77">
        <f>IF(Pipeline!$A381="","",IF(Pipeline!X381="","",Pipeline!X381))</f>
        <v/>
      </c>
      <c r="J381" s="77">
        <f>IF(Pipeline!$A381="","",IF(Pipeline!AF381="","–",Pipeline!AF381))</f>
        <v/>
      </c>
    </row>
    <row r="382" ht="15" customHeight="1" s="51">
      <c r="A382" s="77">
        <f>IF(Pipeline!$A382="","",IF(Pipeline!H382="","",Pipeline!H382))</f>
        <v/>
      </c>
      <c r="B382" s="77">
        <f>IF(Pipeline!$A382="","",IF(Pipeline!F382="","",Pipeline!F382))</f>
        <v/>
      </c>
      <c r="C382" s="96">
        <f>IF(Pipeline!$A382="","",IF(Pipeline!M382="","",Pipeline!M382))</f>
        <v/>
      </c>
      <c r="D382" s="97">
        <f>IF(Pipeline!$A382="","",IF(Pipeline!Q382="","",Pipeline!Q382))</f>
        <v/>
      </c>
      <c r="E382" s="98">
        <f>IF(Pipeline!$A382="","",IF(Pipeline!T382="","",Pipeline!T382))</f>
        <v/>
      </c>
      <c r="F382" s="77">
        <f>IF(Pipeline!$A382="","",IF(Pipeline!W382="","",Pipeline!W382))</f>
        <v/>
      </c>
      <c r="G382" s="99">
        <f>IF(Pipeline!$A382="","",IF(Pipeline!AH382="","",Pipeline!AH382))</f>
        <v/>
      </c>
      <c r="H382" s="77">
        <f>IF(Pipeline!$A382="","",IF(Pipeline!AI382="","",Pipeline!AI382))</f>
        <v/>
      </c>
      <c r="I382" s="77">
        <f>IF(Pipeline!$A382="","",IF(Pipeline!X382="","",Pipeline!X382))</f>
        <v/>
      </c>
      <c r="J382" s="77">
        <f>IF(Pipeline!$A382="","",IF(Pipeline!AF382="","–",Pipeline!AF382))</f>
        <v/>
      </c>
    </row>
    <row r="383" ht="15" customHeight="1" s="51">
      <c r="A383" s="77">
        <f>IF(Pipeline!$A383="","",IF(Pipeline!H383="","",Pipeline!H383))</f>
        <v/>
      </c>
      <c r="B383" s="77">
        <f>IF(Pipeline!$A383="","",IF(Pipeline!F383="","",Pipeline!F383))</f>
        <v/>
      </c>
      <c r="C383" s="96">
        <f>IF(Pipeline!$A383="","",IF(Pipeline!M383="","",Pipeline!M383))</f>
        <v/>
      </c>
      <c r="D383" s="97">
        <f>IF(Pipeline!$A383="","",IF(Pipeline!Q383="","",Pipeline!Q383))</f>
        <v/>
      </c>
      <c r="E383" s="98">
        <f>IF(Pipeline!$A383="","",IF(Pipeline!T383="","",Pipeline!T383))</f>
        <v/>
      </c>
      <c r="F383" s="77">
        <f>IF(Pipeline!$A383="","",IF(Pipeline!W383="","",Pipeline!W383))</f>
        <v/>
      </c>
      <c r="G383" s="99">
        <f>IF(Pipeline!$A383="","",IF(Pipeline!AH383="","",Pipeline!AH383))</f>
        <v/>
      </c>
      <c r="H383" s="77">
        <f>IF(Pipeline!$A383="","",IF(Pipeline!AI383="","",Pipeline!AI383))</f>
        <v/>
      </c>
      <c r="I383" s="77">
        <f>IF(Pipeline!$A383="","",IF(Pipeline!X383="","",Pipeline!X383))</f>
        <v/>
      </c>
      <c r="J383" s="77">
        <f>IF(Pipeline!$A383="","",IF(Pipeline!AF383="","–",Pipeline!AF383))</f>
        <v/>
      </c>
    </row>
    <row r="384" ht="15" customHeight="1" s="51">
      <c r="A384" s="77">
        <f>IF(Pipeline!$A384="","",IF(Pipeline!H384="","",Pipeline!H384))</f>
        <v/>
      </c>
      <c r="B384" s="77">
        <f>IF(Pipeline!$A384="","",IF(Pipeline!F384="","",Pipeline!F384))</f>
        <v/>
      </c>
      <c r="C384" s="96">
        <f>IF(Pipeline!$A384="","",IF(Pipeline!M384="","",Pipeline!M384))</f>
        <v/>
      </c>
      <c r="D384" s="97">
        <f>IF(Pipeline!$A384="","",IF(Pipeline!Q384="","",Pipeline!Q384))</f>
        <v/>
      </c>
      <c r="E384" s="98">
        <f>IF(Pipeline!$A384="","",IF(Pipeline!T384="","",Pipeline!T384))</f>
        <v/>
      </c>
      <c r="F384" s="77">
        <f>IF(Pipeline!$A384="","",IF(Pipeline!W384="","",Pipeline!W384))</f>
        <v/>
      </c>
      <c r="G384" s="99">
        <f>IF(Pipeline!$A384="","",IF(Pipeline!AH384="","",Pipeline!AH384))</f>
        <v/>
      </c>
      <c r="H384" s="77">
        <f>IF(Pipeline!$A384="","",IF(Pipeline!AI384="","",Pipeline!AI384))</f>
        <v/>
      </c>
      <c r="I384" s="77">
        <f>IF(Pipeline!$A384="","",IF(Pipeline!X384="","",Pipeline!X384))</f>
        <v/>
      </c>
      <c r="J384" s="77">
        <f>IF(Pipeline!$A384="","",IF(Pipeline!AF384="","–",Pipeline!AF384))</f>
        <v/>
      </c>
    </row>
    <row r="385" ht="15" customHeight="1" s="51">
      <c r="A385" s="77">
        <f>IF(Pipeline!$A385="","",IF(Pipeline!H385="","",Pipeline!H385))</f>
        <v/>
      </c>
      <c r="B385" s="77">
        <f>IF(Pipeline!$A385="","",IF(Pipeline!F385="","",Pipeline!F385))</f>
        <v/>
      </c>
      <c r="C385" s="96">
        <f>IF(Pipeline!$A385="","",IF(Pipeline!M385="","",Pipeline!M385))</f>
        <v/>
      </c>
      <c r="D385" s="97">
        <f>IF(Pipeline!$A385="","",IF(Pipeline!Q385="","",Pipeline!Q385))</f>
        <v/>
      </c>
      <c r="E385" s="98">
        <f>IF(Pipeline!$A385="","",IF(Pipeline!T385="","",Pipeline!T385))</f>
        <v/>
      </c>
      <c r="F385" s="77">
        <f>IF(Pipeline!$A385="","",IF(Pipeline!W385="","",Pipeline!W385))</f>
        <v/>
      </c>
      <c r="G385" s="99">
        <f>IF(Pipeline!$A385="","",IF(Pipeline!AH385="","",Pipeline!AH385))</f>
        <v/>
      </c>
      <c r="H385" s="77">
        <f>IF(Pipeline!$A385="","",IF(Pipeline!AI385="","",Pipeline!AI385))</f>
        <v/>
      </c>
      <c r="I385" s="77">
        <f>IF(Pipeline!$A385="","",IF(Pipeline!X385="","",Pipeline!X385))</f>
        <v/>
      </c>
      <c r="J385" s="77">
        <f>IF(Pipeline!$A385="","",IF(Pipeline!AF385="","–",Pipeline!AF385))</f>
        <v/>
      </c>
    </row>
    <row r="386" ht="15" customHeight="1" s="51">
      <c r="A386" s="77">
        <f>IF(Pipeline!$A386="","",IF(Pipeline!H386="","",Pipeline!H386))</f>
        <v/>
      </c>
      <c r="B386" s="77">
        <f>IF(Pipeline!$A386="","",IF(Pipeline!F386="","",Pipeline!F386))</f>
        <v/>
      </c>
      <c r="C386" s="96">
        <f>IF(Pipeline!$A386="","",IF(Pipeline!M386="","",Pipeline!M386))</f>
        <v/>
      </c>
      <c r="D386" s="97">
        <f>IF(Pipeline!$A386="","",IF(Pipeline!Q386="","",Pipeline!Q386))</f>
        <v/>
      </c>
      <c r="E386" s="98">
        <f>IF(Pipeline!$A386="","",IF(Pipeline!T386="","",Pipeline!T386))</f>
        <v/>
      </c>
      <c r="F386" s="77">
        <f>IF(Pipeline!$A386="","",IF(Pipeline!W386="","",Pipeline!W386))</f>
        <v/>
      </c>
      <c r="G386" s="99">
        <f>IF(Pipeline!$A386="","",IF(Pipeline!AH386="","",Pipeline!AH386))</f>
        <v/>
      </c>
      <c r="H386" s="77">
        <f>IF(Pipeline!$A386="","",IF(Pipeline!AI386="","",Pipeline!AI386))</f>
        <v/>
      </c>
      <c r="I386" s="77">
        <f>IF(Pipeline!$A386="","",IF(Pipeline!X386="","",Pipeline!X386))</f>
        <v/>
      </c>
      <c r="J386" s="77">
        <f>IF(Pipeline!$A386="","",IF(Pipeline!AF386="","–",Pipeline!AF386))</f>
        <v/>
      </c>
    </row>
    <row r="387" ht="15" customHeight="1" s="51">
      <c r="A387" s="77">
        <f>IF(Pipeline!$A387="","",IF(Pipeline!H387="","",Pipeline!H387))</f>
        <v/>
      </c>
      <c r="B387" s="77">
        <f>IF(Pipeline!$A387="","",IF(Pipeline!F387="","",Pipeline!F387))</f>
        <v/>
      </c>
      <c r="C387" s="96">
        <f>IF(Pipeline!$A387="","",IF(Pipeline!M387="","",Pipeline!M387))</f>
        <v/>
      </c>
      <c r="D387" s="97">
        <f>IF(Pipeline!$A387="","",IF(Pipeline!Q387="","",Pipeline!Q387))</f>
        <v/>
      </c>
      <c r="E387" s="98">
        <f>IF(Pipeline!$A387="","",IF(Pipeline!T387="","",Pipeline!T387))</f>
        <v/>
      </c>
      <c r="F387" s="77">
        <f>IF(Pipeline!$A387="","",IF(Pipeline!W387="","",Pipeline!W387))</f>
        <v/>
      </c>
      <c r="G387" s="99">
        <f>IF(Pipeline!$A387="","",IF(Pipeline!AH387="","",Pipeline!AH387))</f>
        <v/>
      </c>
      <c r="H387" s="77">
        <f>IF(Pipeline!$A387="","",IF(Pipeline!AI387="","",Pipeline!AI387))</f>
        <v/>
      </c>
      <c r="I387" s="77">
        <f>IF(Pipeline!$A387="","",IF(Pipeline!X387="","",Pipeline!X387))</f>
        <v/>
      </c>
      <c r="J387" s="77">
        <f>IF(Pipeline!$A387="","",IF(Pipeline!AF387="","–",Pipeline!AF387))</f>
        <v/>
      </c>
    </row>
    <row r="388" ht="15" customHeight="1" s="51">
      <c r="A388" s="77">
        <f>IF(Pipeline!$A388="","",IF(Pipeline!H388="","",Pipeline!H388))</f>
        <v/>
      </c>
      <c r="B388" s="77">
        <f>IF(Pipeline!$A388="","",IF(Pipeline!F388="","",Pipeline!F388))</f>
        <v/>
      </c>
      <c r="C388" s="96">
        <f>IF(Pipeline!$A388="","",IF(Pipeline!M388="","",Pipeline!M388))</f>
        <v/>
      </c>
      <c r="D388" s="97">
        <f>IF(Pipeline!$A388="","",IF(Pipeline!Q388="","",Pipeline!Q388))</f>
        <v/>
      </c>
      <c r="E388" s="98">
        <f>IF(Pipeline!$A388="","",IF(Pipeline!T388="","",Pipeline!T388))</f>
        <v/>
      </c>
      <c r="F388" s="77">
        <f>IF(Pipeline!$A388="","",IF(Pipeline!W388="","",Pipeline!W388))</f>
        <v/>
      </c>
      <c r="G388" s="99">
        <f>IF(Pipeline!$A388="","",IF(Pipeline!AH388="","",Pipeline!AH388))</f>
        <v/>
      </c>
      <c r="H388" s="77">
        <f>IF(Pipeline!$A388="","",IF(Pipeline!AI388="","",Pipeline!AI388))</f>
        <v/>
      </c>
      <c r="I388" s="77">
        <f>IF(Pipeline!$A388="","",IF(Pipeline!X388="","",Pipeline!X388))</f>
        <v/>
      </c>
      <c r="J388" s="77">
        <f>IF(Pipeline!$A388="","",IF(Pipeline!AF388="","–",Pipeline!AF388))</f>
        <v/>
      </c>
    </row>
    <row r="389" ht="15" customHeight="1" s="51">
      <c r="A389" s="77">
        <f>IF(Pipeline!$A389="","",IF(Pipeline!H389="","",Pipeline!H389))</f>
        <v/>
      </c>
      <c r="B389" s="77">
        <f>IF(Pipeline!$A389="","",IF(Pipeline!F389="","",Pipeline!F389))</f>
        <v/>
      </c>
      <c r="C389" s="96">
        <f>IF(Pipeline!$A389="","",IF(Pipeline!M389="","",Pipeline!M389))</f>
        <v/>
      </c>
      <c r="D389" s="97">
        <f>IF(Pipeline!$A389="","",IF(Pipeline!Q389="","",Pipeline!Q389))</f>
        <v/>
      </c>
      <c r="E389" s="98">
        <f>IF(Pipeline!$A389="","",IF(Pipeline!T389="","",Pipeline!T389))</f>
        <v/>
      </c>
      <c r="F389" s="77">
        <f>IF(Pipeline!$A389="","",IF(Pipeline!W389="","",Pipeline!W389))</f>
        <v/>
      </c>
      <c r="G389" s="99">
        <f>IF(Pipeline!$A389="","",IF(Pipeline!AH389="","",Pipeline!AH389))</f>
        <v/>
      </c>
      <c r="H389" s="77">
        <f>IF(Pipeline!$A389="","",IF(Pipeline!AI389="","",Pipeline!AI389))</f>
        <v/>
      </c>
      <c r="I389" s="77">
        <f>IF(Pipeline!$A389="","",IF(Pipeline!X389="","",Pipeline!X389))</f>
        <v/>
      </c>
      <c r="J389" s="77">
        <f>IF(Pipeline!$A389="","",IF(Pipeline!AF389="","–",Pipeline!AF389))</f>
        <v/>
      </c>
    </row>
    <row r="390" ht="15" customHeight="1" s="51">
      <c r="A390" s="77">
        <f>IF(Pipeline!$A390="","",IF(Pipeline!H390="","",Pipeline!H390))</f>
        <v/>
      </c>
      <c r="B390" s="77">
        <f>IF(Pipeline!$A390="","",IF(Pipeline!F390="","",Pipeline!F390))</f>
        <v/>
      </c>
      <c r="C390" s="96">
        <f>IF(Pipeline!$A390="","",IF(Pipeline!M390="","",Pipeline!M390))</f>
        <v/>
      </c>
      <c r="D390" s="97">
        <f>IF(Pipeline!$A390="","",IF(Pipeline!Q390="","",Pipeline!Q390))</f>
        <v/>
      </c>
      <c r="E390" s="98">
        <f>IF(Pipeline!$A390="","",IF(Pipeline!T390="","",Pipeline!T390))</f>
        <v/>
      </c>
      <c r="F390" s="77">
        <f>IF(Pipeline!$A390="","",IF(Pipeline!W390="","",Pipeline!W390))</f>
        <v/>
      </c>
      <c r="G390" s="99">
        <f>IF(Pipeline!$A390="","",IF(Pipeline!AH390="","",Pipeline!AH390))</f>
        <v/>
      </c>
      <c r="H390" s="77">
        <f>IF(Pipeline!$A390="","",IF(Pipeline!AI390="","",Pipeline!AI390))</f>
        <v/>
      </c>
      <c r="I390" s="77">
        <f>IF(Pipeline!$A390="","",IF(Pipeline!X390="","",Pipeline!X390))</f>
        <v/>
      </c>
      <c r="J390" s="77">
        <f>IF(Pipeline!$A390="","",IF(Pipeline!AF390="","–",Pipeline!AF390))</f>
        <v/>
      </c>
    </row>
    <row r="391" ht="15" customHeight="1" s="51">
      <c r="A391" s="77">
        <f>IF(Pipeline!$A391="","",IF(Pipeline!H391="","",Pipeline!H391))</f>
        <v/>
      </c>
      <c r="B391" s="77">
        <f>IF(Pipeline!$A391="","",IF(Pipeline!F391="","",Pipeline!F391))</f>
        <v/>
      </c>
      <c r="C391" s="96">
        <f>IF(Pipeline!$A391="","",IF(Pipeline!M391="","",Pipeline!M391))</f>
        <v/>
      </c>
      <c r="D391" s="97">
        <f>IF(Pipeline!$A391="","",IF(Pipeline!Q391="","",Pipeline!Q391))</f>
        <v/>
      </c>
      <c r="E391" s="98">
        <f>IF(Pipeline!$A391="","",IF(Pipeline!T391="","",Pipeline!T391))</f>
        <v/>
      </c>
      <c r="F391" s="77">
        <f>IF(Pipeline!$A391="","",IF(Pipeline!W391="","",Pipeline!W391))</f>
        <v/>
      </c>
      <c r="G391" s="99">
        <f>IF(Pipeline!$A391="","",IF(Pipeline!AH391="","",Pipeline!AH391))</f>
        <v/>
      </c>
      <c r="H391" s="77">
        <f>IF(Pipeline!$A391="","",IF(Pipeline!AI391="","",Pipeline!AI391))</f>
        <v/>
      </c>
      <c r="I391" s="77">
        <f>IF(Pipeline!$A391="","",IF(Pipeline!X391="","",Pipeline!X391))</f>
        <v/>
      </c>
      <c r="J391" s="77">
        <f>IF(Pipeline!$A391="","",IF(Pipeline!AF391="","–",Pipeline!AF391))</f>
        <v/>
      </c>
    </row>
    <row r="392" ht="15" customHeight="1" s="51">
      <c r="A392" s="77">
        <f>IF(Pipeline!$A392="","",IF(Pipeline!H392="","",Pipeline!H392))</f>
        <v/>
      </c>
      <c r="B392" s="77">
        <f>IF(Pipeline!$A392="","",IF(Pipeline!F392="","",Pipeline!F392))</f>
        <v/>
      </c>
      <c r="C392" s="96">
        <f>IF(Pipeline!$A392="","",IF(Pipeline!M392="","",Pipeline!M392))</f>
        <v/>
      </c>
      <c r="D392" s="97">
        <f>IF(Pipeline!$A392="","",IF(Pipeline!Q392="","",Pipeline!Q392))</f>
        <v/>
      </c>
      <c r="E392" s="98">
        <f>IF(Pipeline!$A392="","",IF(Pipeline!T392="","",Pipeline!T392))</f>
        <v/>
      </c>
      <c r="F392" s="77">
        <f>IF(Pipeline!$A392="","",IF(Pipeline!W392="","",Pipeline!W392))</f>
        <v/>
      </c>
      <c r="G392" s="99">
        <f>IF(Pipeline!$A392="","",IF(Pipeline!AH392="","",Pipeline!AH392))</f>
        <v/>
      </c>
      <c r="H392" s="77">
        <f>IF(Pipeline!$A392="","",IF(Pipeline!AI392="","",Pipeline!AI392))</f>
        <v/>
      </c>
      <c r="I392" s="77">
        <f>IF(Pipeline!$A392="","",IF(Pipeline!X392="","",Pipeline!X392))</f>
        <v/>
      </c>
      <c r="J392" s="77">
        <f>IF(Pipeline!$A392="","",IF(Pipeline!AF392="","–",Pipeline!AF392))</f>
        <v/>
      </c>
    </row>
    <row r="393" ht="15" customHeight="1" s="51">
      <c r="A393" s="77">
        <f>IF(Pipeline!$A393="","",IF(Pipeline!H393="","",Pipeline!H393))</f>
        <v/>
      </c>
      <c r="B393" s="77">
        <f>IF(Pipeline!$A393="","",IF(Pipeline!F393="","",Pipeline!F393))</f>
        <v/>
      </c>
      <c r="C393" s="96">
        <f>IF(Pipeline!$A393="","",IF(Pipeline!M393="","",Pipeline!M393))</f>
        <v/>
      </c>
      <c r="D393" s="97">
        <f>IF(Pipeline!$A393="","",IF(Pipeline!Q393="","",Pipeline!Q393))</f>
        <v/>
      </c>
      <c r="E393" s="98">
        <f>IF(Pipeline!$A393="","",IF(Pipeline!T393="","",Pipeline!T393))</f>
        <v/>
      </c>
      <c r="F393" s="77">
        <f>IF(Pipeline!$A393="","",IF(Pipeline!W393="","",Pipeline!W393))</f>
        <v/>
      </c>
      <c r="G393" s="99">
        <f>IF(Pipeline!$A393="","",IF(Pipeline!AH393="","",Pipeline!AH393))</f>
        <v/>
      </c>
      <c r="H393" s="77">
        <f>IF(Pipeline!$A393="","",IF(Pipeline!AI393="","",Pipeline!AI393))</f>
        <v/>
      </c>
      <c r="I393" s="77">
        <f>IF(Pipeline!$A393="","",IF(Pipeline!X393="","",Pipeline!X393))</f>
        <v/>
      </c>
      <c r="J393" s="77">
        <f>IF(Pipeline!$A393="","",IF(Pipeline!AF393="","–",Pipeline!AF393))</f>
        <v/>
      </c>
    </row>
    <row r="394" ht="15" customHeight="1" s="51">
      <c r="A394" s="77">
        <f>IF(Pipeline!$A394="","",IF(Pipeline!H394="","",Pipeline!H394))</f>
        <v/>
      </c>
      <c r="B394" s="77">
        <f>IF(Pipeline!$A394="","",IF(Pipeline!F394="","",Pipeline!F394))</f>
        <v/>
      </c>
      <c r="C394" s="96">
        <f>IF(Pipeline!$A394="","",IF(Pipeline!M394="","",Pipeline!M394))</f>
        <v/>
      </c>
      <c r="D394" s="97">
        <f>IF(Pipeline!$A394="","",IF(Pipeline!Q394="","",Pipeline!Q394))</f>
        <v/>
      </c>
      <c r="E394" s="98">
        <f>IF(Pipeline!$A394="","",IF(Pipeline!T394="","",Pipeline!T394))</f>
        <v/>
      </c>
      <c r="F394" s="77">
        <f>IF(Pipeline!$A394="","",IF(Pipeline!W394="","",Pipeline!W394))</f>
        <v/>
      </c>
      <c r="G394" s="99">
        <f>IF(Pipeline!$A394="","",IF(Pipeline!AH394="","",Pipeline!AH394))</f>
        <v/>
      </c>
      <c r="H394" s="77">
        <f>IF(Pipeline!$A394="","",IF(Pipeline!AI394="","",Pipeline!AI394))</f>
        <v/>
      </c>
      <c r="I394" s="77">
        <f>IF(Pipeline!$A394="","",IF(Pipeline!X394="","",Pipeline!X394))</f>
        <v/>
      </c>
      <c r="J394" s="77">
        <f>IF(Pipeline!$A394="","",IF(Pipeline!AF394="","–",Pipeline!AF394))</f>
        <v/>
      </c>
    </row>
    <row r="395" ht="15" customHeight="1" s="51">
      <c r="A395" s="77">
        <f>IF(Pipeline!$A395="","",IF(Pipeline!H395="","",Pipeline!H395))</f>
        <v/>
      </c>
      <c r="B395" s="77">
        <f>IF(Pipeline!$A395="","",IF(Pipeline!F395="","",Pipeline!F395))</f>
        <v/>
      </c>
      <c r="C395" s="96">
        <f>IF(Pipeline!$A395="","",IF(Pipeline!M395="","",Pipeline!M395))</f>
        <v/>
      </c>
      <c r="D395" s="97">
        <f>IF(Pipeline!$A395="","",IF(Pipeline!Q395="","",Pipeline!Q395))</f>
        <v/>
      </c>
      <c r="E395" s="98">
        <f>IF(Pipeline!$A395="","",IF(Pipeline!T395="","",Pipeline!T395))</f>
        <v/>
      </c>
      <c r="F395" s="77">
        <f>IF(Pipeline!$A395="","",IF(Pipeline!W395="","",Pipeline!W395))</f>
        <v/>
      </c>
      <c r="G395" s="99">
        <f>IF(Pipeline!$A395="","",IF(Pipeline!AH395="","",Pipeline!AH395))</f>
        <v/>
      </c>
      <c r="H395" s="77">
        <f>IF(Pipeline!$A395="","",IF(Pipeline!AI395="","",Pipeline!AI395))</f>
        <v/>
      </c>
      <c r="I395" s="77">
        <f>IF(Pipeline!$A395="","",IF(Pipeline!X395="","",Pipeline!X395))</f>
        <v/>
      </c>
      <c r="J395" s="77">
        <f>IF(Pipeline!$A395="","",IF(Pipeline!AF395="","–",Pipeline!AF395))</f>
        <v/>
      </c>
    </row>
    <row r="396" ht="15" customHeight="1" s="51">
      <c r="A396" s="77">
        <f>IF(Pipeline!$A396="","",IF(Pipeline!H396="","",Pipeline!H396))</f>
        <v/>
      </c>
      <c r="B396" s="77">
        <f>IF(Pipeline!$A396="","",IF(Pipeline!F396="","",Pipeline!F396))</f>
        <v/>
      </c>
      <c r="C396" s="96">
        <f>IF(Pipeline!$A396="","",IF(Pipeline!M396="","",Pipeline!M396))</f>
        <v/>
      </c>
      <c r="D396" s="97">
        <f>IF(Pipeline!$A396="","",IF(Pipeline!Q396="","",Pipeline!Q396))</f>
        <v/>
      </c>
      <c r="E396" s="98">
        <f>IF(Pipeline!$A396="","",IF(Pipeline!T396="","",Pipeline!T396))</f>
        <v/>
      </c>
      <c r="F396" s="77">
        <f>IF(Pipeline!$A396="","",IF(Pipeline!W396="","",Pipeline!W396))</f>
        <v/>
      </c>
      <c r="G396" s="99">
        <f>IF(Pipeline!$A396="","",IF(Pipeline!AH396="","",Pipeline!AH396))</f>
        <v/>
      </c>
      <c r="H396" s="77">
        <f>IF(Pipeline!$A396="","",IF(Pipeline!AI396="","",Pipeline!AI396))</f>
        <v/>
      </c>
      <c r="I396" s="77">
        <f>IF(Pipeline!$A396="","",IF(Pipeline!X396="","",Pipeline!X396))</f>
        <v/>
      </c>
      <c r="J396" s="77">
        <f>IF(Pipeline!$A396="","",IF(Pipeline!AF396="","–",Pipeline!AF396))</f>
        <v/>
      </c>
    </row>
    <row r="397" ht="15" customHeight="1" s="51">
      <c r="A397" s="77">
        <f>IF(Pipeline!$A397="","",IF(Pipeline!H397="","",Pipeline!H397))</f>
        <v/>
      </c>
      <c r="B397" s="77">
        <f>IF(Pipeline!$A397="","",IF(Pipeline!F397="","",Pipeline!F397))</f>
        <v/>
      </c>
      <c r="C397" s="96">
        <f>IF(Pipeline!$A397="","",IF(Pipeline!M397="","",Pipeline!M397))</f>
        <v/>
      </c>
      <c r="D397" s="97">
        <f>IF(Pipeline!$A397="","",IF(Pipeline!Q397="","",Pipeline!Q397))</f>
        <v/>
      </c>
      <c r="E397" s="98">
        <f>IF(Pipeline!$A397="","",IF(Pipeline!T397="","",Pipeline!T397))</f>
        <v/>
      </c>
      <c r="F397" s="77">
        <f>IF(Pipeline!$A397="","",IF(Pipeline!W397="","",Pipeline!W397))</f>
        <v/>
      </c>
      <c r="G397" s="99">
        <f>IF(Pipeline!$A397="","",IF(Pipeline!AH397="","",Pipeline!AH397))</f>
        <v/>
      </c>
      <c r="H397" s="77">
        <f>IF(Pipeline!$A397="","",IF(Pipeline!AI397="","",Pipeline!AI397))</f>
        <v/>
      </c>
      <c r="I397" s="77">
        <f>IF(Pipeline!$A397="","",IF(Pipeline!X397="","",Pipeline!X397))</f>
        <v/>
      </c>
      <c r="J397" s="77">
        <f>IF(Pipeline!$A397="","",IF(Pipeline!AF397="","–",Pipeline!AF397))</f>
        <v/>
      </c>
    </row>
    <row r="398" ht="15" customHeight="1" s="51">
      <c r="A398" s="77">
        <f>IF(Pipeline!$A398="","",IF(Pipeline!H398="","",Pipeline!H398))</f>
        <v/>
      </c>
      <c r="B398" s="77">
        <f>IF(Pipeline!$A398="","",IF(Pipeline!F398="","",Pipeline!F398))</f>
        <v/>
      </c>
      <c r="C398" s="96">
        <f>IF(Pipeline!$A398="","",IF(Pipeline!M398="","",Pipeline!M398))</f>
        <v/>
      </c>
      <c r="D398" s="97">
        <f>IF(Pipeline!$A398="","",IF(Pipeline!Q398="","",Pipeline!Q398))</f>
        <v/>
      </c>
      <c r="E398" s="98">
        <f>IF(Pipeline!$A398="","",IF(Pipeline!T398="","",Pipeline!T398))</f>
        <v/>
      </c>
      <c r="F398" s="77">
        <f>IF(Pipeline!$A398="","",IF(Pipeline!W398="","",Pipeline!W398))</f>
        <v/>
      </c>
      <c r="G398" s="99">
        <f>IF(Pipeline!$A398="","",IF(Pipeline!AH398="","",Pipeline!AH398))</f>
        <v/>
      </c>
      <c r="H398" s="77">
        <f>IF(Pipeline!$A398="","",IF(Pipeline!AI398="","",Pipeline!AI398))</f>
        <v/>
      </c>
      <c r="I398" s="77">
        <f>IF(Pipeline!$A398="","",IF(Pipeline!X398="","",Pipeline!X398))</f>
        <v/>
      </c>
      <c r="J398" s="77">
        <f>IF(Pipeline!$A398="","",IF(Pipeline!AF398="","–",Pipeline!AF398))</f>
        <v/>
      </c>
    </row>
    <row r="399" ht="15" customHeight="1" s="51">
      <c r="A399" s="77">
        <f>IF(Pipeline!$A399="","",IF(Pipeline!H399="","",Pipeline!H399))</f>
        <v/>
      </c>
      <c r="B399" s="77">
        <f>IF(Pipeline!$A399="","",IF(Pipeline!F399="","",Pipeline!F399))</f>
        <v/>
      </c>
      <c r="C399" s="96">
        <f>IF(Pipeline!$A399="","",IF(Pipeline!M399="","",Pipeline!M399))</f>
        <v/>
      </c>
      <c r="D399" s="97">
        <f>IF(Pipeline!$A399="","",IF(Pipeline!Q399="","",Pipeline!Q399))</f>
        <v/>
      </c>
      <c r="E399" s="98">
        <f>IF(Pipeline!$A399="","",IF(Pipeline!T399="","",Pipeline!T399))</f>
        <v/>
      </c>
      <c r="F399" s="77">
        <f>IF(Pipeline!$A399="","",IF(Pipeline!W399="","",Pipeline!W399))</f>
        <v/>
      </c>
      <c r="G399" s="99">
        <f>IF(Pipeline!$A399="","",IF(Pipeline!AH399="","",Pipeline!AH399))</f>
        <v/>
      </c>
      <c r="H399" s="77">
        <f>IF(Pipeline!$A399="","",IF(Pipeline!AI399="","",Pipeline!AI399))</f>
        <v/>
      </c>
      <c r="I399" s="77">
        <f>IF(Pipeline!$A399="","",IF(Pipeline!X399="","",Pipeline!X399))</f>
        <v/>
      </c>
      <c r="J399" s="77">
        <f>IF(Pipeline!$A399="","",IF(Pipeline!AF399="","–",Pipeline!AF399))</f>
        <v/>
      </c>
    </row>
    <row r="400" ht="15" customHeight="1" s="51">
      <c r="A400" s="77">
        <f>IF(Pipeline!$A400="","",IF(Pipeline!H400="","",Pipeline!H400))</f>
        <v/>
      </c>
      <c r="B400" s="77">
        <f>IF(Pipeline!$A400="","",IF(Pipeline!F400="","",Pipeline!F400))</f>
        <v/>
      </c>
      <c r="C400" s="96">
        <f>IF(Pipeline!$A400="","",IF(Pipeline!M400="","",Pipeline!M400))</f>
        <v/>
      </c>
      <c r="D400" s="97">
        <f>IF(Pipeline!$A400="","",IF(Pipeline!Q400="","",Pipeline!Q400))</f>
        <v/>
      </c>
      <c r="E400" s="98">
        <f>IF(Pipeline!$A400="","",IF(Pipeline!T400="","",Pipeline!T400))</f>
        <v/>
      </c>
      <c r="F400" s="77">
        <f>IF(Pipeline!$A400="","",IF(Pipeline!W400="","",Pipeline!W400))</f>
        <v/>
      </c>
      <c r="G400" s="99">
        <f>IF(Pipeline!$A400="","",IF(Pipeline!AH400="","",Pipeline!AH400))</f>
        <v/>
      </c>
      <c r="H400" s="77">
        <f>IF(Pipeline!$A400="","",IF(Pipeline!AI400="","",Pipeline!AI400))</f>
        <v/>
      </c>
      <c r="I400" s="77">
        <f>IF(Pipeline!$A400="","",IF(Pipeline!X400="","",Pipeline!X400))</f>
        <v/>
      </c>
      <c r="J400" s="77">
        <f>IF(Pipeline!$A400="","",IF(Pipeline!AF400="","–",Pipeline!AF400))</f>
        <v/>
      </c>
    </row>
    <row r="401" ht="15" customHeight="1" s="51">
      <c r="A401" s="77">
        <f>IF(Pipeline!$A401="","",IF(Pipeline!H401="","",Pipeline!H401))</f>
        <v/>
      </c>
      <c r="B401" s="77">
        <f>IF(Pipeline!$A401="","",IF(Pipeline!F401="","",Pipeline!F401))</f>
        <v/>
      </c>
      <c r="C401" s="96">
        <f>IF(Pipeline!$A401="","",IF(Pipeline!M401="","",Pipeline!M401))</f>
        <v/>
      </c>
      <c r="D401" s="97">
        <f>IF(Pipeline!$A401="","",IF(Pipeline!Q401="","",Pipeline!Q401))</f>
        <v/>
      </c>
      <c r="E401" s="98">
        <f>IF(Pipeline!$A401="","",IF(Pipeline!T401="","",Pipeline!T401))</f>
        <v/>
      </c>
      <c r="F401" s="77">
        <f>IF(Pipeline!$A401="","",IF(Pipeline!W401="","",Pipeline!W401))</f>
        <v/>
      </c>
      <c r="G401" s="99">
        <f>IF(Pipeline!$A401="","",IF(Pipeline!AH401="","",Pipeline!AH401))</f>
        <v/>
      </c>
      <c r="H401" s="77">
        <f>IF(Pipeline!$A401="","",IF(Pipeline!AI401="","",Pipeline!AI401))</f>
        <v/>
      </c>
      <c r="I401" s="77">
        <f>IF(Pipeline!$A401="","",IF(Pipeline!X401="","",Pipeline!X401))</f>
        <v/>
      </c>
      <c r="J401" s="77">
        <f>IF(Pipeline!$A401="","",IF(Pipeline!AF401="","–",Pipeline!AF401))</f>
        <v/>
      </c>
    </row>
    <row r="402" ht="15" customHeight="1" s="51">
      <c r="A402" s="77">
        <f>IF(Pipeline!$A402="","",IF(Pipeline!H402="","",Pipeline!H402))</f>
        <v/>
      </c>
      <c r="B402" s="77">
        <f>IF(Pipeline!$A402="","",IF(Pipeline!F402="","",Pipeline!F402))</f>
        <v/>
      </c>
      <c r="C402" s="96">
        <f>IF(Pipeline!$A402="","",IF(Pipeline!M402="","",Pipeline!M402))</f>
        <v/>
      </c>
      <c r="D402" s="97">
        <f>IF(Pipeline!$A402="","",IF(Pipeline!Q402="","",Pipeline!Q402))</f>
        <v/>
      </c>
      <c r="E402" s="98">
        <f>IF(Pipeline!$A402="","",IF(Pipeline!T402="","",Pipeline!T402))</f>
        <v/>
      </c>
      <c r="F402" s="77">
        <f>IF(Pipeline!$A402="","",IF(Pipeline!W402="","",Pipeline!W402))</f>
        <v/>
      </c>
      <c r="G402" s="99">
        <f>IF(Pipeline!$A402="","",IF(Pipeline!AH402="","",Pipeline!AH402))</f>
        <v/>
      </c>
      <c r="H402" s="77">
        <f>IF(Pipeline!$A402="","",IF(Pipeline!AI402="","",Pipeline!AI402))</f>
        <v/>
      </c>
      <c r="I402" s="77">
        <f>IF(Pipeline!$A402="","",IF(Pipeline!X402="","",Pipeline!X402))</f>
        <v/>
      </c>
      <c r="J402" s="77">
        <f>IF(Pipeline!$A402="","",IF(Pipeline!AF402="","–",Pipeline!AF402))</f>
        <v/>
      </c>
    </row>
    <row r="403" ht="15" customHeight="1" s="51">
      <c r="A403" s="77">
        <f>IF(Pipeline!$A403="","",IF(Pipeline!H403="","",Pipeline!H403))</f>
        <v/>
      </c>
      <c r="B403" s="77">
        <f>IF(Pipeline!$A403="","",IF(Pipeline!F403="","",Pipeline!F403))</f>
        <v/>
      </c>
      <c r="C403" s="96">
        <f>IF(Pipeline!$A403="","",IF(Pipeline!M403="","",Pipeline!M403))</f>
        <v/>
      </c>
      <c r="D403" s="97">
        <f>IF(Pipeline!$A403="","",IF(Pipeline!Q403="","",Pipeline!Q403))</f>
        <v/>
      </c>
      <c r="E403" s="98">
        <f>IF(Pipeline!$A403="","",IF(Pipeline!T403="","",Pipeline!T403))</f>
        <v/>
      </c>
      <c r="F403" s="77">
        <f>IF(Pipeline!$A403="","",IF(Pipeline!W403="","",Pipeline!W403))</f>
        <v/>
      </c>
      <c r="G403" s="99">
        <f>IF(Pipeline!$A403="","",IF(Pipeline!AH403="","",Pipeline!AH403))</f>
        <v/>
      </c>
      <c r="H403" s="77">
        <f>IF(Pipeline!$A403="","",IF(Pipeline!AI403="","",Pipeline!AI403))</f>
        <v/>
      </c>
      <c r="I403" s="77">
        <f>IF(Pipeline!$A403="","",IF(Pipeline!X403="","",Pipeline!X403))</f>
        <v/>
      </c>
      <c r="J403" s="77">
        <f>IF(Pipeline!$A403="","",IF(Pipeline!AF403="","–",Pipeline!AF403))</f>
        <v/>
      </c>
    </row>
    <row r="404" ht="15" customHeight="1" s="51">
      <c r="A404" s="77">
        <f>IF(Pipeline!$A404="","",IF(Pipeline!H404="","",Pipeline!H404))</f>
        <v/>
      </c>
      <c r="B404" s="77">
        <f>IF(Pipeline!$A404="","",IF(Pipeline!F404="","",Pipeline!F404))</f>
        <v/>
      </c>
      <c r="C404" s="96">
        <f>IF(Pipeline!$A404="","",IF(Pipeline!M404="","",Pipeline!M404))</f>
        <v/>
      </c>
      <c r="D404" s="97">
        <f>IF(Pipeline!$A404="","",IF(Pipeline!Q404="","",Pipeline!Q404))</f>
        <v/>
      </c>
      <c r="E404" s="98">
        <f>IF(Pipeline!$A404="","",IF(Pipeline!T404="","",Pipeline!T404))</f>
        <v/>
      </c>
      <c r="F404" s="77">
        <f>IF(Pipeline!$A404="","",IF(Pipeline!W404="","",Pipeline!W404))</f>
        <v/>
      </c>
      <c r="G404" s="99">
        <f>IF(Pipeline!$A404="","",IF(Pipeline!AH404="","",Pipeline!AH404))</f>
        <v/>
      </c>
      <c r="H404" s="77">
        <f>IF(Pipeline!$A404="","",IF(Pipeline!AI404="","",Pipeline!AI404))</f>
        <v/>
      </c>
      <c r="I404" s="77">
        <f>IF(Pipeline!$A404="","",IF(Pipeline!X404="","",Pipeline!X404))</f>
        <v/>
      </c>
      <c r="J404" s="77">
        <f>IF(Pipeline!$A404="","",IF(Pipeline!AF404="","–",Pipeline!AF404))</f>
        <v/>
      </c>
    </row>
    <row r="405" ht="15" customHeight="1" s="51">
      <c r="A405" s="77">
        <f>IF(Pipeline!$A405="","",IF(Pipeline!H405="","",Pipeline!H405))</f>
        <v/>
      </c>
      <c r="B405" s="77">
        <f>IF(Pipeline!$A405="","",IF(Pipeline!F405="","",Pipeline!F405))</f>
        <v/>
      </c>
      <c r="C405" s="96">
        <f>IF(Pipeline!$A405="","",IF(Pipeline!M405="","",Pipeline!M405))</f>
        <v/>
      </c>
      <c r="D405" s="97">
        <f>IF(Pipeline!$A405="","",IF(Pipeline!Q405="","",Pipeline!Q405))</f>
        <v/>
      </c>
      <c r="E405" s="98">
        <f>IF(Pipeline!$A405="","",IF(Pipeline!T405="","",Pipeline!T405))</f>
        <v/>
      </c>
      <c r="F405" s="77">
        <f>IF(Pipeline!$A405="","",IF(Pipeline!W405="","",Pipeline!W405))</f>
        <v/>
      </c>
      <c r="G405" s="99">
        <f>IF(Pipeline!$A405="","",IF(Pipeline!AH405="","",Pipeline!AH405))</f>
        <v/>
      </c>
      <c r="H405" s="77">
        <f>IF(Pipeline!$A405="","",IF(Pipeline!AI405="","",Pipeline!AI405))</f>
        <v/>
      </c>
      <c r="I405" s="77">
        <f>IF(Pipeline!$A405="","",IF(Pipeline!X405="","",Pipeline!X405))</f>
        <v/>
      </c>
      <c r="J405" s="77">
        <f>IF(Pipeline!$A405="","",IF(Pipeline!AF405="","–",Pipeline!AF405))</f>
        <v/>
      </c>
    </row>
    <row r="406" ht="15" customHeight="1" s="51">
      <c r="A406" s="77">
        <f>IF(Pipeline!$A406="","",IF(Pipeline!H406="","",Pipeline!H406))</f>
        <v/>
      </c>
      <c r="B406" s="77">
        <f>IF(Pipeline!$A406="","",IF(Pipeline!F406="","",Pipeline!F406))</f>
        <v/>
      </c>
      <c r="C406" s="96">
        <f>IF(Pipeline!$A406="","",IF(Pipeline!M406="","",Pipeline!M406))</f>
        <v/>
      </c>
      <c r="D406" s="97">
        <f>IF(Pipeline!$A406="","",IF(Pipeline!Q406="","",Pipeline!Q406))</f>
        <v/>
      </c>
      <c r="E406" s="98">
        <f>IF(Pipeline!$A406="","",IF(Pipeline!T406="","",Pipeline!T406))</f>
        <v/>
      </c>
      <c r="F406" s="77">
        <f>IF(Pipeline!$A406="","",IF(Pipeline!W406="","",Pipeline!W406))</f>
        <v/>
      </c>
      <c r="G406" s="99">
        <f>IF(Pipeline!$A406="","",IF(Pipeline!AH406="","",Pipeline!AH406))</f>
        <v/>
      </c>
      <c r="H406" s="77">
        <f>IF(Pipeline!$A406="","",IF(Pipeline!AI406="","",Pipeline!AI406))</f>
        <v/>
      </c>
      <c r="I406" s="77">
        <f>IF(Pipeline!$A406="","",IF(Pipeline!X406="","",Pipeline!X406))</f>
        <v/>
      </c>
      <c r="J406" s="77">
        <f>IF(Pipeline!$A406="","",IF(Pipeline!AF406="","–",Pipeline!AF406))</f>
        <v/>
      </c>
    </row>
    <row r="407" ht="15" customHeight="1" s="51">
      <c r="A407" s="77">
        <f>IF(Pipeline!$A407="","",IF(Pipeline!H407="","",Pipeline!H407))</f>
        <v/>
      </c>
      <c r="B407" s="77">
        <f>IF(Pipeline!$A407="","",IF(Pipeline!F407="","",Pipeline!F407))</f>
        <v/>
      </c>
      <c r="C407" s="96">
        <f>IF(Pipeline!$A407="","",IF(Pipeline!M407="","",Pipeline!M407))</f>
        <v/>
      </c>
      <c r="D407" s="97">
        <f>IF(Pipeline!$A407="","",IF(Pipeline!Q407="","",Pipeline!Q407))</f>
        <v/>
      </c>
      <c r="E407" s="98">
        <f>IF(Pipeline!$A407="","",IF(Pipeline!T407="","",Pipeline!T407))</f>
        <v/>
      </c>
      <c r="F407" s="77">
        <f>IF(Pipeline!$A407="","",IF(Pipeline!W407="","",Pipeline!W407))</f>
        <v/>
      </c>
      <c r="G407" s="99">
        <f>IF(Pipeline!$A407="","",IF(Pipeline!AH407="","",Pipeline!AH407))</f>
        <v/>
      </c>
      <c r="H407" s="77">
        <f>IF(Pipeline!$A407="","",IF(Pipeline!AI407="","",Pipeline!AI407))</f>
        <v/>
      </c>
      <c r="I407" s="77">
        <f>IF(Pipeline!$A407="","",IF(Pipeline!X407="","",Pipeline!X407))</f>
        <v/>
      </c>
      <c r="J407" s="77">
        <f>IF(Pipeline!$A407="","",IF(Pipeline!AF407="","–",Pipeline!AF407))</f>
        <v/>
      </c>
    </row>
    <row r="408" ht="15" customHeight="1" s="51">
      <c r="A408" s="77">
        <f>IF(Pipeline!$A408="","",IF(Pipeline!H408="","",Pipeline!H408))</f>
        <v/>
      </c>
      <c r="B408" s="77">
        <f>IF(Pipeline!$A408="","",IF(Pipeline!F408="","",Pipeline!F408))</f>
        <v/>
      </c>
      <c r="C408" s="96">
        <f>IF(Pipeline!$A408="","",IF(Pipeline!M408="","",Pipeline!M408))</f>
        <v/>
      </c>
      <c r="D408" s="97">
        <f>IF(Pipeline!$A408="","",IF(Pipeline!Q408="","",Pipeline!Q408))</f>
        <v/>
      </c>
      <c r="E408" s="98">
        <f>IF(Pipeline!$A408="","",IF(Pipeline!T408="","",Pipeline!T408))</f>
        <v/>
      </c>
      <c r="F408" s="77">
        <f>IF(Pipeline!$A408="","",IF(Pipeline!W408="","",Pipeline!W408))</f>
        <v/>
      </c>
      <c r="G408" s="99">
        <f>IF(Pipeline!$A408="","",IF(Pipeline!AH408="","",Pipeline!AH408))</f>
        <v/>
      </c>
      <c r="H408" s="77">
        <f>IF(Pipeline!$A408="","",IF(Pipeline!AI408="","",Pipeline!AI408))</f>
        <v/>
      </c>
      <c r="I408" s="77">
        <f>IF(Pipeline!$A408="","",IF(Pipeline!X408="","",Pipeline!X408))</f>
        <v/>
      </c>
      <c r="J408" s="77">
        <f>IF(Pipeline!$A408="","",IF(Pipeline!AF408="","–",Pipeline!AF408))</f>
        <v/>
      </c>
    </row>
    <row r="409" ht="15" customHeight="1" s="51">
      <c r="A409" s="77">
        <f>IF(Pipeline!$A409="","",IF(Pipeline!H409="","",Pipeline!H409))</f>
        <v/>
      </c>
      <c r="B409" s="77">
        <f>IF(Pipeline!$A409="","",IF(Pipeline!F409="","",Pipeline!F409))</f>
        <v/>
      </c>
      <c r="C409" s="96">
        <f>IF(Pipeline!$A409="","",IF(Pipeline!M409="","",Pipeline!M409))</f>
        <v/>
      </c>
      <c r="D409" s="97">
        <f>IF(Pipeline!$A409="","",IF(Pipeline!Q409="","",Pipeline!Q409))</f>
        <v/>
      </c>
      <c r="E409" s="98">
        <f>IF(Pipeline!$A409="","",IF(Pipeline!T409="","",Pipeline!T409))</f>
        <v/>
      </c>
      <c r="F409" s="77">
        <f>IF(Pipeline!$A409="","",IF(Pipeline!W409="","",Pipeline!W409))</f>
        <v/>
      </c>
      <c r="G409" s="99">
        <f>IF(Pipeline!$A409="","",IF(Pipeline!AH409="","",Pipeline!AH409))</f>
        <v/>
      </c>
      <c r="H409" s="77">
        <f>IF(Pipeline!$A409="","",IF(Pipeline!AI409="","",Pipeline!AI409))</f>
        <v/>
      </c>
      <c r="I409" s="77">
        <f>IF(Pipeline!$A409="","",IF(Pipeline!X409="","",Pipeline!X409))</f>
        <v/>
      </c>
      <c r="J409" s="77">
        <f>IF(Pipeline!$A409="","",IF(Pipeline!AF409="","–",Pipeline!AF409))</f>
        <v/>
      </c>
    </row>
    <row r="410" ht="15" customHeight="1" s="51">
      <c r="A410" s="77">
        <f>IF(Pipeline!$A410="","",IF(Pipeline!H410="","",Pipeline!H410))</f>
        <v/>
      </c>
      <c r="B410" s="77">
        <f>IF(Pipeline!$A410="","",IF(Pipeline!F410="","",Pipeline!F410))</f>
        <v/>
      </c>
      <c r="C410" s="96">
        <f>IF(Pipeline!$A410="","",IF(Pipeline!M410="","",Pipeline!M410))</f>
        <v/>
      </c>
      <c r="D410" s="97">
        <f>IF(Pipeline!$A410="","",IF(Pipeline!Q410="","",Pipeline!Q410))</f>
        <v/>
      </c>
      <c r="E410" s="98">
        <f>IF(Pipeline!$A410="","",IF(Pipeline!T410="","",Pipeline!T410))</f>
        <v/>
      </c>
      <c r="F410" s="77">
        <f>IF(Pipeline!$A410="","",IF(Pipeline!W410="","",Pipeline!W410))</f>
        <v/>
      </c>
      <c r="G410" s="99">
        <f>IF(Pipeline!$A410="","",IF(Pipeline!AH410="","",Pipeline!AH410))</f>
        <v/>
      </c>
      <c r="H410" s="77">
        <f>IF(Pipeline!$A410="","",IF(Pipeline!AI410="","",Pipeline!AI410))</f>
        <v/>
      </c>
      <c r="I410" s="77">
        <f>IF(Pipeline!$A410="","",IF(Pipeline!X410="","",Pipeline!X410))</f>
        <v/>
      </c>
      <c r="J410" s="77">
        <f>IF(Pipeline!$A410="","",IF(Pipeline!AF410="","–",Pipeline!AF410))</f>
        <v/>
      </c>
    </row>
    <row r="411" ht="15" customHeight="1" s="51">
      <c r="A411" s="77">
        <f>IF(Pipeline!$A411="","",IF(Pipeline!H411="","",Pipeline!H411))</f>
        <v/>
      </c>
      <c r="B411" s="77">
        <f>IF(Pipeline!$A411="","",IF(Pipeline!F411="","",Pipeline!F411))</f>
        <v/>
      </c>
      <c r="C411" s="96">
        <f>IF(Pipeline!$A411="","",IF(Pipeline!M411="","",Pipeline!M411))</f>
        <v/>
      </c>
      <c r="D411" s="97">
        <f>IF(Pipeline!$A411="","",IF(Pipeline!Q411="","",Pipeline!Q411))</f>
        <v/>
      </c>
      <c r="E411" s="98">
        <f>IF(Pipeline!$A411="","",IF(Pipeline!T411="","",Pipeline!T411))</f>
        <v/>
      </c>
      <c r="F411" s="77">
        <f>IF(Pipeline!$A411="","",IF(Pipeline!W411="","",Pipeline!W411))</f>
        <v/>
      </c>
      <c r="G411" s="99">
        <f>IF(Pipeline!$A411="","",IF(Pipeline!AH411="","",Pipeline!AH411))</f>
        <v/>
      </c>
      <c r="H411" s="77">
        <f>IF(Pipeline!$A411="","",IF(Pipeline!AI411="","",Pipeline!AI411))</f>
        <v/>
      </c>
      <c r="I411" s="77">
        <f>IF(Pipeline!$A411="","",IF(Pipeline!X411="","",Pipeline!X411))</f>
        <v/>
      </c>
      <c r="J411" s="77">
        <f>IF(Pipeline!$A411="","",IF(Pipeline!AF411="","–",Pipeline!AF411))</f>
        <v/>
      </c>
    </row>
    <row r="412" ht="15" customHeight="1" s="51">
      <c r="A412" s="77">
        <f>IF(Pipeline!$A412="","",IF(Pipeline!H412="","",Pipeline!H412))</f>
        <v/>
      </c>
      <c r="B412" s="77">
        <f>IF(Pipeline!$A412="","",IF(Pipeline!F412="","",Pipeline!F412))</f>
        <v/>
      </c>
      <c r="C412" s="96">
        <f>IF(Pipeline!$A412="","",IF(Pipeline!M412="","",Pipeline!M412))</f>
        <v/>
      </c>
      <c r="D412" s="97">
        <f>IF(Pipeline!$A412="","",IF(Pipeline!Q412="","",Pipeline!Q412))</f>
        <v/>
      </c>
      <c r="E412" s="98">
        <f>IF(Pipeline!$A412="","",IF(Pipeline!T412="","",Pipeline!T412))</f>
        <v/>
      </c>
      <c r="F412" s="77">
        <f>IF(Pipeline!$A412="","",IF(Pipeline!W412="","",Pipeline!W412))</f>
        <v/>
      </c>
      <c r="G412" s="99">
        <f>IF(Pipeline!$A412="","",IF(Pipeline!AH412="","",Pipeline!AH412))</f>
        <v/>
      </c>
      <c r="H412" s="77">
        <f>IF(Pipeline!$A412="","",IF(Pipeline!AI412="","",Pipeline!AI412))</f>
        <v/>
      </c>
      <c r="I412" s="77">
        <f>IF(Pipeline!$A412="","",IF(Pipeline!X412="","",Pipeline!X412))</f>
        <v/>
      </c>
      <c r="J412" s="77">
        <f>IF(Pipeline!$A412="","",IF(Pipeline!AF412="","–",Pipeline!AF412))</f>
        <v/>
      </c>
    </row>
    <row r="413" ht="15" customHeight="1" s="51">
      <c r="A413" s="77">
        <f>IF(Pipeline!$A413="","",IF(Pipeline!H413="","",Pipeline!H413))</f>
        <v/>
      </c>
      <c r="B413" s="77">
        <f>IF(Pipeline!$A413="","",IF(Pipeline!F413="","",Pipeline!F413))</f>
        <v/>
      </c>
      <c r="C413" s="96">
        <f>IF(Pipeline!$A413="","",IF(Pipeline!M413="","",Pipeline!M413))</f>
        <v/>
      </c>
      <c r="D413" s="97">
        <f>IF(Pipeline!$A413="","",IF(Pipeline!Q413="","",Pipeline!Q413))</f>
        <v/>
      </c>
      <c r="E413" s="98">
        <f>IF(Pipeline!$A413="","",IF(Pipeline!T413="","",Pipeline!T413))</f>
        <v/>
      </c>
      <c r="F413" s="77">
        <f>IF(Pipeline!$A413="","",IF(Pipeline!W413="","",Pipeline!W413))</f>
        <v/>
      </c>
      <c r="G413" s="99">
        <f>IF(Pipeline!$A413="","",IF(Pipeline!AH413="","",Pipeline!AH413))</f>
        <v/>
      </c>
      <c r="H413" s="77">
        <f>IF(Pipeline!$A413="","",IF(Pipeline!AI413="","",Pipeline!AI413))</f>
        <v/>
      </c>
      <c r="I413" s="77">
        <f>IF(Pipeline!$A413="","",IF(Pipeline!X413="","",Pipeline!X413))</f>
        <v/>
      </c>
      <c r="J413" s="77">
        <f>IF(Pipeline!$A413="","",IF(Pipeline!AF413="","–",Pipeline!AF413))</f>
        <v/>
      </c>
    </row>
    <row r="414" ht="15" customHeight="1" s="51">
      <c r="A414" s="77">
        <f>IF(Pipeline!$A414="","",IF(Pipeline!H414="","",Pipeline!H414))</f>
        <v/>
      </c>
      <c r="B414" s="77">
        <f>IF(Pipeline!$A414="","",IF(Pipeline!F414="","",Pipeline!F414))</f>
        <v/>
      </c>
      <c r="C414" s="96">
        <f>IF(Pipeline!$A414="","",IF(Pipeline!M414="","",Pipeline!M414))</f>
        <v/>
      </c>
      <c r="D414" s="97">
        <f>IF(Pipeline!$A414="","",IF(Pipeline!Q414="","",Pipeline!Q414))</f>
        <v/>
      </c>
      <c r="E414" s="98">
        <f>IF(Pipeline!$A414="","",IF(Pipeline!T414="","",Pipeline!T414))</f>
        <v/>
      </c>
      <c r="F414" s="77">
        <f>IF(Pipeline!$A414="","",IF(Pipeline!W414="","",Pipeline!W414))</f>
        <v/>
      </c>
      <c r="G414" s="99">
        <f>IF(Pipeline!$A414="","",IF(Pipeline!AH414="","",Pipeline!AH414))</f>
        <v/>
      </c>
      <c r="H414" s="77">
        <f>IF(Pipeline!$A414="","",IF(Pipeline!AI414="","",Pipeline!AI414))</f>
        <v/>
      </c>
      <c r="I414" s="77">
        <f>IF(Pipeline!$A414="","",IF(Pipeline!X414="","",Pipeline!X414))</f>
        <v/>
      </c>
      <c r="J414" s="77">
        <f>IF(Pipeline!$A414="","",IF(Pipeline!AF414="","–",Pipeline!AF414))</f>
        <v/>
      </c>
    </row>
    <row r="415" ht="15" customHeight="1" s="51">
      <c r="A415" s="77">
        <f>IF(Pipeline!$A415="","",IF(Pipeline!H415="","",Pipeline!H415))</f>
        <v/>
      </c>
      <c r="B415" s="77">
        <f>IF(Pipeline!$A415="","",IF(Pipeline!F415="","",Pipeline!F415))</f>
        <v/>
      </c>
      <c r="C415" s="96">
        <f>IF(Pipeline!$A415="","",IF(Pipeline!M415="","",Pipeline!M415))</f>
        <v/>
      </c>
      <c r="D415" s="97">
        <f>IF(Pipeline!$A415="","",IF(Pipeline!Q415="","",Pipeline!Q415))</f>
        <v/>
      </c>
      <c r="E415" s="98">
        <f>IF(Pipeline!$A415="","",IF(Pipeline!T415="","",Pipeline!T415))</f>
        <v/>
      </c>
      <c r="F415" s="77">
        <f>IF(Pipeline!$A415="","",IF(Pipeline!W415="","",Pipeline!W415))</f>
        <v/>
      </c>
      <c r="G415" s="99">
        <f>IF(Pipeline!$A415="","",IF(Pipeline!AH415="","",Pipeline!AH415))</f>
        <v/>
      </c>
      <c r="H415" s="77">
        <f>IF(Pipeline!$A415="","",IF(Pipeline!AI415="","",Pipeline!AI415))</f>
        <v/>
      </c>
      <c r="I415" s="77">
        <f>IF(Pipeline!$A415="","",IF(Pipeline!X415="","",Pipeline!X415))</f>
        <v/>
      </c>
      <c r="J415" s="77">
        <f>IF(Pipeline!$A415="","",IF(Pipeline!AF415="","–",Pipeline!AF415))</f>
        <v/>
      </c>
    </row>
    <row r="416" ht="15" customHeight="1" s="51">
      <c r="A416" s="77">
        <f>IF(Pipeline!$A416="","",IF(Pipeline!H416="","",Pipeline!H416))</f>
        <v/>
      </c>
      <c r="B416" s="77">
        <f>IF(Pipeline!$A416="","",IF(Pipeline!F416="","",Pipeline!F416))</f>
        <v/>
      </c>
      <c r="C416" s="96">
        <f>IF(Pipeline!$A416="","",IF(Pipeline!M416="","",Pipeline!M416))</f>
        <v/>
      </c>
      <c r="D416" s="97">
        <f>IF(Pipeline!$A416="","",IF(Pipeline!Q416="","",Pipeline!Q416))</f>
        <v/>
      </c>
      <c r="E416" s="98">
        <f>IF(Pipeline!$A416="","",IF(Pipeline!T416="","",Pipeline!T416))</f>
        <v/>
      </c>
      <c r="F416" s="77">
        <f>IF(Pipeline!$A416="","",IF(Pipeline!W416="","",Pipeline!W416))</f>
        <v/>
      </c>
      <c r="G416" s="99">
        <f>IF(Pipeline!$A416="","",IF(Pipeline!AH416="","",Pipeline!AH416))</f>
        <v/>
      </c>
      <c r="H416" s="77">
        <f>IF(Pipeline!$A416="","",IF(Pipeline!AI416="","",Pipeline!AI416))</f>
        <v/>
      </c>
      <c r="I416" s="77">
        <f>IF(Pipeline!$A416="","",IF(Pipeline!X416="","",Pipeline!X416))</f>
        <v/>
      </c>
      <c r="J416" s="77">
        <f>IF(Pipeline!$A416="","",IF(Pipeline!AF416="","–",Pipeline!AF416))</f>
        <v/>
      </c>
    </row>
    <row r="417" ht="15" customHeight="1" s="51">
      <c r="A417" s="77">
        <f>IF(Pipeline!$A417="","",IF(Pipeline!H417="","",Pipeline!H417))</f>
        <v/>
      </c>
      <c r="B417" s="77">
        <f>IF(Pipeline!$A417="","",IF(Pipeline!F417="","",Pipeline!F417))</f>
        <v/>
      </c>
      <c r="C417" s="96">
        <f>IF(Pipeline!$A417="","",IF(Pipeline!M417="","",Pipeline!M417))</f>
        <v/>
      </c>
      <c r="D417" s="97">
        <f>IF(Pipeline!$A417="","",IF(Pipeline!Q417="","",Pipeline!Q417))</f>
        <v/>
      </c>
      <c r="E417" s="98">
        <f>IF(Pipeline!$A417="","",IF(Pipeline!T417="","",Pipeline!T417))</f>
        <v/>
      </c>
      <c r="F417" s="77">
        <f>IF(Pipeline!$A417="","",IF(Pipeline!W417="","",Pipeline!W417))</f>
        <v/>
      </c>
      <c r="G417" s="99">
        <f>IF(Pipeline!$A417="","",IF(Pipeline!AH417="","",Pipeline!AH417))</f>
        <v/>
      </c>
      <c r="H417" s="77">
        <f>IF(Pipeline!$A417="","",IF(Pipeline!AI417="","",Pipeline!AI417))</f>
        <v/>
      </c>
      <c r="I417" s="77">
        <f>IF(Pipeline!$A417="","",IF(Pipeline!X417="","",Pipeline!X417))</f>
        <v/>
      </c>
      <c r="J417" s="77">
        <f>IF(Pipeline!$A417="","",IF(Pipeline!AF417="","–",Pipeline!AF417))</f>
        <v/>
      </c>
    </row>
    <row r="418" ht="15" customHeight="1" s="51">
      <c r="A418" s="77">
        <f>IF(Pipeline!$A418="","",IF(Pipeline!H418="","",Pipeline!H418))</f>
        <v/>
      </c>
      <c r="B418" s="77">
        <f>IF(Pipeline!$A418="","",IF(Pipeline!F418="","",Pipeline!F418))</f>
        <v/>
      </c>
      <c r="C418" s="96">
        <f>IF(Pipeline!$A418="","",IF(Pipeline!M418="","",Pipeline!M418))</f>
        <v/>
      </c>
      <c r="D418" s="97">
        <f>IF(Pipeline!$A418="","",IF(Pipeline!Q418="","",Pipeline!Q418))</f>
        <v/>
      </c>
      <c r="E418" s="98">
        <f>IF(Pipeline!$A418="","",IF(Pipeline!T418="","",Pipeline!T418))</f>
        <v/>
      </c>
      <c r="F418" s="77">
        <f>IF(Pipeline!$A418="","",IF(Pipeline!W418="","",Pipeline!W418))</f>
        <v/>
      </c>
      <c r="G418" s="99">
        <f>IF(Pipeline!$A418="","",IF(Pipeline!AH418="","",Pipeline!AH418))</f>
        <v/>
      </c>
      <c r="H418" s="77">
        <f>IF(Pipeline!$A418="","",IF(Pipeline!AI418="","",Pipeline!AI418))</f>
        <v/>
      </c>
      <c r="I418" s="77">
        <f>IF(Pipeline!$A418="","",IF(Pipeline!X418="","",Pipeline!X418))</f>
        <v/>
      </c>
      <c r="J418" s="77">
        <f>IF(Pipeline!$A418="","",IF(Pipeline!AF418="","–",Pipeline!AF418))</f>
        <v/>
      </c>
    </row>
    <row r="419" ht="15" customHeight="1" s="51">
      <c r="A419" s="77">
        <f>IF(Pipeline!$A419="","",IF(Pipeline!H419="","",Pipeline!H419))</f>
        <v/>
      </c>
      <c r="B419" s="77">
        <f>IF(Pipeline!$A419="","",IF(Pipeline!F419="","",Pipeline!F419))</f>
        <v/>
      </c>
      <c r="C419" s="96">
        <f>IF(Pipeline!$A419="","",IF(Pipeline!M419="","",Pipeline!M419))</f>
        <v/>
      </c>
      <c r="D419" s="97">
        <f>IF(Pipeline!$A419="","",IF(Pipeline!Q419="","",Pipeline!Q419))</f>
        <v/>
      </c>
      <c r="E419" s="98">
        <f>IF(Pipeline!$A419="","",IF(Pipeline!T419="","",Pipeline!T419))</f>
        <v/>
      </c>
      <c r="F419" s="77">
        <f>IF(Pipeline!$A419="","",IF(Pipeline!W419="","",Pipeline!W419))</f>
        <v/>
      </c>
      <c r="G419" s="99">
        <f>IF(Pipeline!$A419="","",IF(Pipeline!AH419="","",Pipeline!AH419))</f>
        <v/>
      </c>
      <c r="H419" s="77">
        <f>IF(Pipeline!$A419="","",IF(Pipeline!AI419="","",Pipeline!AI419))</f>
        <v/>
      </c>
      <c r="I419" s="77">
        <f>IF(Pipeline!$A419="","",IF(Pipeline!X419="","",Pipeline!X419))</f>
        <v/>
      </c>
      <c r="J419" s="77">
        <f>IF(Pipeline!$A419="","",IF(Pipeline!AF419="","–",Pipeline!AF419))</f>
        <v/>
      </c>
    </row>
    <row r="420" ht="15" customHeight="1" s="51">
      <c r="A420" s="77">
        <f>IF(Pipeline!$A420="","",IF(Pipeline!H420="","",Pipeline!H420))</f>
        <v/>
      </c>
      <c r="B420" s="77">
        <f>IF(Pipeline!$A420="","",IF(Pipeline!F420="","",Pipeline!F420))</f>
        <v/>
      </c>
      <c r="C420" s="96">
        <f>IF(Pipeline!$A420="","",IF(Pipeline!M420="","",Pipeline!M420))</f>
        <v/>
      </c>
      <c r="D420" s="97">
        <f>IF(Pipeline!$A420="","",IF(Pipeline!Q420="","",Pipeline!Q420))</f>
        <v/>
      </c>
      <c r="E420" s="98">
        <f>IF(Pipeline!$A420="","",IF(Pipeline!T420="","",Pipeline!T420))</f>
        <v/>
      </c>
      <c r="F420" s="77">
        <f>IF(Pipeline!$A420="","",IF(Pipeline!W420="","",Pipeline!W420))</f>
        <v/>
      </c>
      <c r="G420" s="99">
        <f>IF(Pipeline!$A420="","",IF(Pipeline!AH420="","",Pipeline!AH420))</f>
        <v/>
      </c>
      <c r="H420" s="77">
        <f>IF(Pipeline!$A420="","",IF(Pipeline!AI420="","",Pipeline!AI420))</f>
        <v/>
      </c>
      <c r="I420" s="77">
        <f>IF(Pipeline!$A420="","",IF(Pipeline!X420="","",Pipeline!X420))</f>
        <v/>
      </c>
      <c r="J420" s="77">
        <f>IF(Pipeline!$A420="","",IF(Pipeline!AF420="","–",Pipeline!AF420))</f>
        <v/>
      </c>
    </row>
    <row r="421" ht="15" customHeight="1" s="51">
      <c r="A421" s="77">
        <f>IF(Pipeline!$A421="","",IF(Pipeline!H421="","",Pipeline!H421))</f>
        <v/>
      </c>
      <c r="B421" s="77">
        <f>IF(Pipeline!$A421="","",IF(Pipeline!F421="","",Pipeline!F421))</f>
        <v/>
      </c>
      <c r="C421" s="96">
        <f>IF(Pipeline!$A421="","",IF(Pipeline!M421="","",Pipeline!M421))</f>
        <v/>
      </c>
      <c r="D421" s="97">
        <f>IF(Pipeline!$A421="","",IF(Pipeline!Q421="","",Pipeline!Q421))</f>
        <v/>
      </c>
      <c r="E421" s="98">
        <f>IF(Pipeline!$A421="","",IF(Pipeline!T421="","",Pipeline!T421))</f>
        <v/>
      </c>
      <c r="F421" s="77">
        <f>IF(Pipeline!$A421="","",IF(Pipeline!W421="","",Pipeline!W421))</f>
        <v/>
      </c>
      <c r="G421" s="99">
        <f>IF(Pipeline!$A421="","",IF(Pipeline!AH421="","",Pipeline!AH421))</f>
        <v/>
      </c>
      <c r="H421" s="77">
        <f>IF(Pipeline!$A421="","",IF(Pipeline!AI421="","",Pipeline!AI421))</f>
        <v/>
      </c>
      <c r="I421" s="77">
        <f>IF(Pipeline!$A421="","",IF(Pipeline!X421="","",Pipeline!X421))</f>
        <v/>
      </c>
      <c r="J421" s="77">
        <f>IF(Pipeline!$A421="","",IF(Pipeline!AF421="","–",Pipeline!AF421))</f>
        <v/>
      </c>
    </row>
    <row r="422" ht="15" customHeight="1" s="51">
      <c r="A422" s="77">
        <f>IF(Pipeline!$A422="","",IF(Pipeline!H422="","",Pipeline!H422))</f>
        <v/>
      </c>
      <c r="B422" s="77">
        <f>IF(Pipeline!$A422="","",IF(Pipeline!F422="","",Pipeline!F422))</f>
        <v/>
      </c>
      <c r="C422" s="96">
        <f>IF(Pipeline!$A422="","",IF(Pipeline!M422="","",Pipeline!M422))</f>
        <v/>
      </c>
      <c r="D422" s="97">
        <f>IF(Pipeline!$A422="","",IF(Pipeline!Q422="","",Pipeline!Q422))</f>
        <v/>
      </c>
      <c r="E422" s="98">
        <f>IF(Pipeline!$A422="","",IF(Pipeline!T422="","",Pipeline!T422))</f>
        <v/>
      </c>
      <c r="F422" s="77">
        <f>IF(Pipeline!$A422="","",IF(Pipeline!W422="","",Pipeline!W422))</f>
        <v/>
      </c>
      <c r="G422" s="99">
        <f>IF(Pipeline!$A422="","",IF(Pipeline!AH422="","",Pipeline!AH422))</f>
        <v/>
      </c>
      <c r="H422" s="77">
        <f>IF(Pipeline!$A422="","",IF(Pipeline!AI422="","",Pipeline!AI422))</f>
        <v/>
      </c>
      <c r="I422" s="77">
        <f>IF(Pipeline!$A422="","",IF(Pipeline!X422="","",Pipeline!X422))</f>
        <v/>
      </c>
      <c r="J422" s="77">
        <f>IF(Pipeline!$A422="","",IF(Pipeline!AF422="","–",Pipeline!AF422))</f>
        <v/>
      </c>
    </row>
    <row r="423" ht="15" customHeight="1" s="51">
      <c r="A423" s="77">
        <f>IF(Pipeline!$A423="","",IF(Pipeline!H423="","",Pipeline!H423))</f>
        <v/>
      </c>
      <c r="B423" s="77">
        <f>IF(Pipeline!$A423="","",IF(Pipeline!F423="","",Pipeline!F423))</f>
        <v/>
      </c>
      <c r="C423" s="96">
        <f>IF(Pipeline!$A423="","",IF(Pipeline!M423="","",Pipeline!M423))</f>
        <v/>
      </c>
      <c r="D423" s="97">
        <f>IF(Pipeline!$A423="","",IF(Pipeline!Q423="","",Pipeline!Q423))</f>
        <v/>
      </c>
      <c r="E423" s="98">
        <f>IF(Pipeline!$A423="","",IF(Pipeline!T423="","",Pipeline!T423))</f>
        <v/>
      </c>
      <c r="F423" s="77">
        <f>IF(Pipeline!$A423="","",IF(Pipeline!W423="","",Pipeline!W423))</f>
        <v/>
      </c>
      <c r="G423" s="99">
        <f>IF(Pipeline!$A423="","",IF(Pipeline!AH423="","",Pipeline!AH423))</f>
        <v/>
      </c>
      <c r="H423" s="77">
        <f>IF(Pipeline!$A423="","",IF(Pipeline!AI423="","",Pipeline!AI423))</f>
        <v/>
      </c>
      <c r="I423" s="77">
        <f>IF(Pipeline!$A423="","",IF(Pipeline!X423="","",Pipeline!X423))</f>
        <v/>
      </c>
      <c r="J423" s="77">
        <f>IF(Pipeline!$A423="","",IF(Pipeline!AF423="","–",Pipeline!AF423))</f>
        <v/>
      </c>
    </row>
    <row r="424" ht="15" customHeight="1" s="51">
      <c r="A424" s="77">
        <f>IF(Pipeline!$A424="","",IF(Pipeline!H424="","",Pipeline!H424))</f>
        <v/>
      </c>
      <c r="B424" s="77">
        <f>IF(Pipeline!$A424="","",IF(Pipeline!F424="","",Pipeline!F424))</f>
        <v/>
      </c>
      <c r="C424" s="96">
        <f>IF(Pipeline!$A424="","",IF(Pipeline!M424="","",Pipeline!M424))</f>
        <v/>
      </c>
      <c r="D424" s="97">
        <f>IF(Pipeline!$A424="","",IF(Pipeline!Q424="","",Pipeline!Q424))</f>
        <v/>
      </c>
      <c r="E424" s="98">
        <f>IF(Pipeline!$A424="","",IF(Pipeline!T424="","",Pipeline!T424))</f>
        <v/>
      </c>
      <c r="F424" s="77">
        <f>IF(Pipeline!$A424="","",IF(Pipeline!W424="","",Pipeline!W424))</f>
        <v/>
      </c>
      <c r="G424" s="99">
        <f>IF(Pipeline!$A424="","",IF(Pipeline!AH424="","",Pipeline!AH424))</f>
        <v/>
      </c>
      <c r="H424" s="77">
        <f>IF(Pipeline!$A424="","",IF(Pipeline!AI424="","",Pipeline!AI424))</f>
        <v/>
      </c>
      <c r="I424" s="77">
        <f>IF(Pipeline!$A424="","",IF(Pipeline!X424="","",Pipeline!X424))</f>
        <v/>
      </c>
      <c r="J424" s="77">
        <f>IF(Pipeline!$A424="","",IF(Pipeline!AF424="","–",Pipeline!AF424))</f>
        <v/>
      </c>
    </row>
    <row r="425" ht="15" customHeight="1" s="51">
      <c r="A425" s="77">
        <f>IF(Pipeline!$A425="","",IF(Pipeline!H425="","",Pipeline!H425))</f>
        <v/>
      </c>
      <c r="B425" s="77">
        <f>IF(Pipeline!$A425="","",IF(Pipeline!F425="","",Pipeline!F425))</f>
        <v/>
      </c>
      <c r="C425" s="96">
        <f>IF(Pipeline!$A425="","",IF(Pipeline!M425="","",Pipeline!M425))</f>
        <v/>
      </c>
      <c r="D425" s="97">
        <f>IF(Pipeline!$A425="","",IF(Pipeline!Q425="","",Pipeline!Q425))</f>
        <v/>
      </c>
      <c r="E425" s="98">
        <f>IF(Pipeline!$A425="","",IF(Pipeline!T425="","",Pipeline!T425))</f>
        <v/>
      </c>
      <c r="F425" s="77">
        <f>IF(Pipeline!$A425="","",IF(Pipeline!W425="","",Pipeline!W425))</f>
        <v/>
      </c>
      <c r="G425" s="99">
        <f>IF(Pipeline!$A425="","",IF(Pipeline!AH425="","",Pipeline!AH425))</f>
        <v/>
      </c>
      <c r="H425" s="77">
        <f>IF(Pipeline!$A425="","",IF(Pipeline!AI425="","",Pipeline!AI425))</f>
        <v/>
      </c>
      <c r="I425" s="77">
        <f>IF(Pipeline!$A425="","",IF(Pipeline!X425="","",Pipeline!X425))</f>
        <v/>
      </c>
      <c r="J425" s="77">
        <f>IF(Pipeline!$A425="","",IF(Pipeline!AF425="","–",Pipeline!AF425))</f>
        <v/>
      </c>
    </row>
    <row r="426" ht="15" customHeight="1" s="51">
      <c r="A426" s="77">
        <f>IF(Pipeline!$A426="","",IF(Pipeline!H426="","",Pipeline!H426))</f>
        <v/>
      </c>
      <c r="B426" s="77">
        <f>IF(Pipeline!$A426="","",IF(Pipeline!F426="","",Pipeline!F426))</f>
        <v/>
      </c>
      <c r="C426" s="96">
        <f>IF(Pipeline!$A426="","",IF(Pipeline!M426="","",Pipeline!M426))</f>
        <v/>
      </c>
      <c r="D426" s="97">
        <f>IF(Pipeline!$A426="","",IF(Pipeline!Q426="","",Pipeline!Q426))</f>
        <v/>
      </c>
      <c r="E426" s="98">
        <f>IF(Pipeline!$A426="","",IF(Pipeline!T426="","",Pipeline!T426))</f>
        <v/>
      </c>
      <c r="F426" s="77">
        <f>IF(Pipeline!$A426="","",IF(Pipeline!W426="","",Pipeline!W426))</f>
        <v/>
      </c>
      <c r="G426" s="99">
        <f>IF(Pipeline!$A426="","",IF(Pipeline!AH426="","",Pipeline!AH426))</f>
        <v/>
      </c>
      <c r="H426" s="77">
        <f>IF(Pipeline!$A426="","",IF(Pipeline!AI426="","",Pipeline!AI426))</f>
        <v/>
      </c>
      <c r="I426" s="77">
        <f>IF(Pipeline!$A426="","",IF(Pipeline!X426="","",Pipeline!X426))</f>
        <v/>
      </c>
      <c r="J426" s="77">
        <f>IF(Pipeline!$A426="","",IF(Pipeline!AF426="","–",Pipeline!AF426))</f>
        <v/>
      </c>
    </row>
    <row r="427" ht="15" customHeight="1" s="51">
      <c r="A427" s="77">
        <f>IF(Pipeline!$A427="","",IF(Pipeline!H427="","",Pipeline!H427))</f>
        <v/>
      </c>
      <c r="B427" s="77">
        <f>IF(Pipeline!$A427="","",IF(Pipeline!F427="","",Pipeline!F427))</f>
        <v/>
      </c>
      <c r="C427" s="96">
        <f>IF(Pipeline!$A427="","",IF(Pipeline!M427="","",Pipeline!M427))</f>
        <v/>
      </c>
      <c r="D427" s="97">
        <f>IF(Pipeline!$A427="","",IF(Pipeline!Q427="","",Pipeline!Q427))</f>
        <v/>
      </c>
      <c r="E427" s="98">
        <f>IF(Pipeline!$A427="","",IF(Pipeline!T427="","",Pipeline!T427))</f>
        <v/>
      </c>
      <c r="F427" s="77">
        <f>IF(Pipeline!$A427="","",IF(Pipeline!W427="","",Pipeline!W427))</f>
        <v/>
      </c>
      <c r="G427" s="99">
        <f>IF(Pipeline!$A427="","",IF(Pipeline!AH427="","",Pipeline!AH427))</f>
        <v/>
      </c>
      <c r="H427" s="77">
        <f>IF(Pipeline!$A427="","",IF(Pipeline!AI427="","",Pipeline!AI427))</f>
        <v/>
      </c>
      <c r="I427" s="77">
        <f>IF(Pipeline!$A427="","",IF(Pipeline!X427="","",Pipeline!X427))</f>
        <v/>
      </c>
      <c r="J427" s="77">
        <f>IF(Pipeline!$A427="","",IF(Pipeline!AF427="","–",Pipeline!AF427))</f>
        <v/>
      </c>
    </row>
    <row r="428" ht="15" customHeight="1" s="51">
      <c r="A428" s="77">
        <f>IF(Pipeline!$A428="","",IF(Pipeline!H428="","",Pipeline!H428))</f>
        <v/>
      </c>
      <c r="B428" s="77">
        <f>IF(Pipeline!$A428="","",IF(Pipeline!F428="","",Pipeline!F428))</f>
        <v/>
      </c>
      <c r="C428" s="96">
        <f>IF(Pipeline!$A428="","",IF(Pipeline!M428="","",Pipeline!M428))</f>
        <v/>
      </c>
      <c r="D428" s="97">
        <f>IF(Pipeline!$A428="","",IF(Pipeline!Q428="","",Pipeline!Q428))</f>
        <v/>
      </c>
      <c r="E428" s="98">
        <f>IF(Pipeline!$A428="","",IF(Pipeline!T428="","",Pipeline!T428))</f>
        <v/>
      </c>
      <c r="F428" s="77">
        <f>IF(Pipeline!$A428="","",IF(Pipeline!W428="","",Pipeline!W428))</f>
        <v/>
      </c>
      <c r="G428" s="99">
        <f>IF(Pipeline!$A428="","",IF(Pipeline!AH428="","",Pipeline!AH428))</f>
        <v/>
      </c>
      <c r="H428" s="77">
        <f>IF(Pipeline!$A428="","",IF(Pipeline!AI428="","",Pipeline!AI428))</f>
        <v/>
      </c>
      <c r="I428" s="77">
        <f>IF(Pipeline!$A428="","",IF(Pipeline!X428="","",Pipeline!X428))</f>
        <v/>
      </c>
      <c r="J428" s="77">
        <f>IF(Pipeline!$A428="","",IF(Pipeline!AF428="","–",Pipeline!AF428))</f>
        <v/>
      </c>
    </row>
    <row r="429" ht="15" customHeight="1" s="51">
      <c r="A429" s="77">
        <f>IF(Pipeline!$A429="","",IF(Pipeline!H429="","",Pipeline!H429))</f>
        <v/>
      </c>
      <c r="B429" s="77">
        <f>IF(Pipeline!$A429="","",IF(Pipeline!F429="","",Pipeline!F429))</f>
        <v/>
      </c>
      <c r="C429" s="96">
        <f>IF(Pipeline!$A429="","",IF(Pipeline!M429="","",Pipeline!M429))</f>
        <v/>
      </c>
      <c r="D429" s="97">
        <f>IF(Pipeline!$A429="","",IF(Pipeline!Q429="","",Pipeline!Q429))</f>
        <v/>
      </c>
      <c r="E429" s="98">
        <f>IF(Pipeline!$A429="","",IF(Pipeline!T429="","",Pipeline!T429))</f>
        <v/>
      </c>
      <c r="F429" s="77">
        <f>IF(Pipeline!$A429="","",IF(Pipeline!W429="","",Pipeline!W429))</f>
        <v/>
      </c>
      <c r="G429" s="99">
        <f>IF(Pipeline!$A429="","",IF(Pipeline!AH429="","",Pipeline!AH429))</f>
        <v/>
      </c>
      <c r="H429" s="77">
        <f>IF(Pipeline!$A429="","",IF(Pipeline!AI429="","",Pipeline!AI429))</f>
        <v/>
      </c>
      <c r="I429" s="77">
        <f>IF(Pipeline!$A429="","",IF(Pipeline!X429="","",Pipeline!X429))</f>
        <v/>
      </c>
      <c r="J429" s="77">
        <f>IF(Pipeline!$A429="","",IF(Pipeline!AF429="","–",Pipeline!AF429))</f>
        <v/>
      </c>
    </row>
    <row r="430" ht="15" customHeight="1" s="51">
      <c r="A430" s="77">
        <f>IF(Pipeline!$A430="","",IF(Pipeline!H430="","",Pipeline!H430))</f>
        <v/>
      </c>
      <c r="B430" s="77">
        <f>IF(Pipeline!$A430="","",IF(Pipeline!F430="","",Pipeline!F430))</f>
        <v/>
      </c>
      <c r="C430" s="96">
        <f>IF(Pipeline!$A430="","",IF(Pipeline!M430="","",Pipeline!M430))</f>
        <v/>
      </c>
      <c r="D430" s="97">
        <f>IF(Pipeline!$A430="","",IF(Pipeline!Q430="","",Pipeline!Q430))</f>
        <v/>
      </c>
      <c r="E430" s="98">
        <f>IF(Pipeline!$A430="","",IF(Pipeline!T430="","",Pipeline!T430))</f>
        <v/>
      </c>
      <c r="F430" s="77">
        <f>IF(Pipeline!$A430="","",IF(Pipeline!W430="","",Pipeline!W430))</f>
        <v/>
      </c>
      <c r="G430" s="99">
        <f>IF(Pipeline!$A430="","",IF(Pipeline!AH430="","",Pipeline!AH430))</f>
        <v/>
      </c>
      <c r="H430" s="77">
        <f>IF(Pipeline!$A430="","",IF(Pipeline!AI430="","",Pipeline!AI430))</f>
        <v/>
      </c>
      <c r="I430" s="77">
        <f>IF(Pipeline!$A430="","",IF(Pipeline!X430="","",Pipeline!X430))</f>
        <v/>
      </c>
      <c r="J430" s="77">
        <f>IF(Pipeline!$A430="","",IF(Pipeline!AF430="","–",Pipeline!AF430))</f>
        <v/>
      </c>
    </row>
    <row r="431" ht="15" customHeight="1" s="51">
      <c r="A431" s="77">
        <f>IF(Pipeline!$A431="","",IF(Pipeline!H431="","",Pipeline!H431))</f>
        <v/>
      </c>
      <c r="B431" s="77">
        <f>IF(Pipeline!$A431="","",IF(Pipeline!F431="","",Pipeline!F431))</f>
        <v/>
      </c>
      <c r="C431" s="96">
        <f>IF(Pipeline!$A431="","",IF(Pipeline!M431="","",Pipeline!M431))</f>
        <v/>
      </c>
      <c r="D431" s="97">
        <f>IF(Pipeline!$A431="","",IF(Pipeline!Q431="","",Pipeline!Q431))</f>
        <v/>
      </c>
      <c r="E431" s="98">
        <f>IF(Pipeline!$A431="","",IF(Pipeline!T431="","",Pipeline!T431))</f>
        <v/>
      </c>
      <c r="F431" s="77">
        <f>IF(Pipeline!$A431="","",IF(Pipeline!W431="","",Pipeline!W431))</f>
        <v/>
      </c>
      <c r="G431" s="99">
        <f>IF(Pipeline!$A431="","",IF(Pipeline!AH431="","",Pipeline!AH431))</f>
        <v/>
      </c>
      <c r="H431" s="77">
        <f>IF(Pipeline!$A431="","",IF(Pipeline!AI431="","",Pipeline!AI431))</f>
        <v/>
      </c>
      <c r="I431" s="77">
        <f>IF(Pipeline!$A431="","",IF(Pipeline!X431="","",Pipeline!X431))</f>
        <v/>
      </c>
      <c r="J431" s="77">
        <f>IF(Pipeline!$A431="","",IF(Pipeline!AF431="","–",Pipeline!AF431))</f>
        <v/>
      </c>
    </row>
    <row r="432" ht="15" customHeight="1" s="51">
      <c r="A432" s="77">
        <f>IF(Pipeline!$A432="","",IF(Pipeline!H432="","",Pipeline!H432))</f>
        <v/>
      </c>
      <c r="B432" s="77">
        <f>IF(Pipeline!$A432="","",IF(Pipeline!F432="","",Pipeline!F432))</f>
        <v/>
      </c>
      <c r="C432" s="96">
        <f>IF(Pipeline!$A432="","",IF(Pipeline!M432="","",Pipeline!M432))</f>
        <v/>
      </c>
      <c r="D432" s="97">
        <f>IF(Pipeline!$A432="","",IF(Pipeline!Q432="","",Pipeline!Q432))</f>
        <v/>
      </c>
      <c r="E432" s="98">
        <f>IF(Pipeline!$A432="","",IF(Pipeline!T432="","",Pipeline!T432))</f>
        <v/>
      </c>
      <c r="F432" s="77">
        <f>IF(Pipeline!$A432="","",IF(Pipeline!W432="","",Pipeline!W432))</f>
        <v/>
      </c>
      <c r="G432" s="99">
        <f>IF(Pipeline!$A432="","",IF(Pipeline!AH432="","",Pipeline!AH432))</f>
        <v/>
      </c>
      <c r="H432" s="77">
        <f>IF(Pipeline!$A432="","",IF(Pipeline!AI432="","",Pipeline!AI432))</f>
        <v/>
      </c>
      <c r="I432" s="77">
        <f>IF(Pipeline!$A432="","",IF(Pipeline!X432="","",Pipeline!X432))</f>
        <v/>
      </c>
      <c r="J432" s="77">
        <f>IF(Pipeline!$A432="","",IF(Pipeline!AF432="","–",Pipeline!AF432))</f>
        <v/>
      </c>
    </row>
    <row r="433" ht="15" customHeight="1" s="51">
      <c r="A433" s="77">
        <f>IF(Pipeline!$A433="","",IF(Pipeline!H433="","",Pipeline!H433))</f>
        <v/>
      </c>
      <c r="B433" s="77">
        <f>IF(Pipeline!$A433="","",IF(Pipeline!F433="","",Pipeline!F433))</f>
        <v/>
      </c>
      <c r="C433" s="96">
        <f>IF(Pipeline!$A433="","",IF(Pipeline!M433="","",Pipeline!M433))</f>
        <v/>
      </c>
      <c r="D433" s="97">
        <f>IF(Pipeline!$A433="","",IF(Pipeline!Q433="","",Pipeline!Q433))</f>
        <v/>
      </c>
      <c r="E433" s="98">
        <f>IF(Pipeline!$A433="","",IF(Pipeline!T433="","",Pipeline!T433))</f>
        <v/>
      </c>
      <c r="F433" s="77">
        <f>IF(Pipeline!$A433="","",IF(Pipeline!W433="","",Pipeline!W433))</f>
        <v/>
      </c>
      <c r="G433" s="99">
        <f>IF(Pipeline!$A433="","",IF(Pipeline!AH433="","",Pipeline!AH433))</f>
        <v/>
      </c>
      <c r="H433" s="77">
        <f>IF(Pipeline!$A433="","",IF(Pipeline!AI433="","",Pipeline!AI433))</f>
        <v/>
      </c>
      <c r="I433" s="77">
        <f>IF(Pipeline!$A433="","",IF(Pipeline!X433="","",Pipeline!X433))</f>
        <v/>
      </c>
      <c r="J433" s="77">
        <f>IF(Pipeline!$A433="","",IF(Pipeline!AF433="","–",Pipeline!AF433))</f>
        <v/>
      </c>
    </row>
    <row r="434" ht="15" customHeight="1" s="51">
      <c r="A434" s="77">
        <f>IF(Pipeline!$A434="","",IF(Pipeline!H434="","",Pipeline!H434))</f>
        <v/>
      </c>
      <c r="B434" s="77">
        <f>IF(Pipeline!$A434="","",IF(Pipeline!F434="","",Pipeline!F434))</f>
        <v/>
      </c>
      <c r="C434" s="96">
        <f>IF(Pipeline!$A434="","",IF(Pipeline!M434="","",Pipeline!M434))</f>
        <v/>
      </c>
      <c r="D434" s="97">
        <f>IF(Pipeline!$A434="","",IF(Pipeline!Q434="","",Pipeline!Q434))</f>
        <v/>
      </c>
      <c r="E434" s="98">
        <f>IF(Pipeline!$A434="","",IF(Pipeline!T434="","",Pipeline!T434))</f>
        <v/>
      </c>
      <c r="F434" s="77">
        <f>IF(Pipeline!$A434="","",IF(Pipeline!W434="","",Pipeline!W434))</f>
        <v/>
      </c>
      <c r="G434" s="99">
        <f>IF(Pipeline!$A434="","",IF(Pipeline!AH434="","",Pipeline!AH434))</f>
        <v/>
      </c>
      <c r="H434" s="77">
        <f>IF(Pipeline!$A434="","",IF(Pipeline!AI434="","",Pipeline!AI434))</f>
        <v/>
      </c>
      <c r="I434" s="77">
        <f>IF(Pipeline!$A434="","",IF(Pipeline!X434="","",Pipeline!X434))</f>
        <v/>
      </c>
      <c r="J434" s="77">
        <f>IF(Pipeline!$A434="","",IF(Pipeline!AF434="","–",Pipeline!AF434))</f>
        <v/>
      </c>
    </row>
    <row r="435" ht="15" customHeight="1" s="51">
      <c r="A435" s="77">
        <f>IF(Pipeline!$A435="","",IF(Pipeline!H435="","",Pipeline!H435))</f>
        <v/>
      </c>
      <c r="B435" s="77">
        <f>IF(Pipeline!$A435="","",IF(Pipeline!F435="","",Pipeline!F435))</f>
        <v/>
      </c>
      <c r="C435" s="96">
        <f>IF(Pipeline!$A435="","",IF(Pipeline!M435="","",Pipeline!M435))</f>
        <v/>
      </c>
      <c r="D435" s="97">
        <f>IF(Pipeline!$A435="","",IF(Pipeline!Q435="","",Pipeline!Q435))</f>
        <v/>
      </c>
      <c r="E435" s="98">
        <f>IF(Pipeline!$A435="","",IF(Pipeline!T435="","",Pipeline!T435))</f>
        <v/>
      </c>
      <c r="F435" s="77">
        <f>IF(Pipeline!$A435="","",IF(Pipeline!W435="","",Pipeline!W435))</f>
        <v/>
      </c>
      <c r="G435" s="99">
        <f>IF(Pipeline!$A435="","",IF(Pipeline!AH435="","",Pipeline!AH435))</f>
        <v/>
      </c>
      <c r="H435" s="77">
        <f>IF(Pipeline!$A435="","",IF(Pipeline!AI435="","",Pipeline!AI435))</f>
        <v/>
      </c>
      <c r="I435" s="77">
        <f>IF(Pipeline!$A435="","",IF(Pipeline!X435="","",Pipeline!X435))</f>
        <v/>
      </c>
      <c r="J435" s="77">
        <f>IF(Pipeline!$A435="","",IF(Pipeline!AF435="","–",Pipeline!AF435))</f>
        <v/>
      </c>
    </row>
    <row r="436" ht="15" customHeight="1" s="51">
      <c r="A436" s="77">
        <f>IF(Pipeline!$A436="","",IF(Pipeline!H436="","",Pipeline!H436))</f>
        <v/>
      </c>
      <c r="B436" s="77">
        <f>IF(Pipeline!$A436="","",IF(Pipeline!F436="","",Pipeline!F436))</f>
        <v/>
      </c>
      <c r="C436" s="96">
        <f>IF(Pipeline!$A436="","",IF(Pipeline!M436="","",Pipeline!M436))</f>
        <v/>
      </c>
      <c r="D436" s="97">
        <f>IF(Pipeline!$A436="","",IF(Pipeline!Q436="","",Pipeline!Q436))</f>
        <v/>
      </c>
      <c r="E436" s="98">
        <f>IF(Pipeline!$A436="","",IF(Pipeline!T436="","",Pipeline!T436))</f>
        <v/>
      </c>
      <c r="F436" s="77">
        <f>IF(Pipeline!$A436="","",IF(Pipeline!W436="","",Pipeline!W436))</f>
        <v/>
      </c>
      <c r="G436" s="99">
        <f>IF(Pipeline!$A436="","",IF(Pipeline!AH436="","",Pipeline!AH436))</f>
        <v/>
      </c>
      <c r="H436" s="77">
        <f>IF(Pipeline!$A436="","",IF(Pipeline!AI436="","",Pipeline!AI436))</f>
        <v/>
      </c>
      <c r="I436" s="77">
        <f>IF(Pipeline!$A436="","",IF(Pipeline!X436="","",Pipeline!X436))</f>
        <v/>
      </c>
      <c r="J436" s="77">
        <f>IF(Pipeline!$A436="","",IF(Pipeline!AF436="","–",Pipeline!AF436))</f>
        <v/>
      </c>
    </row>
    <row r="437" ht="15" customHeight="1" s="51">
      <c r="A437" s="77">
        <f>IF(Pipeline!$A437="","",IF(Pipeline!H437="","",Pipeline!H437))</f>
        <v/>
      </c>
      <c r="B437" s="77">
        <f>IF(Pipeline!$A437="","",IF(Pipeline!F437="","",Pipeline!F437))</f>
        <v/>
      </c>
      <c r="C437" s="96">
        <f>IF(Pipeline!$A437="","",IF(Pipeline!M437="","",Pipeline!M437))</f>
        <v/>
      </c>
      <c r="D437" s="97">
        <f>IF(Pipeline!$A437="","",IF(Pipeline!Q437="","",Pipeline!Q437))</f>
        <v/>
      </c>
      <c r="E437" s="98">
        <f>IF(Pipeline!$A437="","",IF(Pipeline!T437="","",Pipeline!T437))</f>
        <v/>
      </c>
      <c r="F437" s="77">
        <f>IF(Pipeline!$A437="","",IF(Pipeline!W437="","",Pipeline!W437))</f>
        <v/>
      </c>
      <c r="G437" s="99">
        <f>IF(Pipeline!$A437="","",IF(Pipeline!AH437="","",Pipeline!AH437))</f>
        <v/>
      </c>
      <c r="H437" s="77">
        <f>IF(Pipeline!$A437="","",IF(Pipeline!AI437="","",Pipeline!AI437))</f>
        <v/>
      </c>
      <c r="I437" s="77">
        <f>IF(Pipeline!$A437="","",IF(Pipeline!X437="","",Pipeline!X437))</f>
        <v/>
      </c>
      <c r="J437" s="77">
        <f>IF(Pipeline!$A437="","",IF(Pipeline!AF437="","–",Pipeline!AF437))</f>
        <v/>
      </c>
    </row>
    <row r="438" ht="15" customHeight="1" s="51">
      <c r="A438" s="77">
        <f>IF(Pipeline!$A438="","",IF(Pipeline!H438="","",Pipeline!H438))</f>
        <v/>
      </c>
      <c r="B438" s="77">
        <f>IF(Pipeline!$A438="","",IF(Pipeline!F438="","",Pipeline!F438))</f>
        <v/>
      </c>
      <c r="C438" s="96">
        <f>IF(Pipeline!$A438="","",IF(Pipeline!M438="","",Pipeline!M438))</f>
        <v/>
      </c>
      <c r="D438" s="97">
        <f>IF(Pipeline!$A438="","",IF(Pipeline!Q438="","",Pipeline!Q438))</f>
        <v/>
      </c>
      <c r="E438" s="98">
        <f>IF(Pipeline!$A438="","",IF(Pipeline!T438="","",Pipeline!T438))</f>
        <v/>
      </c>
      <c r="F438" s="77">
        <f>IF(Pipeline!$A438="","",IF(Pipeline!W438="","",Pipeline!W438))</f>
        <v/>
      </c>
      <c r="G438" s="99">
        <f>IF(Pipeline!$A438="","",IF(Pipeline!AH438="","",Pipeline!AH438))</f>
        <v/>
      </c>
      <c r="H438" s="77">
        <f>IF(Pipeline!$A438="","",IF(Pipeline!AI438="","",Pipeline!AI438))</f>
        <v/>
      </c>
      <c r="I438" s="77">
        <f>IF(Pipeline!$A438="","",IF(Pipeline!X438="","",Pipeline!X438))</f>
        <v/>
      </c>
      <c r="J438" s="77">
        <f>IF(Pipeline!$A438="","",IF(Pipeline!AF438="","–",Pipeline!AF438))</f>
        <v/>
      </c>
    </row>
    <row r="439" ht="15" customHeight="1" s="51">
      <c r="A439" s="77">
        <f>IF(Pipeline!$A439="","",IF(Pipeline!H439="","",Pipeline!H439))</f>
        <v/>
      </c>
      <c r="B439" s="77">
        <f>IF(Pipeline!$A439="","",IF(Pipeline!F439="","",Pipeline!F439))</f>
        <v/>
      </c>
      <c r="C439" s="96">
        <f>IF(Pipeline!$A439="","",IF(Pipeline!M439="","",Pipeline!M439))</f>
        <v/>
      </c>
      <c r="D439" s="97">
        <f>IF(Pipeline!$A439="","",IF(Pipeline!Q439="","",Pipeline!Q439))</f>
        <v/>
      </c>
      <c r="E439" s="98">
        <f>IF(Pipeline!$A439="","",IF(Pipeline!T439="","",Pipeline!T439))</f>
        <v/>
      </c>
      <c r="F439" s="77">
        <f>IF(Pipeline!$A439="","",IF(Pipeline!W439="","",Pipeline!W439))</f>
        <v/>
      </c>
      <c r="G439" s="99">
        <f>IF(Pipeline!$A439="","",IF(Pipeline!AH439="","",Pipeline!AH439))</f>
        <v/>
      </c>
      <c r="H439" s="77">
        <f>IF(Pipeline!$A439="","",IF(Pipeline!AI439="","",Pipeline!AI439))</f>
        <v/>
      </c>
      <c r="I439" s="77">
        <f>IF(Pipeline!$A439="","",IF(Pipeline!X439="","",Pipeline!X439))</f>
        <v/>
      </c>
      <c r="J439" s="77">
        <f>IF(Pipeline!$A439="","",IF(Pipeline!AF439="","–",Pipeline!AF439))</f>
        <v/>
      </c>
    </row>
    <row r="440" ht="15" customHeight="1" s="51">
      <c r="A440" s="77">
        <f>IF(Pipeline!$A440="","",IF(Pipeline!H440="","",Pipeline!H440))</f>
        <v/>
      </c>
      <c r="B440" s="77">
        <f>IF(Pipeline!$A440="","",IF(Pipeline!F440="","",Pipeline!F440))</f>
        <v/>
      </c>
      <c r="C440" s="96">
        <f>IF(Pipeline!$A440="","",IF(Pipeline!M440="","",Pipeline!M440))</f>
        <v/>
      </c>
      <c r="D440" s="97">
        <f>IF(Pipeline!$A440="","",IF(Pipeline!Q440="","",Pipeline!Q440))</f>
        <v/>
      </c>
      <c r="E440" s="98">
        <f>IF(Pipeline!$A440="","",IF(Pipeline!T440="","",Pipeline!T440))</f>
        <v/>
      </c>
      <c r="F440" s="77">
        <f>IF(Pipeline!$A440="","",IF(Pipeline!W440="","",Pipeline!W440))</f>
        <v/>
      </c>
      <c r="G440" s="99">
        <f>IF(Pipeline!$A440="","",IF(Pipeline!AH440="","",Pipeline!AH440))</f>
        <v/>
      </c>
      <c r="H440" s="77">
        <f>IF(Pipeline!$A440="","",IF(Pipeline!AI440="","",Pipeline!AI440))</f>
        <v/>
      </c>
      <c r="I440" s="77">
        <f>IF(Pipeline!$A440="","",IF(Pipeline!X440="","",Pipeline!X440))</f>
        <v/>
      </c>
      <c r="J440" s="77">
        <f>IF(Pipeline!$A440="","",IF(Pipeline!AF440="","–",Pipeline!AF440))</f>
        <v/>
      </c>
    </row>
    <row r="441" ht="15" customHeight="1" s="51">
      <c r="A441" s="77">
        <f>IF(Pipeline!$A441="","",IF(Pipeline!H441="","",Pipeline!H441))</f>
        <v/>
      </c>
      <c r="B441" s="77">
        <f>IF(Pipeline!$A441="","",IF(Pipeline!F441="","",Pipeline!F441))</f>
        <v/>
      </c>
      <c r="C441" s="96">
        <f>IF(Pipeline!$A441="","",IF(Pipeline!M441="","",Pipeline!M441))</f>
        <v/>
      </c>
      <c r="D441" s="97">
        <f>IF(Pipeline!$A441="","",IF(Pipeline!Q441="","",Pipeline!Q441))</f>
        <v/>
      </c>
      <c r="E441" s="98">
        <f>IF(Pipeline!$A441="","",IF(Pipeline!T441="","",Pipeline!T441))</f>
        <v/>
      </c>
      <c r="F441" s="77">
        <f>IF(Pipeline!$A441="","",IF(Pipeline!W441="","",Pipeline!W441))</f>
        <v/>
      </c>
      <c r="G441" s="99">
        <f>IF(Pipeline!$A441="","",IF(Pipeline!AH441="","",Pipeline!AH441))</f>
        <v/>
      </c>
      <c r="H441" s="77">
        <f>IF(Pipeline!$A441="","",IF(Pipeline!AI441="","",Pipeline!AI441))</f>
        <v/>
      </c>
      <c r="I441" s="77">
        <f>IF(Pipeline!$A441="","",IF(Pipeline!X441="","",Pipeline!X441))</f>
        <v/>
      </c>
      <c r="J441" s="77">
        <f>IF(Pipeline!$A441="","",IF(Pipeline!AF441="","–",Pipeline!AF441))</f>
        <v/>
      </c>
    </row>
    <row r="442" ht="15" customHeight="1" s="51">
      <c r="A442" s="77">
        <f>IF(Pipeline!$A442="","",IF(Pipeline!H442="","",Pipeline!H442))</f>
        <v/>
      </c>
      <c r="B442" s="77">
        <f>IF(Pipeline!$A442="","",IF(Pipeline!F442="","",Pipeline!F442))</f>
        <v/>
      </c>
      <c r="C442" s="96">
        <f>IF(Pipeline!$A442="","",IF(Pipeline!M442="","",Pipeline!M442))</f>
        <v/>
      </c>
      <c r="D442" s="97">
        <f>IF(Pipeline!$A442="","",IF(Pipeline!Q442="","",Pipeline!Q442))</f>
        <v/>
      </c>
      <c r="E442" s="98">
        <f>IF(Pipeline!$A442="","",IF(Pipeline!T442="","",Pipeline!T442))</f>
        <v/>
      </c>
      <c r="F442" s="77">
        <f>IF(Pipeline!$A442="","",IF(Pipeline!W442="","",Pipeline!W442))</f>
        <v/>
      </c>
      <c r="G442" s="99">
        <f>IF(Pipeline!$A442="","",IF(Pipeline!AH442="","",Pipeline!AH442))</f>
        <v/>
      </c>
      <c r="H442" s="77">
        <f>IF(Pipeline!$A442="","",IF(Pipeline!AI442="","",Pipeline!AI442))</f>
        <v/>
      </c>
      <c r="I442" s="77">
        <f>IF(Pipeline!$A442="","",IF(Pipeline!X442="","",Pipeline!X442))</f>
        <v/>
      </c>
      <c r="J442" s="77">
        <f>IF(Pipeline!$A442="","",IF(Pipeline!AF442="","–",Pipeline!AF442))</f>
        <v/>
      </c>
    </row>
    <row r="443" ht="15" customHeight="1" s="51">
      <c r="A443" s="77">
        <f>IF(Pipeline!$A443="","",IF(Pipeline!H443="","",Pipeline!H443))</f>
        <v/>
      </c>
      <c r="B443" s="77">
        <f>IF(Pipeline!$A443="","",IF(Pipeline!F443="","",Pipeline!F443))</f>
        <v/>
      </c>
      <c r="C443" s="96">
        <f>IF(Pipeline!$A443="","",IF(Pipeline!M443="","",Pipeline!M443))</f>
        <v/>
      </c>
      <c r="D443" s="97">
        <f>IF(Pipeline!$A443="","",IF(Pipeline!Q443="","",Pipeline!Q443))</f>
        <v/>
      </c>
      <c r="E443" s="98">
        <f>IF(Pipeline!$A443="","",IF(Pipeline!T443="","",Pipeline!T443))</f>
        <v/>
      </c>
      <c r="F443" s="77">
        <f>IF(Pipeline!$A443="","",IF(Pipeline!W443="","",Pipeline!W443))</f>
        <v/>
      </c>
      <c r="G443" s="99">
        <f>IF(Pipeline!$A443="","",IF(Pipeline!AH443="","",Pipeline!AH443))</f>
        <v/>
      </c>
      <c r="H443" s="77">
        <f>IF(Pipeline!$A443="","",IF(Pipeline!AI443="","",Pipeline!AI443))</f>
        <v/>
      </c>
      <c r="I443" s="77">
        <f>IF(Pipeline!$A443="","",IF(Pipeline!X443="","",Pipeline!X443))</f>
        <v/>
      </c>
      <c r="J443" s="77">
        <f>IF(Pipeline!$A443="","",IF(Pipeline!AF443="","–",Pipeline!AF443))</f>
        <v/>
      </c>
    </row>
    <row r="444" ht="15" customHeight="1" s="51">
      <c r="A444" s="77">
        <f>IF(Pipeline!$A444="","",IF(Pipeline!H444="","",Pipeline!H444))</f>
        <v/>
      </c>
      <c r="B444" s="77">
        <f>IF(Pipeline!$A444="","",IF(Pipeline!F444="","",Pipeline!F444))</f>
        <v/>
      </c>
      <c r="C444" s="96">
        <f>IF(Pipeline!$A444="","",IF(Pipeline!M444="","",Pipeline!M444))</f>
        <v/>
      </c>
      <c r="D444" s="97">
        <f>IF(Pipeline!$A444="","",IF(Pipeline!Q444="","",Pipeline!Q444))</f>
        <v/>
      </c>
      <c r="E444" s="98">
        <f>IF(Pipeline!$A444="","",IF(Pipeline!T444="","",Pipeline!T444))</f>
        <v/>
      </c>
      <c r="F444" s="77">
        <f>IF(Pipeline!$A444="","",IF(Pipeline!W444="","",Pipeline!W444))</f>
        <v/>
      </c>
      <c r="G444" s="99">
        <f>IF(Pipeline!$A444="","",IF(Pipeline!AH444="","",Pipeline!AH444))</f>
        <v/>
      </c>
      <c r="H444" s="77">
        <f>IF(Pipeline!$A444="","",IF(Pipeline!AI444="","",Pipeline!AI444))</f>
        <v/>
      </c>
      <c r="I444" s="77">
        <f>IF(Pipeline!$A444="","",IF(Pipeline!X444="","",Pipeline!X444))</f>
        <v/>
      </c>
      <c r="J444" s="77">
        <f>IF(Pipeline!$A444="","",IF(Pipeline!AF444="","–",Pipeline!AF444))</f>
        <v/>
      </c>
    </row>
    <row r="445" ht="15" customHeight="1" s="51">
      <c r="A445" s="77">
        <f>IF(Pipeline!$A445="","",IF(Pipeline!H445="","",Pipeline!H445))</f>
        <v/>
      </c>
      <c r="B445" s="77">
        <f>IF(Pipeline!$A445="","",IF(Pipeline!F445="","",Pipeline!F445))</f>
        <v/>
      </c>
      <c r="C445" s="96">
        <f>IF(Pipeline!$A445="","",IF(Pipeline!M445="","",Pipeline!M445))</f>
        <v/>
      </c>
      <c r="D445" s="97">
        <f>IF(Pipeline!$A445="","",IF(Pipeline!Q445="","",Pipeline!Q445))</f>
        <v/>
      </c>
      <c r="E445" s="98">
        <f>IF(Pipeline!$A445="","",IF(Pipeline!T445="","",Pipeline!T445))</f>
        <v/>
      </c>
      <c r="F445" s="77">
        <f>IF(Pipeline!$A445="","",IF(Pipeline!W445="","",Pipeline!W445))</f>
        <v/>
      </c>
      <c r="G445" s="99">
        <f>IF(Pipeline!$A445="","",IF(Pipeline!AH445="","",Pipeline!AH445))</f>
        <v/>
      </c>
      <c r="H445" s="77">
        <f>IF(Pipeline!$A445="","",IF(Pipeline!AI445="","",Pipeline!AI445))</f>
        <v/>
      </c>
      <c r="I445" s="77">
        <f>IF(Pipeline!$A445="","",IF(Pipeline!X445="","",Pipeline!X445))</f>
        <v/>
      </c>
      <c r="J445" s="77">
        <f>IF(Pipeline!$A445="","",IF(Pipeline!AF445="","–",Pipeline!AF445))</f>
        <v/>
      </c>
    </row>
    <row r="446" ht="15" customHeight="1" s="51">
      <c r="A446" s="77">
        <f>IF(Pipeline!$A446="","",IF(Pipeline!H446="","",Pipeline!H446))</f>
        <v/>
      </c>
      <c r="B446" s="77">
        <f>IF(Pipeline!$A446="","",IF(Pipeline!F446="","",Pipeline!F446))</f>
        <v/>
      </c>
      <c r="C446" s="96">
        <f>IF(Pipeline!$A446="","",IF(Pipeline!M446="","",Pipeline!M446))</f>
        <v/>
      </c>
      <c r="D446" s="97">
        <f>IF(Pipeline!$A446="","",IF(Pipeline!Q446="","",Pipeline!Q446))</f>
        <v/>
      </c>
      <c r="E446" s="98">
        <f>IF(Pipeline!$A446="","",IF(Pipeline!T446="","",Pipeline!T446))</f>
        <v/>
      </c>
      <c r="F446" s="77">
        <f>IF(Pipeline!$A446="","",IF(Pipeline!W446="","",Pipeline!W446))</f>
        <v/>
      </c>
      <c r="G446" s="99">
        <f>IF(Pipeline!$A446="","",IF(Pipeline!AH446="","",Pipeline!AH446))</f>
        <v/>
      </c>
      <c r="H446" s="77">
        <f>IF(Pipeline!$A446="","",IF(Pipeline!AI446="","",Pipeline!AI446))</f>
        <v/>
      </c>
      <c r="I446" s="77">
        <f>IF(Pipeline!$A446="","",IF(Pipeline!X446="","",Pipeline!X446))</f>
        <v/>
      </c>
      <c r="J446" s="77">
        <f>IF(Pipeline!$A446="","",IF(Pipeline!AF446="","–",Pipeline!AF446))</f>
        <v/>
      </c>
    </row>
    <row r="447" ht="15" customHeight="1" s="51">
      <c r="A447" s="77">
        <f>IF(Pipeline!$A447="","",IF(Pipeline!H447="","",Pipeline!H447))</f>
        <v/>
      </c>
      <c r="B447" s="77">
        <f>IF(Pipeline!$A447="","",IF(Pipeline!F447="","",Pipeline!F447))</f>
        <v/>
      </c>
      <c r="C447" s="96">
        <f>IF(Pipeline!$A447="","",IF(Pipeline!M447="","",Pipeline!M447))</f>
        <v/>
      </c>
      <c r="D447" s="97">
        <f>IF(Pipeline!$A447="","",IF(Pipeline!Q447="","",Pipeline!Q447))</f>
        <v/>
      </c>
      <c r="E447" s="98">
        <f>IF(Pipeline!$A447="","",IF(Pipeline!T447="","",Pipeline!T447))</f>
        <v/>
      </c>
      <c r="F447" s="77">
        <f>IF(Pipeline!$A447="","",IF(Pipeline!W447="","",Pipeline!W447))</f>
        <v/>
      </c>
      <c r="G447" s="99">
        <f>IF(Pipeline!$A447="","",IF(Pipeline!AH447="","",Pipeline!AH447))</f>
        <v/>
      </c>
      <c r="H447" s="77">
        <f>IF(Pipeline!$A447="","",IF(Pipeline!AI447="","",Pipeline!AI447))</f>
        <v/>
      </c>
      <c r="I447" s="77">
        <f>IF(Pipeline!$A447="","",IF(Pipeline!X447="","",Pipeline!X447))</f>
        <v/>
      </c>
      <c r="J447" s="77">
        <f>IF(Pipeline!$A447="","",IF(Pipeline!AF447="","–",Pipeline!AF447))</f>
        <v/>
      </c>
    </row>
    <row r="448" ht="15" customHeight="1" s="51">
      <c r="A448" s="77">
        <f>IF(Pipeline!$A448="","",IF(Pipeline!H448="","",Pipeline!H448))</f>
        <v/>
      </c>
      <c r="B448" s="77">
        <f>IF(Pipeline!$A448="","",IF(Pipeline!F448="","",Pipeline!F448))</f>
        <v/>
      </c>
      <c r="C448" s="96">
        <f>IF(Pipeline!$A448="","",IF(Pipeline!M448="","",Pipeline!M448))</f>
        <v/>
      </c>
      <c r="D448" s="97">
        <f>IF(Pipeline!$A448="","",IF(Pipeline!Q448="","",Pipeline!Q448))</f>
        <v/>
      </c>
      <c r="E448" s="98">
        <f>IF(Pipeline!$A448="","",IF(Pipeline!T448="","",Pipeline!T448))</f>
        <v/>
      </c>
      <c r="F448" s="77">
        <f>IF(Pipeline!$A448="","",IF(Pipeline!W448="","",Pipeline!W448))</f>
        <v/>
      </c>
      <c r="G448" s="99">
        <f>IF(Pipeline!$A448="","",IF(Pipeline!AH448="","",Pipeline!AH448))</f>
        <v/>
      </c>
      <c r="H448" s="77">
        <f>IF(Pipeline!$A448="","",IF(Pipeline!AI448="","",Pipeline!AI448))</f>
        <v/>
      </c>
      <c r="I448" s="77">
        <f>IF(Pipeline!$A448="","",IF(Pipeline!X448="","",Pipeline!X448))</f>
        <v/>
      </c>
      <c r="J448" s="77">
        <f>IF(Pipeline!$A448="","",IF(Pipeline!AF448="","–",Pipeline!AF448))</f>
        <v/>
      </c>
    </row>
    <row r="449" ht="15" customHeight="1" s="51">
      <c r="A449" s="77">
        <f>IF(Pipeline!$A449="","",IF(Pipeline!H449="","",Pipeline!H449))</f>
        <v/>
      </c>
      <c r="B449" s="77">
        <f>IF(Pipeline!$A449="","",IF(Pipeline!F449="","",Pipeline!F449))</f>
        <v/>
      </c>
      <c r="C449" s="96">
        <f>IF(Pipeline!$A449="","",IF(Pipeline!M449="","",Pipeline!M449))</f>
        <v/>
      </c>
      <c r="D449" s="97">
        <f>IF(Pipeline!$A449="","",IF(Pipeline!Q449="","",Pipeline!Q449))</f>
        <v/>
      </c>
      <c r="E449" s="98">
        <f>IF(Pipeline!$A449="","",IF(Pipeline!T449="","",Pipeline!T449))</f>
        <v/>
      </c>
      <c r="F449" s="77">
        <f>IF(Pipeline!$A449="","",IF(Pipeline!W449="","",Pipeline!W449))</f>
        <v/>
      </c>
      <c r="G449" s="99">
        <f>IF(Pipeline!$A449="","",IF(Pipeline!AH449="","",Pipeline!AH449))</f>
        <v/>
      </c>
      <c r="H449" s="77">
        <f>IF(Pipeline!$A449="","",IF(Pipeline!AI449="","",Pipeline!AI449))</f>
        <v/>
      </c>
      <c r="I449" s="77">
        <f>IF(Pipeline!$A449="","",IF(Pipeline!X449="","",Pipeline!X449))</f>
        <v/>
      </c>
      <c r="J449" s="77">
        <f>IF(Pipeline!$A449="","",IF(Pipeline!AF449="","–",Pipeline!AF449))</f>
        <v/>
      </c>
    </row>
    <row r="450" ht="15" customHeight="1" s="51">
      <c r="A450" s="77">
        <f>IF(Pipeline!$A450="","",IF(Pipeline!H450="","",Pipeline!H450))</f>
        <v/>
      </c>
      <c r="B450" s="77">
        <f>IF(Pipeline!$A450="","",IF(Pipeline!F450="","",Pipeline!F450))</f>
        <v/>
      </c>
      <c r="C450" s="96">
        <f>IF(Pipeline!$A450="","",IF(Pipeline!M450="","",Pipeline!M450))</f>
        <v/>
      </c>
      <c r="D450" s="97">
        <f>IF(Pipeline!$A450="","",IF(Pipeline!Q450="","",Pipeline!Q450))</f>
        <v/>
      </c>
      <c r="E450" s="98">
        <f>IF(Pipeline!$A450="","",IF(Pipeline!T450="","",Pipeline!T450))</f>
        <v/>
      </c>
      <c r="F450" s="77">
        <f>IF(Pipeline!$A450="","",IF(Pipeline!W450="","",Pipeline!W450))</f>
        <v/>
      </c>
      <c r="G450" s="99">
        <f>IF(Pipeline!$A450="","",IF(Pipeline!AH450="","",Pipeline!AH450))</f>
        <v/>
      </c>
      <c r="H450" s="77">
        <f>IF(Pipeline!$A450="","",IF(Pipeline!AI450="","",Pipeline!AI450))</f>
        <v/>
      </c>
      <c r="I450" s="77">
        <f>IF(Pipeline!$A450="","",IF(Pipeline!X450="","",Pipeline!X450))</f>
        <v/>
      </c>
      <c r="J450" s="77">
        <f>IF(Pipeline!$A450="","",IF(Pipeline!AF450="","–",Pipeline!AF450))</f>
        <v/>
      </c>
    </row>
    <row r="451" ht="15" customHeight="1" s="51">
      <c r="A451" s="77">
        <f>IF(Pipeline!$A451="","",IF(Pipeline!H451="","",Pipeline!H451))</f>
        <v/>
      </c>
      <c r="B451" s="77">
        <f>IF(Pipeline!$A451="","",IF(Pipeline!F451="","",Pipeline!F451))</f>
        <v/>
      </c>
      <c r="C451" s="96">
        <f>IF(Pipeline!$A451="","",IF(Pipeline!M451="","",Pipeline!M451))</f>
        <v/>
      </c>
      <c r="D451" s="97">
        <f>IF(Pipeline!$A451="","",IF(Pipeline!Q451="","",Pipeline!Q451))</f>
        <v/>
      </c>
      <c r="E451" s="98">
        <f>IF(Pipeline!$A451="","",IF(Pipeline!T451="","",Pipeline!T451))</f>
        <v/>
      </c>
      <c r="F451" s="77">
        <f>IF(Pipeline!$A451="","",IF(Pipeline!W451="","",Pipeline!W451))</f>
        <v/>
      </c>
      <c r="G451" s="99">
        <f>IF(Pipeline!$A451="","",IF(Pipeline!AH451="","",Pipeline!AH451))</f>
        <v/>
      </c>
      <c r="H451" s="77">
        <f>IF(Pipeline!$A451="","",IF(Pipeline!AI451="","",Pipeline!AI451))</f>
        <v/>
      </c>
      <c r="I451" s="77">
        <f>IF(Pipeline!$A451="","",IF(Pipeline!X451="","",Pipeline!X451))</f>
        <v/>
      </c>
      <c r="J451" s="77">
        <f>IF(Pipeline!$A451="","",IF(Pipeline!AF451="","–",Pipeline!AF451))</f>
        <v/>
      </c>
    </row>
    <row r="452" ht="15" customHeight="1" s="51">
      <c r="A452" s="77">
        <f>IF(Pipeline!$A452="","",IF(Pipeline!H452="","",Pipeline!H452))</f>
        <v/>
      </c>
      <c r="B452" s="77">
        <f>IF(Pipeline!$A452="","",IF(Pipeline!F452="","",Pipeline!F452))</f>
        <v/>
      </c>
      <c r="C452" s="96">
        <f>IF(Pipeline!$A452="","",IF(Pipeline!M452="","",Pipeline!M452))</f>
        <v/>
      </c>
      <c r="D452" s="97">
        <f>IF(Pipeline!$A452="","",IF(Pipeline!Q452="","",Pipeline!Q452))</f>
        <v/>
      </c>
      <c r="E452" s="98">
        <f>IF(Pipeline!$A452="","",IF(Pipeline!T452="","",Pipeline!T452))</f>
        <v/>
      </c>
      <c r="F452" s="77">
        <f>IF(Pipeline!$A452="","",IF(Pipeline!W452="","",Pipeline!W452))</f>
        <v/>
      </c>
      <c r="G452" s="99">
        <f>IF(Pipeline!$A452="","",IF(Pipeline!AH452="","",Pipeline!AH452))</f>
        <v/>
      </c>
      <c r="H452" s="77">
        <f>IF(Pipeline!$A452="","",IF(Pipeline!AI452="","",Pipeline!AI452))</f>
        <v/>
      </c>
      <c r="I452" s="77">
        <f>IF(Pipeline!$A452="","",IF(Pipeline!X452="","",Pipeline!X452))</f>
        <v/>
      </c>
      <c r="J452" s="77">
        <f>IF(Pipeline!$A452="","",IF(Pipeline!AF452="","–",Pipeline!AF452))</f>
        <v/>
      </c>
    </row>
    <row r="453" ht="15" customHeight="1" s="51">
      <c r="A453" s="77">
        <f>IF(Pipeline!$A453="","",IF(Pipeline!H453="","",Pipeline!H453))</f>
        <v/>
      </c>
      <c r="B453" s="77">
        <f>IF(Pipeline!$A453="","",IF(Pipeline!F453="","",Pipeline!F453))</f>
        <v/>
      </c>
      <c r="C453" s="96">
        <f>IF(Pipeline!$A453="","",IF(Pipeline!M453="","",Pipeline!M453))</f>
        <v/>
      </c>
      <c r="D453" s="97">
        <f>IF(Pipeline!$A453="","",IF(Pipeline!Q453="","",Pipeline!Q453))</f>
        <v/>
      </c>
      <c r="E453" s="98">
        <f>IF(Pipeline!$A453="","",IF(Pipeline!T453="","",Pipeline!T453))</f>
        <v/>
      </c>
      <c r="F453" s="77">
        <f>IF(Pipeline!$A453="","",IF(Pipeline!W453="","",Pipeline!W453))</f>
        <v/>
      </c>
      <c r="G453" s="99">
        <f>IF(Pipeline!$A453="","",IF(Pipeline!AH453="","",Pipeline!AH453))</f>
        <v/>
      </c>
      <c r="H453" s="77">
        <f>IF(Pipeline!$A453="","",IF(Pipeline!AI453="","",Pipeline!AI453))</f>
        <v/>
      </c>
      <c r="I453" s="77">
        <f>IF(Pipeline!$A453="","",IF(Pipeline!X453="","",Pipeline!X453))</f>
        <v/>
      </c>
      <c r="J453" s="77">
        <f>IF(Pipeline!$A453="","",IF(Pipeline!AF453="","–",Pipeline!AF453))</f>
        <v/>
      </c>
    </row>
    <row r="454" ht="15" customHeight="1" s="51">
      <c r="A454" s="77">
        <f>IF(Pipeline!$A454="","",IF(Pipeline!H454="","",Pipeline!H454))</f>
        <v/>
      </c>
      <c r="B454" s="77">
        <f>IF(Pipeline!$A454="","",IF(Pipeline!F454="","",Pipeline!F454))</f>
        <v/>
      </c>
      <c r="C454" s="96">
        <f>IF(Pipeline!$A454="","",IF(Pipeline!M454="","",Pipeline!M454))</f>
        <v/>
      </c>
      <c r="D454" s="97">
        <f>IF(Pipeline!$A454="","",IF(Pipeline!Q454="","",Pipeline!Q454))</f>
        <v/>
      </c>
      <c r="E454" s="98">
        <f>IF(Pipeline!$A454="","",IF(Pipeline!T454="","",Pipeline!T454))</f>
        <v/>
      </c>
      <c r="F454" s="77">
        <f>IF(Pipeline!$A454="","",IF(Pipeline!W454="","",Pipeline!W454))</f>
        <v/>
      </c>
      <c r="G454" s="99">
        <f>IF(Pipeline!$A454="","",IF(Pipeline!AH454="","",Pipeline!AH454))</f>
        <v/>
      </c>
      <c r="H454" s="77">
        <f>IF(Pipeline!$A454="","",IF(Pipeline!AI454="","",Pipeline!AI454))</f>
        <v/>
      </c>
      <c r="I454" s="77">
        <f>IF(Pipeline!$A454="","",IF(Pipeline!X454="","",Pipeline!X454))</f>
        <v/>
      </c>
      <c r="J454" s="77">
        <f>IF(Pipeline!$A454="","",IF(Pipeline!AF454="","–",Pipeline!AF454))</f>
        <v/>
      </c>
    </row>
    <row r="455" ht="15" customHeight="1" s="51">
      <c r="A455" s="77">
        <f>IF(Pipeline!$A455="","",IF(Pipeline!H455="","",Pipeline!H455))</f>
        <v/>
      </c>
      <c r="B455" s="77">
        <f>IF(Pipeline!$A455="","",IF(Pipeline!F455="","",Pipeline!F455))</f>
        <v/>
      </c>
      <c r="C455" s="96">
        <f>IF(Pipeline!$A455="","",IF(Pipeline!M455="","",Pipeline!M455))</f>
        <v/>
      </c>
      <c r="D455" s="97">
        <f>IF(Pipeline!$A455="","",IF(Pipeline!Q455="","",Pipeline!Q455))</f>
        <v/>
      </c>
      <c r="E455" s="98">
        <f>IF(Pipeline!$A455="","",IF(Pipeline!T455="","",Pipeline!T455))</f>
        <v/>
      </c>
      <c r="F455" s="77">
        <f>IF(Pipeline!$A455="","",IF(Pipeline!W455="","",Pipeline!W455))</f>
        <v/>
      </c>
      <c r="G455" s="99">
        <f>IF(Pipeline!$A455="","",IF(Pipeline!AH455="","",Pipeline!AH455))</f>
        <v/>
      </c>
      <c r="H455" s="77">
        <f>IF(Pipeline!$A455="","",IF(Pipeline!AI455="","",Pipeline!AI455))</f>
        <v/>
      </c>
      <c r="I455" s="77">
        <f>IF(Pipeline!$A455="","",IF(Pipeline!X455="","",Pipeline!X455))</f>
        <v/>
      </c>
      <c r="J455" s="77">
        <f>IF(Pipeline!$A455="","",IF(Pipeline!AF455="","–",Pipeline!AF455))</f>
        <v/>
      </c>
    </row>
    <row r="456" ht="15" customHeight="1" s="51">
      <c r="A456" s="77">
        <f>IF(Pipeline!$A456="","",IF(Pipeline!H456="","",Pipeline!H456))</f>
        <v/>
      </c>
      <c r="B456" s="77">
        <f>IF(Pipeline!$A456="","",IF(Pipeline!F456="","",Pipeline!F456))</f>
        <v/>
      </c>
      <c r="C456" s="96">
        <f>IF(Pipeline!$A456="","",IF(Pipeline!M456="","",Pipeline!M456))</f>
        <v/>
      </c>
      <c r="D456" s="97">
        <f>IF(Pipeline!$A456="","",IF(Pipeline!Q456="","",Pipeline!Q456))</f>
        <v/>
      </c>
      <c r="E456" s="98">
        <f>IF(Pipeline!$A456="","",IF(Pipeline!T456="","",Pipeline!T456))</f>
        <v/>
      </c>
      <c r="F456" s="77">
        <f>IF(Pipeline!$A456="","",IF(Pipeline!W456="","",Pipeline!W456))</f>
        <v/>
      </c>
      <c r="G456" s="99">
        <f>IF(Pipeline!$A456="","",IF(Pipeline!AH456="","",Pipeline!AH456))</f>
        <v/>
      </c>
      <c r="H456" s="77">
        <f>IF(Pipeline!$A456="","",IF(Pipeline!AI456="","",Pipeline!AI456))</f>
        <v/>
      </c>
      <c r="I456" s="77">
        <f>IF(Pipeline!$A456="","",IF(Pipeline!X456="","",Pipeline!X456))</f>
        <v/>
      </c>
      <c r="J456" s="77">
        <f>IF(Pipeline!$A456="","",IF(Pipeline!AF456="","–",Pipeline!AF456))</f>
        <v/>
      </c>
    </row>
    <row r="457" ht="15" customHeight="1" s="51">
      <c r="A457" s="77">
        <f>IF(Pipeline!$A457="","",IF(Pipeline!H457="","",Pipeline!H457))</f>
        <v/>
      </c>
      <c r="B457" s="77">
        <f>IF(Pipeline!$A457="","",IF(Pipeline!F457="","",Pipeline!F457))</f>
        <v/>
      </c>
      <c r="C457" s="96">
        <f>IF(Pipeline!$A457="","",IF(Pipeline!M457="","",Pipeline!M457))</f>
        <v/>
      </c>
      <c r="D457" s="97">
        <f>IF(Pipeline!$A457="","",IF(Pipeline!Q457="","",Pipeline!Q457))</f>
        <v/>
      </c>
      <c r="E457" s="98">
        <f>IF(Pipeline!$A457="","",IF(Pipeline!T457="","",Pipeline!T457))</f>
        <v/>
      </c>
      <c r="F457" s="77">
        <f>IF(Pipeline!$A457="","",IF(Pipeline!W457="","",Pipeline!W457))</f>
        <v/>
      </c>
      <c r="G457" s="99">
        <f>IF(Pipeline!$A457="","",IF(Pipeline!AH457="","",Pipeline!AH457))</f>
        <v/>
      </c>
      <c r="H457" s="77">
        <f>IF(Pipeline!$A457="","",IF(Pipeline!AI457="","",Pipeline!AI457))</f>
        <v/>
      </c>
      <c r="I457" s="77">
        <f>IF(Pipeline!$A457="","",IF(Pipeline!X457="","",Pipeline!X457))</f>
        <v/>
      </c>
      <c r="J457" s="77">
        <f>IF(Pipeline!$A457="","",IF(Pipeline!AF457="","–",Pipeline!AF457))</f>
        <v/>
      </c>
    </row>
    <row r="458" ht="15" customHeight="1" s="51">
      <c r="A458" s="77">
        <f>IF(Pipeline!$A458="","",IF(Pipeline!H458="","",Pipeline!H458))</f>
        <v/>
      </c>
      <c r="B458" s="77">
        <f>IF(Pipeline!$A458="","",IF(Pipeline!F458="","",Pipeline!F458))</f>
        <v/>
      </c>
      <c r="C458" s="96">
        <f>IF(Pipeline!$A458="","",IF(Pipeline!M458="","",Pipeline!M458))</f>
        <v/>
      </c>
      <c r="D458" s="97">
        <f>IF(Pipeline!$A458="","",IF(Pipeline!Q458="","",Pipeline!Q458))</f>
        <v/>
      </c>
      <c r="E458" s="98">
        <f>IF(Pipeline!$A458="","",IF(Pipeline!T458="","",Pipeline!T458))</f>
        <v/>
      </c>
      <c r="F458" s="77">
        <f>IF(Pipeline!$A458="","",IF(Pipeline!W458="","",Pipeline!W458))</f>
        <v/>
      </c>
      <c r="G458" s="99">
        <f>IF(Pipeline!$A458="","",IF(Pipeline!AH458="","",Pipeline!AH458))</f>
        <v/>
      </c>
      <c r="H458" s="77">
        <f>IF(Pipeline!$A458="","",IF(Pipeline!AI458="","",Pipeline!AI458))</f>
        <v/>
      </c>
      <c r="I458" s="77">
        <f>IF(Pipeline!$A458="","",IF(Pipeline!X458="","",Pipeline!X458))</f>
        <v/>
      </c>
      <c r="J458" s="77">
        <f>IF(Pipeline!$A458="","",IF(Pipeline!AF458="","–",Pipeline!AF458))</f>
        <v/>
      </c>
    </row>
    <row r="459" ht="15" customHeight="1" s="51">
      <c r="A459" s="77">
        <f>IF(Pipeline!$A459="","",IF(Pipeline!H459="","",Pipeline!H459))</f>
        <v/>
      </c>
      <c r="B459" s="77">
        <f>IF(Pipeline!$A459="","",IF(Pipeline!F459="","",Pipeline!F459))</f>
        <v/>
      </c>
      <c r="C459" s="96">
        <f>IF(Pipeline!$A459="","",IF(Pipeline!M459="","",Pipeline!M459))</f>
        <v/>
      </c>
      <c r="D459" s="97">
        <f>IF(Pipeline!$A459="","",IF(Pipeline!Q459="","",Pipeline!Q459))</f>
        <v/>
      </c>
      <c r="E459" s="98">
        <f>IF(Pipeline!$A459="","",IF(Pipeline!T459="","",Pipeline!T459))</f>
        <v/>
      </c>
      <c r="F459" s="77">
        <f>IF(Pipeline!$A459="","",IF(Pipeline!W459="","",Pipeline!W459))</f>
        <v/>
      </c>
      <c r="G459" s="99">
        <f>IF(Pipeline!$A459="","",IF(Pipeline!AH459="","",Pipeline!AH459))</f>
        <v/>
      </c>
      <c r="H459" s="77">
        <f>IF(Pipeline!$A459="","",IF(Pipeline!AI459="","",Pipeline!AI459))</f>
        <v/>
      </c>
      <c r="I459" s="77">
        <f>IF(Pipeline!$A459="","",IF(Pipeline!X459="","",Pipeline!X459))</f>
        <v/>
      </c>
      <c r="J459" s="77">
        <f>IF(Pipeline!$A459="","",IF(Pipeline!AF459="","–",Pipeline!AF459))</f>
        <v/>
      </c>
    </row>
    <row r="460" ht="15" customHeight="1" s="51">
      <c r="A460" s="77">
        <f>IF(Pipeline!$A460="","",IF(Pipeline!H460="","",Pipeline!H460))</f>
        <v/>
      </c>
      <c r="B460" s="77">
        <f>IF(Pipeline!$A460="","",IF(Pipeline!F460="","",Pipeline!F460))</f>
        <v/>
      </c>
      <c r="C460" s="96">
        <f>IF(Pipeline!$A460="","",IF(Pipeline!M460="","",Pipeline!M460))</f>
        <v/>
      </c>
      <c r="D460" s="97">
        <f>IF(Pipeline!$A460="","",IF(Pipeline!Q460="","",Pipeline!Q460))</f>
        <v/>
      </c>
      <c r="E460" s="98">
        <f>IF(Pipeline!$A460="","",IF(Pipeline!T460="","",Pipeline!T460))</f>
        <v/>
      </c>
      <c r="F460" s="77">
        <f>IF(Pipeline!$A460="","",IF(Pipeline!W460="","",Pipeline!W460))</f>
        <v/>
      </c>
      <c r="G460" s="99">
        <f>IF(Pipeline!$A460="","",IF(Pipeline!AH460="","",Pipeline!AH460))</f>
        <v/>
      </c>
      <c r="H460" s="77">
        <f>IF(Pipeline!$A460="","",IF(Pipeline!AI460="","",Pipeline!AI460))</f>
        <v/>
      </c>
      <c r="I460" s="77">
        <f>IF(Pipeline!$A460="","",IF(Pipeline!X460="","",Pipeline!X460))</f>
        <v/>
      </c>
      <c r="J460" s="77">
        <f>IF(Pipeline!$A460="","",IF(Pipeline!AF460="","–",Pipeline!AF460))</f>
        <v/>
      </c>
    </row>
    <row r="461" ht="15" customHeight="1" s="51">
      <c r="A461" s="77">
        <f>IF(Pipeline!$A461="","",IF(Pipeline!H461="","",Pipeline!H461))</f>
        <v/>
      </c>
      <c r="B461" s="77">
        <f>IF(Pipeline!$A461="","",IF(Pipeline!F461="","",Pipeline!F461))</f>
        <v/>
      </c>
      <c r="C461" s="96">
        <f>IF(Pipeline!$A461="","",IF(Pipeline!M461="","",Pipeline!M461))</f>
        <v/>
      </c>
      <c r="D461" s="97">
        <f>IF(Pipeline!$A461="","",IF(Pipeline!Q461="","",Pipeline!Q461))</f>
        <v/>
      </c>
      <c r="E461" s="98">
        <f>IF(Pipeline!$A461="","",IF(Pipeline!T461="","",Pipeline!T461))</f>
        <v/>
      </c>
      <c r="F461" s="77">
        <f>IF(Pipeline!$A461="","",IF(Pipeline!W461="","",Pipeline!W461))</f>
        <v/>
      </c>
      <c r="G461" s="99">
        <f>IF(Pipeline!$A461="","",IF(Pipeline!AH461="","",Pipeline!AH461))</f>
        <v/>
      </c>
      <c r="H461" s="77">
        <f>IF(Pipeline!$A461="","",IF(Pipeline!AI461="","",Pipeline!AI461))</f>
        <v/>
      </c>
      <c r="I461" s="77">
        <f>IF(Pipeline!$A461="","",IF(Pipeline!X461="","",Pipeline!X461))</f>
        <v/>
      </c>
      <c r="J461" s="77">
        <f>IF(Pipeline!$A461="","",IF(Pipeline!AF461="","–",Pipeline!AF461))</f>
        <v/>
      </c>
    </row>
    <row r="462" ht="15" customHeight="1" s="51">
      <c r="A462" s="77">
        <f>IF(Pipeline!$A462="","",IF(Pipeline!H462="","",Pipeline!H462))</f>
        <v/>
      </c>
      <c r="B462" s="77">
        <f>IF(Pipeline!$A462="","",IF(Pipeline!F462="","",Pipeline!F462))</f>
        <v/>
      </c>
      <c r="C462" s="96">
        <f>IF(Pipeline!$A462="","",IF(Pipeline!M462="","",Pipeline!M462))</f>
        <v/>
      </c>
      <c r="D462" s="97">
        <f>IF(Pipeline!$A462="","",IF(Pipeline!Q462="","",Pipeline!Q462))</f>
        <v/>
      </c>
      <c r="E462" s="98">
        <f>IF(Pipeline!$A462="","",IF(Pipeline!T462="","",Pipeline!T462))</f>
        <v/>
      </c>
      <c r="F462" s="77">
        <f>IF(Pipeline!$A462="","",IF(Pipeline!W462="","",Pipeline!W462))</f>
        <v/>
      </c>
      <c r="G462" s="99">
        <f>IF(Pipeline!$A462="","",IF(Pipeline!AH462="","",Pipeline!AH462))</f>
        <v/>
      </c>
      <c r="H462" s="77">
        <f>IF(Pipeline!$A462="","",IF(Pipeline!AI462="","",Pipeline!AI462))</f>
        <v/>
      </c>
      <c r="I462" s="77">
        <f>IF(Pipeline!$A462="","",IF(Pipeline!X462="","",Pipeline!X462))</f>
        <v/>
      </c>
      <c r="J462" s="77">
        <f>IF(Pipeline!$A462="","",IF(Pipeline!AF462="","–",Pipeline!AF462))</f>
        <v/>
      </c>
    </row>
    <row r="463" ht="15" customHeight="1" s="51">
      <c r="A463" s="77">
        <f>IF(Pipeline!$A463="","",IF(Pipeline!H463="","",Pipeline!H463))</f>
        <v/>
      </c>
      <c r="B463" s="77">
        <f>IF(Pipeline!$A463="","",IF(Pipeline!F463="","",Pipeline!F463))</f>
        <v/>
      </c>
      <c r="C463" s="96">
        <f>IF(Pipeline!$A463="","",IF(Pipeline!M463="","",Pipeline!M463))</f>
        <v/>
      </c>
      <c r="D463" s="97">
        <f>IF(Pipeline!$A463="","",IF(Pipeline!Q463="","",Pipeline!Q463))</f>
        <v/>
      </c>
      <c r="E463" s="98">
        <f>IF(Pipeline!$A463="","",IF(Pipeline!T463="","",Pipeline!T463))</f>
        <v/>
      </c>
      <c r="F463" s="77">
        <f>IF(Pipeline!$A463="","",IF(Pipeline!W463="","",Pipeline!W463))</f>
        <v/>
      </c>
      <c r="G463" s="99">
        <f>IF(Pipeline!$A463="","",IF(Pipeline!AH463="","",Pipeline!AH463))</f>
        <v/>
      </c>
      <c r="H463" s="77">
        <f>IF(Pipeline!$A463="","",IF(Pipeline!AI463="","",Pipeline!AI463))</f>
        <v/>
      </c>
      <c r="I463" s="77">
        <f>IF(Pipeline!$A463="","",IF(Pipeline!X463="","",Pipeline!X463))</f>
        <v/>
      </c>
      <c r="J463" s="77">
        <f>IF(Pipeline!$A463="","",IF(Pipeline!AF463="","–",Pipeline!AF463))</f>
        <v/>
      </c>
    </row>
    <row r="464" ht="15" customHeight="1" s="51">
      <c r="A464" s="77">
        <f>IF(Pipeline!$A464="","",IF(Pipeline!H464="","",Pipeline!H464))</f>
        <v/>
      </c>
      <c r="B464" s="77">
        <f>IF(Pipeline!$A464="","",IF(Pipeline!F464="","",Pipeline!F464))</f>
        <v/>
      </c>
      <c r="C464" s="96">
        <f>IF(Pipeline!$A464="","",IF(Pipeline!M464="","",Pipeline!M464))</f>
        <v/>
      </c>
      <c r="D464" s="97">
        <f>IF(Pipeline!$A464="","",IF(Pipeline!Q464="","",Pipeline!Q464))</f>
        <v/>
      </c>
      <c r="E464" s="98">
        <f>IF(Pipeline!$A464="","",IF(Pipeline!T464="","",Pipeline!T464))</f>
        <v/>
      </c>
      <c r="F464" s="77">
        <f>IF(Pipeline!$A464="","",IF(Pipeline!W464="","",Pipeline!W464))</f>
        <v/>
      </c>
      <c r="G464" s="99">
        <f>IF(Pipeline!$A464="","",IF(Pipeline!AH464="","",Pipeline!AH464))</f>
        <v/>
      </c>
      <c r="H464" s="77">
        <f>IF(Pipeline!$A464="","",IF(Pipeline!AI464="","",Pipeline!AI464))</f>
        <v/>
      </c>
      <c r="I464" s="77">
        <f>IF(Pipeline!$A464="","",IF(Pipeline!X464="","",Pipeline!X464))</f>
        <v/>
      </c>
      <c r="J464" s="77">
        <f>IF(Pipeline!$A464="","",IF(Pipeline!AF464="","–",Pipeline!AF464))</f>
        <v/>
      </c>
    </row>
    <row r="465" ht="15" customHeight="1" s="51">
      <c r="A465" s="77">
        <f>IF(Pipeline!$A465="","",IF(Pipeline!H465="","",Pipeline!H465))</f>
        <v/>
      </c>
      <c r="B465" s="77">
        <f>IF(Pipeline!$A465="","",IF(Pipeline!F465="","",Pipeline!F465))</f>
        <v/>
      </c>
      <c r="C465" s="96">
        <f>IF(Pipeline!$A465="","",IF(Pipeline!M465="","",Pipeline!M465))</f>
        <v/>
      </c>
      <c r="D465" s="97">
        <f>IF(Pipeline!$A465="","",IF(Pipeline!Q465="","",Pipeline!Q465))</f>
        <v/>
      </c>
      <c r="E465" s="98">
        <f>IF(Pipeline!$A465="","",IF(Pipeline!T465="","",Pipeline!T465))</f>
        <v/>
      </c>
      <c r="F465" s="77">
        <f>IF(Pipeline!$A465="","",IF(Pipeline!W465="","",Pipeline!W465))</f>
        <v/>
      </c>
      <c r="G465" s="99">
        <f>IF(Pipeline!$A465="","",IF(Pipeline!AH465="","",Pipeline!AH465))</f>
        <v/>
      </c>
      <c r="H465" s="77">
        <f>IF(Pipeline!$A465="","",IF(Pipeline!AI465="","",Pipeline!AI465))</f>
        <v/>
      </c>
      <c r="I465" s="77">
        <f>IF(Pipeline!$A465="","",IF(Pipeline!X465="","",Pipeline!X465))</f>
        <v/>
      </c>
      <c r="J465" s="77">
        <f>IF(Pipeline!$A465="","",IF(Pipeline!AF465="","–",Pipeline!AF465))</f>
        <v/>
      </c>
    </row>
    <row r="466" ht="15" customHeight="1" s="51">
      <c r="A466" s="77">
        <f>IF(Pipeline!$A466="","",IF(Pipeline!H466="","",Pipeline!H466))</f>
        <v/>
      </c>
      <c r="B466" s="77">
        <f>IF(Pipeline!$A466="","",IF(Pipeline!F466="","",Pipeline!F466))</f>
        <v/>
      </c>
      <c r="C466" s="96">
        <f>IF(Pipeline!$A466="","",IF(Pipeline!M466="","",Pipeline!M466))</f>
        <v/>
      </c>
      <c r="D466" s="97">
        <f>IF(Pipeline!$A466="","",IF(Pipeline!Q466="","",Pipeline!Q466))</f>
        <v/>
      </c>
      <c r="E466" s="98">
        <f>IF(Pipeline!$A466="","",IF(Pipeline!T466="","",Pipeline!T466))</f>
        <v/>
      </c>
      <c r="F466" s="77">
        <f>IF(Pipeline!$A466="","",IF(Pipeline!W466="","",Pipeline!W466))</f>
        <v/>
      </c>
      <c r="G466" s="99">
        <f>IF(Pipeline!$A466="","",IF(Pipeline!AH466="","",Pipeline!AH466))</f>
        <v/>
      </c>
      <c r="H466" s="77">
        <f>IF(Pipeline!$A466="","",IF(Pipeline!AI466="","",Pipeline!AI466))</f>
        <v/>
      </c>
      <c r="I466" s="77">
        <f>IF(Pipeline!$A466="","",IF(Pipeline!X466="","",Pipeline!X466))</f>
        <v/>
      </c>
      <c r="J466" s="77">
        <f>IF(Pipeline!$A466="","",IF(Pipeline!AF466="","–",Pipeline!AF466))</f>
        <v/>
      </c>
    </row>
    <row r="467" ht="15" customHeight="1" s="51">
      <c r="A467" s="77">
        <f>IF(Pipeline!$A467="","",IF(Pipeline!H467="","",Pipeline!H467))</f>
        <v/>
      </c>
      <c r="B467" s="77">
        <f>IF(Pipeline!$A467="","",IF(Pipeline!F467="","",Pipeline!F467))</f>
        <v/>
      </c>
      <c r="C467" s="96">
        <f>IF(Pipeline!$A467="","",IF(Pipeline!M467="","",Pipeline!M467))</f>
        <v/>
      </c>
      <c r="D467" s="97">
        <f>IF(Pipeline!$A467="","",IF(Pipeline!Q467="","",Pipeline!Q467))</f>
        <v/>
      </c>
      <c r="E467" s="98">
        <f>IF(Pipeline!$A467="","",IF(Pipeline!T467="","",Pipeline!T467))</f>
        <v/>
      </c>
      <c r="F467" s="77">
        <f>IF(Pipeline!$A467="","",IF(Pipeline!W467="","",Pipeline!W467))</f>
        <v/>
      </c>
      <c r="G467" s="99">
        <f>IF(Pipeline!$A467="","",IF(Pipeline!AH467="","",Pipeline!AH467))</f>
        <v/>
      </c>
      <c r="H467" s="77">
        <f>IF(Pipeline!$A467="","",IF(Pipeline!AI467="","",Pipeline!AI467))</f>
        <v/>
      </c>
      <c r="I467" s="77">
        <f>IF(Pipeline!$A467="","",IF(Pipeline!X467="","",Pipeline!X467))</f>
        <v/>
      </c>
      <c r="J467" s="77">
        <f>IF(Pipeline!$A467="","",IF(Pipeline!AF467="","–",Pipeline!AF467))</f>
        <v/>
      </c>
    </row>
    <row r="468" ht="15" customHeight="1" s="51">
      <c r="A468" s="77">
        <f>IF(Pipeline!$A468="","",IF(Pipeline!H468="","",Pipeline!H468))</f>
        <v/>
      </c>
      <c r="B468" s="77">
        <f>IF(Pipeline!$A468="","",IF(Pipeline!F468="","",Pipeline!F468))</f>
        <v/>
      </c>
      <c r="C468" s="96">
        <f>IF(Pipeline!$A468="","",IF(Pipeline!M468="","",Pipeline!M468))</f>
        <v/>
      </c>
      <c r="D468" s="97">
        <f>IF(Pipeline!$A468="","",IF(Pipeline!Q468="","",Pipeline!Q468))</f>
        <v/>
      </c>
      <c r="E468" s="98">
        <f>IF(Pipeline!$A468="","",IF(Pipeline!T468="","",Pipeline!T468))</f>
        <v/>
      </c>
      <c r="F468" s="77">
        <f>IF(Pipeline!$A468="","",IF(Pipeline!W468="","",Pipeline!W468))</f>
        <v/>
      </c>
      <c r="G468" s="99">
        <f>IF(Pipeline!$A468="","",IF(Pipeline!AH468="","",Pipeline!AH468))</f>
        <v/>
      </c>
      <c r="H468" s="77">
        <f>IF(Pipeline!$A468="","",IF(Pipeline!AI468="","",Pipeline!AI468))</f>
        <v/>
      </c>
      <c r="I468" s="77">
        <f>IF(Pipeline!$A468="","",IF(Pipeline!X468="","",Pipeline!X468))</f>
        <v/>
      </c>
      <c r="J468" s="77">
        <f>IF(Pipeline!$A468="","",IF(Pipeline!AF468="","–",Pipeline!AF468))</f>
        <v/>
      </c>
    </row>
    <row r="469" ht="15" customHeight="1" s="51">
      <c r="A469" s="77">
        <f>IF(Pipeline!$A469="","",IF(Pipeline!H469="","",Pipeline!H469))</f>
        <v/>
      </c>
      <c r="B469" s="77">
        <f>IF(Pipeline!$A469="","",IF(Pipeline!F469="","",Pipeline!F469))</f>
        <v/>
      </c>
      <c r="C469" s="96">
        <f>IF(Pipeline!$A469="","",IF(Pipeline!M469="","",Pipeline!M469))</f>
        <v/>
      </c>
      <c r="D469" s="97">
        <f>IF(Pipeline!$A469="","",IF(Pipeline!Q469="","",Pipeline!Q469))</f>
        <v/>
      </c>
      <c r="E469" s="98">
        <f>IF(Pipeline!$A469="","",IF(Pipeline!T469="","",Pipeline!T469))</f>
        <v/>
      </c>
      <c r="F469" s="77">
        <f>IF(Pipeline!$A469="","",IF(Pipeline!W469="","",Pipeline!W469))</f>
        <v/>
      </c>
      <c r="G469" s="99">
        <f>IF(Pipeline!$A469="","",IF(Pipeline!AH469="","",Pipeline!AH469))</f>
        <v/>
      </c>
      <c r="H469" s="77">
        <f>IF(Pipeline!$A469="","",IF(Pipeline!AI469="","",Pipeline!AI469))</f>
        <v/>
      </c>
      <c r="I469" s="77">
        <f>IF(Pipeline!$A469="","",IF(Pipeline!X469="","",Pipeline!X469))</f>
        <v/>
      </c>
      <c r="J469" s="77">
        <f>IF(Pipeline!$A469="","",IF(Pipeline!AF469="","–",Pipeline!AF469))</f>
        <v/>
      </c>
    </row>
    <row r="470" ht="15" customHeight="1" s="51">
      <c r="A470" s="77">
        <f>IF(Pipeline!$A470="","",IF(Pipeline!H470="","",Pipeline!H470))</f>
        <v/>
      </c>
      <c r="B470" s="77">
        <f>IF(Pipeline!$A470="","",IF(Pipeline!F470="","",Pipeline!F470))</f>
        <v/>
      </c>
      <c r="C470" s="96">
        <f>IF(Pipeline!$A470="","",IF(Pipeline!M470="","",Pipeline!M470))</f>
        <v/>
      </c>
      <c r="D470" s="97">
        <f>IF(Pipeline!$A470="","",IF(Pipeline!Q470="","",Pipeline!Q470))</f>
        <v/>
      </c>
      <c r="E470" s="98">
        <f>IF(Pipeline!$A470="","",IF(Pipeline!T470="","",Pipeline!T470))</f>
        <v/>
      </c>
      <c r="F470" s="77">
        <f>IF(Pipeline!$A470="","",IF(Pipeline!W470="","",Pipeline!W470))</f>
        <v/>
      </c>
      <c r="G470" s="99">
        <f>IF(Pipeline!$A470="","",IF(Pipeline!AH470="","",Pipeline!AH470))</f>
        <v/>
      </c>
      <c r="H470" s="77">
        <f>IF(Pipeline!$A470="","",IF(Pipeline!AI470="","",Pipeline!AI470))</f>
        <v/>
      </c>
      <c r="I470" s="77">
        <f>IF(Pipeline!$A470="","",IF(Pipeline!X470="","",Pipeline!X470))</f>
        <v/>
      </c>
      <c r="J470" s="77">
        <f>IF(Pipeline!$A470="","",IF(Pipeline!AF470="","–",Pipeline!AF470))</f>
        <v/>
      </c>
    </row>
    <row r="471" ht="15" customHeight="1" s="51">
      <c r="A471" s="77">
        <f>IF(Pipeline!$A471="","",IF(Pipeline!H471="","",Pipeline!H471))</f>
        <v/>
      </c>
      <c r="B471" s="77">
        <f>IF(Pipeline!$A471="","",IF(Pipeline!F471="","",Pipeline!F471))</f>
        <v/>
      </c>
      <c r="C471" s="96">
        <f>IF(Pipeline!$A471="","",IF(Pipeline!M471="","",Pipeline!M471))</f>
        <v/>
      </c>
      <c r="D471" s="97">
        <f>IF(Pipeline!$A471="","",IF(Pipeline!Q471="","",Pipeline!Q471))</f>
        <v/>
      </c>
      <c r="E471" s="98">
        <f>IF(Pipeline!$A471="","",IF(Pipeline!T471="","",Pipeline!T471))</f>
        <v/>
      </c>
      <c r="F471" s="77">
        <f>IF(Pipeline!$A471="","",IF(Pipeline!W471="","",Pipeline!W471))</f>
        <v/>
      </c>
      <c r="G471" s="99">
        <f>IF(Pipeline!$A471="","",IF(Pipeline!AH471="","",Pipeline!AH471))</f>
        <v/>
      </c>
      <c r="H471" s="77">
        <f>IF(Pipeline!$A471="","",IF(Pipeline!AI471="","",Pipeline!AI471))</f>
        <v/>
      </c>
      <c r="I471" s="77">
        <f>IF(Pipeline!$A471="","",IF(Pipeline!X471="","",Pipeline!X471))</f>
        <v/>
      </c>
      <c r="J471" s="77">
        <f>IF(Pipeline!$A471="","",IF(Pipeline!AF471="","–",Pipeline!AF471))</f>
        <v/>
      </c>
    </row>
    <row r="472" ht="15" customHeight="1" s="51">
      <c r="A472" s="77">
        <f>IF(Pipeline!$A472="","",IF(Pipeline!H472="","",Pipeline!H472))</f>
        <v/>
      </c>
      <c r="B472" s="77">
        <f>IF(Pipeline!$A472="","",IF(Pipeline!F472="","",Pipeline!F472))</f>
        <v/>
      </c>
      <c r="C472" s="96">
        <f>IF(Pipeline!$A472="","",IF(Pipeline!M472="","",Pipeline!M472))</f>
        <v/>
      </c>
      <c r="D472" s="97">
        <f>IF(Pipeline!$A472="","",IF(Pipeline!Q472="","",Pipeline!Q472))</f>
        <v/>
      </c>
      <c r="E472" s="98">
        <f>IF(Pipeline!$A472="","",IF(Pipeline!T472="","",Pipeline!T472))</f>
        <v/>
      </c>
      <c r="F472" s="77">
        <f>IF(Pipeline!$A472="","",IF(Pipeline!W472="","",Pipeline!W472))</f>
        <v/>
      </c>
      <c r="G472" s="99">
        <f>IF(Pipeline!$A472="","",IF(Pipeline!AH472="","",Pipeline!AH472))</f>
        <v/>
      </c>
      <c r="H472" s="77">
        <f>IF(Pipeline!$A472="","",IF(Pipeline!AI472="","",Pipeline!AI472))</f>
        <v/>
      </c>
      <c r="I472" s="77">
        <f>IF(Pipeline!$A472="","",IF(Pipeline!X472="","",Pipeline!X472))</f>
        <v/>
      </c>
      <c r="J472" s="77">
        <f>IF(Pipeline!$A472="","",IF(Pipeline!AF472="","–",Pipeline!AF472))</f>
        <v/>
      </c>
    </row>
    <row r="473" ht="15" customHeight="1" s="51">
      <c r="A473" s="77">
        <f>IF(Pipeline!$A473="","",IF(Pipeline!H473="","",Pipeline!H473))</f>
        <v/>
      </c>
      <c r="B473" s="77">
        <f>IF(Pipeline!$A473="","",IF(Pipeline!F473="","",Pipeline!F473))</f>
        <v/>
      </c>
      <c r="C473" s="96">
        <f>IF(Pipeline!$A473="","",IF(Pipeline!M473="","",Pipeline!M473))</f>
        <v/>
      </c>
      <c r="D473" s="97">
        <f>IF(Pipeline!$A473="","",IF(Pipeline!Q473="","",Pipeline!Q473))</f>
        <v/>
      </c>
      <c r="E473" s="98">
        <f>IF(Pipeline!$A473="","",IF(Pipeline!T473="","",Pipeline!T473))</f>
        <v/>
      </c>
      <c r="F473" s="77">
        <f>IF(Pipeline!$A473="","",IF(Pipeline!W473="","",Pipeline!W473))</f>
        <v/>
      </c>
      <c r="G473" s="99">
        <f>IF(Pipeline!$A473="","",IF(Pipeline!AH473="","",Pipeline!AH473))</f>
        <v/>
      </c>
      <c r="H473" s="77">
        <f>IF(Pipeline!$A473="","",IF(Pipeline!AI473="","",Pipeline!AI473))</f>
        <v/>
      </c>
      <c r="I473" s="77">
        <f>IF(Pipeline!$A473="","",IF(Pipeline!X473="","",Pipeline!X473))</f>
        <v/>
      </c>
      <c r="J473" s="77">
        <f>IF(Pipeline!$A473="","",IF(Pipeline!AF473="","–",Pipeline!AF473))</f>
        <v/>
      </c>
    </row>
    <row r="474" ht="15" customHeight="1" s="51">
      <c r="A474" s="77">
        <f>IF(Pipeline!$A474="","",IF(Pipeline!H474="","",Pipeline!H474))</f>
        <v/>
      </c>
      <c r="B474" s="77">
        <f>IF(Pipeline!$A474="","",IF(Pipeline!F474="","",Pipeline!F474))</f>
        <v/>
      </c>
      <c r="C474" s="96">
        <f>IF(Pipeline!$A474="","",IF(Pipeline!M474="","",Pipeline!M474))</f>
        <v/>
      </c>
      <c r="D474" s="97">
        <f>IF(Pipeline!$A474="","",IF(Pipeline!Q474="","",Pipeline!Q474))</f>
        <v/>
      </c>
      <c r="E474" s="98">
        <f>IF(Pipeline!$A474="","",IF(Pipeline!T474="","",Pipeline!T474))</f>
        <v/>
      </c>
      <c r="F474" s="77">
        <f>IF(Pipeline!$A474="","",IF(Pipeline!W474="","",Pipeline!W474))</f>
        <v/>
      </c>
      <c r="G474" s="99">
        <f>IF(Pipeline!$A474="","",IF(Pipeline!AH474="","",Pipeline!AH474))</f>
        <v/>
      </c>
      <c r="H474" s="77">
        <f>IF(Pipeline!$A474="","",IF(Pipeline!AI474="","",Pipeline!AI474))</f>
        <v/>
      </c>
      <c r="I474" s="77">
        <f>IF(Pipeline!$A474="","",IF(Pipeline!X474="","",Pipeline!X474))</f>
        <v/>
      </c>
      <c r="J474" s="77">
        <f>IF(Pipeline!$A474="","",IF(Pipeline!AF474="","–",Pipeline!AF474))</f>
        <v/>
      </c>
    </row>
    <row r="475" ht="15" customHeight="1" s="51">
      <c r="A475" s="77">
        <f>IF(Pipeline!$A475="","",IF(Pipeline!H475="","",Pipeline!H475))</f>
        <v/>
      </c>
      <c r="B475" s="77">
        <f>IF(Pipeline!$A475="","",IF(Pipeline!F475="","",Pipeline!F475))</f>
        <v/>
      </c>
      <c r="C475" s="96">
        <f>IF(Pipeline!$A475="","",IF(Pipeline!M475="","",Pipeline!M475))</f>
        <v/>
      </c>
      <c r="D475" s="97">
        <f>IF(Pipeline!$A475="","",IF(Pipeline!Q475="","",Pipeline!Q475))</f>
        <v/>
      </c>
      <c r="E475" s="98">
        <f>IF(Pipeline!$A475="","",IF(Pipeline!T475="","",Pipeline!T475))</f>
        <v/>
      </c>
      <c r="F475" s="77">
        <f>IF(Pipeline!$A475="","",IF(Pipeline!W475="","",Pipeline!W475))</f>
        <v/>
      </c>
      <c r="G475" s="99">
        <f>IF(Pipeline!$A475="","",IF(Pipeline!AH475="","",Pipeline!AH475))</f>
        <v/>
      </c>
      <c r="H475" s="77">
        <f>IF(Pipeline!$A475="","",IF(Pipeline!AI475="","",Pipeline!AI475))</f>
        <v/>
      </c>
      <c r="I475" s="77">
        <f>IF(Pipeline!$A475="","",IF(Pipeline!X475="","",Pipeline!X475))</f>
        <v/>
      </c>
      <c r="J475" s="77">
        <f>IF(Pipeline!$A475="","",IF(Pipeline!AF475="","–",Pipeline!AF475))</f>
        <v/>
      </c>
    </row>
    <row r="476" ht="15" customHeight="1" s="51">
      <c r="A476" s="77">
        <f>IF(Pipeline!$A476="","",IF(Pipeline!H476="","",Pipeline!H476))</f>
        <v/>
      </c>
      <c r="B476" s="77">
        <f>IF(Pipeline!$A476="","",IF(Pipeline!F476="","",Pipeline!F476))</f>
        <v/>
      </c>
      <c r="C476" s="96">
        <f>IF(Pipeline!$A476="","",IF(Pipeline!M476="","",Pipeline!M476))</f>
        <v/>
      </c>
      <c r="D476" s="97">
        <f>IF(Pipeline!$A476="","",IF(Pipeline!Q476="","",Pipeline!Q476))</f>
        <v/>
      </c>
      <c r="E476" s="98">
        <f>IF(Pipeline!$A476="","",IF(Pipeline!T476="","",Pipeline!T476))</f>
        <v/>
      </c>
      <c r="F476" s="77">
        <f>IF(Pipeline!$A476="","",IF(Pipeline!W476="","",Pipeline!W476))</f>
        <v/>
      </c>
      <c r="G476" s="99">
        <f>IF(Pipeline!$A476="","",IF(Pipeline!AH476="","",Pipeline!AH476))</f>
        <v/>
      </c>
      <c r="H476" s="77">
        <f>IF(Pipeline!$A476="","",IF(Pipeline!AI476="","",Pipeline!AI476))</f>
        <v/>
      </c>
      <c r="I476" s="77">
        <f>IF(Pipeline!$A476="","",IF(Pipeline!X476="","",Pipeline!X476))</f>
        <v/>
      </c>
      <c r="J476" s="77">
        <f>IF(Pipeline!$A476="","",IF(Pipeline!AF476="","–",Pipeline!AF476))</f>
        <v/>
      </c>
    </row>
    <row r="477" ht="15" customHeight="1" s="51">
      <c r="A477" s="77">
        <f>IF(Pipeline!$A477="","",IF(Pipeline!H477="","",Pipeline!H477))</f>
        <v/>
      </c>
      <c r="B477" s="77">
        <f>IF(Pipeline!$A477="","",IF(Pipeline!F477="","",Pipeline!F477))</f>
        <v/>
      </c>
      <c r="C477" s="96">
        <f>IF(Pipeline!$A477="","",IF(Pipeline!M477="","",Pipeline!M477))</f>
        <v/>
      </c>
      <c r="D477" s="97">
        <f>IF(Pipeline!$A477="","",IF(Pipeline!Q477="","",Pipeline!Q477))</f>
        <v/>
      </c>
      <c r="E477" s="98">
        <f>IF(Pipeline!$A477="","",IF(Pipeline!T477="","",Pipeline!T477))</f>
        <v/>
      </c>
      <c r="F477" s="77">
        <f>IF(Pipeline!$A477="","",IF(Pipeline!W477="","",Pipeline!W477))</f>
        <v/>
      </c>
      <c r="G477" s="99">
        <f>IF(Pipeline!$A477="","",IF(Pipeline!AH477="","",Pipeline!AH477))</f>
        <v/>
      </c>
      <c r="H477" s="77">
        <f>IF(Pipeline!$A477="","",IF(Pipeline!AI477="","",Pipeline!AI477))</f>
        <v/>
      </c>
      <c r="I477" s="77">
        <f>IF(Pipeline!$A477="","",IF(Pipeline!X477="","",Pipeline!X477))</f>
        <v/>
      </c>
      <c r="J477" s="77">
        <f>IF(Pipeline!$A477="","",IF(Pipeline!AF477="","–",Pipeline!AF477))</f>
        <v/>
      </c>
    </row>
    <row r="478" ht="15" customHeight="1" s="51">
      <c r="A478" s="77">
        <f>IF(Pipeline!$A478="","",IF(Pipeline!H478="","",Pipeline!H478))</f>
        <v/>
      </c>
      <c r="B478" s="77">
        <f>IF(Pipeline!$A478="","",IF(Pipeline!F478="","",Pipeline!F478))</f>
        <v/>
      </c>
      <c r="C478" s="96">
        <f>IF(Pipeline!$A478="","",IF(Pipeline!M478="","",Pipeline!M478))</f>
        <v/>
      </c>
      <c r="D478" s="97">
        <f>IF(Pipeline!$A478="","",IF(Pipeline!Q478="","",Pipeline!Q478))</f>
        <v/>
      </c>
      <c r="E478" s="98">
        <f>IF(Pipeline!$A478="","",IF(Pipeline!T478="","",Pipeline!T478))</f>
        <v/>
      </c>
      <c r="F478" s="77">
        <f>IF(Pipeline!$A478="","",IF(Pipeline!W478="","",Pipeline!W478))</f>
        <v/>
      </c>
      <c r="G478" s="99">
        <f>IF(Pipeline!$A478="","",IF(Pipeline!AH478="","",Pipeline!AH478))</f>
        <v/>
      </c>
      <c r="H478" s="77">
        <f>IF(Pipeline!$A478="","",IF(Pipeline!AI478="","",Pipeline!AI478))</f>
        <v/>
      </c>
      <c r="I478" s="77">
        <f>IF(Pipeline!$A478="","",IF(Pipeline!X478="","",Pipeline!X478))</f>
        <v/>
      </c>
      <c r="J478" s="77">
        <f>IF(Pipeline!$A478="","",IF(Pipeline!AF478="","–",Pipeline!AF478))</f>
        <v/>
      </c>
    </row>
    <row r="479" ht="15" customHeight="1" s="51">
      <c r="A479" s="77">
        <f>IF(Pipeline!$A479="","",IF(Pipeline!H479="","",Pipeline!H479))</f>
        <v/>
      </c>
      <c r="B479" s="77">
        <f>IF(Pipeline!$A479="","",IF(Pipeline!F479="","",Pipeline!F479))</f>
        <v/>
      </c>
      <c r="C479" s="96">
        <f>IF(Pipeline!$A479="","",IF(Pipeline!M479="","",Pipeline!M479))</f>
        <v/>
      </c>
      <c r="D479" s="97">
        <f>IF(Pipeline!$A479="","",IF(Pipeline!Q479="","",Pipeline!Q479))</f>
        <v/>
      </c>
      <c r="E479" s="98">
        <f>IF(Pipeline!$A479="","",IF(Pipeline!T479="","",Pipeline!T479))</f>
        <v/>
      </c>
      <c r="F479" s="77">
        <f>IF(Pipeline!$A479="","",IF(Pipeline!W479="","",Pipeline!W479))</f>
        <v/>
      </c>
      <c r="G479" s="99">
        <f>IF(Pipeline!$A479="","",IF(Pipeline!AH479="","",Pipeline!AH479))</f>
        <v/>
      </c>
      <c r="H479" s="77">
        <f>IF(Pipeline!$A479="","",IF(Pipeline!AI479="","",Pipeline!AI479))</f>
        <v/>
      </c>
      <c r="I479" s="77">
        <f>IF(Pipeline!$A479="","",IF(Pipeline!X479="","",Pipeline!X479))</f>
        <v/>
      </c>
      <c r="J479" s="77">
        <f>IF(Pipeline!$A479="","",IF(Pipeline!AF479="","–",Pipeline!AF479))</f>
        <v/>
      </c>
    </row>
    <row r="480" ht="15" customHeight="1" s="51">
      <c r="A480" s="77">
        <f>IF(Pipeline!$A480="","",IF(Pipeline!H480="","",Pipeline!H480))</f>
        <v/>
      </c>
      <c r="B480" s="77">
        <f>IF(Pipeline!$A480="","",IF(Pipeline!F480="","",Pipeline!F480))</f>
        <v/>
      </c>
      <c r="C480" s="96">
        <f>IF(Pipeline!$A480="","",IF(Pipeline!M480="","",Pipeline!M480))</f>
        <v/>
      </c>
      <c r="D480" s="97">
        <f>IF(Pipeline!$A480="","",IF(Pipeline!Q480="","",Pipeline!Q480))</f>
        <v/>
      </c>
      <c r="E480" s="98">
        <f>IF(Pipeline!$A480="","",IF(Pipeline!T480="","",Pipeline!T480))</f>
        <v/>
      </c>
      <c r="F480" s="77">
        <f>IF(Pipeline!$A480="","",IF(Pipeline!W480="","",Pipeline!W480))</f>
        <v/>
      </c>
      <c r="G480" s="99">
        <f>IF(Pipeline!$A480="","",IF(Pipeline!AH480="","",Pipeline!AH480))</f>
        <v/>
      </c>
      <c r="H480" s="77">
        <f>IF(Pipeline!$A480="","",IF(Pipeline!AI480="","",Pipeline!AI480))</f>
        <v/>
      </c>
      <c r="I480" s="77">
        <f>IF(Pipeline!$A480="","",IF(Pipeline!X480="","",Pipeline!X480))</f>
        <v/>
      </c>
      <c r="J480" s="77">
        <f>IF(Pipeline!$A480="","",IF(Pipeline!AF480="","–",Pipeline!AF480))</f>
        <v/>
      </c>
    </row>
    <row r="481" ht="15" customHeight="1" s="51">
      <c r="A481" s="77">
        <f>IF(Pipeline!$A481="","",IF(Pipeline!H481="","",Pipeline!H481))</f>
        <v/>
      </c>
      <c r="B481" s="77">
        <f>IF(Pipeline!$A481="","",IF(Pipeline!F481="","",Pipeline!F481))</f>
        <v/>
      </c>
      <c r="C481" s="96">
        <f>IF(Pipeline!$A481="","",IF(Pipeline!M481="","",Pipeline!M481))</f>
        <v/>
      </c>
      <c r="D481" s="97">
        <f>IF(Pipeline!$A481="","",IF(Pipeline!Q481="","",Pipeline!Q481))</f>
        <v/>
      </c>
      <c r="E481" s="98">
        <f>IF(Pipeline!$A481="","",IF(Pipeline!T481="","",Pipeline!T481))</f>
        <v/>
      </c>
      <c r="F481" s="77">
        <f>IF(Pipeline!$A481="","",IF(Pipeline!W481="","",Pipeline!W481))</f>
        <v/>
      </c>
      <c r="G481" s="99">
        <f>IF(Pipeline!$A481="","",IF(Pipeline!AH481="","",Pipeline!AH481))</f>
        <v/>
      </c>
      <c r="H481" s="77">
        <f>IF(Pipeline!$A481="","",IF(Pipeline!AI481="","",Pipeline!AI481))</f>
        <v/>
      </c>
      <c r="I481" s="77">
        <f>IF(Pipeline!$A481="","",IF(Pipeline!X481="","",Pipeline!X481))</f>
        <v/>
      </c>
      <c r="J481" s="77">
        <f>IF(Pipeline!$A481="","",IF(Pipeline!AF481="","–",Pipeline!AF481))</f>
        <v/>
      </c>
    </row>
    <row r="482" ht="15" customHeight="1" s="51">
      <c r="A482" s="77">
        <f>IF(Pipeline!$A482="","",IF(Pipeline!H482="","",Pipeline!H482))</f>
        <v/>
      </c>
      <c r="B482" s="77">
        <f>IF(Pipeline!$A482="","",IF(Pipeline!F482="","",Pipeline!F482))</f>
        <v/>
      </c>
      <c r="C482" s="96">
        <f>IF(Pipeline!$A482="","",IF(Pipeline!M482="","",Pipeline!M482))</f>
        <v/>
      </c>
      <c r="D482" s="97">
        <f>IF(Pipeline!$A482="","",IF(Pipeline!Q482="","",Pipeline!Q482))</f>
        <v/>
      </c>
      <c r="E482" s="98">
        <f>IF(Pipeline!$A482="","",IF(Pipeline!T482="","",Pipeline!T482))</f>
        <v/>
      </c>
      <c r="F482" s="77">
        <f>IF(Pipeline!$A482="","",IF(Pipeline!W482="","",Pipeline!W482))</f>
        <v/>
      </c>
      <c r="G482" s="99">
        <f>IF(Pipeline!$A482="","",IF(Pipeline!AH482="","",Pipeline!AH482))</f>
        <v/>
      </c>
      <c r="H482" s="77">
        <f>IF(Pipeline!$A482="","",IF(Pipeline!AI482="","",Pipeline!AI482))</f>
        <v/>
      </c>
      <c r="I482" s="77">
        <f>IF(Pipeline!$A482="","",IF(Pipeline!X482="","",Pipeline!X482))</f>
        <v/>
      </c>
      <c r="J482" s="77">
        <f>IF(Pipeline!$A482="","",IF(Pipeline!AF482="","–",Pipeline!AF482))</f>
        <v/>
      </c>
    </row>
    <row r="483" ht="15" customHeight="1" s="51">
      <c r="A483" s="77">
        <f>IF(Pipeline!$A483="","",IF(Pipeline!H483="","",Pipeline!H483))</f>
        <v/>
      </c>
      <c r="B483" s="77">
        <f>IF(Pipeline!$A483="","",IF(Pipeline!F483="","",Pipeline!F483))</f>
        <v/>
      </c>
      <c r="C483" s="96">
        <f>IF(Pipeline!$A483="","",IF(Pipeline!M483="","",Pipeline!M483))</f>
        <v/>
      </c>
      <c r="D483" s="97">
        <f>IF(Pipeline!$A483="","",IF(Pipeline!Q483="","",Pipeline!Q483))</f>
        <v/>
      </c>
      <c r="E483" s="98">
        <f>IF(Pipeline!$A483="","",IF(Pipeline!T483="","",Pipeline!T483))</f>
        <v/>
      </c>
      <c r="F483" s="77">
        <f>IF(Pipeline!$A483="","",IF(Pipeline!W483="","",Pipeline!W483))</f>
        <v/>
      </c>
      <c r="G483" s="99">
        <f>IF(Pipeline!$A483="","",IF(Pipeline!AH483="","",Pipeline!AH483))</f>
        <v/>
      </c>
      <c r="H483" s="77">
        <f>IF(Pipeline!$A483="","",IF(Pipeline!AI483="","",Pipeline!AI483))</f>
        <v/>
      </c>
      <c r="I483" s="77">
        <f>IF(Pipeline!$A483="","",IF(Pipeline!X483="","",Pipeline!X483))</f>
        <v/>
      </c>
      <c r="J483" s="77">
        <f>IF(Pipeline!$A483="","",IF(Pipeline!AF483="","–",Pipeline!AF483))</f>
        <v/>
      </c>
    </row>
    <row r="484" ht="15" customHeight="1" s="51">
      <c r="A484" s="77">
        <f>IF(Pipeline!$A484="","",IF(Pipeline!H484="","",Pipeline!H484))</f>
        <v/>
      </c>
      <c r="B484" s="77">
        <f>IF(Pipeline!$A484="","",IF(Pipeline!F484="","",Pipeline!F484))</f>
        <v/>
      </c>
      <c r="C484" s="96">
        <f>IF(Pipeline!$A484="","",IF(Pipeline!M484="","",Pipeline!M484))</f>
        <v/>
      </c>
      <c r="D484" s="97">
        <f>IF(Pipeline!$A484="","",IF(Pipeline!Q484="","",Pipeline!Q484))</f>
        <v/>
      </c>
      <c r="E484" s="98">
        <f>IF(Pipeline!$A484="","",IF(Pipeline!T484="","",Pipeline!T484))</f>
        <v/>
      </c>
      <c r="F484" s="77">
        <f>IF(Pipeline!$A484="","",IF(Pipeline!W484="","",Pipeline!W484))</f>
        <v/>
      </c>
      <c r="G484" s="99">
        <f>IF(Pipeline!$A484="","",IF(Pipeline!AH484="","",Pipeline!AH484))</f>
        <v/>
      </c>
      <c r="H484" s="77">
        <f>IF(Pipeline!$A484="","",IF(Pipeline!AI484="","",Pipeline!AI484))</f>
        <v/>
      </c>
      <c r="I484" s="77">
        <f>IF(Pipeline!$A484="","",IF(Pipeline!X484="","",Pipeline!X484))</f>
        <v/>
      </c>
      <c r="J484" s="77">
        <f>IF(Pipeline!$A484="","",IF(Pipeline!AF484="","–",Pipeline!AF484))</f>
        <v/>
      </c>
    </row>
    <row r="485" ht="15" customHeight="1" s="51">
      <c r="A485" s="77">
        <f>IF(Pipeline!$A485="","",IF(Pipeline!H485="","",Pipeline!H485))</f>
        <v/>
      </c>
      <c r="B485" s="77">
        <f>IF(Pipeline!$A485="","",IF(Pipeline!F485="","",Pipeline!F485))</f>
        <v/>
      </c>
      <c r="C485" s="96">
        <f>IF(Pipeline!$A485="","",IF(Pipeline!M485="","",Pipeline!M485))</f>
        <v/>
      </c>
      <c r="D485" s="97">
        <f>IF(Pipeline!$A485="","",IF(Pipeline!Q485="","",Pipeline!Q485))</f>
        <v/>
      </c>
      <c r="E485" s="98">
        <f>IF(Pipeline!$A485="","",IF(Pipeline!T485="","",Pipeline!T485))</f>
        <v/>
      </c>
      <c r="F485" s="77">
        <f>IF(Pipeline!$A485="","",IF(Pipeline!W485="","",Pipeline!W485))</f>
        <v/>
      </c>
      <c r="G485" s="99">
        <f>IF(Pipeline!$A485="","",IF(Pipeline!AH485="","",Pipeline!AH485))</f>
        <v/>
      </c>
      <c r="H485" s="77">
        <f>IF(Pipeline!$A485="","",IF(Pipeline!AI485="","",Pipeline!AI485))</f>
        <v/>
      </c>
      <c r="I485" s="77">
        <f>IF(Pipeline!$A485="","",IF(Pipeline!X485="","",Pipeline!X485))</f>
        <v/>
      </c>
      <c r="J485" s="77">
        <f>IF(Pipeline!$A485="","",IF(Pipeline!AF485="","–",Pipeline!AF485))</f>
        <v/>
      </c>
    </row>
    <row r="486" ht="15" customHeight="1" s="51">
      <c r="A486" s="77">
        <f>IF(Pipeline!$A486="","",IF(Pipeline!H486="","",Pipeline!H486))</f>
        <v/>
      </c>
      <c r="B486" s="77">
        <f>IF(Pipeline!$A486="","",IF(Pipeline!F486="","",Pipeline!F486))</f>
        <v/>
      </c>
      <c r="C486" s="96">
        <f>IF(Pipeline!$A486="","",IF(Pipeline!M486="","",Pipeline!M486))</f>
        <v/>
      </c>
      <c r="D486" s="97">
        <f>IF(Pipeline!$A486="","",IF(Pipeline!Q486="","",Pipeline!Q486))</f>
        <v/>
      </c>
      <c r="E486" s="98">
        <f>IF(Pipeline!$A486="","",IF(Pipeline!T486="","",Pipeline!T486))</f>
        <v/>
      </c>
      <c r="F486" s="77">
        <f>IF(Pipeline!$A486="","",IF(Pipeline!W486="","",Pipeline!W486))</f>
        <v/>
      </c>
      <c r="G486" s="99">
        <f>IF(Pipeline!$A486="","",IF(Pipeline!AH486="","",Pipeline!AH486))</f>
        <v/>
      </c>
      <c r="H486" s="77">
        <f>IF(Pipeline!$A486="","",IF(Pipeline!AI486="","",Pipeline!AI486))</f>
        <v/>
      </c>
      <c r="I486" s="77">
        <f>IF(Pipeline!$A486="","",IF(Pipeline!X486="","",Pipeline!X486))</f>
        <v/>
      </c>
      <c r="J486" s="77">
        <f>IF(Pipeline!$A486="","",IF(Pipeline!AF486="","–",Pipeline!AF486))</f>
        <v/>
      </c>
    </row>
    <row r="487" ht="15" customHeight="1" s="51">
      <c r="A487" s="77">
        <f>IF(Pipeline!$A487="","",IF(Pipeline!H487="","",Pipeline!H487))</f>
        <v/>
      </c>
      <c r="B487" s="77">
        <f>IF(Pipeline!$A487="","",IF(Pipeline!F487="","",Pipeline!F487))</f>
        <v/>
      </c>
      <c r="C487" s="96">
        <f>IF(Pipeline!$A487="","",IF(Pipeline!M487="","",Pipeline!M487))</f>
        <v/>
      </c>
      <c r="D487" s="97">
        <f>IF(Pipeline!$A487="","",IF(Pipeline!Q487="","",Pipeline!Q487))</f>
        <v/>
      </c>
      <c r="E487" s="98">
        <f>IF(Pipeline!$A487="","",IF(Pipeline!T487="","",Pipeline!T487))</f>
        <v/>
      </c>
      <c r="F487" s="77">
        <f>IF(Pipeline!$A487="","",IF(Pipeline!W487="","",Pipeline!W487))</f>
        <v/>
      </c>
      <c r="G487" s="99">
        <f>IF(Pipeline!$A487="","",IF(Pipeline!AH487="","",Pipeline!AH487))</f>
        <v/>
      </c>
      <c r="H487" s="77">
        <f>IF(Pipeline!$A487="","",IF(Pipeline!AI487="","",Pipeline!AI487))</f>
        <v/>
      </c>
      <c r="I487" s="77">
        <f>IF(Pipeline!$A487="","",IF(Pipeline!X487="","",Pipeline!X487))</f>
        <v/>
      </c>
      <c r="J487" s="77">
        <f>IF(Pipeline!$A487="","",IF(Pipeline!AF487="","–",Pipeline!AF487))</f>
        <v/>
      </c>
    </row>
    <row r="488" ht="15" customHeight="1" s="51">
      <c r="A488" s="77">
        <f>IF(Pipeline!$A488="","",IF(Pipeline!H488="","",Pipeline!H488))</f>
        <v/>
      </c>
      <c r="B488" s="77">
        <f>IF(Pipeline!$A488="","",IF(Pipeline!F488="","",Pipeline!F488))</f>
        <v/>
      </c>
      <c r="C488" s="96">
        <f>IF(Pipeline!$A488="","",IF(Pipeline!M488="","",Pipeline!M488))</f>
        <v/>
      </c>
      <c r="D488" s="97">
        <f>IF(Pipeline!$A488="","",IF(Pipeline!Q488="","",Pipeline!Q488))</f>
        <v/>
      </c>
      <c r="E488" s="98">
        <f>IF(Pipeline!$A488="","",IF(Pipeline!T488="","",Pipeline!T488))</f>
        <v/>
      </c>
      <c r="F488" s="77">
        <f>IF(Pipeline!$A488="","",IF(Pipeline!W488="","",Pipeline!W488))</f>
        <v/>
      </c>
      <c r="G488" s="99">
        <f>IF(Pipeline!$A488="","",IF(Pipeline!AH488="","",Pipeline!AH488))</f>
        <v/>
      </c>
      <c r="H488" s="77">
        <f>IF(Pipeline!$A488="","",IF(Pipeline!AI488="","",Pipeline!AI488))</f>
        <v/>
      </c>
      <c r="I488" s="77">
        <f>IF(Pipeline!$A488="","",IF(Pipeline!X488="","",Pipeline!X488))</f>
        <v/>
      </c>
      <c r="J488" s="77">
        <f>IF(Pipeline!$A488="","",IF(Pipeline!AF488="","–",Pipeline!AF488))</f>
        <v/>
      </c>
    </row>
    <row r="489" ht="15" customHeight="1" s="51">
      <c r="A489" s="77">
        <f>IF(Pipeline!$A489="","",IF(Pipeline!H489="","",Pipeline!H489))</f>
        <v/>
      </c>
      <c r="B489" s="77">
        <f>IF(Pipeline!$A489="","",IF(Pipeline!F489="","",Pipeline!F489))</f>
        <v/>
      </c>
      <c r="C489" s="96">
        <f>IF(Pipeline!$A489="","",IF(Pipeline!M489="","",Pipeline!M489))</f>
        <v/>
      </c>
      <c r="D489" s="97">
        <f>IF(Pipeline!$A489="","",IF(Pipeline!Q489="","",Pipeline!Q489))</f>
        <v/>
      </c>
      <c r="E489" s="98">
        <f>IF(Pipeline!$A489="","",IF(Pipeline!T489="","",Pipeline!T489))</f>
        <v/>
      </c>
      <c r="F489" s="77">
        <f>IF(Pipeline!$A489="","",IF(Pipeline!W489="","",Pipeline!W489))</f>
        <v/>
      </c>
      <c r="G489" s="99">
        <f>IF(Pipeline!$A489="","",IF(Pipeline!AH489="","",Pipeline!AH489))</f>
        <v/>
      </c>
      <c r="H489" s="77">
        <f>IF(Pipeline!$A489="","",IF(Pipeline!AI489="","",Pipeline!AI489))</f>
        <v/>
      </c>
      <c r="I489" s="77">
        <f>IF(Pipeline!$A489="","",IF(Pipeline!X489="","",Pipeline!X489))</f>
        <v/>
      </c>
      <c r="J489" s="77">
        <f>IF(Pipeline!$A489="","",IF(Pipeline!AF489="","–",Pipeline!AF489))</f>
        <v/>
      </c>
    </row>
    <row r="490" ht="15" customHeight="1" s="51">
      <c r="A490" s="77">
        <f>IF(Pipeline!$A490="","",IF(Pipeline!H490="","",Pipeline!H490))</f>
        <v/>
      </c>
      <c r="B490" s="77">
        <f>IF(Pipeline!$A490="","",IF(Pipeline!F490="","",Pipeline!F490))</f>
        <v/>
      </c>
      <c r="C490" s="96">
        <f>IF(Pipeline!$A490="","",IF(Pipeline!M490="","",Pipeline!M490))</f>
        <v/>
      </c>
      <c r="D490" s="97">
        <f>IF(Pipeline!$A490="","",IF(Pipeline!Q490="","",Pipeline!Q490))</f>
        <v/>
      </c>
      <c r="E490" s="98">
        <f>IF(Pipeline!$A490="","",IF(Pipeline!T490="","",Pipeline!T490))</f>
        <v/>
      </c>
      <c r="F490" s="77">
        <f>IF(Pipeline!$A490="","",IF(Pipeline!W490="","",Pipeline!W490))</f>
        <v/>
      </c>
      <c r="G490" s="99">
        <f>IF(Pipeline!$A490="","",IF(Pipeline!AH490="","",Pipeline!AH490))</f>
        <v/>
      </c>
      <c r="H490" s="77">
        <f>IF(Pipeline!$A490="","",IF(Pipeline!AI490="","",Pipeline!AI490))</f>
        <v/>
      </c>
      <c r="I490" s="77">
        <f>IF(Pipeline!$A490="","",IF(Pipeline!X490="","",Pipeline!X490))</f>
        <v/>
      </c>
      <c r="J490" s="77">
        <f>IF(Pipeline!$A490="","",IF(Pipeline!AF490="","–",Pipeline!AF490))</f>
        <v/>
      </c>
    </row>
    <row r="491" ht="15" customHeight="1" s="51">
      <c r="A491" s="77">
        <f>IF(Pipeline!$A491="","",IF(Pipeline!H491="","",Pipeline!H491))</f>
        <v/>
      </c>
      <c r="B491" s="77">
        <f>IF(Pipeline!$A491="","",IF(Pipeline!F491="","",Pipeline!F491))</f>
        <v/>
      </c>
      <c r="C491" s="96">
        <f>IF(Pipeline!$A491="","",IF(Pipeline!M491="","",Pipeline!M491))</f>
        <v/>
      </c>
      <c r="D491" s="97">
        <f>IF(Pipeline!$A491="","",IF(Pipeline!Q491="","",Pipeline!Q491))</f>
        <v/>
      </c>
      <c r="E491" s="98">
        <f>IF(Pipeline!$A491="","",IF(Pipeline!T491="","",Pipeline!T491))</f>
        <v/>
      </c>
      <c r="F491" s="77">
        <f>IF(Pipeline!$A491="","",IF(Pipeline!W491="","",Pipeline!W491))</f>
        <v/>
      </c>
      <c r="G491" s="99">
        <f>IF(Pipeline!$A491="","",IF(Pipeline!AH491="","",Pipeline!AH491))</f>
        <v/>
      </c>
      <c r="H491" s="77">
        <f>IF(Pipeline!$A491="","",IF(Pipeline!AI491="","",Pipeline!AI491))</f>
        <v/>
      </c>
      <c r="I491" s="77">
        <f>IF(Pipeline!$A491="","",IF(Pipeline!X491="","",Pipeline!X491))</f>
        <v/>
      </c>
      <c r="J491" s="77">
        <f>IF(Pipeline!$A491="","",IF(Pipeline!AF491="","–",Pipeline!AF491))</f>
        <v/>
      </c>
    </row>
    <row r="492" ht="15" customHeight="1" s="51">
      <c r="A492" s="77">
        <f>IF(Pipeline!$A492="","",IF(Pipeline!H492="","",Pipeline!H492))</f>
        <v/>
      </c>
      <c r="B492" s="77">
        <f>IF(Pipeline!$A492="","",IF(Pipeline!F492="","",Pipeline!F492))</f>
        <v/>
      </c>
      <c r="C492" s="96">
        <f>IF(Pipeline!$A492="","",IF(Pipeline!M492="","",Pipeline!M492))</f>
        <v/>
      </c>
      <c r="D492" s="97">
        <f>IF(Pipeline!$A492="","",IF(Pipeline!Q492="","",Pipeline!Q492))</f>
        <v/>
      </c>
      <c r="E492" s="98">
        <f>IF(Pipeline!$A492="","",IF(Pipeline!T492="","",Pipeline!T492))</f>
        <v/>
      </c>
      <c r="F492" s="77">
        <f>IF(Pipeline!$A492="","",IF(Pipeline!W492="","",Pipeline!W492))</f>
        <v/>
      </c>
      <c r="G492" s="99">
        <f>IF(Pipeline!$A492="","",IF(Pipeline!AH492="","",Pipeline!AH492))</f>
        <v/>
      </c>
      <c r="H492" s="77">
        <f>IF(Pipeline!$A492="","",IF(Pipeline!AI492="","",Pipeline!AI492))</f>
        <v/>
      </c>
      <c r="I492" s="77">
        <f>IF(Pipeline!$A492="","",IF(Pipeline!X492="","",Pipeline!X492))</f>
        <v/>
      </c>
      <c r="J492" s="77">
        <f>IF(Pipeline!$A492="","",IF(Pipeline!AF492="","–",Pipeline!AF492))</f>
        <v/>
      </c>
    </row>
    <row r="493" ht="15" customHeight="1" s="51">
      <c r="A493" s="77">
        <f>IF(Pipeline!$A493="","",IF(Pipeline!H493="","",Pipeline!H493))</f>
        <v/>
      </c>
      <c r="B493" s="77">
        <f>IF(Pipeline!$A493="","",IF(Pipeline!F493="","",Pipeline!F493))</f>
        <v/>
      </c>
      <c r="C493" s="96">
        <f>IF(Pipeline!$A493="","",IF(Pipeline!M493="","",Pipeline!M493))</f>
        <v/>
      </c>
      <c r="D493" s="97">
        <f>IF(Pipeline!$A493="","",IF(Pipeline!Q493="","",Pipeline!Q493))</f>
        <v/>
      </c>
      <c r="E493" s="98">
        <f>IF(Pipeline!$A493="","",IF(Pipeline!T493="","",Pipeline!T493))</f>
        <v/>
      </c>
      <c r="F493" s="77">
        <f>IF(Pipeline!$A493="","",IF(Pipeline!W493="","",Pipeline!W493))</f>
        <v/>
      </c>
      <c r="G493" s="99">
        <f>IF(Pipeline!$A493="","",IF(Pipeline!AH493="","",Pipeline!AH493))</f>
        <v/>
      </c>
      <c r="H493" s="77">
        <f>IF(Pipeline!$A493="","",IF(Pipeline!AI493="","",Pipeline!AI493))</f>
        <v/>
      </c>
      <c r="I493" s="77">
        <f>IF(Pipeline!$A493="","",IF(Pipeline!X493="","",Pipeline!X493))</f>
        <v/>
      </c>
      <c r="J493" s="77">
        <f>IF(Pipeline!$A493="","",IF(Pipeline!AF493="","–",Pipeline!AF493))</f>
        <v/>
      </c>
    </row>
    <row r="494" ht="15" customHeight="1" s="51">
      <c r="A494" s="77">
        <f>IF(Pipeline!$A494="","",IF(Pipeline!H494="","",Pipeline!H494))</f>
        <v/>
      </c>
      <c r="B494" s="77">
        <f>IF(Pipeline!$A494="","",IF(Pipeline!F494="","",Pipeline!F494))</f>
        <v/>
      </c>
      <c r="C494" s="96">
        <f>IF(Pipeline!$A494="","",IF(Pipeline!M494="","",Pipeline!M494))</f>
        <v/>
      </c>
      <c r="D494" s="97">
        <f>IF(Pipeline!$A494="","",IF(Pipeline!Q494="","",Pipeline!Q494))</f>
        <v/>
      </c>
      <c r="E494" s="98">
        <f>IF(Pipeline!$A494="","",IF(Pipeline!T494="","",Pipeline!T494))</f>
        <v/>
      </c>
      <c r="F494" s="77">
        <f>IF(Pipeline!$A494="","",IF(Pipeline!W494="","",Pipeline!W494))</f>
        <v/>
      </c>
      <c r="G494" s="99">
        <f>IF(Pipeline!$A494="","",IF(Pipeline!AH494="","",Pipeline!AH494))</f>
        <v/>
      </c>
      <c r="H494" s="77">
        <f>IF(Pipeline!$A494="","",IF(Pipeline!AI494="","",Pipeline!AI494))</f>
        <v/>
      </c>
      <c r="I494" s="77">
        <f>IF(Pipeline!$A494="","",IF(Pipeline!X494="","",Pipeline!X494))</f>
        <v/>
      </c>
      <c r="J494" s="77">
        <f>IF(Pipeline!$A494="","",IF(Pipeline!AF494="","–",Pipeline!AF494))</f>
        <v/>
      </c>
    </row>
    <row r="495" ht="15" customHeight="1" s="51">
      <c r="A495" s="77">
        <f>IF(Pipeline!$A495="","",IF(Pipeline!H495="","",Pipeline!H495))</f>
        <v/>
      </c>
      <c r="B495" s="77">
        <f>IF(Pipeline!$A495="","",IF(Pipeline!F495="","",Pipeline!F495))</f>
        <v/>
      </c>
      <c r="C495" s="96">
        <f>IF(Pipeline!$A495="","",IF(Pipeline!M495="","",Pipeline!M495))</f>
        <v/>
      </c>
      <c r="D495" s="97">
        <f>IF(Pipeline!$A495="","",IF(Pipeline!Q495="","",Pipeline!Q495))</f>
        <v/>
      </c>
      <c r="E495" s="98">
        <f>IF(Pipeline!$A495="","",IF(Pipeline!T495="","",Pipeline!T495))</f>
        <v/>
      </c>
      <c r="F495" s="77">
        <f>IF(Pipeline!$A495="","",IF(Pipeline!W495="","",Pipeline!W495))</f>
        <v/>
      </c>
      <c r="G495" s="99">
        <f>IF(Pipeline!$A495="","",IF(Pipeline!AH495="","",Pipeline!AH495))</f>
        <v/>
      </c>
      <c r="H495" s="77">
        <f>IF(Pipeline!$A495="","",IF(Pipeline!AI495="","",Pipeline!AI495))</f>
        <v/>
      </c>
      <c r="I495" s="77">
        <f>IF(Pipeline!$A495="","",IF(Pipeline!X495="","",Pipeline!X495))</f>
        <v/>
      </c>
      <c r="J495" s="77">
        <f>IF(Pipeline!$A495="","",IF(Pipeline!AF495="","–",Pipeline!AF495))</f>
        <v/>
      </c>
    </row>
    <row r="496" ht="15" customHeight="1" s="51">
      <c r="A496" s="77">
        <f>IF(Pipeline!$A496="","",IF(Pipeline!H496="","",Pipeline!H496))</f>
        <v/>
      </c>
      <c r="B496" s="77">
        <f>IF(Pipeline!$A496="","",IF(Pipeline!F496="","",Pipeline!F496))</f>
        <v/>
      </c>
      <c r="C496" s="96">
        <f>IF(Pipeline!$A496="","",IF(Pipeline!M496="","",Pipeline!M496))</f>
        <v/>
      </c>
      <c r="D496" s="97">
        <f>IF(Pipeline!$A496="","",IF(Pipeline!Q496="","",Pipeline!Q496))</f>
        <v/>
      </c>
      <c r="E496" s="98">
        <f>IF(Pipeline!$A496="","",IF(Pipeline!T496="","",Pipeline!T496))</f>
        <v/>
      </c>
      <c r="F496" s="77">
        <f>IF(Pipeline!$A496="","",IF(Pipeline!W496="","",Pipeline!W496))</f>
        <v/>
      </c>
      <c r="G496" s="99">
        <f>IF(Pipeline!$A496="","",IF(Pipeline!AH496="","",Pipeline!AH496))</f>
        <v/>
      </c>
      <c r="H496" s="77">
        <f>IF(Pipeline!$A496="","",IF(Pipeline!AI496="","",Pipeline!AI496))</f>
        <v/>
      </c>
      <c r="I496" s="77">
        <f>IF(Pipeline!$A496="","",IF(Pipeline!X496="","",Pipeline!X496))</f>
        <v/>
      </c>
      <c r="J496" s="77">
        <f>IF(Pipeline!$A496="","",IF(Pipeline!AF496="","–",Pipeline!AF496))</f>
        <v/>
      </c>
    </row>
    <row r="497" ht="15" customHeight="1" s="51">
      <c r="A497" s="77">
        <f>IF(Pipeline!$A497="","",IF(Pipeline!H497="","",Pipeline!H497))</f>
        <v/>
      </c>
      <c r="B497" s="77">
        <f>IF(Pipeline!$A497="","",IF(Pipeline!F497="","",Pipeline!F497))</f>
        <v/>
      </c>
      <c r="C497" s="96">
        <f>IF(Pipeline!$A497="","",IF(Pipeline!M497="","",Pipeline!M497))</f>
        <v/>
      </c>
      <c r="D497" s="97">
        <f>IF(Pipeline!$A497="","",IF(Pipeline!Q497="","",Pipeline!Q497))</f>
        <v/>
      </c>
      <c r="E497" s="98">
        <f>IF(Pipeline!$A497="","",IF(Pipeline!T497="","",Pipeline!T497))</f>
        <v/>
      </c>
      <c r="F497" s="77">
        <f>IF(Pipeline!$A497="","",IF(Pipeline!W497="","",Pipeline!W497))</f>
        <v/>
      </c>
      <c r="G497" s="99">
        <f>IF(Pipeline!$A497="","",IF(Pipeline!AH497="","",Pipeline!AH497))</f>
        <v/>
      </c>
      <c r="H497" s="77">
        <f>IF(Pipeline!$A497="","",IF(Pipeline!AI497="","",Pipeline!AI497))</f>
        <v/>
      </c>
      <c r="I497" s="77">
        <f>IF(Pipeline!$A497="","",IF(Pipeline!X497="","",Pipeline!X497))</f>
        <v/>
      </c>
      <c r="J497" s="77">
        <f>IF(Pipeline!$A497="","",IF(Pipeline!AF497="","–",Pipeline!AF497))</f>
        <v/>
      </c>
    </row>
    <row r="498" ht="15" customHeight="1" s="51">
      <c r="A498" s="77">
        <f>IF(Pipeline!$A498="","",IF(Pipeline!H498="","",Pipeline!H498))</f>
        <v/>
      </c>
      <c r="B498" s="77">
        <f>IF(Pipeline!$A498="","",IF(Pipeline!F498="","",Pipeline!F498))</f>
        <v/>
      </c>
      <c r="C498" s="96">
        <f>IF(Pipeline!$A498="","",IF(Pipeline!M498="","",Pipeline!M498))</f>
        <v/>
      </c>
      <c r="D498" s="97">
        <f>IF(Pipeline!$A498="","",IF(Pipeline!Q498="","",Pipeline!Q498))</f>
        <v/>
      </c>
      <c r="E498" s="98">
        <f>IF(Pipeline!$A498="","",IF(Pipeline!T498="","",Pipeline!T498))</f>
        <v/>
      </c>
      <c r="F498" s="77">
        <f>IF(Pipeline!$A498="","",IF(Pipeline!W498="","",Pipeline!W498))</f>
        <v/>
      </c>
      <c r="G498" s="99">
        <f>IF(Pipeline!$A498="","",IF(Pipeline!AH498="","",Pipeline!AH498))</f>
        <v/>
      </c>
      <c r="H498" s="77">
        <f>IF(Pipeline!$A498="","",IF(Pipeline!AI498="","",Pipeline!AI498))</f>
        <v/>
      </c>
      <c r="I498" s="77">
        <f>IF(Pipeline!$A498="","",IF(Pipeline!X498="","",Pipeline!X498))</f>
        <v/>
      </c>
      <c r="J498" s="77">
        <f>IF(Pipeline!$A498="","",IF(Pipeline!AF498="","–",Pipeline!AF498))</f>
        <v/>
      </c>
    </row>
    <row r="499" ht="15" customHeight="1" s="51">
      <c r="A499" s="77">
        <f>IF(Pipeline!$A499="","",IF(Pipeline!H499="","",Pipeline!H499))</f>
        <v/>
      </c>
      <c r="B499" s="77">
        <f>IF(Pipeline!$A499="","",IF(Pipeline!F499="","",Pipeline!F499))</f>
        <v/>
      </c>
      <c r="C499" s="96">
        <f>IF(Pipeline!$A499="","",IF(Pipeline!M499="","",Pipeline!M499))</f>
        <v/>
      </c>
      <c r="D499" s="97">
        <f>IF(Pipeline!$A499="","",IF(Pipeline!Q499="","",Pipeline!Q499))</f>
        <v/>
      </c>
      <c r="E499" s="98">
        <f>IF(Pipeline!$A499="","",IF(Pipeline!T499="","",Pipeline!T499))</f>
        <v/>
      </c>
      <c r="F499" s="77">
        <f>IF(Pipeline!$A499="","",IF(Pipeline!W499="","",Pipeline!W499))</f>
        <v/>
      </c>
      <c r="G499" s="99">
        <f>IF(Pipeline!$A499="","",IF(Pipeline!AH499="","",Pipeline!AH499))</f>
        <v/>
      </c>
      <c r="H499" s="77">
        <f>IF(Pipeline!$A499="","",IF(Pipeline!AI499="","",Pipeline!AI499))</f>
        <v/>
      </c>
      <c r="I499" s="77">
        <f>IF(Pipeline!$A499="","",IF(Pipeline!X499="","",Pipeline!X499))</f>
        <v/>
      </c>
      <c r="J499" s="77">
        <f>IF(Pipeline!$A499="","",IF(Pipeline!AF499="","–",Pipeline!AF499))</f>
        <v/>
      </c>
    </row>
    <row r="500" ht="15" customHeight="1" s="51">
      <c r="A500" s="77">
        <f>IF(Pipeline!$A500="","",IF(Pipeline!H500="","",Pipeline!H500))</f>
        <v/>
      </c>
      <c r="B500" s="77">
        <f>IF(Pipeline!$A500="","",IF(Pipeline!F500="","",Pipeline!F500))</f>
        <v/>
      </c>
      <c r="C500" s="96">
        <f>IF(Pipeline!$A500="","",IF(Pipeline!M500="","",Pipeline!M500))</f>
        <v/>
      </c>
      <c r="D500" s="97">
        <f>IF(Pipeline!$A500="","",IF(Pipeline!Q500="","",Pipeline!Q500))</f>
        <v/>
      </c>
      <c r="E500" s="98">
        <f>IF(Pipeline!$A500="","",IF(Pipeline!T500="","",Pipeline!T500))</f>
        <v/>
      </c>
      <c r="F500" s="77">
        <f>IF(Pipeline!$A500="","",IF(Pipeline!W500="","",Pipeline!W500))</f>
        <v/>
      </c>
      <c r="G500" s="99">
        <f>IF(Pipeline!$A500="","",IF(Pipeline!AH500="","",Pipeline!AH500))</f>
        <v/>
      </c>
      <c r="H500" s="77">
        <f>IF(Pipeline!$A500="","",IF(Pipeline!AI500="","",Pipeline!AI500))</f>
        <v/>
      </c>
      <c r="I500" s="77">
        <f>IF(Pipeline!$A500="","",IF(Pipeline!X500="","",Pipeline!X500))</f>
        <v/>
      </c>
      <c r="J500" s="77">
        <f>IF(Pipeline!$A500="","",IF(Pipeline!AF500="","–",Pipeline!AF500))</f>
        <v/>
      </c>
    </row>
    <row r="501" ht="15" customHeight="1" s="51">
      <c r="A501" s="77">
        <f>IF(Pipeline!$A501="","",IF(Pipeline!H501="","",Pipeline!H501))</f>
        <v/>
      </c>
      <c r="B501" s="77">
        <f>IF(Pipeline!$A501="","",IF(Pipeline!F501="","",Pipeline!F501))</f>
        <v/>
      </c>
      <c r="C501" s="96">
        <f>IF(Pipeline!$A501="","",IF(Pipeline!M501="","",Pipeline!M501))</f>
        <v/>
      </c>
      <c r="D501" s="97">
        <f>IF(Pipeline!$A501="","",IF(Pipeline!Q501="","",Pipeline!Q501))</f>
        <v/>
      </c>
      <c r="E501" s="98">
        <f>IF(Pipeline!$A501="","",IF(Pipeline!T501="","",Pipeline!T501))</f>
        <v/>
      </c>
      <c r="F501" s="77">
        <f>IF(Pipeline!$A501="","",IF(Pipeline!W501="","",Pipeline!W501))</f>
        <v/>
      </c>
      <c r="G501" s="99">
        <f>IF(Pipeline!$A501="","",IF(Pipeline!AH501="","",Pipeline!AH501))</f>
        <v/>
      </c>
      <c r="H501" s="77">
        <f>IF(Pipeline!$A501="","",IF(Pipeline!AI501="","",Pipeline!AI501))</f>
        <v/>
      </c>
      <c r="I501" s="77">
        <f>IF(Pipeline!$A501="","",IF(Pipeline!X501="","",Pipeline!X501))</f>
        <v/>
      </c>
      <c r="J501" s="77">
        <f>IF(Pipeline!$A501="","",IF(Pipeline!AF501="","–",Pipeline!AF501))</f>
        <v/>
      </c>
    </row>
    <row r="502" ht="15" customHeight="1" s="51">
      <c r="A502" s="77">
        <f>IF(Pipeline!$A502="","",IF(Pipeline!H502="","",Pipeline!H502))</f>
        <v/>
      </c>
      <c r="B502" s="77">
        <f>IF(Pipeline!$A502="","",IF(Pipeline!F502="","",Pipeline!F502))</f>
        <v/>
      </c>
      <c r="C502" s="96">
        <f>IF(Pipeline!$A502="","",IF(Pipeline!M502="","",Pipeline!M502))</f>
        <v/>
      </c>
      <c r="D502" s="97">
        <f>IF(Pipeline!$A502="","",IF(Pipeline!Q502="","",Pipeline!Q502))</f>
        <v/>
      </c>
      <c r="E502" s="98">
        <f>IF(Pipeline!$A502="","",IF(Pipeline!T502="","",Pipeline!T502))</f>
        <v/>
      </c>
      <c r="F502" s="77">
        <f>IF(Pipeline!$A502="","",IF(Pipeline!W502="","",Pipeline!W502))</f>
        <v/>
      </c>
      <c r="G502" s="99">
        <f>IF(Pipeline!$A502="","",IF(Pipeline!AH502="","",Pipeline!AH502))</f>
        <v/>
      </c>
      <c r="H502" s="77">
        <f>IF(Pipeline!$A502="","",IF(Pipeline!AI502="","",Pipeline!AI502))</f>
        <v/>
      </c>
      <c r="I502" s="77">
        <f>IF(Pipeline!$A502="","",IF(Pipeline!X502="","",Pipeline!X502))</f>
        <v/>
      </c>
      <c r="J502" s="77">
        <f>IF(Pipeline!$A502="","",IF(Pipeline!AF502="","–",Pipeline!AF502))</f>
        <v/>
      </c>
    </row>
    <row r="503" ht="15" customHeight="1" s="51">
      <c r="A503" s="77">
        <f>IF(Pipeline!$A503="","",IF(Pipeline!H503="","",Pipeline!H503))</f>
        <v/>
      </c>
      <c r="B503" s="77">
        <f>IF(Pipeline!$A503="","",IF(Pipeline!F503="","",Pipeline!F503))</f>
        <v/>
      </c>
      <c r="C503" s="96">
        <f>IF(Pipeline!$A503="","",IF(Pipeline!M503="","",Pipeline!M503))</f>
        <v/>
      </c>
      <c r="D503" s="97">
        <f>IF(Pipeline!$A503="","",IF(Pipeline!Q503="","",Pipeline!Q503))</f>
        <v/>
      </c>
      <c r="E503" s="98">
        <f>IF(Pipeline!$A503="","",IF(Pipeline!T503="","",Pipeline!T503))</f>
        <v/>
      </c>
      <c r="F503" s="77">
        <f>IF(Pipeline!$A503="","",IF(Pipeline!W503="","",Pipeline!W503))</f>
        <v/>
      </c>
      <c r="G503" s="99">
        <f>IF(Pipeline!$A503="","",IF(Pipeline!AH503="","",Pipeline!AH503))</f>
        <v/>
      </c>
      <c r="H503" s="77">
        <f>IF(Pipeline!$A503="","",IF(Pipeline!AI503="","",Pipeline!AI503))</f>
        <v/>
      </c>
      <c r="I503" s="77">
        <f>IF(Pipeline!$A503="","",IF(Pipeline!X503="","",Pipeline!X503))</f>
        <v/>
      </c>
      <c r="J503" s="77">
        <f>IF(Pipeline!$A503="","",IF(Pipeline!AF503="","–",Pipeline!AF503))</f>
        <v/>
      </c>
    </row>
    <row r="504" ht="15" customHeight="1" s="51">
      <c r="A504" s="77">
        <f>IF(Pipeline!$A504="","",IF(Pipeline!H504="","",Pipeline!H504))</f>
        <v/>
      </c>
      <c r="B504" s="77">
        <f>IF(Pipeline!$A504="","",IF(Pipeline!F504="","",Pipeline!F504))</f>
        <v/>
      </c>
      <c r="C504" s="96">
        <f>IF(Pipeline!$A504="","",IF(Pipeline!M504="","",Pipeline!M504))</f>
        <v/>
      </c>
      <c r="D504" s="97">
        <f>IF(Pipeline!$A504="","",IF(Pipeline!Q504="","",Pipeline!Q504))</f>
        <v/>
      </c>
      <c r="E504" s="98">
        <f>IF(Pipeline!$A504="","",IF(Pipeline!T504="","",Pipeline!T504))</f>
        <v/>
      </c>
      <c r="F504" s="77">
        <f>IF(Pipeline!$A504="","",IF(Pipeline!W504="","",Pipeline!W504))</f>
        <v/>
      </c>
      <c r="G504" s="99">
        <f>IF(Pipeline!$A504="","",IF(Pipeline!AH504="","",Pipeline!AH504))</f>
        <v/>
      </c>
      <c r="H504" s="77">
        <f>IF(Pipeline!$A504="","",IF(Pipeline!AI504="","",Pipeline!AI504))</f>
        <v/>
      </c>
      <c r="I504" s="77">
        <f>IF(Pipeline!$A504="","",IF(Pipeline!X504="","",Pipeline!X504))</f>
        <v/>
      </c>
      <c r="J504" s="77">
        <f>IF(Pipeline!$A504="","",IF(Pipeline!AF504="","–",Pipeline!AF504))</f>
        <v/>
      </c>
    </row>
  </sheetData>
  <conditionalFormatting sqref="J5:J504">
    <cfRule type="cellIs" rank="0" priority="2" equalAverage="0" operator="equal" aboveAverage="0" dxfId="20" text="" percent="0" bottom="0">
      <formula>"RED"</formula>
    </cfRule>
    <cfRule type="cellIs" rank="0" priority="3" equalAverage="0" operator="equal" aboveAverage="0" dxfId="18" text="" percent="0" bottom="0">
      <formula>"AMBER"</formula>
    </cfRule>
    <cfRule type="cellIs" rank="0" priority="4" equalAverage="0" operator="equal" aboveAverage="0" dxfId="17" text="" percent="0" bottom="0">
      <formula>"GREEN"</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4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0" customWidth="1" style="50" min="1" max="1"/>
    <col width="12" customWidth="1" style="50" min="2" max="2"/>
    <col width="30" customWidth="1" style="50" min="3" max="3"/>
    <col width="22" customWidth="1" style="50" min="4" max="4"/>
    <col width="54" customWidth="1" style="50" min="5" max="5"/>
    <col width="12" customWidth="1" style="50" min="6" max="6"/>
    <col width="44" customWidth="1" style="50" min="7" max="7"/>
    <col width="10" customWidth="1" style="50" min="8" max="8"/>
  </cols>
  <sheetData>
    <row r="1" ht="17.35" customHeight="1" s="51">
      <c r="A1" s="52" t="inlineStr">
        <is>
          <t>Watch list – clients that do not publish open tenders</t>
        </is>
      </c>
    </row>
    <row r="2" ht="15" customHeight="1" s="51">
      <c r="A2" s="53" t="inlineStr">
        <is>
          <t>Appendix F watch-list layout. Record the source and date for every 'known plan'.</t>
        </is>
      </c>
    </row>
    <row r="4" ht="23.85" customHeight="1" s="51">
      <c r="A4" s="57" t="inlineStr">
        <is>
          <t>Client</t>
        </is>
      </c>
      <c r="B4" s="57" t="inlineStr">
        <is>
          <t>Client type</t>
        </is>
      </c>
      <c r="C4" s="57" t="inlineStr">
        <is>
          <t>Contact name and role</t>
        </is>
      </c>
      <c r="D4" s="57" t="inlineStr">
        <is>
          <t>Phone / email</t>
        </is>
      </c>
      <c r="E4" s="57" t="inlineStr">
        <is>
          <t>Known plans (source, date)</t>
        </is>
      </c>
      <c r="F4" s="57" t="inlineStr">
        <is>
          <t>Last MD contact</t>
        </is>
      </c>
      <c r="G4" s="57" t="inlineStr">
        <is>
          <t>Next action</t>
        </is>
      </c>
      <c r="H4" s="57" t="inlineStr">
        <is>
          <t>Owner</t>
        </is>
      </c>
    </row>
    <row r="5" ht="23.85" customHeight="1" s="51">
      <c r="A5" s="60" t="inlineStr">
        <is>
          <t>CRDB Bank PLC</t>
        </is>
      </c>
      <c r="B5" s="60" t="inlineStr">
        <is>
          <t>bank</t>
        </is>
      </c>
      <c r="C5" s="60" t="inlineStr">
        <is>
          <t>Head of Properties / Facilities – find on LinkedIn</t>
        </is>
      </c>
      <c r="D5" s="60" t="n"/>
      <c r="E5" s="60" t="inlineStr">
        <is>
          <t>CRDB tender page checked 24 Sep 2026: no construction/fit-out tenders open (crdbbank.co.tz/en/about-us/tender)</t>
        </is>
      </c>
      <c r="F5" s="61" t="n"/>
      <c r="G5" s="60" t="inlineStr">
        <is>
          <t>Read 2025 annual report for branch expansion plans; find Properties contact</t>
        </is>
      </c>
      <c r="H5" s="60" t="inlineStr">
        <is>
          <t>Frank</t>
        </is>
      </c>
    </row>
    <row r="6" ht="23.85" customHeight="1" s="51">
      <c r="A6" s="60" t="inlineStr">
        <is>
          <t>NMB Bank PLC</t>
        </is>
      </c>
      <c r="B6" s="60" t="inlineStr">
        <is>
          <t>bank</t>
        </is>
      </c>
      <c r="C6" s="60" t="inlineStr">
        <is>
          <t>Head of Properties / Facilities – find on LinkedIn</t>
        </is>
      </c>
      <c r="D6" s="60" t="n"/>
      <c r="E6" s="60" t="inlineStr">
        <is>
          <t>Not yet researched</t>
        </is>
      </c>
      <c r="F6" s="61" t="n"/>
      <c r="G6" s="60" t="inlineStr">
        <is>
          <t>Check nmbbank.co.tz notices and 2025 annual report</t>
        </is>
      </c>
      <c r="H6" s="60" t="inlineStr">
        <is>
          <t>Frank</t>
        </is>
      </c>
    </row>
    <row r="7" ht="15" customHeight="1" s="51">
      <c r="A7" s="60" t="inlineStr">
        <is>
          <t>Stanbic Bank Tanzania</t>
        </is>
      </c>
      <c r="B7" s="60" t="inlineStr">
        <is>
          <t>bank</t>
        </is>
      </c>
      <c r="C7" s="60" t="n"/>
      <c r="D7" s="60" t="n"/>
      <c r="E7" s="60" t="inlineStr">
        <is>
          <t>Not yet researched</t>
        </is>
      </c>
      <c r="F7" s="61" t="n"/>
      <c r="G7" s="60" t="inlineStr">
        <is>
          <t>Check notices page and annual report</t>
        </is>
      </c>
      <c r="H7" s="60" t="inlineStr">
        <is>
          <t>Frank</t>
        </is>
      </c>
    </row>
    <row r="8" ht="15" customHeight="1" s="51">
      <c r="A8" s="60" t="inlineStr">
        <is>
          <t>Exim Bank Tanzania</t>
        </is>
      </c>
      <c r="B8" s="60" t="inlineStr">
        <is>
          <t>bank</t>
        </is>
      </c>
      <c r="C8" s="60" t="n"/>
      <c r="D8" s="60" t="n"/>
      <c r="E8" s="60" t="inlineStr">
        <is>
          <t>Not yet researched</t>
        </is>
      </c>
      <c r="F8" s="61" t="n"/>
      <c r="G8" s="60" t="inlineStr">
        <is>
          <t>Check notices page and annual report</t>
        </is>
      </c>
      <c r="H8" s="60" t="inlineStr">
        <is>
          <t>Frank</t>
        </is>
      </c>
    </row>
    <row r="9" ht="15" customHeight="1" s="51">
      <c r="A9" s="60" t="inlineStr">
        <is>
          <t>TotalEnergies Marketing Tanzania</t>
        </is>
      </c>
      <c r="B9" s="60" t="inlineStr">
        <is>
          <t>oil &amp; gas</t>
        </is>
      </c>
      <c r="C9" s="60" t="n"/>
      <c r="D9" s="60" t="n"/>
      <c r="E9" s="60" t="inlineStr">
        <is>
          <t>Not yet researched (past service-station programme client)</t>
        </is>
      </c>
      <c r="F9" s="61" t="n"/>
      <c r="G9" s="60" t="inlineStr">
        <is>
          <t>Find retail network / HSE contracts contact</t>
        </is>
      </c>
      <c r="H9" s="60" t="inlineStr">
        <is>
          <t>Frank</t>
        </is>
      </c>
    </row>
    <row r="10" ht="35.05" customHeight="1" s="51">
      <c r="A10" s="60" t="inlineStr">
        <is>
          <t>TPDC</t>
        </is>
      </c>
      <c r="B10" s="60" t="inlineStr">
        <is>
          <t>oil &amp; gas</t>
        </is>
      </c>
      <c r="C10" s="60" t="inlineStr">
        <is>
          <t>Project Manager, Likong'o Primary School contract</t>
        </is>
      </c>
      <c r="D10" s="60" t="n"/>
      <c r="E10" s="60" t="inlineStr">
        <is>
          <t>Likong'o Primary School (TR24/2023/2024/W/16) close-out report Rev B submitted 14 Sep 2026; final account and PC certificate still open</t>
        </is>
      </c>
      <c r="F10" s="61" t="n"/>
      <c r="G10" s="60" t="inlineStr">
        <is>
          <t>Ask MD whether TPDC has further CSR works planned; keep close-out items moving</t>
        </is>
      </c>
      <c r="H10" s="60" t="inlineStr">
        <is>
          <t>MD / QS</t>
        </is>
      </c>
    </row>
    <row r="11" ht="23.85" customHeight="1" s="51">
      <c r="A11" s="60" t="inlineStr">
        <is>
          <t>Equinor Tanzania AS</t>
        </is>
      </c>
      <c r="B11" s="60" t="inlineStr">
        <is>
          <t>oil &amp; gas</t>
        </is>
      </c>
      <c r="C11" s="60" t="inlineStr">
        <is>
          <t>Social Performance (per Likong'o distribution list)</t>
        </is>
      </c>
      <c r="D11" s="60" t="n"/>
      <c r="E11" s="60" t="inlineStr">
        <is>
          <t>Co-financier of Likong'o Primary School (CSR); received close-out report Sep 2026</t>
        </is>
      </c>
      <c r="F11" s="61" t="n"/>
      <c r="G11" s="60" t="inlineStr">
        <is>
          <t>Ask about next CSR community projects in Lindi/Mtwara</t>
        </is>
      </c>
      <c r="H11" s="60" t="inlineStr">
        <is>
          <t>MD</t>
        </is>
      </c>
    </row>
    <row r="12" ht="23.85" customHeight="1" s="51">
      <c r="A12" s="60" t="inlineStr">
        <is>
          <t>Shell Exploration &amp; Production Tanzania</t>
        </is>
      </c>
      <c r="B12" s="60" t="inlineStr">
        <is>
          <t>oil &amp; gas</t>
        </is>
      </c>
      <c r="C12" s="60" t="inlineStr">
        <is>
          <t>Corporate Relations (per Likong'o distribution list)</t>
        </is>
      </c>
      <c r="D12" s="60" t="n"/>
      <c r="E12" s="60" t="inlineStr">
        <is>
          <t>Co-financier of Likong'o Primary School (CSR); received close-out report Sep 2026</t>
        </is>
      </c>
      <c r="F12" s="61" t="n"/>
      <c r="G12" s="60" t="inlineStr">
        <is>
          <t>Ask about next CSR community projects</t>
        </is>
      </c>
      <c r="H12" s="60" t="inlineStr">
        <is>
          <t>MD</t>
        </is>
      </c>
    </row>
    <row r="13" ht="15" customHeight="1" s="51">
      <c r="A13" s="60" t="inlineStr">
        <is>
          <t>National Housing Corporation (NHC)</t>
        </is>
      </c>
      <c r="B13" s="60" t="inlineStr">
        <is>
          <t>parastatal</t>
        </is>
      </c>
      <c r="C13" s="60" t="n"/>
      <c r="D13" s="60" t="n"/>
      <c r="E13" s="60" t="inlineStr">
        <is>
          <t>Not yet researched</t>
        </is>
      </c>
      <c r="F13" s="61" t="n"/>
      <c r="G13" s="60" t="inlineStr">
        <is>
          <t>Check nhc.co.tz tenders and NeST</t>
        </is>
      </c>
      <c r="H13" s="60" t="inlineStr">
        <is>
          <t>Frank</t>
        </is>
      </c>
    </row>
    <row r="14" ht="15" customHeight="1" s="51">
      <c r="A14" s="60" t="inlineStr">
        <is>
          <t>Vodacom Tanzania</t>
        </is>
      </c>
      <c r="B14" s="60" t="inlineStr">
        <is>
          <t>private</t>
        </is>
      </c>
      <c r="C14" s="60" t="n"/>
      <c r="D14" s="60" t="n"/>
      <c r="E14" s="60" t="inlineStr">
        <is>
          <t>Not yet researched</t>
        </is>
      </c>
      <c r="F14" s="61" t="n"/>
      <c r="G14" s="60" t="inlineStr">
        <is>
          <t>Check supplier registration requirements</t>
        </is>
      </c>
      <c r="H14" s="60" t="inlineStr">
        <is>
          <t>Frank</t>
        </is>
      </c>
    </row>
    <row r="15" ht="15" customHeight="1" s="51">
      <c r="A15" s="60" t="inlineStr">
        <is>
          <t>Airtel Tanzania</t>
        </is>
      </c>
      <c r="B15" s="60" t="inlineStr">
        <is>
          <t>private</t>
        </is>
      </c>
      <c r="C15" s="60" t="n"/>
      <c r="D15" s="60" t="n"/>
      <c r="E15" s="60" t="inlineStr">
        <is>
          <t>Not yet researched</t>
        </is>
      </c>
      <c r="F15" s="61" t="n"/>
      <c r="G15" s="60" t="inlineStr">
        <is>
          <t>Check supplier registration requirements</t>
        </is>
      </c>
      <c r="H15" s="60" t="inlineStr">
        <is>
          <t>Frank</t>
        </is>
      </c>
    </row>
    <row r="16" ht="15" customHeight="1" s="51">
      <c r="A16" s="100" t="n"/>
      <c r="B16" s="100" t="n"/>
      <c r="C16" s="100" t="n"/>
      <c r="D16" s="100" t="n"/>
      <c r="E16" s="100" t="n"/>
      <c r="F16" s="101" t="n"/>
      <c r="G16" s="100" t="n"/>
      <c r="H16" s="100" t="n"/>
    </row>
    <row r="17" ht="15" customHeight="1" s="51">
      <c r="A17" s="100" t="n"/>
      <c r="B17" s="100" t="n"/>
      <c r="C17" s="100" t="n"/>
      <c r="D17" s="100" t="n"/>
      <c r="E17" s="100" t="n"/>
      <c r="F17" s="101" t="n"/>
      <c r="G17" s="100" t="n"/>
      <c r="H17" s="100" t="n"/>
    </row>
    <row r="18" ht="15" customHeight="1" s="51">
      <c r="A18" s="100" t="n"/>
      <c r="B18" s="100" t="n"/>
      <c r="C18" s="100" t="n"/>
      <c r="D18" s="100" t="n"/>
      <c r="E18" s="100" t="n"/>
      <c r="F18" s="101" t="n"/>
      <c r="G18" s="100" t="n"/>
      <c r="H18" s="100" t="n"/>
    </row>
    <row r="19" ht="15" customHeight="1" s="51">
      <c r="A19" s="100" t="n"/>
      <c r="B19" s="100" t="n"/>
      <c r="C19" s="100" t="n"/>
      <c r="D19" s="100" t="n"/>
      <c r="E19" s="100" t="n"/>
      <c r="F19" s="101" t="n"/>
      <c r="G19" s="100" t="n"/>
      <c r="H19" s="100" t="n"/>
    </row>
    <row r="20" ht="15" customHeight="1" s="51">
      <c r="A20" s="100" t="n"/>
      <c r="B20" s="100" t="n"/>
      <c r="C20" s="100" t="n"/>
      <c r="D20" s="100" t="n"/>
      <c r="E20" s="100" t="n"/>
      <c r="F20" s="101" t="n"/>
      <c r="G20" s="100" t="n"/>
      <c r="H20" s="100" t="n"/>
    </row>
    <row r="21" ht="15" customHeight="1" s="51">
      <c r="A21" s="100" t="n"/>
      <c r="B21" s="100" t="n"/>
      <c r="C21" s="100" t="n"/>
      <c r="D21" s="100" t="n"/>
      <c r="E21" s="100" t="n"/>
      <c r="F21" s="101" t="n"/>
      <c r="G21" s="100" t="n"/>
      <c r="H21" s="100" t="n"/>
    </row>
    <row r="22" ht="15" customHeight="1" s="51">
      <c r="A22" s="100" t="n"/>
      <c r="B22" s="100" t="n"/>
      <c r="C22" s="100" t="n"/>
      <c r="D22" s="100" t="n"/>
      <c r="E22" s="100" t="n"/>
      <c r="F22" s="101" t="n"/>
      <c r="G22" s="100" t="n"/>
      <c r="H22" s="100" t="n"/>
    </row>
    <row r="23" ht="15" customHeight="1" s="51">
      <c r="A23" s="100" t="n"/>
      <c r="B23" s="100" t="n"/>
      <c r="C23" s="100" t="n"/>
      <c r="D23" s="100" t="n"/>
      <c r="E23" s="100" t="n"/>
      <c r="F23" s="101" t="n"/>
      <c r="G23" s="100" t="n"/>
      <c r="H23" s="100" t="n"/>
    </row>
    <row r="24" ht="15" customHeight="1" s="51">
      <c r="A24" s="100" t="n"/>
      <c r="B24" s="100" t="n"/>
      <c r="C24" s="100" t="n"/>
      <c r="D24" s="100" t="n"/>
      <c r="E24" s="100" t="n"/>
      <c r="F24" s="101" t="n"/>
      <c r="G24" s="100" t="n"/>
      <c r="H24" s="100" t="n"/>
    </row>
    <row r="25" ht="15" customHeight="1" s="51">
      <c r="A25" s="100" t="n"/>
      <c r="B25" s="100" t="n"/>
      <c r="C25" s="100" t="n"/>
      <c r="D25" s="100" t="n"/>
      <c r="E25" s="100" t="n"/>
      <c r="F25" s="101" t="n"/>
      <c r="G25" s="100" t="n"/>
      <c r="H25" s="100" t="n"/>
    </row>
    <row r="26" ht="15" customHeight="1" s="51">
      <c r="A26" s="100" t="n"/>
      <c r="B26" s="100" t="n"/>
      <c r="C26" s="100" t="n"/>
      <c r="D26" s="100" t="n"/>
      <c r="E26" s="100" t="n"/>
      <c r="F26" s="101" t="n"/>
      <c r="G26" s="100" t="n"/>
      <c r="H26" s="100" t="n"/>
    </row>
    <row r="27" ht="15" customHeight="1" s="51">
      <c r="A27" s="100" t="n"/>
      <c r="B27" s="100" t="n"/>
      <c r="C27" s="100" t="n"/>
      <c r="D27" s="100" t="n"/>
      <c r="E27" s="100" t="n"/>
      <c r="F27" s="101" t="n"/>
      <c r="G27" s="100" t="n"/>
      <c r="H27" s="100" t="n"/>
    </row>
    <row r="28" ht="15" customHeight="1" s="51">
      <c r="A28" s="100" t="n"/>
      <c r="B28" s="100" t="n"/>
      <c r="C28" s="100" t="n"/>
      <c r="D28" s="100" t="n"/>
      <c r="E28" s="100" t="n"/>
      <c r="F28" s="101" t="n"/>
      <c r="G28" s="100" t="n"/>
      <c r="H28" s="100" t="n"/>
    </row>
    <row r="29" ht="15" customHeight="1" s="51">
      <c r="A29" s="100" t="n"/>
      <c r="B29" s="100" t="n"/>
      <c r="C29" s="100" t="n"/>
      <c r="D29" s="100" t="n"/>
      <c r="E29" s="100" t="n"/>
      <c r="F29" s="101" t="n"/>
      <c r="G29" s="100" t="n"/>
      <c r="H29" s="100" t="n"/>
    </row>
    <row r="30" ht="15" customHeight="1" s="51">
      <c r="A30" s="100" t="n"/>
      <c r="B30" s="100" t="n"/>
      <c r="C30" s="100" t="n"/>
      <c r="D30" s="100" t="n"/>
      <c r="E30" s="100" t="n"/>
      <c r="F30" s="101" t="n"/>
      <c r="G30" s="100" t="n"/>
      <c r="H30" s="100" t="n"/>
    </row>
    <row r="31" ht="15" customHeight="1" s="51">
      <c r="A31" s="100" t="n"/>
      <c r="B31" s="100" t="n"/>
      <c r="C31" s="100" t="n"/>
      <c r="D31" s="100" t="n"/>
      <c r="E31" s="100" t="n"/>
      <c r="F31" s="101" t="n"/>
      <c r="G31" s="100" t="n"/>
      <c r="H31" s="100" t="n"/>
    </row>
    <row r="32" ht="15" customHeight="1" s="51">
      <c r="A32" s="100" t="n"/>
      <c r="B32" s="100" t="n"/>
      <c r="C32" s="100" t="n"/>
      <c r="D32" s="100" t="n"/>
      <c r="E32" s="100" t="n"/>
      <c r="F32" s="101" t="n"/>
      <c r="G32" s="100" t="n"/>
      <c r="H32" s="100" t="n"/>
    </row>
    <row r="33" ht="15" customHeight="1" s="51">
      <c r="A33" s="100" t="n"/>
      <c r="B33" s="100" t="n"/>
      <c r="C33" s="100" t="n"/>
      <c r="D33" s="100" t="n"/>
      <c r="E33" s="100" t="n"/>
      <c r="F33" s="101" t="n"/>
      <c r="G33" s="100" t="n"/>
      <c r="H33" s="100" t="n"/>
    </row>
    <row r="34" ht="15" customHeight="1" s="51">
      <c r="A34" s="100" t="n"/>
      <c r="B34" s="100" t="n"/>
      <c r="C34" s="100" t="n"/>
      <c r="D34" s="100" t="n"/>
      <c r="E34" s="100" t="n"/>
      <c r="F34" s="101" t="n"/>
      <c r="G34" s="100" t="n"/>
      <c r="H34" s="100" t="n"/>
    </row>
    <row r="35" ht="15" customHeight="1" s="51">
      <c r="A35" s="100" t="n"/>
      <c r="B35" s="100" t="n"/>
      <c r="C35" s="100" t="n"/>
      <c r="D35" s="100" t="n"/>
      <c r="E35" s="100" t="n"/>
      <c r="F35" s="101" t="n"/>
      <c r="G35" s="100" t="n"/>
      <c r="H35" s="100" t="n"/>
    </row>
    <row r="36" ht="15" customHeight="1" s="51">
      <c r="A36" s="100" t="n"/>
      <c r="B36" s="100" t="n"/>
      <c r="C36" s="100" t="n"/>
      <c r="D36" s="100" t="n"/>
      <c r="E36" s="100" t="n"/>
      <c r="F36" s="101" t="n"/>
      <c r="G36" s="100" t="n"/>
      <c r="H36" s="100" t="n"/>
    </row>
    <row r="37" ht="15" customHeight="1" s="51">
      <c r="A37" s="100" t="n"/>
      <c r="B37" s="100" t="n"/>
      <c r="C37" s="100" t="n"/>
      <c r="D37" s="100" t="n"/>
      <c r="E37" s="100" t="n"/>
      <c r="F37" s="101" t="n"/>
      <c r="G37" s="100" t="n"/>
      <c r="H37" s="100" t="n"/>
    </row>
    <row r="38" ht="15" customHeight="1" s="51">
      <c r="A38" s="100" t="n"/>
      <c r="B38" s="100" t="n"/>
      <c r="C38" s="100" t="n"/>
      <c r="D38" s="100" t="n"/>
      <c r="E38" s="100" t="n"/>
      <c r="F38" s="101" t="n"/>
      <c r="G38" s="100" t="n"/>
      <c r="H38" s="100" t="n"/>
    </row>
    <row r="39" ht="15" customHeight="1" s="51">
      <c r="A39" s="100" t="n"/>
      <c r="B39" s="100" t="n"/>
      <c r="C39" s="100" t="n"/>
      <c r="D39" s="100" t="n"/>
      <c r="E39" s="100" t="n"/>
      <c r="F39" s="101" t="n"/>
      <c r="G39" s="100" t="n"/>
      <c r="H39" s="100" t="n"/>
    </row>
    <row r="40" ht="15" customHeight="1" s="51">
      <c r="A40" s="100" t="n"/>
      <c r="B40" s="100" t="n"/>
      <c r="C40" s="100" t="n"/>
      <c r="D40" s="100" t="n"/>
      <c r="E40" s="100" t="n"/>
      <c r="F40" s="101" t="n"/>
      <c r="G40" s="100" t="n"/>
      <c r="H40" s="100" t="n"/>
    </row>
    <row r="41" ht="15" customHeight="1" s="51">
      <c r="A41" s="100" t="n"/>
      <c r="B41" s="100" t="n"/>
      <c r="C41" s="100" t="n"/>
      <c r="D41" s="100" t="n"/>
      <c r="E41" s="100" t="n"/>
      <c r="F41" s="101" t="n"/>
      <c r="G41" s="100" t="n"/>
      <c r="H41" s="100" t="n"/>
    </row>
    <row r="42" ht="15" customHeight="1" s="51">
      <c r="A42" s="100" t="n"/>
      <c r="B42" s="100" t="n"/>
      <c r="C42" s="100" t="n"/>
      <c r="D42" s="100" t="n"/>
      <c r="E42" s="100" t="n"/>
      <c r="F42" s="101" t="n"/>
      <c r="G42" s="100" t="n"/>
      <c r="H42" s="100" t="n"/>
    </row>
    <row r="43" ht="15" customHeight="1" s="51">
      <c r="A43" s="100" t="n"/>
      <c r="B43" s="100" t="n"/>
      <c r="C43" s="100" t="n"/>
      <c r="D43" s="100" t="n"/>
      <c r="E43" s="100" t="n"/>
      <c r="F43" s="101" t="n"/>
      <c r="G43" s="100" t="n"/>
      <c r="H43" s="100" t="n"/>
    </row>
    <row r="44" ht="15" customHeight="1" s="51">
      <c r="A44" s="100" t="n"/>
      <c r="B44" s="100" t="n"/>
      <c r="C44" s="100" t="n"/>
      <c r="D44" s="100" t="n"/>
      <c r="E44" s="100" t="n"/>
      <c r="F44" s="101" t="n"/>
      <c r="G44" s="100" t="n"/>
      <c r="H44" s="100" t="n"/>
    </row>
  </sheetData>
  <dataValidations count="1">
    <dataValidation sqref="B5:B44" showDropDown="0" showInputMessage="0" showErrorMessage="0" allowBlank="1" type="list" errorStyle="stop" operator="between">
      <formula1>Lists!$B$5:$B$11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50" min="1" max="1"/>
    <col width="26" customWidth="1" style="50" min="2" max="2"/>
    <col width="40" customWidth="1" style="50" min="3" max="3"/>
    <col width="60" customWidth="1" style="50" min="4" max="4"/>
    <col width="11" customWidth="1" style="50" min="5" max="5"/>
    <col width="8" customWidth="1" style="50" min="6" max="6"/>
  </cols>
  <sheetData>
    <row r="1" ht="17.35" customHeight="1" s="51">
      <c r="A1" s="52" t="inlineStr">
        <is>
          <t>Scan log – what was checked, when</t>
        </is>
      </c>
    </row>
    <row r="2" ht="15" customHeight="1" s="51">
      <c r="A2" s="53" t="inlineStr">
        <is>
          <t>One line per source per scan (Monday and Thursday). Proves the 3-working-day coverage rule.</t>
        </is>
      </c>
    </row>
    <row r="4" ht="23.85" customHeight="1" s="51">
      <c r="A4" s="57" t="inlineStr">
        <is>
          <t>Date</t>
        </is>
      </c>
      <c r="B4" s="57" t="inlineStr">
        <is>
          <t>Source</t>
        </is>
      </c>
      <c r="C4" s="57" t="inlineStr">
        <is>
          <t>URL</t>
        </is>
      </c>
      <c r="D4" s="57" t="inlineStr">
        <is>
          <t>What was checked / result</t>
        </is>
      </c>
      <c r="E4" s="57" t="inlineStr">
        <is>
          <t>Entries added</t>
        </is>
      </c>
      <c r="F4" s="57" t="inlineStr">
        <is>
          <t>By</t>
        </is>
      </c>
    </row>
    <row r="5" ht="23.85" customHeight="1" s="51">
      <c r="A5" s="61" t="n">
        <v>46289</v>
      </c>
      <c r="B5" s="60" t="inlineStr">
        <is>
          <t>NeST – Published Tenders</t>
        </is>
      </c>
      <c r="C5" s="60" t="inlineStr">
        <is>
          <t>https://nest.go.tz/tenders/published-tenders</t>
        </is>
      </c>
      <c r="D5" s="60" t="inlineStr">
        <is>
          <t>All 326 published tenders read; 85 in Works category; building/civil/renovation/MEP items entered</t>
        </is>
      </c>
      <c r="E5" s="60" t="inlineStr">
        <is>
          <t>31 entered</t>
        </is>
      </c>
      <c r="F5" s="60" t="inlineStr">
        <is>
          <t>Frank</t>
        </is>
      </c>
    </row>
    <row r="6" ht="15" customHeight="1" s="51">
      <c r="A6" s="61" t="n">
        <v>46289</v>
      </c>
      <c r="B6" s="60" t="inlineStr">
        <is>
          <t>CRDB Bank tender page</t>
        </is>
      </c>
      <c r="C6" s="60" t="inlineStr">
        <is>
          <t>https://crdbbank.co.tz/en/about-us/tender</t>
        </is>
      </c>
      <c r="D6" s="60" t="inlineStr">
        <is>
          <t>All listed tenders closed; none for works</t>
        </is>
      </c>
      <c r="E6" s="60" t="inlineStr">
        <is>
          <t>0</t>
        </is>
      </c>
      <c r="F6" s="60" t="inlineStr">
        <is>
          <t>Frank</t>
        </is>
      </c>
    </row>
    <row r="7" ht="23.85" customHeight="1" s="51">
      <c r="A7" s="61" t="n">
        <v>46289</v>
      </c>
      <c r="B7" s="60" t="inlineStr">
        <is>
          <t>UNGM / World Bank search</t>
        </is>
      </c>
      <c r="C7" s="60" t="inlineStr">
        <is>
          <t>https://www.ungm.org</t>
        </is>
      </c>
      <c r="D7" s="60" t="inlineStr">
        <is>
          <t>Web search found only an old (2022) UNOPS notice; no current Tanzania works notices found</t>
        </is>
      </c>
      <c r="E7" s="60" t="inlineStr">
        <is>
          <t>0</t>
        </is>
      </c>
      <c r="F7" s="60" t="inlineStr">
        <is>
          <t>Frank</t>
        </is>
      </c>
    </row>
    <row r="8">
      <c r="A8" s="113" t="n">
        <v>46291</v>
      </c>
      <c r="B8" s="103" t="inlineStr">
        <is>
          <t>Automatic scan (all sources)</t>
        </is>
      </c>
      <c r="C8" s="103" t="inlineStr"/>
      <c r="D8" s="103" t="inlineStr">
        <is>
          <t>Automatic scan of NeST, World Bank (Tanzania, civil works), TANROADS website, CRDB Bank tenders: 2 new added to Pipeline (Standard Invitation for Quotations -Works: 1, Small Works: 1); 33 screened out; 1 deadline change(s)</t>
        </is>
      </c>
      <c r="E8" s="103" t="n">
        <v>2</v>
      </c>
      <c r="F8" s="103" t="inlineStr">
        <is>
          <t>Auto-scanner</t>
        </is>
      </c>
    </row>
    <row r="9">
      <c r="A9" s="113" t="n">
        <v>46291</v>
      </c>
      <c r="B9" s="103" t="inlineStr">
        <is>
          <t>Automatic scan (all sources)</t>
        </is>
      </c>
      <c r="C9" s="103" t="inlineStr"/>
      <c r="D9" s="103" t="inlineStr">
        <is>
          <t>Automatic scan of DDO Tenders (newspapers, private, donors), TPA current tenders, RUWASA current tenders, Bank of Tanzania tenders, TEITI tenders, AfDB procurement notices – Tanzania: 4 new added to Pipeline (DDO Tenders: 4); 1 screened out; 0 deadline change(s)</t>
        </is>
      </c>
      <c r="E9" s="103" t="n">
        <v>4</v>
      </c>
      <c r="F9" s="103" t="inlineStr">
        <is>
          <t>Auto-scanner</t>
        </is>
      </c>
    </row>
    <row r="10">
      <c r="A10" s="113" t="n">
        <v>46291</v>
      </c>
      <c r="B10" s="103" t="inlineStr">
        <is>
          <t>Automatic scan (all sources)</t>
        </is>
      </c>
      <c r="C10" s="103" t="inlineStr"/>
      <c r="D10" s="103" t="inlineStr">
        <is>
          <t>Automatic scan of NeST, World Bank (Tanzania, civil works), TANROADS website, DDO Tenders (newspapers, private, donors): 1 new added to Pipeline (Small Works: 1); 6 screened out; 0 deadline change(s)</t>
        </is>
      </c>
      <c r="E10" s="103" t="n">
        <v>1</v>
      </c>
      <c r="F10" s="103" t="inlineStr">
        <is>
          <t>Auto-scanner</t>
        </is>
      </c>
    </row>
    <row r="11">
      <c r="A11" s="113" t="n">
        <v>46292</v>
      </c>
      <c r="B11" s="103" t="inlineStr">
        <is>
          <t>Automatic scan (all sources)</t>
        </is>
      </c>
      <c r="C11" s="103" t="inlineStr"/>
      <c r="D11" s="103" t="inlineStr">
        <is>
          <t>Automatic scan of NeST, TANROADS website, DDO Tenders (newspapers, private, donors): 6 new added to Pipeline (Small Works: 5, Standard Invitation for Quotations -Works: 1); 0 screened out; 0 deadline change(s)</t>
        </is>
      </c>
      <c r="E11" s="103" t="n">
        <v>6</v>
      </c>
      <c r="F11" s="103" t="inlineStr">
        <is>
          <t>Auto-scanner</t>
        </is>
      </c>
    </row>
    <row r="12">
      <c r="A12" s="113" t="n">
        <v>46293</v>
      </c>
      <c r="B12" s="103" t="inlineStr">
        <is>
          <t>Automatic scan (all sources)</t>
        </is>
      </c>
      <c r="C12" s="103" t="inlineStr"/>
      <c r="D12" s="103" t="inlineStr">
        <is>
          <t>Automatic scan of NeST, World Bank (Tanzania, civil works): 1 new added to Pipeline (Small Works: 1); 0 screened out; 0 deadline change(s)</t>
        </is>
      </c>
      <c r="E12" s="103" t="n">
        <v>1</v>
      </c>
      <c r="F12" s="103" t="inlineStr">
        <is>
          <t>Auto-scanner</t>
        </is>
      </c>
    </row>
    <row r="13">
      <c r="A13" s="113" t="n">
        <v>46294</v>
      </c>
      <c r="B13" s="103" t="inlineStr">
        <is>
          <t>Automatic scan (all sources)</t>
        </is>
      </c>
      <c r="C13" s="103" t="inlineStr"/>
      <c r="D13" s="103" t="inlineStr">
        <is>
          <t>Automatic scan of NeST, World Bank (Tanzania, civil works), TANROADS website, DDO Tenders (newspapers, private, donors): 2 new added to Pipeline (Small Works: 2); 2 screened out; 0 deadline change(s)</t>
        </is>
      </c>
      <c r="E13" s="103" t="n">
        <v>2</v>
      </c>
      <c r="F13" s="103" t="inlineStr">
        <is>
          <t>Auto-scanner</t>
        </is>
      </c>
    </row>
    <row r="14">
      <c r="A14" s="113" t="n">
        <v>46294</v>
      </c>
      <c r="B14" s="103" t="inlineStr">
        <is>
          <t>Automatic scan (all sources)</t>
        </is>
      </c>
      <c r="C14" s="103" t="inlineStr"/>
      <c r="D14" s="103" t="inlineStr">
        <is>
          <t>Automatic scan of NeST, World Bank (Tanzania, civil works), TANROADS website, DDO Tenders (newspapers, private, donors): 1 new added to Pipeline (World Bank: 1); 0 screened out; 0 deadline change(s)</t>
        </is>
      </c>
      <c r="E14" s="103" t="n">
        <v>1</v>
      </c>
      <c r="F14" s="103" t="inlineStr">
        <is>
          <t>Auto-scanner</t>
        </is>
      </c>
    </row>
    <row r="15">
      <c r="A15" s="113" t="n">
        <v>46295</v>
      </c>
      <c r="B15" s="103" t="inlineStr">
        <is>
          <t>Automatic scan (all sources)</t>
        </is>
      </c>
      <c r="C15" s="103" t="inlineStr"/>
      <c r="D15" s="103" t="inlineStr">
        <is>
          <t>Automatic scan of NeST, TANROADS website, DDO Tenders (newspapers, private, donors), CRDB Bank tenders, TPA current tenders, TARURA tenders, RUWASA current tenders, Bank of Tanzania tenders, TEITI tenders: 4 new added to Pipeline (Small Works: 4); 1 screened out; 0 deadline change(s)</t>
        </is>
      </c>
      <c r="E15" s="103" t="n">
        <v>4</v>
      </c>
      <c r="F15" s="103" t="inlineStr">
        <is>
          <t>Auto-scanner</t>
        </is>
      </c>
    </row>
    <row r="16">
      <c r="A16" s="113" t="n">
        <v>46296</v>
      </c>
      <c r="B16" s="103" t="inlineStr">
        <is>
          <t>Automatic scan (all sources)</t>
        </is>
      </c>
      <c r="C16" s="103" t="inlineStr"/>
      <c r="D16" s="103" t="inlineStr">
        <is>
          <t>Automatic scan of NeST, TANROADS website, DDO Tenders (newspapers, private, donors), CRDB Bank tenders, TPA current tenders, TARURA tenders, RUWASA current tenders, Bank of Tanzania tenders, TEITI tenders: 3 new added to Pipeline (Works Subcontracts: 1, Small Works: 2); 0 screened out; 0 deadline change(s)</t>
        </is>
      </c>
      <c r="E16" s="103" t="n">
        <v>3</v>
      </c>
      <c r="F16" s="103" t="inlineStr">
        <is>
          <t>Auto-scanner</t>
        </is>
      </c>
    </row>
    <row r="17">
      <c r="A17" s="113" t="n">
        <v>46296</v>
      </c>
      <c r="B17" s="103" t="inlineStr">
        <is>
          <t>Automatic scan (all sources)</t>
        </is>
      </c>
      <c r="C17" s="103" t="inlineStr"/>
      <c r="D17" s="103" t="inlineStr">
        <is>
          <t>Automatic scan of NeST, World Bank (Tanzania, civil works), TANROADS website, DDO Tenders (newspapers, private, donors), TanzaniaTenders.com (newspapers, portals, private): 2 new added to Pipeline (TanzaniaTenders.com: 2); 1 screened out; 0 deadline change(s)</t>
        </is>
      </c>
      <c r="E17" s="103" t="n">
        <v>2</v>
      </c>
      <c r="F17" s="103" t="inlineStr">
        <is>
          <t>Auto-scanner</t>
        </is>
      </c>
    </row>
    <row r="18">
      <c r="A18" s="113" t="n">
        <v>46297</v>
      </c>
      <c r="B18" s="103" t="inlineStr">
        <is>
          <t>Automatic scan (all sources)</t>
        </is>
      </c>
      <c r="C18" s="103" t="inlineStr"/>
      <c r="D18" s="103" t="inlineStr">
        <is>
          <t>Automatic scan of NeST, World Bank (Tanzania, civil works), TANROADS website, DDO Tenders (newspapers, private, donors), TanzaniaTenders.com (newspapers, portals, private), CRDB Bank tenders, TPA current tenders, TARURA tenders, Bank of Tanzania tenders, TEITI tenders: 3 new added to Pipeline (Small Works: 2, Design and Build: 1); 1 screened out; 1 deadline change(s)</t>
        </is>
      </c>
      <c r="E18" s="103" t="n">
        <v>3</v>
      </c>
      <c r="F18" s="103" t="inlineStr">
        <is>
          <t>Auto-scanner</t>
        </is>
      </c>
    </row>
    <row r="19">
      <c r="A19" s="113" t="n">
        <v>46297</v>
      </c>
      <c r="B19" s="103" t="inlineStr">
        <is>
          <t>Automatic scan (all sources)</t>
        </is>
      </c>
      <c r="C19" s="103" t="inlineStr"/>
      <c r="D19" s="103" t="inlineStr">
        <is>
          <t>Automatic scan of NeST, World Bank (Tanzania, civil works), TANROADS website, DDO Tenders (newspapers, private, donors), TanzaniaTenders.com (newspapers, portals, private), CRDB Bank tenders, TPA current tenders, TARURA tenders, Bank of Tanzania tenders, TEITI tenders: 3 new added to Pipeline (TanzaniaTenders.com: 3); 0 screened out; 0 deadline change(s)</t>
        </is>
      </c>
      <c r="E19" s="103" t="n">
        <v>3</v>
      </c>
      <c r="F19" s="103" t="inlineStr">
        <is>
          <t>Auto-scanner</t>
        </is>
      </c>
    </row>
    <row r="20">
      <c r="A20" s="113" t="n">
        <v>46297</v>
      </c>
      <c r="B20" s="103" t="inlineStr">
        <is>
          <t>Automatic scan (all sources)</t>
        </is>
      </c>
      <c r="C20" s="103" t="inlineStr"/>
      <c r="D20" s="103" t="inlineStr">
        <is>
          <t>Automatic scan of NeST, World Bank (Tanzania, civil works), TANROADS website, DDO Tenders (newspapers, private, donors), TanzaniaTenders.com (newspapers, portals, private): 1 new added to Pipeline (TanzaniaTenders.com: 1); 0 screened out; 0 deadline change(s)</t>
        </is>
      </c>
      <c r="E20" s="103" t="n">
        <v>1</v>
      </c>
      <c r="F20" s="103" t="inlineStr">
        <is>
          <t>Auto-scanner</t>
        </is>
      </c>
    </row>
    <row r="21">
      <c r="A21" s="113" t="n">
        <v>46298</v>
      </c>
      <c r="B21" s="103" t="inlineStr">
        <is>
          <t>Automatic scan (all sources)</t>
        </is>
      </c>
      <c r="C21" s="103" t="inlineStr"/>
      <c r="D21" s="103" t="inlineStr">
        <is>
          <t>Automatic scan of NeST, World Bank (Tanzania, civil works), TANROADS website, DDO Tenders (newspapers, private, donors), TanzaniaTenders.com (newspapers, portals, private): 0 new added to Pipeline; 0 screened out; 1 deadline change(s)</t>
        </is>
      </c>
      <c r="E21" s="103" t="n">
        <v>0</v>
      </c>
      <c r="F21" s="103" t="inlineStr">
        <is>
          <t>Auto-scanner</t>
        </is>
      </c>
    </row>
    <row r="22">
      <c r="A22" s="113" t="n">
        <v>46298</v>
      </c>
      <c r="B22" s="103" t="inlineStr">
        <is>
          <t>Automatic scan (all sources)</t>
        </is>
      </c>
      <c r="C22" s="103" t="inlineStr"/>
      <c r="D22" s="103" t="inlineStr">
        <is>
          <t>Automatic scan of NeST, World Bank (Tanzania, civil works), TANROADS website, DDO Tenders (newspapers, private, donors), TanzaniaTenders.com (newspapers, portals, private), CRDB Bank tenders, TPA current tenders: 1 new added to Pipeline (TanzaniaTenders.com: 1); 0 screened out; 0 deadline change(s)</t>
        </is>
      </c>
      <c r="E22" s="103" t="n">
        <v>1</v>
      </c>
      <c r="F22" s="103" t="inlineStr">
        <is>
          <t>Auto-scanner</t>
        </is>
      </c>
    </row>
    <row r="23">
      <c r="A23" s="113" t="n">
        <v>46298</v>
      </c>
      <c r="B23" s="103" t="inlineStr">
        <is>
          <t>Automatic scan (all sources)</t>
        </is>
      </c>
      <c r="C23" s="103" t="inlineStr"/>
      <c r="D23" s="103" t="inlineStr">
        <is>
          <t>Automatic scan of NeST, World Bank (Tanzania, civil works), TANROADS website, DDO Tenders (newspapers, private, donors), TanzaniaTenders.com (newspapers, portals, private), CRDB Bank tenders, TPA current tenders: 2 new added to Pipeline (TanzaniaTenders.com: 2); 0 screened out; 0 deadline change(s)</t>
        </is>
      </c>
      <c r="E23" s="103" t="n">
        <v>2</v>
      </c>
      <c r="F23" s="103" t="inlineStr">
        <is>
          <t>Auto-scanner</t>
        </is>
      </c>
    </row>
    <row r="24">
      <c r="A24" s="113" t="n">
        <v>46300</v>
      </c>
      <c r="B24" s="103" t="inlineStr">
        <is>
          <t>Automatic scan (all sources)</t>
        </is>
      </c>
      <c r="C24" s="103" t="inlineStr"/>
      <c r="D24" s="103" t="inlineStr">
        <is>
          <t>Automatic scan of NeST, World Bank (Tanzania, civil works), TANROADS website, DDO Tenders (newspapers, private, donors), TanzaniaTenders.com (newspapers, portals, private): 2 new added to Pipeline (Small Works: 2); 1 screened out; 0 deadline change(s)</t>
        </is>
      </c>
      <c r="E24" s="103" t="n">
        <v>2</v>
      </c>
      <c r="F24" s="103" t="inlineStr">
        <is>
          <t>Auto-scanner</t>
        </is>
      </c>
    </row>
    <row r="25">
      <c r="A25" s="113" t="n">
        <v>46300</v>
      </c>
      <c r="B25" s="103" t="inlineStr">
        <is>
          <t>Automatic scan (all sources)</t>
        </is>
      </c>
      <c r="C25" s="103" t="inlineStr"/>
      <c r="D25" s="103" t="inlineStr">
        <is>
          <t>Automatic scan of NeST, World Bank (Tanzania, civil works), TANROADS website, DDO Tenders (newspapers, private, donors), TanzaniaTenders.com (newspapers, portals, private), CRDB Bank tenders, TPA current tenders, TARURA tenders, Bank of Tanzania tenders, TEITI tenders: 1 new added to Pipeline (TanzaniaTenders.com: 1); 0 screened out; 0 deadline change(s)</t>
        </is>
      </c>
      <c r="E25" s="103" t="n">
        <v>1</v>
      </c>
      <c r="F25" s="103" t="inlineStr">
        <is>
          <t>Auto-scanner</t>
        </is>
      </c>
    </row>
    <row r="26">
      <c r="A26" s="113" t="n">
        <v>46300</v>
      </c>
      <c r="B26" s="103" t="inlineStr">
        <is>
          <t>Automatic scan (all sources)</t>
        </is>
      </c>
      <c r="C26" s="103" t="inlineStr"/>
      <c r="D26" s="103" t="inlineStr">
        <is>
          <t>Automatic scan of NeST, TANROADS website, DDO Tenders (newspapers, private, donors): 2 new added to Pipeline (DDO Tenders: 2); 0 screened out; 0 deadline change(s)</t>
        </is>
      </c>
      <c r="E26" s="103" t="n">
        <v>2</v>
      </c>
      <c r="F26" s="103" t="inlineStr">
        <is>
          <t>Auto-scanner</t>
        </is>
      </c>
    </row>
    <row r="27">
      <c r="A27" s="113" t="n">
        <v>46301</v>
      </c>
      <c r="B27" s="103" t="inlineStr">
        <is>
          <t>Automatic scan (all sources)</t>
        </is>
      </c>
      <c r="C27" s="103" t="inlineStr"/>
      <c r="D27" s="103" t="inlineStr">
        <is>
          <t>Automatic scan of NeST, World Bank (Tanzania, civil works), TANROADS website, DDO Tenders (newspapers, private, donors), TanzaniaTenders.com (newspapers, portals, private): 2 new added to Pipeline (Small Works: 2); 1 screened out; 0 deadline change(s)</t>
        </is>
      </c>
      <c r="E27" s="103" t="n">
        <v>2</v>
      </c>
      <c r="F27" s="103" t="inlineStr">
        <is>
          <t>Auto-scanner</t>
        </is>
      </c>
    </row>
    <row r="28">
      <c r="A28" s="113" t="n">
        <v>46301</v>
      </c>
      <c r="B28" s="103" t="inlineStr">
        <is>
          <t>Automatic scan (all sources)</t>
        </is>
      </c>
      <c r="C28" s="103" t="inlineStr"/>
      <c r="D28" s="103" t="inlineStr">
        <is>
          <t>Automatic scan of NeST, World Bank (Tanzania, civil works), TANROADS website, DDO Tenders (newspapers, private, donors), TanzaniaTenders.com (newspapers, portals, private): 0 new added to Pipeline; 1 screened out; 0 deadline change(s)</t>
        </is>
      </c>
      <c r="E28" s="103" t="n">
        <v>0</v>
      </c>
      <c r="F28" s="103" t="inlineStr">
        <is>
          <t>Auto-scanner</t>
        </is>
      </c>
    </row>
    <row r="29">
      <c r="A29" s="113" t="n">
        <v>46301</v>
      </c>
      <c r="B29" s="103" t="inlineStr">
        <is>
          <t>Automatic scan (all sources)</t>
        </is>
      </c>
      <c r="C29" s="103" t="inlineStr"/>
      <c r="D29" s="103" t="inlineStr">
        <is>
          <t>Automatic scan of NeST, TANROADS website, DDO Tenders (newspapers, private, donors): 1 new added to Pipeline (TANROADS website: 1); 0 screened out; 0 deadline change(s)</t>
        </is>
      </c>
      <c r="E29" s="103" t="n">
        <v>1</v>
      </c>
      <c r="F29" s="103" t="inlineStr">
        <is>
          <t>Auto-scanner</t>
        </is>
      </c>
    </row>
    <row r="30">
      <c r="A30" s="113" t="n">
        <v>46302</v>
      </c>
      <c r="B30" s="103" t="inlineStr">
        <is>
          <t>Automatic scan (all sources)</t>
        </is>
      </c>
      <c r="C30" s="103" t="inlineStr"/>
      <c r="D30" s="103" t="inlineStr">
        <is>
          <t>Automatic scan of NeST, World Bank (Tanzania, civil works), TANROADS website, DDO Tenders (newspapers, private, donors), TanzaniaTenders.com (newspapers, portals, private), CRDB Bank tenders, TPA current tenders, TARURA tenders, Bank of Tanzania tenders, TEITI tenders: 5 new added to Pipeline (Small Works: 4, Standard Invitation for Quotations -Works: 1); 1 screened out; 0 deadline change(s)</t>
        </is>
      </c>
      <c r="E30" s="103" t="n">
        <v>5</v>
      </c>
      <c r="F30" s="103" t="inlineStr">
        <is>
          <t>Auto-scanner</t>
        </is>
      </c>
    </row>
    <row r="31">
      <c r="A31" s="113" t="n">
        <v>46303</v>
      </c>
      <c r="B31" s="103" t="inlineStr">
        <is>
          <t>Automatic scan (all sources)</t>
        </is>
      </c>
      <c r="C31" s="103" t="inlineStr"/>
      <c r="D31" s="103" t="inlineStr">
        <is>
          <t>Automatic scan of NeST, World Bank (Tanzania, civil works), TANROADS website, DDO Tenders (newspapers, private, donors), TanzaniaTenders.com (newspapers, portals, private): 9 new added to Pipeline (Standard Invitation for Quotations -Works: 2, Small Works: 7); 0 screened out; 0 deadline change(s)</t>
        </is>
      </c>
      <c r="E31" s="103" t="n">
        <v>9</v>
      </c>
      <c r="F31" s="103" t="inlineStr">
        <is>
          <t>Auto-scanner</t>
        </is>
      </c>
    </row>
    <row r="32">
      <c r="A32" s="113" t="n">
        <v>46304</v>
      </c>
      <c r="B32" s="103" t="inlineStr">
        <is>
          <t>Automatic scan (all sources)</t>
        </is>
      </c>
      <c r="C32" s="103" t="inlineStr"/>
      <c r="D32" s="103" t="inlineStr">
        <is>
          <t>Automatic scan of NeST, TANROADS website, DDO Tenders (newspapers, private, donors), CRDB Bank tenders, TPA current tenders, TARURA tenders, Bank of Tanzania tenders, TEITI tenders: 2 new added to Pipeline (Small Works: 2); 1 screened out; 0 deadline change(s)</t>
        </is>
      </c>
      <c r="E32" s="103" t="n">
        <v>2</v>
      </c>
      <c r="F32" s="103" t="inlineStr">
        <is>
          <t>Auto-scanner</t>
        </is>
      </c>
    </row>
    <row r="33">
      <c r="A33" s="113" t="n">
        <v>46304</v>
      </c>
      <c r="B33" s="103" t="inlineStr">
        <is>
          <t>Automatic scan (all sources)</t>
        </is>
      </c>
      <c r="C33" s="103" t="inlineStr"/>
      <c r="D33" s="103" t="inlineStr">
        <is>
          <t>Automatic scan of NeST, World Bank (Tanzania, civil works), TANROADS website, DDO Tenders (newspapers, private, donors), TanzaniaTenders.com (newspapers, portals, private): 1 new added to Pipeline (World Bank: 1); 0 screened out; 0 deadline change(s)</t>
        </is>
      </c>
      <c r="E33" s="103" t="n">
        <v>1</v>
      </c>
      <c r="F33" s="103" t="inlineStr">
        <is>
          <t>Auto-scanner</t>
        </is>
      </c>
    </row>
    <row r="34">
      <c r="A34" s="113" t="n">
        <v>46305</v>
      </c>
      <c r="B34" s="103" t="inlineStr">
        <is>
          <t>Automatic scan (all sources)</t>
        </is>
      </c>
      <c r="C34" s="103" t="inlineStr"/>
      <c r="D34"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BidDetail – Tanzania tenders, ZoomTanzania tenders: 0 new added to Pipeline; 14 screened out; 0 deadline change(s)</t>
        </is>
      </c>
      <c r="E34" s="103" t="n">
        <v>0</v>
      </c>
      <c r="F34" s="103" t="inlineStr">
        <is>
          <t>Auto-scanner</t>
        </is>
      </c>
    </row>
    <row r="35">
      <c r="A35" s="113" t="n">
        <v>46305</v>
      </c>
      <c r="B35" s="103" t="inlineStr">
        <is>
          <t>Automatic scan (all sources)</t>
        </is>
      </c>
      <c r="C35" s="103" t="inlineStr"/>
      <c r="D35"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9 new added to Pipeline (TRC tenders: 1, TCRA tenders: 2, Azania Bank tenders: 4, SUA tenders: 2); 0 screened out; 0 deadline change(s)</t>
        </is>
      </c>
      <c r="E35" s="103" t="n">
        <v>9</v>
      </c>
      <c r="F35" s="103" t="inlineStr">
        <is>
          <t>Auto-scanner</t>
        </is>
      </c>
    </row>
    <row r="36">
      <c r="A36" s="113" t="n">
        <v>46305</v>
      </c>
      <c r="B36" s="103" t="inlineStr">
        <is>
          <t>Automatic scan (all sources)</t>
        </is>
      </c>
      <c r="C36" s="103" t="inlineStr"/>
      <c r="D36" s="103" t="inlineStr">
        <is>
          <t>Automatic scan of NeST, World Bank (Tanzania, civil works), TanzaniaTenders.com (newspapers, portals, private), PPRA public notices, Exim Bank Tanzania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0 new added to Pipeline; 14 screened out; 0 deadline change(s)</t>
        </is>
      </c>
      <c r="E36" s="103" t="n">
        <v>0</v>
      </c>
      <c r="F36" s="103" t="inlineStr">
        <is>
          <t>Auto-scanner</t>
        </is>
      </c>
    </row>
    <row r="37">
      <c r="A37" s="113" t="n">
        <v>46305</v>
      </c>
      <c r="B37" s="103" t="inlineStr">
        <is>
          <t>Automatic scan (all sources)</t>
        </is>
      </c>
      <c r="C37" s="103" t="inlineStr"/>
      <c r="D37"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BidDetail – Tanzania tenders, ZoomTanzania tenders: 3 new added to Pipeline (BidDetail: 3); 0 screened out; 0 deadline change(s)</t>
        </is>
      </c>
      <c r="E37" s="103" t="n">
        <v>3</v>
      </c>
      <c r="F37" s="103" t="inlineStr">
        <is>
          <t>Auto-scanner</t>
        </is>
      </c>
    </row>
    <row r="38">
      <c r="A38" s="113" t="n">
        <v>46305</v>
      </c>
      <c r="B38" s="103" t="inlineStr">
        <is>
          <t>Automatic scan (all sources)</t>
        </is>
      </c>
      <c r="C38" s="103" t="inlineStr"/>
      <c r="D38" s="103" t="inlineStr">
        <is>
          <t>Automatic scan of NeST, TANROADS website, DDO Tenders (newspapers, private, donors), PPRA public notices, Exim Bank Tanzania tenders: 5 new added to Pipeline (Small Works: 5); 1 screened out; 0 deadline change(s)</t>
        </is>
      </c>
      <c r="E38" s="103" t="n">
        <v>5</v>
      </c>
      <c r="F38" s="103" t="inlineStr">
        <is>
          <t>Auto-scanner</t>
        </is>
      </c>
    </row>
    <row r="39">
      <c r="A39" s="113" t="n">
        <v>46305</v>
      </c>
      <c r="B39" s="103" t="inlineStr">
        <is>
          <t>Automatic scan (all sources)</t>
        </is>
      </c>
      <c r="C39" s="103" t="inlineStr"/>
      <c r="D39" s="103" t="inlineStr">
        <is>
          <t>Automatic scan of NeST, World Bank (Tanzania, civil works),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15 new added to Pipeline (UK Find a Tender: 7, GlobalTenders: 5, TenderImpulse: 3); 0 screened out; 0 deadline change(s)</t>
        </is>
      </c>
      <c r="E39" s="103" t="n">
        <v>15</v>
      </c>
      <c r="F39" s="103" t="inlineStr">
        <is>
          <t>Auto-scanner</t>
        </is>
      </c>
    </row>
    <row r="40">
      <c r="A40" s="113" t="n">
        <v>46305</v>
      </c>
      <c r="B40" s="103" t="inlineStr">
        <is>
          <t>Automatic scan (all sources)</t>
        </is>
      </c>
      <c r="C40" s="103" t="inlineStr"/>
      <c r="D40" s="103" t="inlineStr">
        <is>
          <t>Automatic scan of NeST, World Bank (Tanzania, civil works), TanzaniaTenders.com (newspapers, portals, private),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GlobalTenders – Tanzania,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2 new added to Pipeline (TanzaniaTenders.com: 2); 0 screened out; 0 deadline change(s)</t>
        </is>
      </c>
      <c r="E40" s="103" t="n">
        <v>2</v>
      </c>
      <c r="F40" s="103" t="inlineStr">
        <is>
          <t>Auto-scanner</t>
        </is>
      </c>
    </row>
    <row r="41">
      <c r="A41" s="113" t="n">
        <v>46307</v>
      </c>
      <c r="B41" s="103" t="inlineStr">
        <is>
          <t>Automatic scan (all sources)</t>
        </is>
      </c>
      <c r="C41" s="103" t="inlineStr"/>
      <c r="D41" s="103" t="inlineStr">
        <is>
          <t>Automatic scan of NeST, TANROADS website, DDO Tenders (newspapers, private, donors), BidDetail – Tanzania tenders, ZoomTanzania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2 new added to Pipeline (Small Works: 1, Standard Invitation for Quotations -Works: 1); 0 screened out; 0 deadline change(s)</t>
        </is>
      </c>
      <c r="E41" s="103" t="n">
        <v>2</v>
      </c>
      <c r="F41" s="103" t="inlineStr">
        <is>
          <t>Auto-scanner</t>
        </is>
      </c>
    </row>
    <row r="42">
      <c r="A42" s="113" t="n">
        <v>46307</v>
      </c>
      <c r="B42" s="103" t="inlineStr">
        <is>
          <t>Automatic scan (all sources)</t>
        </is>
      </c>
      <c r="C42" s="103" t="inlineStr"/>
      <c r="D42" s="103" t="inlineStr">
        <is>
          <t>Automatic scan of NeST, World Bank (Tanzania, civil works), TANROADS website, DDO Tenders (newspapers, private, donors), TanzaniaTenders.com (newspapers, portals, private): 2 new added to Pipeline (TanzaniaTenders.com: 2); 0 screened out; 0 deadline change(s)</t>
        </is>
      </c>
      <c r="E42" s="103" t="n">
        <v>2</v>
      </c>
      <c r="F42" s="103" t="inlineStr">
        <is>
          <t>Auto-scanner</t>
        </is>
      </c>
    </row>
    <row r="43">
      <c r="A43" s="113" t="n">
        <v>46307</v>
      </c>
      <c r="B43" s="103" t="inlineStr">
        <is>
          <t>Automatic scan (all sources)</t>
        </is>
      </c>
      <c r="C43" s="103" t="inlineStr"/>
      <c r="D43" s="103" t="inlineStr">
        <is>
          <t>Automatic scan of NeST, TANROADS website, DDO Tenders (newspapers, private, donors),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1 new added to Pipeline (TCRA tenders: 1); 0 screened out; 0 deadline change(s)</t>
        </is>
      </c>
      <c r="E43" s="103" t="n">
        <v>1</v>
      </c>
      <c r="F43" s="103" t="inlineStr">
        <is>
          <t>Auto-scanner</t>
        </is>
      </c>
    </row>
    <row r="44">
      <c r="A44" s="113" t="n">
        <v>46307</v>
      </c>
      <c r="B44" s="103" t="inlineStr">
        <is>
          <t>Automatic scan (all sources)</t>
        </is>
      </c>
      <c r="C44" s="103" t="inlineStr"/>
      <c r="D44"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(BidDetail: 1); 0 screened out; 0 deadline change(s)</t>
        </is>
      </c>
      <c r="E44" s="103" t="n">
        <v>1</v>
      </c>
      <c r="F44" s="103" t="inlineStr">
        <is>
          <t>Auto-scanner</t>
        </is>
      </c>
    </row>
    <row r="45">
      <c r="A45" s="113" t="n">
        <v>46308</v>
      </c>
      <c r="B45" s="103" t="inlineStr">
        <is>
          <t>Automatic scan (all sources)</t>
        </is>
      </c>
      <c r="C45" s="103" t="inlineStr"/>
      <c r="D45" s="103" t="inlineStr">
        <is>
          <t>Automatic scan of NeST, World Bank (Tanzania, civil works), TANROADS website, DDO Tenders (newspapers, private, donors), TanzaniaTenders.com (newspapers, portals, private): 7 new added to Pipeline (Small Works: 5, Standard Invitation for Quotations -Works: 2); 4 screened out; 0 deadline change(s)</t>
        </is>
      </c>
      <c r="E45" s="103" t="n">
        <v>7</v>
      </c>
      <c r="F45" s="103" t="inlineStr">
        <is>
          <t>Auto-scanner</t>
        </is>
      </c>
    </row>
    <row r="46">
      <c r="A46" s="113" t="n">
        <v>46308</v>
      </c>
      <c r="B46" s="103" t="inlineStr">
        <is>
          <t>Automatic scan (all sources)</t>
        </is>
      </c>
      <c r="C46" s="103" t="inlineStr"/>
      <c r="D46" s="103" t="inlineStr">
        <is>
          <t>Automatic scan of NeST, World Bank (Tanzania, civil works), TANROADS website, DDO Tenders (newspapers, private, donors), TanzaniaTenders.com (newspapers, portals, private),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1 new added to Pipeline (TanzaniaTenders.com: 1); 0 screened out; 0 deadline change(s)</t>
        </is>
      </c>
      <c r="E46" s="103" t="n">
        <v>1</v>
      </c>
      <c r="F46" s="103" t="inlineStr">
        <is>
          <t>Auto-scanner</t>
        </is>
      </c>
    </row>
    <row r="47">
      <c r="A47" s="113" t="n">
        <v>46308</v>
      </c>
      <c r="B47" s="103" t="inlineStr">
        <is>
          <t>Automatic scan (all sources)</t>
        </is>
      </c>
      <c r="C47" s="103" t="inlineStr"/>
      <c r="D47" s="103" t="inlineStr">
        <is>
          <t>Automatic scan of NeST, World Bank (Tanzania, civil works), TANROADS website, DDO Tenders (newspapers, private, donors), TanzaniaTenders.com (newspapers, portals, private), CRDB Bank tenders: 2 new added to Pipeline (TanzaniaTenders.com: 2); 0 screened out; 0 deadline change(s)</t>
        </is>
      </c>
      <c r="E47" s="103" t="n">
        <v>2</v>
      </c>
      <c r="F47" s="103" t="inlineStr">
        <is>
          <t>Auto-scanner</t>
        </is>
      </c>
    </row>
    <row r="48">
      <c r="A48" s="113" t="n">
        <v>46309</v>
      </c>
      <c r="B48" s="103" t="inlineStr">
        <is>
          <t>Automatic scan (all sources)</t>
        </is>
      </c>
      <c r="C48" s="103" t="inlineStr"/>
      <c r="D48" s="103" t="inlineStr">
        <is>
          <t>Automatic scan of NeST, TANROADS website, DDO Tenders (newspapers, private, donors): 3 new added to Pipeline (Small Works: 2, Design and Build: 1); 2 screened out; 0 deadline change(s)</t>
        </is>
      </c>
      <c r="E48" s="103" t="n">
        <v>3</v>
      </c>
      <c r="F48" s="103" t="inlineStr">
        <is>
          <t>Auto-scanner</t>
        </is>
      </c>
    </row>
    <row r="49">
      <c r="A49" s="113" t="n">
        <v>46309</v>
      </c>
      <c r="B49" s="103" t="inlineStr">
        <is>
          <t>Automatic scan (all sources)</t>
        </is>
      </c>
      <c r="C49" s="103" t="inlineStr"/>
      <c r="D49" s="103" t="inlineStr">
        <is>
          <t>Automatic scan of NeST, World Bank (Tanzania, civil works), TANROADS website, DDO Tenders (newspapers, private, donors), TanzaniaTenders.com (newspapers, portals, private): 1 new added to Pipeline (TanzaniaTenders.com: 1); 0 screened out; 0 deadline change(s)</t>
        </is>
      </c>
      <c r="E49" s="103" t="n">
        <v>1</v>
      </c>
      <c r="F49" s="103" t="inlineStr">
        <is>
          <t>Auto-scanner</t>
        </is>
      </c>
    </row>
    <row r="50">
      <c r="A50" s="113" t="n">
        <v>46309</v>
      </c>
      <c r="B50" s="103" t="inlineStr">
        <is>
          <t>Automatic scan (all sources)</t>
        </is>
      </c>
      <c r="C50" s="103" t="inlineStr"/>
      <c r="D50"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GlobalTenders – Tanzania,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(TenderImpulse: 1); 0 screened out; 0 deadline change(s)</t>
        </is>
      </c>
      <c r="E50" s="103" t="n">
        <v>1</v>
      </c>
      <c r="F50" s="103" t="inlineStr">
        <is>
          <t>Auto-scanner</t>
        </is>
      </c>
    </row>
    <row r="51">
      <c r="A51" s="113" t="n">
        <v>46309</v>
      </c>
      <c r="B51" s="103" t="inlineStr">
        <is>
          <t>Automatic scan (all sources)</t>
        </is>
      </c>
      <c r="C51" s="103" t="inlineStr"/>
      <c r="D51" s="103" t="inlineStr">
        <is>
          <t>Automatic scan of NeST, World Bank (Tanzania, civil works), TANROADS website, DDO Tenders (newspapers, private, donors), TanzaniaTenders.com (newspapers, portals, private): 1 new added to Pipeline (TanzaniaTenders.com: 1); 0 screened out; 0 deadline change(s)</t>
        </is>
      </c>
      <c r="E51" s="103" t="n">
        <v>1</v>
      </c>
      <c r="F51" s="103" t="inlineStr">
        <is>
          <t>Auto-scanner</t>
        </is>
      </c>
    </row>
    <row r="52">
      <c r="A52" s="113" t="n">
        <v>46310</v>
      </c>
      <c r="B52" s="103" t="inlineStr">
        <is>
          <t>Automatic scan (all sources)</t>
        </is>
      </c>
      <c r="C52" s="103" t="inlineStr"/>
      <c r="D52"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2 new added to Pipeline (Standard Invitation for Quotations -Works: 2); 1 screened out; 0 deadline change(s)</t>
        </is>
      </c>
      <c r="E52" s="103" t="n">
        <v>2</v>
      </c>
      <c r="F52" s="103" t="inlineStr">
        <is>
          <t>Auto-scanner</t>
        </is>
      </c>
    </row>
    <row r="53">
      <c r="A53" s="113" t="n">
        <v>46310</v>
      </c>
      <c r="B53" s="103" t="inlineStr">
        <is>
          <t>Automatic scan (all sources)</t>
        </is>
      </c>
      <c r="C53" s="103" t="inlineStr"/>
      <c r="D53" s="103" t="inlineStr">
        <is>
          <t>Automatic scan of NeST, World Bank (Tanzania, civil works), TANROADS website, DDO Tenders (newspapers, private, donors), TanzaniaTenders.com (newspapers, portals, private): 1 new added to Pipeline (DDO Tenders: 1); 0 screened out; 0 deadline change(s)</t>
        </is>
      </c>
      <c r="E53" s="103" t="n">
        <v>1</v>
      </c>
      <c r="F53" s="103" t="inlineStr">
        <is>
          <t>Auto-scanner</t>
        </is>
      </c>
    </row>
    <row r="54">
      <c r="A54" s="113" t="n">
        <v>46310</v>
      </c>
      <c r="B54" s="103" t="inlineStr">
        <is>
          <t>Automatic scan (all sources)</t>
        </is>
      </c>
      <c r="C54" s="103" t="inlineStr"/>
      <c r="D54"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BidDetail – Tanzania tenders, ZoomTanzania tenders, PPRA public notices, Exim Bank Tanzania tenders, UK Find a Tender – Tanzania, UK Contracts Finder – Tanzania, EU Funding &amp; Tenders – Tanzania, TradeMark Africa procurement, Islamic Development Bank tenders, African Union bids, Global Fund business opportunities, SADC procurement, IOM procurement, UNESCO procurement, WFP procurement, GlobalTenders – Tanzania,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(TanzaniaTenders.com: 1); 0 screened out; 0 deadline change(s)</t>
        </is>
      </c>
      <c r="E54" s="103" t="n">
        <v>1</v>
      </c>
      <c r="F54" s="103" t="inlineStr">
        <is>
          <t>Auto-scanner</t>
        </is>
      </c>
    </row>
    <row r="55">
      <c r="A55" s="113" t="n">
        <v>46311</v>
      </c>
      <c r="B55" s="103" t="inlineStr">
        <is>
          <t>Automatic scan (all sources)</t>
        </is>
      </c>
      <c r="C55" s="103" t="inlineStr"/>
      <c r="D55"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BidDetail – Tanzania tenders, ZoomTanzania tenders, PPRA public notices, Exim Bank Tanzania tenders, UK Find a Tender – Tanzania, UK Contracts Finder – Tanzania, EU Funding &amp; Tenders – Tanzania, TradeMark Africa procurement, Islamic Development Bank tenders, African Union bids, Global Fund business opportunities, SADC procurement, IOM procurement, UNESCO procurement, WFP procurement, GlobalTenders – Tanzania,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(Small Works: 1); 1 screened out; 1 deadline change(s)</t>
        </is>
      </c>
      <c r="E55" s="103" t="n">
        <v>1</v>
      </c>
      <c r="F55" s="103" t="inlineStr">
        <is>
          <t>Auto-scanner</t>
        </is>
      </c>
    </row>
    <row r="56">
      <c r="A56" s="113" t="n">
        <v>46311</v>
      </c>
      <c r="B56" s="103" t="inlineStr">
        <is>
          <t>Automatic scan (all sources)</t>
        </is>
      </c>
      <c r="C56" s="103" t="inlineStr"/>
      <c r="D56" s="103" t="inlineStr">
        <is>
          <t>Automatic scan of NeST, World Bank (Tanzania, civil works), TANROADS website, DDO Tenders (newspapers, private, donors), TanzaniaTenders.com (newspapers, portals, private): 1 new added to Pipeline (TanzaniaTenders.com: 1); 1 screened out; 0 deadline change(s)</t>
        </is>
      </c>
      <c r="E56" s="103" t="n">
        <v>1</v>
      </c>
      <c r="F56" s="103" t="inlineStr">
        <is>
          <t>Auto-scanner</t>
        </is>
      </c>
    </row>
    <row r="57">
      <c r="A57" s="113" t="n">
        <v>46311</v>
      </c>
      <c r="B57" s="103" t="inlineStr">
        <is>
          <t>Automatic scan (all sources)</t>
        </is>
      </c>
      <c r="C57" s="103" t="inlineStr"/>
      <c r="D57" s="103" t="inlineStr">
        <is>
          <t>Automatic scan of NeST, World Bank (Tanzania, civil works), TANROADS website, DDO Tenders (newspapers, private, donors), TanzaniaTenders.com (newspapers, portals, private): 1 new added to Pipeline (DDO Tenders: 1); 0 screened out; 0 deadline change(s)</t>
        </is>
      </c>
      <c r="E57" s="103" t="n">
        <v>1</v>
      </c>
      <c r="F57" s="103" t="inlineStr">
        <is>
          <t>Auto-scanner</t>
        </is>
      </c>
    </row>
    <row r="58">
      <c r="A58" s="113" t="n">
        <v>46312</v>
      </c>
      <c r="B58" s="103" t="inlineStr">
        <is>
          <t>Automatic scan (all sources)</t>
        </is>
      </c>
      <c r="C58" s="103" t="inlineStr"/>
      <c r="D58"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8 new added to Pipeline (Small Works: 8); 11 screened out; 0 deadline change(s)</t>
        </is>
      </c>
      <c r="E58" s="103" t="n">
        <v>8</v>
      </c>
      <c r="F58" s="103" t="inlineStr">
        <is>
          <t>Auto-scanner</t>
        </is>
      </c>
    </row>
    <row r="59">
      <c r="A59" s="113" t="n">
        <v>46312</v>
      </c>
      <c r="B59" s="103" t="inlineStr">
        <is>
          <t>Automatic scan (all sources)</t>
        </is>
      </c>
      <c r="C59" s="103" t="inlineStr"/>
      <c r="D59"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1 new added to Pipeline (TanzaniaTenders.com: 1); 1 screened out; 0 deadline change(s)</t>
        </is>
      </c>
      <c r="E59" s="103" t="n">
        <v>1</v>
      </c>
      <c r="F59" s="103" t="inlineStr">
        <is>
          <t>Auto-scanner</t>
        </is>
      </c>
    </row>
    <row r="60">
      <c r="A60" s="113" t="n">
        <v>46312</v>
      </c>
      <c r="B60" s="103" t="inlineStr">
        <is>
          <t>Automatic scan (all sources)</t>
        </is>
      </c>
      <c r="C60" s="103" t="inlineStr"/>
      <c r="D60" s="103" t="inlineStr">
        <is>
          <t>Automatic scan of NeST, World Bank (Tanzania, civil works), TANROADS website, DDO Tenders (newspapers, private, donors), TanzaniaTenders.com (newspapers, portals, private): 1 new added to Pipeline (TanzaniaTenders.com: 1); 0 screened out; 0 deadline change(s)</t>
        </is>
      </c>
      <c r="E60" s="103" t="n">
        <v>1</v>
      </c>
      <c r="F60" s="103" t="inlineStr">
        <is>
          <t>Auto-scanner</t>
        </is>
      </c>
    </row>
    <row r="61">
      <c r="A61" s="113" t="n">
        <v>46312</v>
      </c>
      <c r="B61" s="103" t="inlineStr">
        <is>
          <t>Automatic scan (all sources)</t>
        </is>
      </c>
      <c r="C61" s="103" t="inlineStr"/>
      <c r="D61"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Global Fund business opportunities, SADC procurement,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(BidDetail: 1); 0 screened out; 0 deadline change(s)</t>
        </is>
      </c>
      <c r="E61" s="103" t="n">
        <v>1</v>
      </c>
      <c r="F61" s="103" t="inlineStr">
        <is>
          <t>Auto-scanner</t>
        </is>
      </c>
    </row>
    <row r="62">
      <c r="A62" s="113" t="n">
        <v>46312</v>
      </c>
      <c r="B62" s="103" t="inlineStr">
        <is>
          <t>Automatic scan (all sources)</t>
        </is>
      </c>
      <c r="C62" s="103" t="inlineStr"/>
      <c r="D62" s="103" t="inlineStr">
        <is>
          <t>Automatic scan of World Bank (Tanzania, civil works),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6 new added to Pipeline (TanzaniaTenders.com: 6); 5 screened out; 0 deadline change(s)</t>
        </is>
      </c>
      <c r="E62" s="103" t="n">
        <v>6</v>
      </c>
      <c r="F62" s="103" t="inlineStr">
        <is>
          <t>Auto-scanner</t>
        </is>
      </c>
    </row>
    <row r="63">
      <c r="A63" s="113" t="n">
        <v>46314</v>
      </c>
      <c r="B63" s="103" t="inlineStr">
        <is>
          <t>Automatic scan (all sources)</t>
        </is>
      </c>
      <c r="C63" s="103" t="inlineStr"/>
      <c r="D63"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4 new added to Pipeline (Small Works: 4); 1 screened out; 1 deadline change(s)</t>
        </is>
      </c>
      <c r="E63" s="103" t="n">
        <v>4</v>
      </c>
      <c r="F63" s="103" t="inlineStr">
        <is>
          <t>Auto-scanner</t>
        </is>
      </c>
    </row>
    <row r="64">
      <c r="A64" s="113" t="n">
        <v>46314</v>
      </c>
      <c r="B64" s="103" t="inlineStr">
        <is>
          <t>Automatic scan (all sources)</t>
        </is>
      </c>
      <c r="C64" s="103" t="inlineStr"/>
      <c r="D64" s="103" t="inlineStr">
        <is>
          <t>Automatic scan of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PPRA public notices, Exim Bank Tanzania tenders: 0 new added to Pipeline; 1 screened out; 0 deadline change(s)</t>
        </is>
      </c>
      <c r="E64" s="103" t="n">
        <v>0</v>
      </c>
      <c r="F64" s="103" t="inlineStr">
        <is>
          <t>Auto-scanner</t>
        </is>
      </c>
    </row>
    <row r="65">
      <c r="A65" s="113" t="n">
        <v>46314</v>
      </c>
      <c r="B65" s="103" t="inlineStr">
        <is>
          <t>Automatic scan (all sources)</t>
        </is>
      </c>
      <c r="C65" s="103" t="inlineStr"/>
      <c r="D65"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Global Fund business opportunities, SADC procurement,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(BidDetail: 1); 0 screened out; 0 deadline change(s)</t>
        </is>
      </c>
      <c r="E65" s="103" t="n">
        <v>1</v>
      </c>
      <c r="F65" s="103" t="inlineStr">
        <is>
          <t>Auto-scanner</t>
        </is>
      </c>
    </row>
    <row r="66">
      <c r="A66" s="113" t="n">
        <v>46315</v>
      </c>
      <c r="B66" s="103" t="inlineStr">
        <is>
          <t>Automatic scan (all sources)</t>
        </is>
      </c>
      <c r="C66" s="103" t="inlineStr"/>
      <c r="D66" s="103" t="inlineStr">
        <is>
          <t>Automatic scan of NeST, World Bank (Tanzania, civil works), TANROADS website, DDO Tenders (newspapers, private, donors), TanzaniaTenders.com (newspapers, portals, private): 14 new added to Pipeline (Small Works: 4, Standard Invitation for Quotations -Works: 10); 5 screened out; 1 deadline change(s)</t>
        </is>
      </c>
      <c r="E66" s="103" t="n">
        <v>14</v>
      </c>
      <c r="F66" s="103" t="inlineStr">
        <is>
          <t>Auto-scanner</t>
        </is>
      </c>
    </row>
    <row r="67">
      <c r="A67" s="113" t="n">
        <v>46315</v>
      </c>
      <c r="B67" s="103" t="inlineStr">
        <is>
          <t>Automatic scan (all sources)</t>
        </is>
      </c>
      <c r="C67" s="103" t="inlineStr"/>
      <c r="D67" s="103" t="inlineStr">
        <is>
          <t>Automatic scan of NeST, World Bank (Tanzania, civil works), TANROADS website, DDO Tenders (newspapers, private, donors), TanzaniaTenders.com (newspapers, portals, private): 1 new added to Pipeline (TanzaniaTenders.com: 1); 0 screened out; 0 deadline change(s)</t>
        </is>
      </c>
      <c r="E67" s="103" t="n">
        <v>1</v>
      </c>
      <c r="F67" s="103" t="inlineStr">
        <is>
          <t>Auto-scanner</t>
        </is>
      </c>
    </row>
    <row r="68">
      <c r="A68" s="113" t="n">
        <v>46316</v>
      </c>
      <c r="B68" s="103" t="inlineStr">
        <is>
          <t>Automatic scan (all sources)</t>
        </is>
      </c>
      <c r="C68" s="103" t="inlineStr"/>
      <c r="D68"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Global Fund business opportunities, SADC procurement,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3 new added to Pipeline (Small Works: 3); 5 screened out; 0 deadline change(s)</t>
        </is>
      </c>
      <c r="E68" s="103" t="n">
        <v>3</v>
      </c>
      <c r="F68" s="103" t="inlineStr">
        <is>
          <t>Auto-scanner</t>
        </is>
      </c>
    </row>
    <row r="69">
      <c r="A69" s="113" t="n">
        <v>46316</v>
      </c>
      <c r="B69" s="103" t="inlineStr">
        <is>
          <t>Automatic scan (all sources)</t>
        </is>
      </c>
      <c r="C69" s="103" t="inlineStr"/>
      <c r="D69"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Global Fund business opportunities, IOM procurement, UNESCO procurement, WFP procurement, GlobalTenders – Tanzania, TenderImpulse – Tanzania,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3 new added to Pipeline (TanzaniaTenders.com: 3); 0 screened out; 0 deadline change(s)</t>
        </is>
      </c>
      <c r="E69" s="103" t="n">
        <v>3</v>
      </c>
      <c r="F69" s="103" t="inlineStr">
        <is>
          <t>Auto-scanner</t>
        </is>
      </c>
    </row>
    <row r="70">
      <c r="A70" s="113" t="n">
        <v>46316</v>
      </c>
      <c r="B70" s="103" t="inlineStr">
        <is>
          <t>Automatic scan (all sources)</t>
        </is>
      </c>
      <c r="C70" s="103" t="inlineStr"/>
      <c r="D70"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NM-AIST tenders, BidDetail – Tanzania tenders, ZoomTanzania tenders, PPRA public notices, Exim Bank Tanzania tenders, UK Find a Tender – Tanzania, UK Contracts Finder – Tanzania, EU Funding &amp; Tenders – Tanzania, TradeMark Africa procurement, Islamic Development Bank tenders, African Union bids, Global Fund business opportunities,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1 new added to Pipeline (BidDetail: 1); 0 screened out; 0 deadline change(s)</t>
        </is>
      </c>
      <c r="E70" s="103" t="n">
        <v>1</v>
      </c>
      <c r="F70" s="103" t="inlineStr">
        <is>
          <t>Auto-scanner</t>
        </is>
      </c>
    </row>
    <row r="71">
      <c r="A71" s="113" t="n">
        <v>46317</v>
      </c>
      <c r="B71" s="103" t="inlineStr">
        <is>
          <t>Automatic scan (all sources)</t>
        </is>
      </c>
      <c r="C71" s="103" t="inlineStr"/>
      <c r="D71" s="103" t="inlineStr">
        <is>
          <t>Automatic scan of NeST, World Bank (Tanzania, civil works), TANROADS website, DDO Tenders (newspapers, private, donors), TanzaniaTenders.com (newspapers, portals, private), TRA public notices, UDSM announcements, TAWA announcements, Ministry of Health notices, NM-AIST tenders, BidDetail – Tanzania tenders, ZoomTanzania tenders, PPRA public notices, Exim Bank Tanzania tenders, UK Find a Tender – Tanzania, UK Contracts Finder – Tanzania, EU Funding &amp; Tenders – Tanzania, TradeMark Africa procurement, Islamic Development Bank tenders, African Union bids, Global Fund business opportunities,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5 new added to Pipeline (Small Works: 5); 0 screened out; 0 deadline change(s)</t>
        </is>
      </c>
      <c r="E71" s="103" t="n">
        <v>5</v>
      </c>
      <c r="F71" s="103" t="inlineStr">
        <is>
          <t>Auto-scanner</t>
        </is>
      </c>
    </row>
    <row r="72">
      <c r="A72" s="113" t="n">
        <v>46317</v>
      </c>
      <c r="B72" s="103" t="inlineStr">
        <is>
          <t>Automatic scan (all sources)</t>
        </is>
      </c>
      <c r="C72" s="103" t="inlineStr"/>
      <c r="D72" s="103" t="inlineStr">
        <is>
          <t>Automatic scan of NeST, World Bank (Tanzania, civil works), TANROADS website, DDO Tenders (newspapers, private, donors), TanzaniaTenders.com (newspapers, portals, private), TRA public notices, UDSM announcements, TAWA announcements, Ministry of Health notices, NM-AIST tenders, BidDetail – Tanzania tenders, ZoomTanzania tenders, PPRA public notices, Exim Bank Tanzania tenders, UK Find a Tender – Tanzania, UK Contracts Finder – Tanzania, EU Funding &amp; Tenders – Tanzania, TradeMark Africa procurement, Islamic Development Bank tenders, African Union bids, Global Fund business opportunities,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2 new added to Pipeline (TanzaniaTenders.com: 2); 0 screened out; 0 deadline change(s)</t>
        </is>
      </c>
      <c r="E72" s="103" t="n">
        <v>2</v>
      </c>
      <c r="F72" s="103" t="inlineStr">
        <is>
          <t>Auto-scanner</t>
        </is>
      </c>
    </row>
    <row r="73">
      <c r="A73" s="113" t="n">
        <v>46318</v>
      </c>
      <c r="B73" s="103" t="inlineStr">
        <is>
          <t>Automatic scan (all sources)</t>
        </is>
      </c>
      <c r="C73" s="103" t="inlineStr"/>
      <c r="D73" s="103" t="inlineStr">
        <is>
          <t>Automatic scan of NeST, World Bank (Tanzania, civil works), TANROADS website, DDO Tenders (newspapers, private, donors), TanzaniaTenders.com (newspapers, portals, private): 7 new added to Pipeline (Design and Build: 1, Small Works: 5, Standard Invitation for Quotations -Works: 1); 2 screened out; 1 deadline change(s)</t>
        </is>
      </c>
      <c r="E73" s="103" t="n">
        <v>7</v>
      </c>
      <c r="F73" s="103" t="inlineStr">
        <is>
          <t>Auto-scanner</t>
        </is>
      </c>
    </row>
    <row r="74">
      <c r="A74" s="113" t="n">
        <v>46318</v>
      </c>
      <c r="B74" s="103" t="inlineStr">
        <is>
          <t>Automatic scan (all sources)</t>
        </is>
      </c>
      <c r="C74" s="103" t="inlineStr"/>
      <c r="D74" s="103" t="inlineStr">
        <is>
          <t>Automatic scan of NeST, World Bank (Tanzania, civil works), TANROADS website, DDO Tenders (newspapers, private, donors), TanzaniaTenders.com (newspapers, portals, private): 1 new added to Pipeline (TanzaniaTenders.com: 1); 0 screened out; 0 deadline change(s)</t>
        </is>
      </c>
      <c r="E74" s="103" t="n">
        <v>1</v>
      </c>
      <c r="F74" s="103" t="inlineStr">
        <is>
          <t>Auto-scanner</t>
        </is>
      </c>
    </row>
    <row r="75">
      <c r="A75" s="113" t="n">
        <v>46318</v>
      </c>
      <c r="B75" s="103" t="inlineStr">
        <is>
          <t>Automatic scan (all sources)</t>
        </is>
      </c>
      <c r="C75" s="103" t="inlineStr"/>
      <c r="D75" s="103" t="inlineStr">
        <is>
          <t>Automatic scan of NeST, World Bank (Tanzania, civil works), TANROADS website, DDO Tenders (newspapers, private, donors), TanzaniaTenders.com (newspapers, portals, private): 1 new added to Pipeline (TanzaniaTenders.com: 1); 0 screened out; 0 deadline change(s)</t>
        </is>
      </c>
      <c r="E75" s="103" t="n">
        <v>1</v>
      </c>
      <c r="F75" s="103" t="inlineStr">
        <is>
          <t>Auto-scanner</t>
        </is>
      </c>
    </row>
    <row r="76">
      <c r="A76" s="113" t="n">
        <v>46319</v>
      </c>
      <c r="B76" s="103" t="inlineStr">
        <is>
          <t>Automatic scan (all sources)</t>
        </is>
      </c>
      <c r="C76" s="103" t="inlineStr"/>
      <c r="D76" s="103" t="inlineStr">
        <is>
          <t>Automatic scan of NeST, World Bank (Tanzania, civil works), TANROADS website, DDO Tenders (newspapers, private, donors), TanzaniaTenders.com (newspapers, portals, private): 2 new added to Pipeline (Small Works: 2); 3 screened out; 0 deadline change(s)</t>
        </is>
      </c>
      <c r="E76" s="103" t="n">
        <v>2</v>
      </c>
      <c r="F76" s="103" t="inlineStr">
        <is>
          <t>Auto-scanner</t>
        </is>
      </c>
    </row>
    <row r="77">
      <c r="A77" s="113" t="n">
        <v>46319</v>
      </c>
      <c r="B77" s="103" t="inlineStr">
        <is>
          <t>Automatic scan (all sources)</t>
        </is>
      </c>
      <c r="C77" s="103" t="inlineStr"/>
      <c r="D77"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PPRA public notices, Exim Bank Tanzania tenders: 2 new added to Pipeline (TanzaniaTenders.com: 2); 1 screened out; 0 deadline change(s)</t>
        </is>
      </c>
      <c r="E77" s="103" t="n">
        <v>2</v>
      </c>
      <c r="F77" s="103" t="inlineStr">
        <is>
          <t>Auto-scanner</t>
        </is>
      </c>
    </row>
    <row r="78">
      <c r="A78" s="113" t="n">
        <v>46319</v>
      </c>
      <c r="B78" s="103" t="inlineStr">
        <is>
          <t>Automatic scan (all sources)</t>
        </is>
      </c>
      <c r="C78" s="103" t="inlineStr"/>
      <c r="D78"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1 new added to Pipeline (TanzaniaTenders.com: 1); 0 screened out; 0 deadline change(s)</t>
        </is>
      </c>
      <c r="E78" s="103" t="n">
        <v>1</v>
      </c>
      <c r="F78" s="103" t="inlineStr">
        <is>
          <t>Auto-scanner</t>
        </is>
      </c>
    </row>
    <row r="79">
      <c r="A79" s="113" t="n">
        <v>46319</v>
      </c>
      <c r="B79" s="103" t="inlineStr">
        <is>
          <t>Automatic scan (all sources)</t>
        </is>
      </c>
      <c r="C79" s="103" t="inlineStr"/>
      <c r="D79" s="103" t="inlineStr">
        <is>
          <t>Automatic scan of NeST, World Bank (Tanzania, civil works), TANROADS website, DDO Tenders (newspapers, private, donors), TanzaniaTenders.com (newspapers, portals, private), BidDetail – Tanzania tenders, ZoomTanzania tenders, UK Find a Tender – Tanzania, UK Contracts Finder – Tanzania, EU Funding &amp; Tenders – Tanzania, TradeMark Africa procurement, Islamic Development Bank tenders, African Union bids, Global Fund business opportunities, IOM procurement, UNESCO procurement, WFP procurement, GlobalTenders – Tanzania, TenderImpulse – Tanzania, Lake Victoria Basin Commission procurement, East African Development Bank procurement, TDB Group procurement, IUCEA procurement, ESAMI (Arusha) procurement, Shelter Afrique procurement, OPEC Fund procurement, IRC (International Rescue Committee) procurement, Norwegian Refugee Council procurement, Welthungerhilfe tenders, Concern Worldwide tenders: 2 new added to Pipeline (BidDetail: 2); 0 screened out; 0 deadline change(s)</t>
        </is>
      </c>
      <c r="E79" s="103" t="n">
        <v>2</v>
      </c>
      <c r="F79" s="103" t="inlineStr">
        <is>
          <t>Auto-scanner</t>
        </is>
      </c>
    </row>
    <row r="80">
      <c r="A80" s="113" t="n">
        <v>46321</v>
      </c>
      <c r="B80" s="103" t="inlineStr">
        <is>
          <t>Automatic scan (all sources)</t>
        </is>
      </c>
      <c r="C80" s="103" t="inlineStr"/>
      <c r="D80" s="103" t="inlineStr">
        <is>
          <t>Automatic scan of NeST, World Bank (Tanzania, civil works), TANROADS website, DDO Tenders (newspapers, private, donors), TanzaniaTenders.com (newspapers, portals, private), CRDB Bank tenders, TPA current tenders, TARURA tenders, Bank of Tanzania tenders, TEITI tenders, TRC tenders, TCRA tenders, Azania Bank tenders, NBC Bank procurement, Ministry of Water tenders, REA tenders, DART tenders, TASAC tenders, TMDA tenders, DUWASA tenders, MWAUWASA tenders, Ministry of Finance tenders, SUA tenders (zabuni), Tanzania Posts announcements, TRA public notices, UDSM announcements, TAWA announcements, Ministry of Health notices, BidDetail – Tanzania tenders, ZoomTanzania tenders, PPRA public notices, Exim Bank Tanzania tenders, UK Find a Tender – Tanzania, UK Contracts Finder – Tanzania, EU Funding &amp; Tenders – Tanzania, TradeMark Africa procurement, Islamic Development Bank tenders, African Union bids, Enabel (Belgium) procurement, Global Fund business opportunities, SADC procurement, IOM procurement, UNESCO procurement, WFP procurement, GlobalTenders – Tanzania, TenderImpulse – Tanzania, Lake Victoria Basin Commission procurement, East African Development Bank procurement, IUCEA procurement, ESAMI (Arusha) procurement, Shelter Afrique procurement, OPEC Fund procurement, IRC (International Rescue Committee) procurement, Norwegian Refugee Council procurement, Welthungerhilfe tenders, Concern Worldwide tenders: 3 new added to Pipeline (Small Works: 3); 2 screened out; 0 deadline change(s)</t>
        </is>
      </c>
      <c r="E80" s="103" t="n">
        <v>3</v>
      </c>
      <c r="F80" s="103" t="inlineStr">
        <is>
          <t>Auto-scanner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50" min="1" max="10"/>
  </cols>
  <sheetData>
    <row r="1" ht="17.35" customHeight="1" s="51">
      <c r="A1" s="52" t="inlineStr">
        <is>
          <t>Drop-down lists</t>
        </is>
      </c>
    </row>
    <row r="2" ht="15" customHeight="1" s="51">
      <c r="A2" s="53" t="inlineStr">
        <is>
          <t>Edit these lists to change the options in the Pipeline and Bid-NoBid sheets.</t>
        </is>
      </c>
    </row>
    <row r="4" ht="15" customHeight="1" s="51">
      <c r="A4" s="104" t="inlineStr">
        <is>
          <t>Source</t>
        </is>
      </c>
      <c r="B4" s="104" t="inlineStr">
        <is>
          <t>ClientType</t>
        </is>
      </c>
      <c r="C4" s="104" t="inlineStr">
        <is>
          <t>Category</t>
        </is>
      </c>
      <c r="D4" s="104" t="inlineStr">
        <is>
          <t>YNU</t>
        </is>
      </c>
      <c r="E4" s="104" t="inlineStr">
        <is>
          <t>Status</t>
        </is>
      </c>
      <c r="F4" s="104" t="inlineStr">
        <is>
          <t>MDDecision</t>
        </is>
      </c>
      <c r="G4" s="104" t="inlineStr">
        <is>
          <t>Screen</t>
        </is>
      </c>
      <c r="H4" s="104" t="inlineStr">
        <is>
          <t>Gate</t>
        </is>
      </c>
      <c r="I4" s="104" t="inlineStr">
        <is>
          <t>Score</t>
        </is>
      </c>
      <c r="J4" s="104" t="inlineStr">
        <is>
          <t>Outcome</t>
        </is>
      </c>
    </row>
    <row r="5" ht="15" customHeight="1" s="51">
      <c r="A5" s="87" t="inlineStr">
        <is>
          <t>NeST</t>
        </is>
      </c>
      <c r="B5" s="87" t="inlineStr">
        <is>
          <t>bank</t>
        </is>
      </c>
      <c r="C5" s="87" t="inlineStr">
        <is>
          <t>building</t>
        </is>
      </c>
      <c r="D5" s="87" t="inlineStr">
        <is>
          <t>Y</t>
        </is>
      </c>
      <c r="E5" s="87" t="inlineStr">
        <is>
          <t>Watching</t>
        </is>
      </c>
      <c r="F5" s="87" t="inlineStr">
        <is>
          <t>Bid</t>
        </is>
      </c>
      <c r="G5" s="87" t="inlineStr">
        <is>
          <t>Pursue</t>
        </is>
      </c>
      <c r="H5" s="87" t="inlineStr">
        <is>
          <t>Pass</t>
        </is>
      </c>
      <c r="I5" s="87" t="n">
        <v>0</v>
      </c>
      <c r="J5" s="87" t="inlineStr">
        <is>
          <t>Won</t>
        </is>
      </c>
    </row>
    <row r="6" ht="15" customHeight="1" s="51">
      <c r="A6" s="87" t="inlineStr">
        <is>
          <t>ZPPDA</t>
        </is>
      </c>
      <c r="B6" s="87" t="inlineStr">
        <is>
          <t>oil &amp; gas</t>
        </is>
      </c>
      <c r="C6" s="87" t="inlineStr">
        <is>
          <t>civil</t>
        </is>
      </c>
      <c r="D6" s="87" t="inlineStr">
        <is>
          <t>N</t>
        </is>
      </c>
      <c r="E6" s="87" t="inlineStr">
        <is>
          <t>Preparing</t>
        </is>
      </c>
      <c r="F6" s="87" t="inlineStr">
        <is>
          <t>Conditional</t>
        </is>
      </c>
      <c r="G6" s="87" t="inlineStr">
        <is>
          <t>Check</t>
        </is>
      </c>
      <c r="H6" s="87" t="inlineStr">
        <is>
          <t>Fail</t>
        </is>
      </c>
      <c r="I6" s="87" t="n">
        <v>1</v>
      </c>
      <c r="J6" s="87" t="inlineStr">
        <is>
          <t>Lost</t>
        </is>
      </c>
    </row>
    <row r="7" ht="15" customHeight="1" s="51">
      <c r="A7" s="87" t="inlineStr">
        <is>
          <t>client site</t>
        </is>
      </c>
      <c r="B7" s="87" t="inlineStr">
        <is>
          <t>government</t>
        </is>
      </c>
      <c r="C7" s="87" t="inlineStr">
        <is>
          <t>fit-out</t>
        </is>
      </c>
      <c r="D7" s="87" t="inlineStr">
        <is>
          <t>unknown</t>
        </is>
      </c>
      <c r="E7" s="87" t="inlineStr">
        <is>
          <t>Submitted</t>
        </is>
      </c>
      <c r="F7" s="87" t="inlineStr">
        <is>
          <t>No-Bid</t>
        </is>
      </c>
      <c r="G7" s="87" t="inlineStr">
        <is>
          <t>Drop</t>
        </is>
      </c>
      <c r="H7" s="87" t="inlineStr">
        <is>
          <t>TBC</t>
        </is>
      </c>
      <c r="I7" s="87" t="n">
        <v>2</v>
      </c>
      <c r="J7" s="87" t="inlineStr">
        <is>
          <t>Cancelled</t>
        </is>
      </c>
    </row>
    <row r="8" ht="15" customHeight="1" s="51">
      <c r="A8" s="87" t="inlineStr">
        <is>
          <t>donor</t>
        </is>
      </c>
      <c r="B8" s="87" t="inlineStr">
        <is>
          <t>parastatal</t>
        </is>
      </c>
      <c r="C8" s="87" t="inlineStr">
        <is>
          <t>renovation</t>
        </is>
      </c>
      <c r="E8" s="87" t="inlineStr">
        <is>
          <t>Won</t>
        </is>
      </c>
      <c r="F8" s="87" t="inlineStr">
        <is>
          <t>JV – explore</t>
        </is>
      </c>
      <c r="I8" s="87" t="n">
        <v>3</v>
      </c>
      <c r="J8" s="87" t="inlineStr">
        <is>
          <t>Not submitted</t>
        </is>
      </c>
    </row>
    <row r="9" ht="15" customHeight="1" s="51">
      <c r="A9" s="87" t="inlineStr">
        <is>
          <t>press</t>
        </is>
      </c>
      <c r="B9" s="87" t="inlineStr">
        <is>
          <t>parastatal (verify)</t>
        </is>
      </c>
      <c r="C9" s="87" t="inlineStr">
        <is>
          <t>MEP</t>
        </is>
      </c>
      <c r="E9" s="87" t="inlineStr">
        <is>
          <t>Lost</t>
        </is>
      </c>
      <c r="I9" s="87" t="n">
        <v>4</v>
      </c>
    </row>
    <row r="10" ht="15" customHeight="1" s="51">
      <c r="A10" s="87" t="inlineStr">
        <is>
          <t>contact</t>
        </is>
      </c>
      <c r="B10" s="87" t="inlineStr">
        <is>
          <t>donor</t>
        </is>
      </c>
      <c r="E10" s="87" t="inlineStr">
        <is>
          <t>No-Bid</t>
        </is>
      </c>
      <c r="I10" s="87" t="n">
        <v>5</v>
      </c>
    </row>
    <row r="11" ht="15" customHeight="1" s="51">
      <c r="B11" s="87" t="inlineStr">
        <is>
          <t>private</t>
        </is>
      </c>
      <c r="E11" s="87" t="inlineStr">
        <is>
          <t>Closed – missed</t>
        </is>
      </c>
    </row>
    <row r="12" ht="15" customHeight="1" s="51">
      <c r="E12" s="87" t="inlineStr">
        <is>
          <t>Cancelled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50" min="1" max="1"/>
    <col width="62" customWidth="1" style="50" min="2" max="2"/>
    <col width="10" customWidth="1" style="50" min="3" max="3"/>
    <col width="62" customWidth="1" style="50" min="4" max="4"/>
  </cols>
  <sheetData>
    <row r="1" ht="17.35" customHeight="1" s="51">
      <c r="A1" s="52" t="inlineStr">
        <is>
          <t>Bid / No-Bid scoring guide (Appendix A, F-02)</t>
        </is>
      </c>
    </row>
    <row r="2" ht="15" customHeight="1" s="51">
      <c r="A2" s="53" t="inlineStr">
        <is>
          <t>Gate first, then score. If any gate fails, stop. Weights total 100; weighted score = Σ(weight × score) / 5.</t>
        </is>
      </c>
    </row>
    <row r="4" ht="15" customHeight="1" s="51">
      <c r="A4" s="57" t="inlineStr">
        <is>
          <t>Gate</t>
        </is>
      </c>
      <c r="B4" s="57" t="inlineStr">
        <is>
          <t>Pass / Fail test</t>
        </is>
      </c>
      <c r="C4" s="57" t="inlineStr">
        <is>
          <t>Evidence</t>
        </is>
      </c>
    </row>
    <row r="5" ht="15" customHeight="1" s="51">
      <c r="A5" s="87" t="inlineStr">
        <is>
          <t>G1</t>
        </is>
      </c>
      <c r="B5" s="87" t="inlineStr">
        <is>
          <t>CRB class and category required ≤ Nordic's class (Building I, Civil IV)</t>
        </is>
      </c>
      <c r="C5" s="87" t="inlineStr">
        <is>
          <t>Tender notice</t>
        </is>
      </c>
    </row>
    <row r="6" ht="15" customHeight="1" s="51">
      <c r="A6" s="87" t="inlineStr">
        <is>
          <t>G2</t>
        </is>
      </c>
      <c r="B6" s="87" t="inlineStr">
        <is>
          <t>Minimum turnover / experience met</t>
        </is>
      </c>
      <c r="C6" s="87" t="inlineStr">
        <is>
          <t>Notice vs audited accounts and project list</t>
        </is>
      </c>
    </row>
    <row r="7" ht="15" customHeight="1" s="51">
      <c r="A7" s="87" t="inlineStr">
        <is>
          <t>G3</t>
        </is>
      </c>
      <c r="B7" s="87" t="inlineStr">
        <is>
          <t>Bid security and performance guarantee obtainable within current bank limits</t>
        </is>
      </c>
      <c r="C7" s="87" t="inlineStr">
        <is>
          <t>Finance Officer confirmation</t>
        </is>
      </c>
    </row>
    <row r="8" ht="15" customHeight="1" s="51">
      <c r="A8" s="87" t="inlineStr">
        <is>
          <t>G4</t>
        </is>
      </c>
      <c r="B8" s="87" t="inlineStr">
        <is>
          <t>Submission date achievable with current estimating workload</t>
        </is>
      </c>
      <c r="C8" s="87" t="inlineStr">
        <is>
          <t>QS Director confirmation</t>
        </is>
      </c>
    </row>
    <row r="10" ht="15" customHeight="1" s="51">
      <c r="A10" s="57" t="inlineStr">
        <is>
          <t>#</t>
        </is>
      </c>
      <c r="B10" s="57" t="inlineStr">
        <is>
          <t>Criterion</t>
        </is>
      </c>
      <c r="C10" s="57" t="inlineStr">
        <is>
          <t>Weight</t>
        </is>
      </c>
      <c r="D10" s="57" t="inlineStr">
        <is>
          <t>Guidance</t>
        </is>
      </c>
    </row>
    <row r="11" ht="15" customHeight="1" s="51">
      <c r="A11" s="55" t="n">
        <v>1</v>
      </c>
      <c r="B11" s="55" t="inlineStr">
        <is>
          <t>Client payment record and funding confirmed</t>
        </is>
      </c>
      <c r="C11" s="105" t="n">
        <v>10</v>
      </c>
      <c r="D11" s="55" t="inlineStr">
        <is>
          <t>5 = repeat client, paid on time; 0 = unknown or known late payer</t>
        </is>
      </c>
    </row>
    <row r="12" ht="15" customHeight="1" s="51">
      <c r="A12" s="55" t="n">
        <v>2</v>
      </c>
      <c r="B12" s="55" t="inlineStr">
        <is>
          <t>Relationship / access to decision-maker</t>
        </is>
      </c>
      <c r="C12" s="105" t="n">
        <v>8</v>
      </c>
      <c r="D12" s="55" t="inlineStr">
        <is>
          <t>5 = MD knows the sponsor; 0 = no contact</t>
        </is>
      </c>
    </row>
    <row r="13" ht="15" customHeight="1" s="51">
      <c r="A13" s="55" t="n">
        <v>3</v>
      </c>
      <c r="B13" s="55" t="inlineStr">
        <is>
          <t>Client type strategic value (bank, oil &amp; gas, donor, government)</t>
        </is>
      </c>
      <c r="C13" s="105" t="n">
        <v>7</v>
      </c>
      <c r="D13" s="55" t="inlineStr">
        <is>
          <t>From T-Plan target sectors</t>
        </is>
      </c>
    </row>
    <row r="14" ht="15" customHeight="1" s="51">
      <c r="A14" s="55" t="n">
        <v>4</v>
      </c>
      <c r="B14" s="55" t="inlineStr">
        <is>
          <t>Expected number and strength of competitors</t>
        </is>
      </c>
      <c r="C14" s="105" t="n">
        <v>10</v>
      </c>
      <c r="D14" s="55" t="inlineStr">
        <is>
          <t>5 = restricted tender, 2–3 bidders; 0 = open, 15+ bidders</t>
        </is>
      </c>
    </row>
    <row r="15" ht="15" customHeight="1" s="51">
      <c r="A15" s="55" t="n">
        <v>5</v>
      </c>
      <c r="B15" s="55" t="inlineStr">
        <is>
          <t>Evaluation basis favours us (technical weight, past performance)</t>
        </is>
      </c>
      <c r="C15" s="105" t="n">
        <v>8</v>
      </c>
      <c r="D15" s="55" t="inlineStr">
        <is>
          <t>5 = quality-and-cost; 0 = lowest price only</t>
        </is>
      </c>
    </row>
    <row r="16" ht="15" customHeight="1" s="51">
      <c r="A16" s="55" t="n">
        <v>6</v>
      </c>
      <c r="B16" s="55" t="inlineStr">
        <is>
          <t>Margin potential at market rates (from rate library)</t>
        </is>
      </c>
      <c r="C16" s="105" t="n">
        <v>7</v>
      </c>
      <c r="D16" s="55" t="inlineStr">
        <is>
          <t>5 = &gt;12% gross; 0 = &lt;5%</t>
        </is>
      </c>
    </row>
    <row r="17" ht="15" customHeight="1" s="51">
      <c r="A17" s="55" t="n">
        <v>7</v>
      </c>
      <c r="B17" s="55" t="inlineStr">
        <is>
          <t>Key staff and equipment available in the period</t>
        </is>
      </c>
      <c r="C17" s="105" t="n">
        <v>10</v>
      </c>
      <c r="D17" s="55" t="inlineStr">
        <is>
          <t>Project Director assessment</t>
        </is>
      </c>
    </row>
    <row r="18" ht="15" customHeight="1" s="51">
      <c r="A18" s="55" t="n">
        <v>8</v>
      </c>
      <c r="B18" s="55" t="inlineStr">
        <is>
          <t>Location and logistics (distance from base, site conditions)</t>
        </is>
      </c>
      <c r="C18" s="105" t="n">
        <v>5</v>
      </c>
      <c r="D18" s="55" t="inlineStr">
        <is>
          <t>5 = Dar/Coast; 0 = remote with poor access</t>
        </is>
      </c>
    </row>
    <row r="19" ht="15" customHeight="1" s="51">
      <c r="A19" s="55" t="n">
        <v>9</v>
      </c>
      <c r="B19" s="55" t="inlineStr">
        <is>
          <t>Advance payment / payment terms / retention</t>
        </is>
      </c>
      <c r="C19" s="105" t="n">
        <v>10</v>
      </c>
      <c r="D19" s="55" t="inlineStr">
        <is>
          <t>5 = 15%+ advance, 28-day certificates; 0 = no advance, 90+ days</t>
        </is>
      </c>
    </row>
    <row r="20" ht="15" customHeight="1" s="51">
      <c r="A20" s="55" t="n">
        <v>10</v>
      </c>
      <c r="B20" s="55" t="inlineStr">
        <is>
          <t>Risk profile: design responsibility, LDs, unusual conditions</t>
        </is>
      </c>
      <c r="C20" s="105" t="n">
        <v>10</v>
      </c>
      <c r="D20" s="55" t="inlineStr">
        <is>
          <t>Contract conditions review</t>
        </is>
      </c>
    </row>
    <row r="21" ht="15" customHeight="1" s="51">
      <c r="A21" s="55" t="n">
        <v>11</v>
      </c>
      <c r="B21" s="55" t="inlineStr">
        <is>
          <t>Strategic fit: new sector entry, reference value, repeat work</t>
        </is>
      </c>
      <c r="C21" s="105" t="n">
        <v>10</v>
      </c>
      <c r="D21" s="55" t="inlineStr">
        <is>
          <t>MD view</t>
        </is>
      </c>
    </row>
    <row r="22" ht="15" customHeight="1" s="51">
      <c r="A22" s="55" t="n">
        <v>12</v>
      </c>
      <c r="B22" s="55" t="inlineStr">
        <is>
          <t>Cost of bidding (site visit, design, bid bond) vs value</t>
        </is>
      </c>
      <c r="C22" s="105" t="n">
        <v>5</v>
      </c>
      <c r="D22" s="55" t="inlineStr">
        <is>
          <t>QS estimate</t>
        </is>
      </c>
    </row>
    <row r="23" ht="15" customHeight="1" s="51">
      <c r="B23" s="84" t="inlineStr">
        <is>
          <t>TOTAL (must equal 100)</t>
        </is>
      </c>
      <c r="C23" s="84">
        <f>SUM(C11:C22)</f>
        <v/>
      </c>
    </row>
    <row r="25" ht="15" customHeight="1" s="51">
      <c r="B25" s="84" t="inlineStr">
        <is>
          <t>Thresholds</t>
        </is>
      </c>
    </row>
    <row r="26" ht="15" customHeight="1" s="51">
      <c r="B26" s="87" t="inlineStr">
        <is>
          <t>Bid if score ≥</t>
        </is>
      </c>
      <c r="C26" s="106" t="n">
        <v>70</v>
      </c>
    </row>
    <row r="27" ht="15" customHeight="1" s="51">
      <c r="B27" s="87" t="inlineStr">
        <is>
          <t>Conditional (MD decides) if score ≥</t>
        </is>
      </c>
      <c r="C27" s="106" t="n">
        <v>50</v>
      </c>
    </row>
    <row r="28" ht="15" customHeight="1" s="51">
      <c r="B28" s="87" t="inlineStr">
        <is>
          <t>Below that: No-Bid</t>
        </is>
      </c>
    </row>
    <row r="30" ht="15" customHeight="1" s="51">
      <c r="A30" s="95" t="inlineStr">
        <is>
          <t>Weights are the Appendix A draft. Change them only after agreement with the QS Director; after v1.0 any change needs the MD (F-02, escalation rule).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K129"/>
  <sheetViews>
    <sheetView workbookViewId="0">
      <pane ySplit="4" topLeftCell="A5" activePane="bottomLeft" state="frozen"/>
      <selection pane="bottomLeft" activeCell="A1" sqref="A1"/>
    </sheetView>
  </sheetViews>
  <sheetFormatPr baseColWidth="8" defaultRowHeight="15"/>
  <cols>
    <col width="11" customWidth="1" style="51" min="1" max="1"/>
    <col width="24" customWidth="1" style="51" min="2" max="2"/>
    <col width="30" customWidth="1" style="51" min="3" max="3"/>
    <col width="60" customWidth="1" style="51" min="4" max="4"/>
    <col width="26" customWidth="1" style="51" min="5" max="5"/>
    <col width="10" customWidth="1" style="51" min="6" max="6"/>
    <col width="16" customWidth="1" style="51" min="7" max="7"/>
    <col width="50" customWidth="1" style="51" min="8" max="8"/>
    <col width="14" customWidth="1" style="51" min="9" max="9"/>
    <col width="12" customWidth="1" style="51" min="10" max="10"/>
    <col width="30" customWidth="1" style="51" min="11" max="11"/>
  </cols>
  <sheetData>
    <row r="1">
      <c r="A1" s="107" t="inlineStr">
        <is>
          <t>Screened out automatically</t>
        </is>
      </c>
    </row>
    <row r="2">
      <c r="A2" s="108" t="inlineStr">
        <is>
          <t>Construction/civil tenders the scanner found but did not add to the Pipeline, with the reason. To pursue one, copy it into the next empty Pipeline row.</t>
        </is>
      </c>
    </row>
    <row r="4">
      <c r="A4" s="109" t="inlineStr">
        <is>
          <t>Date found</t>
        </is>
      </c>
      <c r="B4" s="109" t="inlineStr">
        <is>
          <t>Tender no.</t>
        </is>
      </c>
      <c r="C4" s="109" t="inlineStr">
        <is>
          <t>Client</t>
        </is>
      </c>
      <c r="D4" s="109" t="inlineStr">
        <is>
          <t>Tender title</t>
        </is>
      </c>
      <c r="E4" s="109" t="inlineStr">
        <is>
          <t>Location</t>
        </is>
      </c>
      <c r="F4" s="109" t="inlineStr">
        <is>
          <t>Category</t>
        </is>
      </c>
      <c r="G4" s="109" t="inlineStr">
        <is>
          <t>Closes</t>
        </is>
      </c>
      <c r="H4" s="109" t="inlineStr">
        <is>
          <t>Reason</t>
        </is>
      </c>
      <c r="I4" s="109" t="inlineStr">
        <is>
          <t>Source ID</t>
        </is>
      </c>
      <c r="J4" s="109" t="inlineStr">
        <is>
          <t>Source</t>
        </is>
      </c>
      <c r="K4" s="109" t="inlineStr">
        <is>
          <t>Link</t>
        </is>
      </c>
    </row>
    <row r="5">
      <c r="A5" s="114" t="n">
        <v>46291</v>
      </c>
      <c r="B5" s="111" t="inlineStr">
        <is>
          <t>TR36/001/2026/2027/W/53</t>
        </is>
      </c>
      <c r="C5" s="111" t="inlineStr">
        <is>
          <t>TANROADS - Arusha Regional Office</t>
        </is>
      </c>
      <c r="D5" s="111" t="inlineStr">
        <is>
          <t>Rehabilitation works of Longido - Kitumbeine - Oldonyolengai -Lengai (Kitumbeine - Lengai), Noondoto Jct - Monduli Juu( Ingusero) – Kitumbeine Roads.</t>
        </is>
      </c>
      <c r="E5" s="111" t="inlineStr">
        <is>
          <t>Arusha (Monduli)</t>
        </is>
      </c>
      <c r="F5" s="111" t="inlineStr">
        <is>
          <t>civil</t>
        </is>
      </c>
      <c r="G5" s="115" t="n">
        <v>46297.58333333334</v>
      </c>
      <c r="H5" s="111" t="inlineStr">
        <is>
          <t>Auto (Small Works / Tender): Remote civil works</t>
        </is>
      </c>
      <c r="I5" s="111" t="inlineStr">
        <is>
          <t>6ca4e1a5-2934-4273-a653-6dd042174630</t>
        </is>
      </c>
      <c r="J5" s="111" t="inlineStr">
        <is>
          <t>NeST</t>
        </is>
      </c>
      <c r="K5" s="111" t="inlineStr">
        <is>
          <t>https://nest.go.tz/tenders/published-tenders</t>
        </is>
      </c>
    </row>
    <row r="6">
      <c r="A6" s="114" t="n">
        <v>46291</v>
      </c>
      <c r="B6" s="111" t="inlineStr">
        <is>
          <t>TR36/001/2026/2027/W/48</t>
        </is>
      </c>
      <c r="C6" s="111" t="inlineStr">
        <is>
          <t>TANROADS - Arusha Regional Office</t>
        </is>
      </c>
      <c r="D6" s="111" t="inlineStr">
        <is>
          <t>Rehabilitation works of Karatu JCT - Mang'ola - Matala, Karatu Njiapanda - Matala, Makao Kimba - Matala Roads (Gravel Standard) and Construction of Drainage Structures at Njiapanda - Matala.</t>
        </is>
      </c>
      <c r="E6" s="111" t="inlineStr">
        <is>
          <t>Arusha (from client's office – confirm site)</t>
        </is>
      </c>
      <c r="F6" s="111" t="inlineStr">
        <is>
          <t>civil</t>
        </is>
      </c>
      <c r="G6" s="115" t="n">
        <v>46297.58333333334</v>
      </c>
      <c r="H6" s="111" t="inlineStr">
        <is>
          <t>Auto (Small Works / Tender): Remote civil works</t>
        </is>
      </c>
      <c r="I6" s="111" t="inlineStr">
        <is>
          <t>215bdca8-8314-4274-892b-08df2a6cd22e</t>
        </is>
      </c>
      <c r="J6" s="111" t="inlineStr">
        <is>
          <t>NeST</t>
        </is>
      </c>
      <c r="K6" s="111" t="inlineStr">
        <is>
          <t>https://nest.go.tz/tenders/published-tenders</t>
        </is>
      </c>
    </row>
    <row r="7">
      <c r="A7" s="114" t="n">
        <v>46291</v>
      </c>
      <c r="B7" s="111" t="inlineStr">
        <is>
          <t>TR140/018/2026/2027/W/01</t>
        </is>
      </c>
      <c r="C7" s="111" t="inlineStr">
        <is>
          <t>RUWASA - Rukwa Regional Office</t>
        </is>
      </c>
      <c r="D7" s="111" t="inlineStr">
        <is>
          <t>Extension of Matai water supply scheme and associated civil works at Kalambo District in Rukwa Region</t>
        </is>
      </c>
      <c r="E7" s="111" t="inlineStr">
        <is>
          <t>Rukwa (Kalambo)</t>
        </is>
      </c>
      <c r="F7" s="111" t="inlineStr">
        <is>
          <t>civil</t>
        </is>
      </c>
      <c r="G7" s="115" t="n">
        <v>46295.58333333334</v>
      </c>
      <c r="H7" s="111" t="inlineStr">
        <is>
          <t>Auto (Small Works / Tender): Remote civil works</t>
        </is>
      </c>
      <c r="I7" s="111" t="inlineStr">
        <is>
          <t>825e2caa-275e-4006-9ebe-99299378737f</t>
        </is>
      </c>
      <c r="J7" s="111" t="inlineStr">
        <is>
          <t>NeST</t>
        </is>
      </c>
      <c r="K7" s="111" t="inlineStr">
        <is>
          <t>https://nest.go.tz/tenders/published-tenders</t>
        </is>
      </c>
    </row>
    <row r="8">
      <c r="A8" s="114" t="n">
        <v>46291</v>
      </c>
      <c r="B8" s="111" t="inlineStr">
        <is>
          <t>S10/001/2026/2027/W/33</t>
        </is>
      </c>
      <c r="C8" s="111" t="inlineStr">
        <is>
          <t>TARURA - Arusha Regional Office</t>
        </is>
      </c>
      <c r="D8" s="111" t="inlineStr">
        <is>
          <t>Construction of RC Bridge along Selela - Mbaash road</t>
        </is>
      </c>
      <c r="E8" s="111" t="inlineStr">
        <is>
          <t>Arusha (from client's office – confirm site)</t>
        </is>
      </c>
      <c r="F8" s="111" t="inlineStr">
        <is>
          <t>civil</t>
        </is>
      </c>
      <c r="G8" s="115" t="n">
        <v>46296.41666666666</v>
      </c>
      <c r="H8" s="111" t="inlineStr">
        <is>
          <t>Auto (Small Works / Tender): Remote civil works</t>
        </is>
      </c>
      <c r="I8" s="111" t="inlineStr">
        <is>
          <t>21d250d4-c78a-4692-b47e-c2aa6d201f38</t>
        </is>
      </c>
      <c r="J8" s="111" t="inlineStr">
        <is>
          <t>NeST</t>
        </is>
      </c>
      <c r="K8" s="111" t="inlineStr">
        <is>
          <t>https://nest.go.tz/tenders/published-tenders</t>
        </is>
      </c>
    </row>
    <row r="9">
      <c r="A9" s="114" t="n">
        <v>46291</v>
      </c>
      <c r="B9" s="111" t="inlineStr">
        <is>
          <t>S10/025/2026/2027/W/69</t>
        </is>
      </c>
      <c r="C9" s="111" t="inlineStr">
        <is>
          <t>TARURA - Tabora Regional Office</t>
        </is>
      </c>
      <c r="D9" s="111" t="inlineStr">
        <is>
          <t>Periodic Maintenance Works 19.53km And Construction of 14 Box Culverts Along Simbo - Utuja - Uyui Border Road, Periodic Maintenance Works 12.67km And Construction of 6 Box Culverts Along Mwakadele - Chalamo Road and Periodic Maintenance Works 15km And Construction of 5 Box Culverts Along Igoweko - Simbo Road In Igunga District</t>
        </is>
      </c>
      <c r="E9" s="111" t="inlineStr">
        <is>
          <t>Tabora (Igunga)</t>
        </is>
      </c>
      <c r="F9" s="111" t="inlineStr">
        <is>
          <t>civil</t>
        </is>
      </c>
      <c r="G9" s="115" t="n">
        <v>46296.54166666666</v>
      </c>
      <c r="H9" s="111" t="inlineStr">
        <is>
          <t>Auto (Small Works / Tender): Remote civil works</t>
        </is>
      </c>
      <c r="I9" s="111" t="inlineStr">
        <is>
          <t>7f37e5d6-d2b8-40eb-ab77-6716c4186aef</t>
        </is>
      </c>
      <c r="J9" s="111" t="inlineStr">
        <is>
          <t>NeST</t>
        </is>
      </c>
      <c r="K9" s="111" t="inlineStr">
        <is>
          <t>https://nest.go.tz/tenders/published-tenders</t>
        </is>
      </c>
    </row>
    <row r="10">
      <c r="A10" s="114" t="n">
        <v>46291</v>
      </c>
      <c r="B10" s="111" t="inlineStr">
        <is>
          <t>TR61/2026/2027/W/03</t>
        </is>
      </c>
      <c r="C10" s="111" t="inlineStr">
        <is>
          <t>Tanzania Broadcasting Corporation</t>
        </is>
      </c>
      <c r="D10" s="111" t="inlineStr">
        <is>
          <t>Power quality assessment and improvement in Studios and Transmission Sites - Phase 1</t>
        </is>
      </c>
      <c r="E10" s="111" t="inlineStr">
        <is>
          <t>Dar es Salaam (Temeke) (from client's office – confirm site)</t>
        </is>
      </c>
      <c r="F10" s="111" t="inlineStr">
        <is>
          <t>MEP</t>
        </is>
      </c>
      <c r="G10" s="115" t="n">
        <v>46295.58333333334</v>
      </c>
      <c r="H10" s="111" t="inlineStr">
        <is>
          <t>Auto (Standard Invitation for Quotations -Works / Planned Tender): Specialist MEP works – pass to an electrical/mechanical subcontractor</t>
        </is>
      </c>
      <c r="I10" s="111" t="inlineStr">
        <is>
          <t>800c8ad5-f770-4d5d-ad5b-20e05ef9f12b</t>
        </is>
      </c>
      <c r="J10" s="111" t="inlineStr">
        <is>
          <t>NeST</t>
        </is>
      </c>
      <c r="K10" s="111" t="inlineStr">
        <is>
          <t>https://nest.go.tz/tenders/published-tenders</t>
        </is>
      </c>
    </row>
    <row r="11">
      <c r="A11" s="114" t="n">
        <v>46291</v>
      </c>
      <c r="B11" s="111" t="inlineStr">
        <is>
          <t>S10/005/2026/2027/W/91</t>
        </is>
      </c>
      <c r="C11" s="111" t="inlineStr">
        <is>
          <t>TARURA - Iringa Regional Office</t>
        </is>
      </c>
      <c r="D11" s="111" t="inlineStr">
        <is>
          <t>PERIODIC MAINTENANCE OF LULANDA - MPANGATAZARA ROAD (15KM) IN MUFINDI DC</t>
        </is>
      </c>
      <c r="E11" s="111" t="inlineStr">
        <is>
          <t>Iringa (Mufindi)</t>
        </is>
      </c>
      <c r="F11" s="111" t="inlineStr">
        <is>
          <t>civil</t>
        </is>
      </c>
      <c r="G11" s="115" t="n">
        <v>46295.45833333334</v>
      </c>
      <c r="H11" s="111" t="inlineStr">
        <is>
          <t>Auto (Small Works / Tender): Remote civil works</t>
        </is>
      </c>
      <c r="I11" s="111" t="inlineStr">
        <is>
          <t>38e40385-8e94-4957-b71f-64ab2c035467</t>
        </is>
      </c>
      <c r="J11" s="111" t="inlineStr">
        <is>
          <t>NeST</t>
        </is>
      </c>
      <c r="K11" s="111" t="inlineStr">
        <is>
          <t>https://nest.go.tz/tenders/published-tenders</t>
        </is>
      </c>
    </row>
    <row r="12">
      <c r="A12" s="114" t="n">
        <v>46291</v>
      </c>
      <c r="B12" s="111" t="inlineStr">
        <is>
          <t>99/2026/2027/W/08</t>
        </is>
      </c>
      <c r="C12" s="111" t="inlineStr">
        <is>
          <t>Ministry of Livestock and Fisheries</t>
        </is>
      </c>
      <c r="D12" s="111" t="inlineStr">
        <is>
          <t>Proposed Construction of fence and Access Roads at Langwira Pasture Seed Farm, Mbarali - Mbeya</t>
        </is>
      </c>
      <c r="E12" s="111" t="inlineStr">
        <is>
          <t>Mbeya (Mbarali)</t>
        </is>
      </c>
      <c r="F12" s="111" t="inlineStr">
        <is>
          <t>civil</t>
        </is>
      </c>
      <c r="G12" s="115" t="n">
        <v>46294.5</v>
      </c>
      <c r="H12" s="111" t="inlineStr">
        <is>
          <t>Auto (Standard Invitation for Quotations -Works / Planned Tender): Remote civil works</t>
        </is>
      </c>
      <c r="I12" s="111" t="inlineStr">
        <is>
          <t>fb896100-4028-48c9-a108-c3e6efd13948</t>
        </is>
      </c>
      <c r="J12" s="111" t="inlineStr">
        <is>
          <t>NeST</t>
        </is>
      </c>
      <c r="K12" s="111" t="inlineStr">
        <is>
          <t>https://nest.go.tz/tenders/published-tenders</t>
        </is>
      </c>
    </row>
    <row r="13">
      <c r="A13" s="114" t="n">
        <v>46291</v>
      </c>
      <c r="B13" s="111" t="inlineStr">
        <is>
          <t>S10/026/2026/2027/W/57</t>
        </is>
      </c>
      <c r="C13" s="111" t="inlineStr">
        <is>
          <t>TARURA - Tanga Regional Office</t>
        </is>
      </c>
      <c r="D13" s="111" t="inlineStr">
        <is>
          <t>BRIDGE MAINTENANCE OF KOROGWE TOWN ROADS ALONG SIGI ROAD AT KOROGWE TOWN</t>
        </is>
      </c>
      <c r="E13" s="111" t="inlineStr">
        <is>
          <t>Tanga (Korogwe)</t>
        </is>
      </c>
      <c r="F13" s="111" t="inlineStr">
        <is>
          <t>civil</t>
        </is>
      </c>
      <c r="G13" s="115" t="n">
        <v>46294.58333333334</v>
      </c>
      <c r="H13" s="111" t="inlineStr">
        <is>
          <t>Auto (Small Works / Tender): Remote civil works</t>
        </is>
      </c>
      <c r="I13" s="111" t="inlineStr">
        <is>
          <t>4ba94114-1d63-4025-927b-870f4d266037</t>
        </is>
      </c>
      <c r="J13" s="111" t="inlineStr">
        <is>
          <t>NeST</t>
        </is>
      </c>
      <c r="K13" s="111" t="inlineStr">
        <is>
          <t>https://nest.go.tz/tenders/published-tenders</t>
        </is>
      </c>
    </row>
    <row r="14">
      <c r="A14" s="114" t="n">
        <v>46291</v>
      </c>
      <c r="B14" s="111" t="inlineStr">
        <is>
          <t>S10/011/2026/2027/W/79</t>
        </is>
      </c>
      <c r="C14" s="111" t="inlineStr">
        <is>
          <t>TARURA - Manyara Regional Office</t>
        </is>
      </c>
      <c r="D14" s="111" t="inlineStr">
        <is>
          <t>Upgrading Mbulu town gravel roads to tarmac standard (Constituency Development Fund)-Jimbo in Mbulu District.</t>
        </is>
      </c>
      <c r="E14" s="111" t="inlineStr">
        <is>
          <t>Manyara (Mbulu)</t>
        </is>
      </c>
      <c r="F14" s="111" t="inlineStr">
        <is>
          <t>civil</t>
        </is>
      </c>
      <c r="G14" s="115" t="n">
        <v>46294.58333333334</v>
      </c>
      <c r="H14" s="111" t="inlineStr">
        <is>
          <t>Auto (Small Works / Tender): Large road works, likely above Civil Class IV – JV only (escalate to MD if of interest)</t>
        </is>
      </c>
      <c r="I14" s="111" t="inlineStr">
        <is>
          <t>30005b80-2dc9-4a45-8c07-09ed2cf8668d</t>
        </is>
      </c>
      <c r="J14" s="111" t="inlineStr">
        <is>
          <t>NeST</t>
        </is>
      </c>
      <c r="K14" s="111" t="inlineStr">
        <is>
          <t>https://nest.go.tz/tenders/published-tenders</t>
        </is>
      </c>
    </row>
    <row r="15">
      <c r="A15" s="114" t="n">
        <v>46291</v>
      </c>
      <c r="B15" s="111" t="inlineStr">
        <is>
          <t>S10/011/2026/2027/W/93</t>
        </is>
      </c>
      <c r="C15" s="111" t="inlineStr">
        <is>
          <t>TARURA - Manyara Regional Office</t>
        </is>
      </c>
      <c r="D15" s="111" t="inlineStr">
        <is>
          <t>Routine Maintenance along Kibaya Township,Njoro-Nalngtomony road , Spot improvement along Kibaya-Mbeli,Partimbo-Kazingumu,Njoro-Ndaleta Kaloleni-Olpopong &amp; Ngaboro road ,construction of stucture along Magereza road and completion of Arch Bridge along Njoro-Ndaleta road in Kiteto District</t>
        </is>
      </c>
      <c r="E15" s="111" t="inlineStr">
        <is>
          <t>Manyara (Kiteto)</t>
        </is>
      </c>
      <c r="F15" s="111" t="inlineStr">
        <is>
          <t>civil</t>
        </is>
      </c>
      <c r="G15" s="115" t="n">
        <v>46294.41666666666</v>
      </c>
      <c r="H15" s="111" t="inlineStr">
        <is>
          <t>Auto (Small Works / Tender): Remote civil works</t>
        </is>
      </c>
      <c r="I15" s="111" t="inlineStr">
        <is>
          <t>b10aefb9-2909-496e-8f11-1b086b6bb942</t>
        </is>
      </c>
      <c r="J15" s="111" t="inlineStr">
        <is>
          <t>NeST</t>
        </is>
      </c>
      <c r="K15" s="111" t="inlineStr">
        <is>
          <t>https://nest.go.tz/tenders/published-tenders</t>
        </is>
      </c>
    </row>
    <row r="16">
      <c r="A16" s="114" t="n">
        <v>46291</v>
      </c>
      <c r="B16" s="111" t="inlineStr">
        <is>
          <t>S10/011/2026/2027/W/80</t>
        </is>
      </c>
      <c r="C16" s="111" t="inlineStr">
        <is>
          <t>TARURA - Manyara Regional Office</t>
        </is>
      </c>
      <c r="D16" s="111" t="inlineStr">
        <is>
          <t>Upgrading Dongobesh and Haydom town gravel Roads to tarmac standard</t>
        </is>
      </c>
      <c r="E16" s="111" t="inlineStr">
        <is>
          <t>Manyara (Babati) (from client's office – confirm site)</t>
        </is>
      </c>
      <c r="F16" s="111" t="inlineStr">
        <is>
          <t>civil</t>
        </is>
      </c>
      <c r="G16" s="115" t="n">
        <v>46294.58333333334</v>
      </c>
      <c r="H16" s="111" t="inlineStr">
        <is>
          <t>Auto (Small Works / Tender): Large road works, likely above Civil Class IV – JV only (escalate to MD if of interest)</t>
        </is>
      </c>
      <c r="I16" s="111" t="inlineStr">
        <is>
          <t>5070d079-63d4-468d-bdfa-08a76ad3c5e3</t>
        </is>
      </c>
      <c r="J16" s="111" t="inlineStr">
        <is>
          <t>NeST</t>
        </is>
      </c>
      <c r="K16" s="111" t="inlineStr">
        <is>
          <t>https://nest.go.tz/tenders/published-tenders</t>
        </is>
      </c>
    </row>
    <row r="17">
      <c r="A17" s="114" t="n">
        <v>46291</v>
      </c>
      <c r="B17" s="111" t="inlineStr">
        <is>
          <t>S10/011/2026/2027/W/94</t>
        </is>
      </c>
      <c r="C17" s="111" t="inlineStr">
        <is>
          <t>TARURA - Manyara Regional Office</t>
        </is>
      </c>
      <c r="D17" s="111" t="inlineStr">
        <is>
          <t>Construction of Arch bridge along Namelock-Sunya Roads in Kiteto District</t>
        </is>
      </c>
      <c r="E17" s="111" t="inlineStr">
        <is>
          <t>Manyara (Kiteto)</t>
        </is>
      </c>
      <c r="F17" s="111" t="inlineStr">
        <is>
          <t>civil</t>
        </is>
      </c>
      <c r="G17" s="115" t="n">
        <v>46294.41666666666</v>
      </c>
      <c r="H17" s="111" t="inlineStr">
        <is>
          <t>Auto (Small Works / Tender): Remote civil works</t>
        </is>
      </c>
      <c r="I17" s="111" t="inlineStr">
        <is>
          <t>032ee30b-86e4-4e70-8948-3056d6f42075</t>
        </is>
      </c>
      <c r="J17" s="111" t="inlineStr">
        <is>
          <t>NeST</t>
        </is>
      </c>
      <c r="K17" s="111" t="inlineStr">
        <is>
          <t>https://nest.go.tz/tenders/published-tenders</t>
        </is>
      </c>
    </row>
    <row r="18">
      <c r="A18" s="114" t="n">
        <v>46291</v>
      </c>
      <c r="B18" s="111" t="inlineStr">
        <is>
          <t>7309/2026/2027/W/02</t>
        </is>
      </c>
      <c r="C18" s="111" t="inlineStr">
        <is>
          <t>Iringa Municipal Council</t>
        </is>
      </c>
      <c r="D18" s="111" t="inlineStr">
        <is>
          <t>To facilitate Rehabilitation of Kitwiru and Cherehani Mkoga Irrigation Scheme</t>
        </is>
      </c>
      <c r="E18" s="111" t="inlineStr">
        <is>
          <t>Iringa (from client's office – confirm site)</t>
        </is>
      </c>
      <c r="F18" s="111" t="inlineStr">
        <is>
          <t>civil</t>
        </is>
      </c>
      <c r="G18" s="115" t="n">
        <v>46293.58333333334</v>
      </c>
      <c r="H18" s="111" t="inlineStr">
        <is>
          <t>Auto (Small Works / Tender): Remote civil works</t>
        </is>
      </c>
      <c r="I18" s="111" t="inlineStr">
        <is>
          <t>380359e2-4524-48b1-bf3f-e60ea72b062c</t>
        </is>
      </c>
      <c r="J18" s="111" t="inlineStr">
        <is>
          <t>NeST</t>
        </is>
      </c>
      <c r="K18" s="111" t="inlineStr">
        <is>
          <t>https://nest.go.tz/tenders/published-tenders</t>
        </is>
      </c>
    </row>
    <row r="19">
      <c r="A19" s="114" t="n">
        <v>46291</v>
      </c>
      <c r="B19" s="111" t="inlineStr">
        <is>
          <t>TR36/001/2026/2027/W/52</t>
        </is>
      </c>
      <c r="C19" s="111" t="inlineStr">
        <is>
          <t>TANROADS - Arusha Regional Office</t>
        </is>
      </c>
      <c r="D19" s="111" t="inlineStr">
        <is>
          <t>Rehabilitation works of Monduli - Engaruka (Engaresh - Enguik) 11km Road.</t>
        </is>
      </c>
      <c r="E19" s="111" t="inlineStr">
        <is>
          <t>Arusha (Monduli)</t>
        </is>
      </c>
      <c r="F19" s="111" t="inlineStr">
        <is>
          <t>civil</t>
        </is>
      </c>
      <c r="G19" s="115" t="n">
        <v>46293.58333333334</v>
      </c>
      <c r="H19" s="111" t="inlineStr">
        <is>
          <t>Auto (Small Works / Tender): Remote civil works</t>
        </is>
      </c>
      <c r="I19" s="111" t="inlineStr">
        <is>
          <t>45a71d79-54bf-4375-bf16-265bea40428d</t>
        </is>
      </c>
      <c r="J19" s="111" t="inlineStr">
        <is>
          <t>NeST</t>
        </is>
      </c>
      <c r="K19" s="111" t="inlineStr">
        <is>
          <t>https://nest.go.tz/tenders/published-tenders</t>
        </is>
      </c>
    </row>
    <row r="20">
      <c r="A20" s="114" t="n">
        <v>46291</v>
      </c>
      <c r="B20" s="111" t="inlineStr">
        <is>
          <t>S10/005/2026/2027/W/50</t>
        </is>
      </c>
      <c r="C20" s="111" t="inlineStr">
        <is>
          <t>TARURA - Iringa Regional Office</t>
        </is>
      </c>
      <c r="D20" s="111" t="inlineStr">
        <is>
          <t>Rehabilitation of Kiponzero road and Kiponzero Dispensary road and instalation of streatlights Ifunda-Kiponzero road</t>
        </is>
      </c>
      <c r="E20" s="111" t="inlineStr">
        <is>
          <t>Iringa (from client's office – confirm site)</t>
        </is>
      </c>
      <c r="F20" s="111" t="inlineStr">
        <is>
          <t>renovation</t>
        </is>
      </c>
      <c r="G20" s="115" t="n">
        <v>46293.41666666666</v>
      </c>
      <c r="H20" s="111" t="inlineStr">
        <is>
          <t>Auto (Small Works / Tender): Remote and closing soon</t>
        </is>
      </c>
      <c r="I20" s="111" t="inlineStr">
        <is>
          <t>6aa688f8-6be3-4c30-aa45-53aca876f15e</t>
        </is>
      </c>
      <c r="J20" s="111" t="inlineStr">
        <is>
          <t>NeST</t>
        </is>
      </c>
      <c r="K20" s="111" t="inlineStr">
        <is>
          <t>https://nest.go.tz/tenders/published-tenders</t>
        </is>
      </c>
    </row>
    <row r="21">
      <c r="A21" s="114" t="n">
        <v>46291</v>
      </c>
      <c r="B21" s="111" t="inlineStr">
        <is>
          <t>S10/020/2026/2027/W/05</t>
        </is>
      </c>
      <c r="C21" s="111" t="inlineStr">
        <is>
          <t>TARURA - Ruvuma Regional Office</t>
        </is>
      </c>
      <c r="D21" s="111" t="inlineStr">
        <is>
          <t>Urgent maintenance works along Ukuli-Mtuha road 4.7km in mbinga District Council</t>
        </is>
      </c>
      <c r="E21" s="111" t="inlineStr">
        <is>
          <t>Ruvuma (Mbinga)</t>
        </is>
      </c>
      <c r="F21" s="111" t="inlineStr">
        <is>
          <t>civil</t>
        </is>
      </c>
      <c r="G21" s="115" t="n">
        <v>46293.41666666666</v>
      </c>
      <c r="H21" s="111" t="inlineStr">
        <is>
          <t>Auto (Small Works / Tender): Remote civil works</t>
        </is>
      </c>
      <c r="I21" s="111" t="inlineStr">
        <is>
          <t>ee06912f-d895-4afa-aadc-03d6491fa595</t>
        </is>
      </c>
      <c r="J21" s="111" t="inlineStr">
        <is>
          <t>NeST</t>
        </is>
      </c>
      <c r="K21" s="111" t="inlineStr">
        <is>
          <t>https://nest.go.tz/tenders/published-tenders</t>
        </is>
      </c>
    </row>
    <row r="22">
      <c r="A22" s="114" t="n">
        <v>46291</v>
      </c>
      <c r="B22" s="111" t="inlineStr">
        <is>
          <t>S10/011/2026/2027/W/95</t>
        </is>
      </c>
      <c r="C22" s="111" t="inlineStr">
        <is>
          <t>TARURA - Manyara Regional Office</t>
        </is>
      </c>
      <c r="D22" s="111" t="inlineStr">
        <is>
          <t>Rehabilitation of Ndedo-Makame road and construction storm drains along Kibaya Township in Kiteto District</t>
        </is>
      </c>
      <c r="E22" s="111" t="inlineStr">
        <is>
          <t>Manyara (Kiteto)</t>
        </is>
      </c>
      <c r="F22" s="111" t="inlineStr">
        <is>
          <t>civil</t>
        </is>
      </c>
      <c r="G22" s="115" t="n">
        <v>46293.41666666666</v>
      </c>
      <c r="H22" s="111" t="inlineStr">
        <is>
          <t>Auto (Small Works / Tender): Remote civil works</t>
        </is>
      </c>
      <c r="I22" s="111" t="inlineStr">
        <is>
          <t>26742f16-2779-40bc-9d0b-1aec63f66b5b</t>
        </is>
      </c>
      <c r="J22" s="111" t="inlineStr">
        <is>
          <t>NeST</t>
        </is>
      </c>
      <c r="K22" s="111" t="inlineStr">
        <is>
          <t>https://nest.go.tz/tenders/published-tenders</t>
        </is>
      </c>
    </row>
    <row r="23">
      <c r="A23" s="114" t="n">
        <v>46291</v>
      </c>
      <c r="B23" s="111" t="inlineStr">
        <is>
          <t>TR0001/2026/2027/W/01</t>
        </is>
      </c>
      <c r="C23" s="111" t="inlineStr">
        <is>
          <t>Biharamulo Urban Water Supply and Sanitation Authority</t>
        </is>
      </c>
      <c r="D23" s="111" t="inlineStr">
        <is>
          <t>Iprovement and extension of water supply system</t>
        </is>
      </c>
      <c r="E23" s="111" t="inlineStr">
        <is>
          <t>Kagera (Biharamulo) (from client's office – confirm site)</t>
        </is>
      </c>
      <c r="F23" s="111" t="inlineStr">
        <is>
          <t>civil</t>
        </is>
      </c>
      <c r="G23" s="115" t="n">
        <v>46293.58333333334</v>
      </c>
      <c r="H23" s="111" t="inlineStr">
        <is>
          <t>Auto (Small Works / Tender): Remote civil works</t>
        </is>
      </c>
      <c r="I23" s="111" t="inlineStr">
        <is>
          <t>5ee7cedc-1de9-45a1-be32-1ab777c3ce0c</t>
        </is>
      </c>
      <c r="J23" s="111" t="inlineStr">
        <is>
          <t>NeST</t>
        </is>
      </c>
      <c r="K23" s="111" t="inlineStr">
        <is>
          <t>https://nest.go.tz/tenders/published-tenders</t>
        </is>
      </c>
    </row>
    <row r="24">
      <c r="A24" s="114" t="n">
        <v>46291</v>
      </c>
      <c r="B24" s="111" t="inlineStr">
        <is>
          <t>S10/025/2026/2027/W/67</t>
        </is>
      </c>
      <c r="C24" s="111" t="inlineStr">
        <is>
          <t>TARURA - Tabora Regional Office</t>
        </is>
      </c>
      <c r="D24" s="111" t="inlineStr">
        <is>
          <t>Periodic Maintenance Works 15.0km And Construction of 6 Box Culverts Along Ibologero - Choma Road, Periodic Maintenance Works 8km And Construction of 5 Box Culverts Along Nyandekwa - Mwabubele Road and Periodic Maintenance Works 5.0km And Construction of 3 Box Culverts Along Imalilo - Kaselya Road In Igunga District</t>
        </is>
      </c>
      <c r="E24" s="111" t="inlineStr">
        <is>
          <t>Tabora (Igunga)</t>
        </is>
      </c>
      <c r="F24" s="111" t="inlineStr">
        <is>
          <t>civil</t>
        </is>
      </c>
      <c r="G24" s="115" t="n">
        <v>46293.58333333334</v>
      </c>
      <c r="H24" s="111" t="inlineStr">
        <is>
          <t>Auto (Small Works / Tender): Remote civil works</t>
        </is>
      </c>
      <c r="I24" s="111" t="inlineStr">
        <is>
          <t>363baa6e-b783-4623-8878-55bc38a147ca</t>
        </is>
      </c>
      <c r="J24" s="111" t="inlineStr">
        <is>
          <t>NeST</t>
        </is>
      </c>
      <c r="K24" s="111" t="inlineStr">
        <is>
          <t>https://nest.go.tz/tenders/published-tenders</t>
        </is>
      </c>
    </row>
    <row r="25">
      <c r="A25" s="114" t="n">
        <v>46291</v>
      </c>
      <c r="B25" s="111" t="inlineStr">
        <is>
          <t>TR36/001/2026/2027/W/56</t>
        </is>
      </c>
      <c r="C25" s="111" t="inlineStr">
        <is>
          <t>TANROADS - Arusha Regional Office</t>
        </is>
      </c>
      <c r="D25" s="111" t="inlineStr">
        <is>
          <t>Rehabilitation works of Makuyuni Ngorongoro to Bitumen Standard.</t>
        </is>
      </c>
      <c r="E25" s="111" t="inlineStr">
        <is>
          <t>Arusha (Ngorongoro)</t>
        </is>
      </c>
      <c r="F25" s="111" t="inlineStr">
        <is>
          <t>civil</t>
        </is>
      </c>
      <c r="G25" s="115" t="n">
        <v>46293.58333333334</v>
      </c>
      <c r="H25" s="111" t="inlineStr">
        <is>
          <t>Auto (Small Works / Tender): Large road works, likely above Civil Class IV – JV only (escalate to MD if of interest)</t>
        </is>
      </c>
      <c r="I25" s="111" t="inlineStr">
        <is>
          <t>b98e735c-5167-435c-b085-96703ccc7c48</t>
        </is>
      </c>
      <c r="J25" s="111" t="inlineStr">
        <is>
          <t>NeST</t>
        </is>
      </c>
      <c r="K25" s="111" t="inlineStr">
        <is>
          <t>https://nest.go.tz/tenders/published-tenders</t>
        </is>
      </c>
    </row>
    <row r="26">
      <c r="A26" s="114" t="n">
        <v>46291</v>
      </c>
      <c r="B26" s="111" t="inlineStr">
        <is>
          <t>TR219/002/2026/2027/W/45</t>
        </is>
      </c>
      <c r="C26" s="111" t="inlineStr">
        <is>
          <t>TANAPA - Northern Zone</t>
        </is>
      </c>
      <c r="D26" s="111" t="inlineStr">
        <is>
          <t>REHABILITATION OF MAIN GATE - KURO - GURUSI (40.5KM), KURO-CHUBI (16KM), KURO- SILALEI- BOUNDARY HILL (27KM) AND SILALEI TO LOIBOSIRET (9KM) IN TARANGIRE NATIONAL PARK</t>
        </is>
      </c>
      <c r="E26" s="111" t="inlineStr">
        <is>
          <t>Manyara (Tarangire)</t>
        </is>
      </c>
      <c r="F26" s="111" t="inlineStr">
        <is>
          <t>civil</t>
        </is>
      </c>
      <c r="G26" s="115" t="n">
        <v>46293.58333333334</v>
      </c>
      <c r="H26" s="111" t="inlineStr">
        <is>
          <t>Auto (Small Works / Tender): Remote civil works</t>
        </is>
      </c>
      <c r="I26" s="111" t="inlineStr">
        <is>
          <t>1aee5714-bab7-49a2-8e4c-728de98fb57a</t>
        </is>
      </c>
      <c r="J26" s="111" t="inlineStr">
        <is>
          <t>NeST</t>
        </is>
      </c>
      <c r="K26" s="111" t="inlineStr">
        <is>
          <t>https://nest.go.tz/tenders/published-tenders</t>
        </is>
      </c>
    </row>
    <row r="27">
      <c r="A27" s="114" t="n">
        <v>46291</v>
      </c>
      <c r="B27" s="111" t="inlineStr">
        <is>
          <t>TR36/001/2026/2027/W/58</t>
        </is>
      </c>
      <c r="C27" s="111" t="inlineStr">
        <is>
          <t>TANROADS - Arusha Regional Office</t>
        </is>
      </c>
      <c r="D27" s="111" t="inlineStr">
        <is>
          <t>Rehabilitation works of Tengeru Jct - Mererani and Improvement of Drainage Structures of KIA – Majengo Roads.</t>
        </is>
      </c>
      <c r="E27" s="111" t="inlineStr">
        <is>
          <t>Arusha (from client's office – confirm site)</t>
        </is>
      </c>
      <c r="F27" s="111" t="inlineStr">
        <is>
          <t>renovation</t>
        </is>
      </c>
      <c r="G27" s="115" t="n">
        <v>46293.58333333334</v>
      </c>
      <c r="H27" s="111" t="inlineStr">
        <is>
          <t>Auto (Small Works / Tender): Remote and closing soon</t>
        </is>
      </c>
      <c r="I27" s="111" t="inlineStr">
        <is>
          <t>122ce64f-10f9-4a8b-b49a-93ef57915e15</t>
        </is>
      </c>
      <c r="J27" s="111" t="inlineStr">
        <is>
          <t>NeST</t>
        </is>
      </c>
      <c r="K27" s="111" t="inlineStr">
        <is>
          <t>https://nest.go.tz/tenders/published-tenders</t>
        </is>
      </c>
    </row>
    <row r="28">
      <c r="A28" s="114" t="n">
        <v>46291</v>
      </c>
      <c r="B28" s="111" t="inlineStr">
        <is>
          <t>TR36/001/2026/2027/W/54</t>
        </is>
      </c>
      <c r="C28" s="111" t="inlineStr">
        <is>
          <t>TANROADS - Arusha Regional Office</t>
        </is>
      </c>
      <c r="D28" s="111" t="inlineStr">
        <is>
          <t>Rehabilitation works of Mto wa Mbu - Loliondo - 217km and Wasso - Kleins Gate Roads.</t>
        </is>
      </c>
      <c r="E28" s="111" t="inlineStr">
        <is>
          <t>Arusha (Loliondo)</t>
        </is>
      </c>
      <c r="F28" s="111" t="inlineStr">
        <is>
          <t>civil</t>
        </is>
      </c>
      <c r="G28" s="115" t="n">
        <v>46293.58333333334</v>
      </c>
      <c r="H28" s="111" t="inlineStr">
        <is>
          <t>Auto (Small Works / Tender): Remote civil works</t>
        </is>
      </c>
      <c r="I28" s="111" t="inlineStr">
        <is>
          <t>9e3d7f18-fbd3-4969-b241-120f1a0bae6f</t>
        </is>
      </c>
      <c r="J28" s="111" t="inlineStr">
        <is>
          <t>NeST</t>
        </is>
      </c>
      <c r="K28" s="111" t="inlineStr">
        <is>
          <t>https://nest.go.tz/tenders/published-tenders</t>
        </is>
      </c>
    </row>
    <row r="29">
      <c r="A29" s="114" t="n">
        <v>46291</v>
      </c>
      <c r="B29" s="111" t="inlineStr">
        <is>
          <t>TR36/019/2026/2027/W/19</t>
        </is>
      </c>
      <c r="C29" s="111" t="inlineStr">
        <is>
          <t>TANROADS - Rukwa Regional Office</t>
        </is>
      </c>
      <c r="D29" s="111" t="inlineStr">
        <is>
          <t>Periodic, Routine/Recurrent and Spot Improvement Maintenance works along Chala - Paramawe and Kizi Lyamba lya MfipaTrunk Road (UP)</t>
        </is>
      </c>
      <c r="E29" s="111" t="inlineStr">
        <is>
          <t>Rukwa (Sumbawanga) (from client's office – confirm site)</t>
        </is>
      </c>
      <c r="F29" s="111" t="inlineStr">
        <is>
          <t>civil</t>
        </is>
      </c>
      <c r="G29" s="115" t="n">
        <v>46294.66666666666</v>
      </c>
      <c r="H29" s="111" t="inlineStr">
        <is>
          <t>Auto (Small Works / Tender): Remote civil works</t>
        </is>
      </c>
      <c r="I29" s="111" t="inlineStr">
        <is>
          <t>87369dc5-c094-4713-bc15-d7cc7e8f749f</t>
        </is>
      </c>
      <c r="J29" s="111" t="inlineStr">
        <is>
          <t>NeST</t>
        </is>
      </c>
      <c r="K29" s="111" t="inlineStr">
        <is>
          <t>https://nest.go.tz/tenders/published-tenders</t>
        </is>
      </c>
    </row>
    <row r="30">
      <c r="A30" s="114" t="n">
        <v>46291</v>
      </c>
      <c r="B30" s="111" t="inlineStr">
        <is>
          <t>TR36/019/2026/2027/W/15</t>
        </is>
      </c>
      <c r="C30" s="111" t="inlineStr">
        <is>
          <t>TANROADS - Rukwa Regional Office</t>
        </is>
      </c>
      <c r="D30" s="111" t="inlineStr">
        <is>
          <t>Routine/Recurrent Maintenance works and Spot Improvement works along Mkutano (Songwe/Rukwa Bdr)- Sumbawanga - Lyambalyamfipa and Kizwite - Mkima (10.0km)Regional and Trunk Roads (P)</t>
        </is>
      </c>
      <c r="E30" s="111" t="inlineStr">
        <is>
          <t>Songwe</t>
        </is>
      </c>
      <c r="F30" s="111" t="inlineStr">
        <is>
          <t>civil</t>
        </is>
      </c>
      <c r="G30" s="115" t="n">
        <v>46294.66666666666</v>
      </c>
      <c r="H30" s="111" t="inlineStr">
        <is>
          <t>Auto (Small Works / Tender): Remote civil works</t>
        </is>
      </c>
      <c r="I30" s="111" t="inlineStr">
        <is>
          <t>81718095-9af3-4895-bb58-60fc0dba1b8c</t>
        </is>
      </c>
      <c r="J30" s="111" t="inlineStr">
        <is>
          <t>NeST</t>
        </is>
      </c>
      <c r="K30" s="111" t="inlineStr">
        <is>
          <t>https://nest.go.tz/tenders/published-tenders</t>
        </is>
      </c>
    </row>
    <row r="31">
      <c r="A31" s="114" t="n">
        <v>46291</v>
      </c>
      <c r="B31" s="111" t="inlineStr">
        <is>
          <t>TR36/019/2026/2027/W/17</t>
        </is>
      </c>
      <c r="C31" s="111" t="inlineStr">
        <is>
          <t>TANROADS - Rukwa Regional Office</t>
        </is>
      </c>
      <c r="D31" s="111" t="inlineStr">
        <is>
          <t>Routine and Recurrent Maintenance works along Mkutano (Songwe/Rukwa Bdr)- Sumbawanga - Lyambalyamfipa and Sumbawanga - Matai Trunk Roads (P) (Road Sign/Safety Activities &amp; Provisional of Bus Shades)</t>
        </is>
      </c>
      <c r="E31" s="111" t="inlineStr">
        <is>
          <t>Songwe</t>
        </is>
      </c>
      <c r="F31" s="111" t="inlineStr">
        <is>
          <t>civil</t>
        </is>
      </c>
      <c r="G31" s="115" t="n">
        <v>46294.66666666666</v>
      </c>
      <c r="H31" s="111" t="inlineStr">
        <is>
          <t>Auto (Small Works / Tender): Remote civil works</t>
        </is>
      </c>
      <c r="I31" s="111" t="inlineStr">
        <is>
          <t>4d126bba-955d-4857-a63c-6c549ea7b968</t>
        </is>
      </c>
      <c r="J31" s="111" t="inlineStr">
        <is>
          <t>NeST</t>
        </is>
      </c>
      <c r="K31" s="111" t="inlineStr">
        <is>
          <t>https://nest.go.tz/tenders/published-tenders</t>
        </is>
      </c>
    </row>
    <row r="32">
      <c r="A32" s="114" t="n">
        <v>46291</v>
      </c>
      <c r="B32" s="111" t="inlineStr">
        <is>
          <t>TR36/019/2026/2027/W/26</t>
        </is>
      </c>
      <c r="C32" s="111" t="inlineStr">
        <is>
          <t>TANROADS - Rukwa Regional Office</t>
        </is>
      </c>
      <c r="D32" s="111" t="inlineStr">
        <is>
          <t>Routine/Recurrent MTC works, Spot Improvement works, Bridge Preventive Works and Rehabilitation to Gravel Standard along Laela - Mwimbi - Kizombwe, Msishindwe - Mwambwekenya and Kale -Luse -Kantelemwa Regional Roads</t>
        </is>
      </c>
      <c r="E32" s="111" t="inlineStr">
        <is>
          <t>Rukwa (Sumbawanga) (from client's office – confirm site)</t>
        </is>
      </c>
      <c r="F32" s="111" t="inlineStr">
        <is>
          <t>civil</t>
        </is>
      </c>
      <c r="G32" s="115" t="n">
        <v>46294.66666666666</v>
      </c>
      <c r="H32" s="111" t="inlineStr">
        <is>
          <t>Auto (Small Works / Tender): Remote civil works</t>
        </is>
      </c>
      <c r="I32" s="111" t="inlineStr">
        <is>
          <t>d213108b-bbaa-4a58-8288-57d6b52b3967</t>
        </is>
      </c>
      <c r="J32" s="111" t="inlineStr">
        <is>
          <t>NeST</t>
        </is>
      </c>
      <c r="K32" s="111" t="inlineStr">
        <is>
          <t>https://nest.go.tz/tenders/published-tenders</t>
        </is>
      </c>
    </row>
    <row r="33">
      <c r="A33" s="114" t="n">
        <v>46291</v>
      </c>
      <c r="B33" s="111" t="inlineStr">
        <is>
          <t>TR36/019/2026/2027/W/16</t>
        </is>
      </c>
      <c r="C33" s="111" t="inlineStr">
        <is>
          <t>TANROADS - Rukwa Regional Office</t>
        </is>
      </c>
      <c r="D33" s="111" t="inlineStr">
        <is>
          <t>Routine and Recurrent MTC Works along Various Trunk and Regional Roads in Rukwa Region (New Installation and Repair of Street Lights and Traffic Lights)</t>
        </is>
      </c>
      <c r="E33" s="111" t="inlineStr">
        <is>
          <t>Rukwa</t>
        </is>
      </c>
      <c r="F33" s="111" t="inlineStr">
        <is>
          <t>MEP</t>
        </is>
      </c>
      <c r="G33" s="115" t="n">
        <v>46294.66666666666</v>
      </c>
      <c r="H33" s="111" t="inlineStr">
        <is>
          <t>Auto (Small Works / Tender): Specialist MEP works – pass to an electrical/mechanical subcontractor</t>
        </is>
      </c>
      <c r="I33" s="111" t="inlineStr">
        <is>
          <t>a90b5da2-b9c4-4f96-984e-bfc6f22a10e4</t>
        </is>
      </c>
      <c r="J33" s="111" t="inlineStr">
        <is>
          <t>NeST</t>
        </is>
      </c>
      <c r="K33" s="111" t="inlineStr">
        <is>
          <t>https://nest.go.tz/tenders/published-tenders</t>
        </is>
      </c>
    </row>
    <row r="34">
      <c r="A34" s="114" t="n">
        <v>46291</v>
      </c>
      <c r="B34" s="111" t="inlineStr">
        <is>
          <t>TR36/019/2026/2027/W/01</t>
        </is>
      </c>
      <c r="C34" s="111" t="inlineStr">
        <is>
          <t>TANROADS - Rukwa Regional Office</t>
        </is>
      </c>
      <c r="D34" s="111" t="inlineStr">
        <is>
          <t>Routine/Recurrent Maintenance works along Sumbawanga - Matai - Kasesya (Sumbawanga - Singiwe Section, Matai - Tatanda) and and Matai - Matifi (4km) Trunk Road (P&amp;UP)</t>
        </is>
      </c>
      <c r="E34" s="111" t="inlineStr">
        <is>
          <t>Rukwa (Sumbawanga)</t>
        </is>
      </c>
      <c r="F34" s="111" t="inlineStr">
        <is>
          <t>civil</t>
        </is>
      </c>
      <c r="G34" s="115" t="n">
        <v>46294.66666666666</v>
      </c>
      <c r="H34" s="111" t="inlineStr">
        <is>
          <t>Auto (Small Works / Tender): Remote civil works</t>
        </is>
      </c>
      <c r="I34" s="111" t="inlineStr">
        <is>
          <t>5db742b2-4f07-4641-833f-e1fc0e97a311</t>
        </is>
      </c>
      <c r="J34" s="111" t="inlineStr">
        <is>
          <t>NeST</t>
        </is>
      </c>
      <c r="K34" s="111" t="inlineStr">
        <is>
          <t>https://nest.go.tz/tenders/published-tenders</t>
        </is>
      </c>
    </row>
    <row r="35">
      <c r="A35" s="114" t="n">
        <v>46291</v>
      </c>
      <c r="B35" s="111" t="inlineStr">
        <is>
          <t>TR36/019/2026/2027/W/24</t>
        </is>
      </c>
      <c r="C35" s="111" t="inlineStr">
        <is>
          <t>TANROADS - Rukwa Regional Office</t>
        </is>
      </c>
      <c r="D35" s="111" t="inlineStr">
        <is>
          <t>Routine/Recurrent, Periodic Maintenance works and and Rehabilitation to gravel standard along Kaengesa - Mwimbi and Kizwite - Mkima Regional Road (UP)</t>
        </is>
      </c>
      <c r="E35" s="111" t="inlineStr">
        <is>
          <t>Rukwa (Sumbawanga) (from client's office – confirm site)</t>
        </is>
      </c>
      <c r="F35" s="111" t="inlineStr">
        <is>
          <t>civil</t>
        </is>
      </c>
      <c r="G35" s="115" t="n">
        <v>46294.66666666666</v>
      </c>
      <c r="H35" s="111" t="inlineStr">
        <is>
          <t>Auto (Small Works / Tender): Remote civil works</t>
        </is>
      </c>
      <c r="I35" s="111" t="inlineStr">
        <is>
          <t>1634ad4b-06e8-494b-912f-f9523cf11e24</t>
        </is>
      </c>
      <c r="J35" s="111" t="inlineStr">
        <is>
          <t>NeST</t>
        </is>
      </c>
      <c r="K35" s="111" t="inlineStr">
        <is>
          <t>https://nest.go.tz/tenders/published-tenders</t>
        </is>
      </c>
    </row>
    <row r="36">
      <c r="A36" s="114" t="n">
        <v>46291</v>
      </c>
      <c r="B36" s="111" t="inlineStr">
        <is>
          <t>TZ-TANROADS-564150-CW-RFB</t>
        </is>
      </c>
      <c r="C36" s="111" t="inlineStr">
        <is>
          <t>Tanzania National Roads Agency</t>
        </is>
      </c>
      <c r="D36" s="111" t="inlineStr">
        <is>
          <t>Upgrade of Namichiga-Ruangwa road section(20.60km) to bitumen standard</t>
        </is>
      </c>
      <c r="E36" s="111" t="inlineStr">
        <is>
          <t>Lindi (Ruangwa)</t>
        </is>
      </c>
      <c r="F36" s="111" t="inlineStr">
        <is>
          <t>civil</t>
        </is>
      </c>
      <c r="G36" s="115" t="n">
        <v>46304.41666666666</v>
      </c>
      <c r="H36" s="111" t="inlineStr">
        <is>
          <t>Auto (World Bank – Invitation for Bids): Large road works, likely above Civil Class IV – JV only (escalate to MD if of interest)</t>
        </is>
      </c>
      <c r="I36" s="111" t="inlineStr">
        <is>
          <t>WB:OP00467447</t>
        </is>
      </c>
      <c r="J36" s="111" t="inlineStr">
        <is>
          <t>donor</t>
        </is>
      </c>
      <c r="K36" s="111" t="inlineStr">
        <is>
          <t>https://projects.worldbank.org/en/projects-operations/procurement-detail/OP00467447</t>
        </is>
      </c>
    </row>
    <row r="37">
      <c r="A37" s="114" t="n">
        <v>46291</v>
      </c>
      <c r="B37" s="111" t="inlineStr">
        <is>
          <t>AE/001/2026-2027/HQ/W/17 (TZ-TANROADS-564150-CW-RFB)</t>
        </is>
      </c>
      <c r="C37" s="111" t="inlineStr">
        <is>
          <t>TANROADS</t>
        </is>
      </c>
      <c r="D37" s="111" t="inlineStr">
        <is>
          <t>UPGRADING OF NAMICHIGA–RUANGWA ROAD SECTION (20.60KM) TO BITUMEN STANDARD,</t>
        </is>
      </c>
      <c r="E37" s="111" t="inlineStr">
        <is>
          <t>Lindi (Ruangwa)</t>
        </is>
      </c>
      <c r="F37" s="111" t="inlineStr">
        <is>
          <t>civil</t>
        </is>
      </c>
      <c r="G37" s="115" t="n">
        <v>46304.41666666666</v>
      </c>
      <c r="H37" s="111" t="inlineStr">
        <is>
          <t>Auto (TANROADS website): Large road works, likely above Civil Class IV – JV only (escalate to MD if of interest)</t>
        </is>
      </c>
      <c r="I37" s="111" t="inlineStr">
        <is>
          <t>TANROADS:ae00120262027hqw17tztanroads564150cwrfb</t>
        </is>
      </c>
      <c r="J37" s="111" t="inlineStr">
        <is>
          <t>client site</t>
        </is>
      </c>
      <c r="K37" s="111" t="inlineStr">
        <is>
          <t>https://www.tanroads.go.tz/view/197</t>
        </is>
      </c>
    </row>
    <row r="38">
      <c r="A38" s="114" t="n">
        <v>46291</v>
      </c>
      <c r="B38" s="111" t="inlineStr"/>
      <c r="C38" s="111" t="inlineStr">
        <is>
          <t>Korea International Cooperation Agency(KOICA)</t>
        </is>
      </c>
      <c r="D38" s="111" t="inlineStr">
        <is>
          <t>Construction of Seaweed Center</t>
        </is>
      </c>
      <c r="E38" s="111" t="inlineStr">
        <is>
          <t>Dar es Salaam</t>
        </is>
      </c>
      <c r="F38" s="111" t="inlineStr">
        <is>
          <t>building</t>
        </is>
      </c>
      <c r="G38" s="115" t="n">
        <v>46292.41666666666</v>
      </c>
      <c r="H38" s="111" t="inlineStr">
        <is>
          <t>Auto (DDO Tenders): Closes in under 2 days · deadline read from the web page – confirm</t>
        </is>
      </c>
      <c r="I38" s="111" t="inlineStr">
        <is>
          <t>DDO:3036</t>
        </is>
      </c>
      <c r="J38" s="111" t="inlineStr">
        <is>
          <t>press</t>
        </is>
      </c>
      <c r="K38" s="111" t="inlineStr">
        <is>
          <t>https://www.ddotenders.co.tz/tender.php?page=home</t>
        </is>
      </c>
    </row>
    <row r="39">
      <c r="A39" s="114" t="n">
        <v>46291</v>
      </c>
      <c r="B39" s="111" t="inlineStr">
        <is>
          <t>S10/074/2026/2027/W/56</t>
        </is>
      </c>
      <c r="C39" s="111" t="inlineStr">
        <is>
          <t>TARURA - Kigoma Regional Office</t>
        </is>
      </c>
      <c r="D39" s="111" t="inlineStr">
        <is>
          <t>Construction of Box Culvert at Ruzuguma River Along Mlati - Kagongo Road in Kigoma DC</t>
        </is>
      </c>
      <c r="E39" s="111" t="inlineStr">
        <is>
          <t>Kigoma</t>
        </is>
      </c>
      <c r="F39" s="111" t="inlineStr">
        <is>
          <t>civil</t>
        </is>
      </c>
      <c r="G39" s="115" t="n">
        <v>46297.58333333334</v>
      </c>
      <c r="H39" s="111" t="inlineStr">
        <is>
          <t>Auto (Small Works / Tender): Remote civil works</t>
        </is>
      </c>
      <c r="I39" s="111" t="inlineStr">
        <is>
          <t>2b7dd442-571f-46df-9686-9e5e50c548f5</t>
        </is>
      </c>
      <c r="J39" s="111" t="inlineStr">
        <is>
          <t>NeST</t>
        </is>
      </c>
      <c r="K39" s="111" t="inlineStr">
        <is>
          <t>https://nest.go.tz/tenders/published-tenders</t>
        </is>
      </c>
    </row>
    <row r="40">
      <c r="A40" s="114" t="n">
        <v>46291</v>
      </c>
      <c r="B40" s="111" t="inlineStr">
        <is>
          <t>S10/003/2026/2027/W/54</t>
        </is>
      </c>
      <c r="C40" s="111" t="inlineStr">
        <is>
          <t>TARURA - Dodoma Regional Office</t>
        </is>
      </c>
      <c r="D40" s="111" t="inlineStr">
        <is>
          <t>Upgrading of Ilazo extension road to bitumen standard (Drainage and accsess slab) 1,5km in Dodoma District.</t>
        </is>
      </c>
      <c r="E40" s="111" t="inlineStr">
        <is>
          <t>Dodoma</t>
        </is>
      </c>
      <c r="F40" s="111" t="inlineStr">
        <is>
          <t>civil</t>
        </is>
      </c>
      <c r="G40" s="115" t="n">
        <v>46297.58333333334</v>
      </c>
      <c r="H40" s="111" t="inlineStr">
        <is>
          <t>Auto (Small Works / Tender): Large road works, likely above Civil Class IV – JV only (escalate to MD if of interest)</t>
        </is>
      </c>
      <c r="I40" s="111" t="inlineStr">
        <is>
          <t>1bc729fb-598c-46d7-83df-d06578a87d43</t>
        </is>
      </c>
      <c r="J40" s="111" t="inlineStr">
        <is>
          <t>NeST</t>
        </is>
      </c>
      <c r="K40" s="111" t="inlineStr">
        <is>
          <t>https://nest.go.tz/tenders/published-tenders</t>
        </is>
      </c>
    </row>
    <row r="41">
      <c r="A41" s="114" t="n">
        <v>46291</v>
      </c>
      <c r="B41" s="111" t="inlineStr">
        <is>
          <t>TR234/2026/2027/W/02</t>
        </is>
      </c>
      <c r="C41" s="111" t="inlineStr">
        <is>
          <t>Wanging'ombe Water Supply and Sanitation Authority</t>
        </is>
      </c>
      <c r="D41" s="111" t="inlineStr">
        <is>
          <t>CONSTRUCTION OF PHASE 1 WATER DISTRIBUTION SYSTEM FROM 28 TOWNS PROJECT WANGING’OMBE</t>
        </is>
      </c>
      <c r="E41" s="111" t="inlineStr">
        <is>
          <t>Njombe (Wanging'ombe) (from client's office – confirm site)</t>
        </is>
      </c>
      <c r="F41" s="111" t="inlineStr">
        <is>
          <t>building</t>
        </is>
      </c>
      <c r="G41" s="115" t="n">
        <v>46297.58333333334</v>
      </c>
      <c r="H41" s="111" t="inlineStr">
        <is>
          <t>Auto (Small Works / Tender): Remote and closing soon</t>
        </is>
      </c>
      <c r="I41" s="111" t="inlineStr">
        <is>
          <t>a04a7f85-961d-4ee6-889a-5c469878b5ec</t>
        </is>
      </c>
      <c r="J41" s="111" t="inlineStr">
        <is>
          <t>NeST</t>
        </is>
      </c>
      <c r="K41" s="111" t="inlineStr">
        <is>
          <t>https://nest.go.tz/tenders/published-tenders</t>
        </is>
      </c>
    </row>
    <row r="42">
      <c r="A42" s="114" t="n">
        <v>46291</v>
      </c>
      <c r="B42" s="111" t="inlineStr">
        <is>
          <t>S10/022/2026/2027/W/102</t>
        </is>
      </c>
      <c r="C42" s="111" t="inlineStr">
        <is>
          <t>TARURA - Simiyu Regional Office</t>
        </is>
      </c>
      <c r="D42" s="111" t="inlineStr">
        <is>
          <t>Spot Improvement works along Butiama Roads, Salunda Roads, Kidinda Roads, Sima Roads and Bomani Roads in Bariadi TC.</t>
        </is>
      </c>
      <c r="E42" s="111" t="inlineStr">
        <is>
          <t>Simiyu (from client's office – confirm site)</t>
        </is>
      </c>
      <c r="F42" s="111" t="inlineStr">
        <is>
          <t>civil</t>
        </is>
      </c>
      <c r="G42" s="115" t="n">
        <v>46297.58333333334</v>
      </c>
      <c r="H42" s="111" t="inlineStr">
        <is>
          <t>Auto (Small Works / Tender): Remote civil works</t>
        </is>
      </c>
      <c r="I42" s="111" t="inlineStr">
        <is>
          <t>0f4b1e8a-c1a8-4220-bf29-1f748bfc3343</t>
        </is>
      </c>
      <c r="J42" s="111" t="inlineStr">
        <is>
          <t>NeST</t>
        </is>
      </c>
      <c r="K42" s="111" t="inlineStr">
        <is>
          <t>https://nest.go.tz/tenders/published-tenders</t>
        </is>
      </c>
    </row>
    <row r="43">
      <c r="A43" s="114" t="n">
        <v>46291</v>
      </c>
      <c r="B43" s="111" t="inlineStr">
        <is>
          <t>TR219/003/2026/2027/W/08</t>
        </is>
      </c>
      <c r="C43" s="111" t="inlineStr">
        <is>
          <t>TANAPA - Southern Zone</t>
        </is>
      </c>
      <c r="D43" s="111" t="inlineStr">
        <is>
          <t>Construction of 400 Meters Long Boardwalk at Kitulo National Park</t>
        </is>
      </c>
      <c r="E43" s="111" t="inlineStr">
        <is>
          <t>Mbeya (Mbarali) (from client's office – confirm site)</t>
        </is>
      </c>
      <c r="F43" s="111" t="inlineStr">
        <is>
          <t>building</t>
        </is>
      </c>
      <c r="G43" s="115" t="n">
        <v>46297.58333333334</v>
      </c>
      <c r="H43" s="111" t="inlineStr">
        <is>
          <t>Auto (Standard Invitation for Quotations -Works / Planned Tender): Remote and closing soon</t>
        </is>
      </c>
      <c r="I43" s="111" t="inlineStr">
        <is>
          <t>d2ae202b-08fd-4650-b448-193f5e653238</t>
        </is>
      </c>
      <c r="J43" s="111" t="inlineStr">
        <is>
          <t>NeST</t>
        </is>
      </c>
      <c r="K43" s="111" t="inlineStr">
        <is>
          <t>https://nest.go.tz/tenders/published-tenders</t>
        </is>
      </c>
    </row>
    <row r="44">
      <c r="A44" s="114" t="n">
        <v>46291</v>
      </c>
      <c r="B44" s="111" t="inlineStr">
        <is>
          <t>TR36/019/2026/2027/W/25</t>
        </is>
      </c>
      <c r="C44" s="111" t="inlineStr">
        <is>
          <t>TANROADS - Rukwa Regional Office</t>
        </is>
      </c>
      <c r="D44" s="111" t="inlineStr">
        <is>
          <t>Routine/Recurrent MTC works, Spot Improvement works, Bridge Preventive Works and Rehabilitation to Gravel Standard along along Laela - Mwimbi - Kizombwe and Kalepula Jct - Mambwenkoswe Regional Road (Mwimbi - Kizombwe Section) (UP)</t>
        </is>
      </c>
      <c r="E44" s="111" t="inlineStr">
        <is>
          <t>Rukwa (Sumbawanga) (from client's office – confirm site)</t>
        </is>
      </c>
      <c r="F44" s="111" t="inlineStr">
        <is>
          <t>civil</t>
        </is>
      </c>
      <c r="G44" s="115" t="n">
        <v>46294.66666666666</v>
      </c>
      <c r="H44" s="111" t="inlineStr">
        <is>
          <t>Auto (Small Works / Tender): Remote civil works</t>
        </is>
      </c>
      <c r="I44" s="111" t="inlineStr">
        <is>
          <t>f7f9d745-70ac-47b2-9f50-817e301d5f11</t>
        </is>
      </c>
      <c r="J44" s="111" t="inlineStr">
        <is>
          <t>NeST</t>
        </is>
      </c>
      <c r="K44" s="111" t="inlineStr">
        <is>
          <t>https://nest.go.tz/tenders/published-tenders</t>
        </is>
      </c>
    </row>
    <row r="45">
      <c r="A45" s="114" t="n">
        <v>46294</v>
      </c>
      <c r="B45" s="111" t="inlineStr">
        <is>
          <t>S10/015/2026/2027/W/65</t>
        </is>
      </c>
      <c r="C45" s="111" t="inlineStr">
        <is>
          <t>TARURA - Mtwara Regional Office</t>
        </is>
      </c>
      <c r="D45" s="111" t="inlineStr">
        <is>
          <t>Upgrading of Ghalani - Malopokelo Road to Double Surface Dressing Standards within Tandahimba District</t>
        </is>
      </c>
      <c r="E45" s="111" t="inlineStr">
        <is>
          <t>Mtwara (from client's office – confirm site)</t>
        </is>
      </c>
      <c r="F45" s="111" t="inlineStr">
        <is>
          <t>civil</t>
        </is>
      </c>
      <c r="G45" s="115" t="n">
        <v>46300.41666666666</v>
      </c>
      <c r="H45" s="111" t="inlineStr">
        <is>
          <t>Auto (Small Works / Tender): Large road works, likely above Civil Class IV – JV only (escalate to MD if of interest)</t>
        </is>
      </c>
      <c r="I45" s="111" t="inlineStr">
        <is>
          <t>e19eeb82-26a9-4856-9fc5-0198d50e9efb</t>
        </is>
      </c>
      <c r="J45" s="111" t="inlineStr">
        <is>
          <t>NeST</t>
        </is>
      </c>
      <c r="K45" s="111" t="inlineStr">
        <is>
          <t>https://nest.go.tz/tenders/published-tenders</t>
        </is>
      </c>
    </row>
    <row r="46">
      <c r="A46" s="114" t="n">
        <v>46294</v>
      </c>
      <c r="B46" s="111" t="inlineStr">
        <is>
          <t>S10/015/2026/2027/W/45</t>
        </is>
      </c>
      <c r="C46" s="111" t="inlineStr">
        <is>
          <t>TARURA - Mtwara Regional Office</t>
        </is>
      </c>
      <c r="D46" s="111" t="inlineStr">
        <is>
          <t>Upgrading of Madaba - Malamba Road to Double Surface Dressing Standards within Tandahimba District</t>
        </is>
      </c>
      <c r="E46" s="111" t="inlineStr">
        <is>
          <t>Mtwara (from client's office – confirm site)</t>
        </is>
      </c>
      <c r="F46" s="111" t="inlineStr">
        <is>
          <t>civil</t>
        </is>
      </c>
      <c r="G46" s="115" t="n">
        <v>46300.41666666666</v>
      </c>
      <c r="H46" s="111" t="inlineStr">
        <is>
          <t>Auto (Small Works / Tender): Large road works, likely above Civil Class IV – JV only (escalate to MD if of interest)</t>
        </is>
      </c>
      <c r="I46" s="111" t="inlineStr">
        <is>
          <t>0bcf7973-1ecd-48d0-bb93-2cbe41529f6d</t>
        </is>
      </c>
      <c r="J46" s="111" t="inlineStr">
        <is>
          <t>NeST</t>
        </is>
      </c>
      <c r="K46" s="111" t="inlineStr">
        <is>
          <t>https://nest.go.tz/tenders/published-tenders</t>
        </is>
      </c>
    </row>
    <row r="47">
      <c r="A47" s="114" t="n">
        <v>46295</v>
      </c>
      <c r="B47" s="111" t="inlineStr">
        <is>
          <t>TR36/008/2026/2027/W/12</t>
        </is>
      </c>
      <c r="C47" s="111" t="inlineStr">
        <is>
          <t>TANROADS - Kigoma Regional Office</t>
        </is>
      </c>
      <c r="D47" s="111" t="inlineStr">
        <is>
          <t>Maintenance and Repairs for Street Lights, Traffic Signals, Loop Counter, Push Button Pedestrian Signals, Bill Boards ,Camera Installations and Services</t>
        </is>
      </c>
      <c r="E47" s="111" t="inlineStr">
        <is>
          <t>Kigoma (from client's office – confirm site)</t>
        </is>
      </c>
      <c r="F47" s="111" t="inlineStr">
        <is>
          <t>MEP</t>
        </is>
      </c>
      <c r="G47" s="115" t="n">
        <v>46300.75</v>
      </c>
      <c r="H47" s="111" t="inlineStr">
        <is>
          <t>Auto (Small Works / Tender): Specialist MEP works – pass to an electrical/mechanical subcontractor</t>
        </is>
      </c>
      <c r="I47" s="111" t="inlineStr">
        <is>
          <t>04c7f575-dac4-4acd-be08-2d0e13aeed5f</t>
        </is>
      </c>
      <c r="J47" s="111" t="inlineStr">
        <is>
          <t>NeST</t>
        </is>
      </c>
      <c r="K47" s="111" t="inlineStr">
        <is>
          <t>https://nest.go.tz/tenders/published-tenders</t>
        </is>
      </c>
    </row>
    <row r="48">
      <c r="A48" s="114" t="n">
        <v>46296</v>
      </c>
      <c r="B48" s="111" t="inlineStr"/>
      <c r="C48" s="111" t="inlineStr">
        <is>
          <t>See advert</t>
        </is>
      </c>
      <c r="D48" s="111" t="inlineStr">
        <is>
          <t>Tender for Leasing Shops at Iaa Babati Campus- Cafeteria Building</t>
        </is>
      </c>
      <c r="E48" s="111" t="inlineStr">
        <is>
          <t>Manyara (Babati)</t>
        </is>
      </c>
      <c r="F48" s="111" t="inlineStr">
        <is>
          <t>building</t>
        </is>
      </c>
      <c r="G48" s="115" t="n">
        <v>46302.41666666666</v>
      </c>
      <c r="H48" s="111" t="inlineStr">
        <is>
          <t>Auto (TanzaniaTenders.com): Remote and closing soon · deadline read from the web page – confirm</t>
        </is>
      </c>
      <c r="I48" s="111" t="inlineStr">
        <is>
          <t>TZT:150193886</t>
        </is>
      </c>
      <c r="J48" s="111" t="inlineStr">
        <is>
          <t>press</t>
        </is>
      </c>
      <c r="K48" s="111" t="inlineStr">
        <is>
          <t>https://www.tanzaniatenders.com/tender/tender-leasing-shops-iaa-babati-campus-cafeteria-building-8f3c6de.php</t>
        </is>
      </c>
    </row>
    <row r="49">
      <c r="A49" s="114" t="n">
        <v>46297</v>
      </c>
      <c r="B49" s="111" t="inlineStr">
        <is>
          <t>54S6/2026/2027/W/15</t>
        </is>
      </c>
      <c r="C49" s="111" t="inlineStr">
        <is>
          <t>Wanging'ombe District Council</t>
        </is>
      </c>
      <c r="D49" s="111" t="inlineStr">
        <is>
          <t>PROPOSED EXPANSION OF WANGING'OMBE HEALTH CENTER PHASE I TO BE BUILT AT WANGING'OMBE DC-NJOMBE REGION</t>
        </is>
      </c>
      <c r="E49" s="111" t="inlineStr">
        <is>
          <t>Njombe (Wanging'ombe)</t>
        </is>
      </c>
      <c r="F49" s="111" t="inlineStr">
        <is>
          <t>building</t>
        </is>
      </c>
      <c r="G49" s="115" t="n">
        <v>46303.41666666666</v>
      </c>
      <c r="H49" s="111" t="inlineStr">
        <is>
          <t>Auto (Small Works / Tender): Remote and closing soon</t>
        </is>
      </c>
      <c r="I49" s="111" t="inlineStr">
        <is>
          <t>2b34ae16-fbe4-4197-ae9d-3106a9758d42</t>
        </is>
      </c>
      <c r="J49" s="111" t="inlineStr">
        <is>
          <t>NeST</t>
        </is>
      </c>
      <c r="K49" s="111" t="inlineStr">
        <is>
          <t>https://nest.go.tz/tenders/published-tenders</t>
        </is>
      </c>
    </row>
    <row r="50">
      <c r="A50" s="114" t="n">
        <v>46300</v>
      </c>
      <c r="B50" s="111" t="inlineStr">
        <is>
          <t>TR36/025/2026/2027/W/10</t>
        </is>
      </c>
      <c r="C50" s="111" t="inlineStr">
        <is>
          <t>TANROADS - Tabora Regional Office</t>
        </is>
      </c>
      <c r="D50" s="111" t="inlineStr">
        <is>
          <t>PERIODIC MAINTENANCE WORKS ALONG MALENDI (SGD/TBR BORDER) - NZEGA PAVED TRUNK ROADS</t>
        </is>
      </c>
      <c r="E50" s="111" t="inlineStr">
        <is>
          <t>Tabora (from client's office – confirm site)</t>
        </is>
      </c>
      <c r="F50" s="111" t="inlineStr">
        <is>
          <t>civil</t>
        </is>
      </c>
      <c r="G50" s="115" t="n">
        <v>46307.58333333334</v>
      </c>
      <c r="H50" s="111" t="inlineStr">
        <is>
          <t>Auto (Small Works / Tender): Remote civil works</t>
        </is>
      </c>
      <c r="I50" s="111" t="inlineStr">
        <is>
          <t>bed6c88a-8eaf-49fd-817a-29978ab9a007</t>
        </is>
      </c>
      <c r="J50" s="111" t="inlineStr">
        <is>
          <t>NeST</t>
        </is>
      </c>
      <c r="K50" s="111" t="inlineStr">
        <is>
          <t>https://nest.go.tz/tenders/published-tenders</t>
        </is>
      </c>
    </row>
    <row r="51">
      <c r="A51" s="114" t="n">
        <v>46301</v>
      </c>
      <c r="B51" s="111" t="inlineStr">
        <is>
          <t>82/2026/2027/W/14</t>
        </is>
      </c>
      <c r="C51" s="111" t="inlineStr">
        <is>
          <t>Ruvuma Regional Secretariat</t>
        </is>
      </c>
      <c r="D51" s="111" t="inlineStr">
        <is>
          <t>Rehabilitation of Division Officer Office at Hagati Mbinga District Council</t>
        </is>
      </c>
      <c r="E51" s="111" t="inlineStr">
        <is>
          <t>Ruvuma (Mbinga)</t>
        </is>
      </c>
      <c r="F51" s="111" t="inlineStr">
        <is>
          <t>renovation</t>
        </is>
      </c>
      <c r="G51" s="115" t="n">
        <v>46307.58333333334</v>
      </c>
      <c r="H51" s="111" t="inlineStr">
        <is>
          <t>Auto (Small Works / Tender): Remote and closing soon</t>
        </is>
      </c>
      <c r="I51" s="111" t="inlineStr">
        <is>
          <t>cd357d8c-f80c-42fb-892c-5bd390f89590</t>
        </is>
      </c>
      <c r="J51" s="111" t="inlineStr">
        <is>
          <t>NeST</t>
        </is>
      </c>
      <c r="K51" s="111" t="inlineStr">
        <is>
          <t>https://nest.go.tz/tenders/published-tenders</t>
        </is>
      </c>
    </row>
    <row r="52">
      <c r="A52" s="114" t="n">
        <v>46301</v>
      </c>
      <c r="B52" s="111" t="inlineStr"/>
      <c r="C52" s="111" t="inlineStr">
        <is>
          <t>See advert</t>
        </is>
      </c>
      <c r="D52" s="111" t="inlineStr">
        <is>
          <t>Provision of Minor Civil Works for Street Lights and Traffic Signal Installation</t>
        </is>
      </c>
      <c r="E52" s="111" t="inlineStr">
        <is>
          <t>Not stated – read the notice</t>
        </is>
      </c>
      <c r="F52" s="111" t="inlineStr">
        <is>
          <t>MEP</t>
        </is>
      </c>
      <c r="G52" s="115" t="n">
        <v>46303.41666666666</v>
      </c>
      <c r="H52" s="111" t="inlineStr">
        <is>
          <t>Auto (TanzaniaTenders.com): Specialist MEP works – pass to an electrical/mechanical subcontractor · deadline read from the web page – confirm</t>
        </is>
      </c>
      <c r="I52" s="111" t="inlineStr">
        <is>
          <t>TZT:150486360</t>
        </is>
      </c>
      <c r="J52" s="111" t="inlineStr">
        <is>
          <t>press</t>
        </is>
      </c>
      <c r="K52" s="111" t="inlineStr">
        <is>
          <t>https://www.tanzaniatenders.com/tender/provision-minor-civil-works-street-lights-and-traffic-signal-installation-8f83d58.php</t>
        </is>
      </c>
    </row>
    <row r="53">
      <c r="A53" s="114" t="n">
        <v>46302</v>
      </c>
      <c r="B53" s="111" t="inlineStr">
        <is>
          <t>TR36/009/2026/2027/W/06</t>
        </is>
      </c>
      <c r="C53" s="111" t="inlineStr">
        <is>
          <t>TANROADS - Kilimanjaro Regional Office</t>
        </is>
      </c>
      <c r="D53" s="111" t="inlineStr">
        <is>
          <t>Road Reserve Management, Implementation of Road Safety Intervantions and Important Road Signs for People with Disabilities in Trunk and Regional Roads in Kilimanjaro Region</t>
        </is>
      </c>
      <c r="E53" s="111" t="inlineStr">
        <is>
          <t>Kilimanjaro</t>
        </is>
      </c>
      <c r="F53" s="111" t="inlineStr">
        <is>
          <t>civil</t>
        </is>
      </c>
      <c r="G53" s="115" t="n">
        <v>46308.4375</v>
      </c>
      <c r="H53" s="111" t="inlineStr">
        <is>
          <t>Auto (Small Works / Tender): Remote civil works</t>
        </is>
      </c>
      <c r="I53" s="111" t="inlineStr">
        <is>
          <t>3d51158e-9c24-4657-8ef4-d417250ecb86</t>
        </is>
      </c>
      <c r="J53" s="111" t="inlineStr">
        <is>
          <t>NeST</t>
        </is>
      </c>
      <c r="K53" s="111" t="inlineStr">
        <is>
          <t>https://nest.go.tz/tenders/published-tenders</t>
        </is>
      </c>
    </row>
    <row r="54">
      <c r="A54" s="114" t="n">
        <v>46304</v>
      </c>
      <c r="B54" s="111" t="inlineStr">
        <is>
          <t>S10/009/2026/2027/W/188</t>
        </is>
      </c>
      <c r="C54" s="111" t="inlineStr">
        <is>
          <t>TARURA - Kilimanjaro Regional Office</t>
        </is>
      </c>
      <c r="D54" s="111" t="inlineStr">
        <is>
          <t>Routine Maintenance and Spot Improvement of selected roads in Siha District</t>
        </is>
      </c>
      <c r="E54" s="111" t="inlineStr">
        <is>
          <t>Kilimanjaro (Moshi) (from client's office – confirm site)</t>
        </is>
      </c>
      <c r="F54" s="111" t="inlineStr">
        <is>
          <t>civil</t>
        </is>
      </c>
      <c r="G54" s="115" t="n">
        <v>46310.41666666666</v>
      </c>
      <c r="H54" s="111" t="inlineStr">
        <is>
          <t>Auto (Small Works / Tender): Remote civil works</t>
        </is>
      </c>
      <c r="I54" s="111" t="inlineStr">
        <is>
          <t>9c4309aa-20a2-47f7-8c9b-8a3122203b59</t>
        </is>
      </c>
      <c r="J54" s="111" t="inlineStr">
        <is>
          <t>NeST</t>
        </is>
      </c>
      <c r="K54" s="111" t="inlineStr">
        <is>
          <t>https://nest.go.tz/tenders/published-tenders</t>
        </is>
      </c>
    </row>
    <row r="55">
      <c r="A55" s="114" t="n">
        <v>46305</v>
      </c>
      <c r="B55" s="111" t="inlineStr"/>
      <c r="C55" s="111" t="inlineStr">
        <is>
          <t>Azania Bank</t>
        </is>
      </c>
      <c r="D55" s="111" t="inlineStr">
        <is>
          <t>Tender Document: Maintenance of Generator</t>
        </is>
      </c>
      <c r="E55" s="111" t="inlineStr">
        <is>
          <t>Not stated – read the notice</t>
        </is>
      </c>
      <c r="F55" s="111" t="inlineStr">
        <is>
          <t>MEP</t>
        </is>
      </c>
      <c r="G55" s="115" t="n"/>
      <c r="H55" s="111" t="inlineStr">
        <is>
          <t>Auto (Azania Bank tenders): Specialist MEP works – pass to an electrical/mechanical subcontractor</t>
        </is>
      </c>
      <c r="I55" s="111" t="inlineStr">
        <is>
          <t>WEB:azania_bank_tenders:ef23a10aa2db1fe3</t>
        </is>
      </c>
      <c r="J55" s="111" t="inlineStr">
        <is>
          <t>client site</t>
        </is>
      </c>
      <c r="K55" s="111" t="inlineStr">
        <is>
          <t>https://azaniabank.co.tz/wp-content/uploads/2022/05/MAINTENANCE-OF-GENERATOR-2022.pdf</t>
        </is>
      </c>
    </row>
    <row r="56">
      <c r="A56" s="114" t="n">
        <v>46305</v>
      </c>
      <c r="B56" s="111" t="inlineStr"/>
      <c r="C56" s="111" t="inlineStr">
        <is>
          <t>Azania Bank</t>
        </is>
      </c>
      <c r="D56" s="111" t="inlineStr">
        <is>
          <t>Tender Document: Preventive Maintenance of Power Generator</t>
        </is>
      </c>
      <c r="E56" s="111" t="inlineStr">
        <is>
          <t>Not stated – read the notice</t>
        </is>
      </c>
      <c r="F56" s="111" t="inlineStr">
        <is>
          <t>MEP</t>
        </is>
      </c>
      <c r="G56" s="115" t="n"/>
      <c r="H56" s="111" t="inlineStr">
        <is>
          <t>Auto (Azania Bank tenders): Specialist MEP works – pass to an electrical/mechanical subcontractor</t>
        </is>
      </c>
      <c r="I56" s="111" t="inlineStr">
        <is>
          <t>WEB:azania_bank_tenders:261e414926d4457d</t>
        </is>
      </c>
      <c r="J56" s="111" t="inlineStr">
        <is>
          <t>client site</t>
        </is>
      </c>
      <c r="K56" s="111" t="inlineStr">
        <is>
          <t>https://www.azaniabank.co.tz/tenders</t>
        </is>
      </c>
    </row>
    <row r="57">
      <c r="A57" s="114" t="n">
        <v>46305</v>
      </c>
      <c r="B57" s="111" t="inlineStr"/>
      <c r="C57" s="111" t="inlineStr">
        <is>
          <t>Tanzania Railways Corporation (TRC)</t>
        </is>
      </c>
      <c r="D57" s="111" t="inlineStr">
        <is>
          <t>INVITATION TO EARLY MARKET ENGAGEMENT (EME) WORKSHOP (PHYSICAL AND VIRTUAL CONSULTATIVE MEETING)</t>
        </is>
      </c>
      <c r="E57" s="111" t="inlineStr">
        <is>
          <t>Not stated – read the notice</t>
        </is>
      </c>
      <c r="F57" s="111" t="inlineStr">
        <is>
          <t>building</t>
        </is>
      </c>
      <c r="G57" s="115" t="n"/>
      <c r="H57" s="111" t="inlineStr">
        <is>
          <t>Auto (TRC tenders): Deadline not shown on the source page – open the link and read the notice · (first check of this page – listed for review only)</t>
        </is>
      </c>
      <c r="I57" s="111" t="inlineStr">
        <is>
          <t>WEB:trc_tenders:2d2c9dbdb237c3a4</t>
        </is>
      </c>
      <c r="J57" s="111" t="inlineStr">
        <is>
          <t>client site</t>
        </is>
      </c>
      <c r="K57" s="111" t="inlineStr">
        <is>
          <t>https://www.trc.co.tz/uploads/vacancies/sw1776962195-23042026-INVITATION TO EME WORKSHOP.pdf</t>
        </is>
      </c>
    </row>
    <row r="58">
      <c r="A58" s="114" t="n">
        <v>46305</v>
      </c>
      <c r="B58" s="111" t="inlineStr"/>
      <c r="C58" s="111" t="inlineStr">
        <is>
          <t>Tanzania Communications Regulatory Authority (TCRA)</t>
        </is>
      </c>
      <c r="D58" s="111" t="inlineStr">
        <is>
          <t>Tenders 0 5 29 th Nov, 2022 DESIGN AND INSTALLATION OF MULTIPURPOSE CONFERENCE HALL FACILITIES TO THE PAPU HOUSE Download View</t>
        </is>
      </c>
      <c r="E58" s="111" t="inlineStr">
        <is>
          <t>Not stated – read the notice</t>
        </is>
      </c>
      <c r="F58" s="111" t="inlineStr">
        <is>
          <t>building</t>
        </is>
      </c>
      <c r="G58" s="115" t="n"/>
      <c r="H58" s="111" t="inlineStr">
        <is>
          <t>Auto (TCRA tenders): Deadline not shown on the source page – open the link and read the notice · (first check of this page – listed for review only)</t>
        </is>
      </c>
      <c r="I58" s="111" t="inlineStr">
        <is>
          <t>WEB:tcra_tenders:8741399c3b5cdb7b</t>
        </is>
      </c>
      <c r="J58" s="111" t="inlineStr">
        <is>
          <t>client site</t>
        </is>
      </c>
      <c r="K58" s="111" t="inlineStr">
        <is>
          <t>https://www.tcra.go.tz/tcra-tovuti/2022/mamlaka-website/documents/tenders/en_1669799349_INVITATION_FOR_TENDERS_Conference_Hall_Facilities_PAPU_House_b8fc297abe.pdf</t>
        </is>
      </c>
    </row>
    <row r="59">
      <c r="A59" s="114" t="n">
        <v>46305</v>
      </c>
      <c r="B59" s="111" t="inlineStr">
        <is>
          <t>020/HQ/2022-23/W/05</t>
        </is>
      </c>
      <c r="C59" s="111" t="inlineStr">
        <is>
          <t>Tanzania Communications Regulatory Authority (TCRA)</t>
        </is>
      </c>
      <c r="D59" s="111" t="inlineStr">
        <is>
          <t>EXTENSION OF TENDER SUBMISSION DEADLINE FOR PROPOSED DESIGN AND INSTALLATION OF MULTIPURPOSE CONFERENCE HALL FACILITIES AT PAPU HOUSE PROJECT (TENDER NO. AE-020/HQ/2022-23/W/05)</t>
        </is>
      </c>
      <c r="E59" s="111" t="inlineStr">
        <is>
          <t>Not stated – read the notice</t>
        </is>
      </c>
      <c r="F59" s="111" t="inlineStr">
        <is>
          <t>building</t>
        </is>
      </c>
      <c r="G59" s="115" t="n"/>
      <c r="H59" s="111" t="inlineStr">
        <is>
          <t>Auto (TCRA tenders): Deadline not shown on the source page – open the link and read the notice · (first check of this page – listed for review only)</t>
        </is>
      </c>
      <c r="I59" s="111" t="inlineStr">
        <is>
          <t>WEB:tcra_tenders:020hq202223w05</t>
        </is>
      </c>
      <c r="J59" s="111" t="inlineStr">
        <is>
          <t>client site</t>
        </is>
      </c>
      <c r="K59" s="111" t="inlineStr">
        <is>
          <t>https://www.tcra.go.tz/tcra-tovuti/2023/mamlaka-website/documents/tenders/en_1673772233_Extension_of_Tender_Submission_Deadline_for_Proposed_design_and_Installation_of_Multipurpose_Conference_Hall_06b81863fa.pdf</t>
        </is>
      </c>
    </row>
    <row r="60">
      <c r="A60" s="114" t="n">
        <v>46305</v>
      </c>
      <c r="B60" s="111" t="inlineStr"/>
      <c r="C60" s="111" t="inlineStr">
        <is>
          <t>Azania Bank</t>
        </is>
      </c>
      <c r="D60" s="111" t="inlineStr">
        <is>
          <t>Tender Document General Office Stationary(Feb 2026)</t>
        </is>
      </c>
      <c r="E60" s="111" t="inlineStr">
        <is>
          <t>Not stated – read the notice</t>
        </is>
      </c>
      <c r="F60" s="111" t="inlineStr">
        <is>
          <t>building</t>
        </is>
      </c>
      <c r="G60" s="115" t="n"/>
      <c r="H60" s="111" t="inlineStr">
        <is>
          <t>Auto (Azania Bank tenders): Deadline not shown on the source page – open the link and read the notice · (first check of this page – listed for review only)</t>
        </is>
      </c>
      <c r="I60" s="111" t="inlineStr">
        <is>
          <t>WEB:azania_bank_tenders:10518268ac56a68d</t>
        </is>
      </c>
      <c r="J60" s="111" t="inlineStr">
        <is>
          <t>client site</t>
        </is>
      </c>
      <c r="K60" s="111" t="inlineStr">
        <is>
          <t>https://www.azaniabank.co.tz/tenders</t>
        </is>
      </c>
    </row>
    <row r="61">
      <c r="A61" s="114" t="n">
        <v>46305</v>
      </c>
      <c r="B61" s="111" t="inlineStr"/>
      <c r="C61" s="111" t="inlineStr">
        <is>
          <t>Azania Bank</t>
        </is>
      </c>
      <c r="D61" s="111" t="inlineStr">
        <is>
          <t>Call Center System with CRM Capabilities View Tender View Notice View Clarification</t>
        </is>
      </c>
      <c r="E61" s="111" t="inlineStr">
        <is>
          <t>Not stated – read the notice</t>
        </is>
      </c>
      <c r="F61" s="111" t="inlineStr">
        <is>
          <t>building</t>
        </is>
      </c>
      <c r="G61" s="115" t="n"/>
      <c r="H61" s="111" t="inlineStr">
        <is>
          <t>Auto (Azania Bank tenders): Deadline not shown on the source page – open the link and read the notice · (first check of this page – listed for review only)</t>
        </is>
      </c>
      <c r="I61" s="111" t="inlineStr">
        <is>
          <t>WEB:azania_bank_tenders:d11dd6cf8d033172</t>
        </is>
      </c>
      <c r="J61" s="111" t="inlineStr">
        <is>
          <t>client site</t>
        </is>
      </c>
      <c r="K61" s="111" t="inlineStr">
        <is>
          <t>https://www.azaniabank.co.tz/tenders</t>
        </is>
      </c>
    </row>
    <row r="62">
      <c r="A62" s="114" t="n">
        <v>46305</v>
      </c>
      <c r="B62" s="111" t="inlineStr"/>
      <c r="C62" s="111" t="inlineStr">
        <is>
          <t>Azania Bank</t>
        </is>
      </c>
      <c r="D62" s="111" t="inlineStr">
        <is>
          <t>Pre-qualification for Contractors for Remodeling, Fit-out, Refurbishment Works for Bank Branches (May 2025)</t>
        </is>
      </c>
      <c r="E62" s="111" t="inlineStr">
        <is>
          <t>Not stated – read the notice</t>
        </is>
      </c>
      <c r="F62" s="111" t="inlineStr">
        <is>
          <t>fit-out</t>
        </is>
      </c>
      <c r="G62" s="115" t="n"/>
      <c r="H62" s="111" t="inlineStr">
        <is>
          <t>Auto (Azania Bank tenders): Deadline not shown on the source page – open the link and read the notice · (first check of this page – listed for review only)</t>
        </is>
      </c>
      <c r="I62" s="111" t="inlineStr">
        <is>
          <t>WEB:azania_bank_tenders:49ead9be51bae7b0</t>
        </is>
      </c>
      <c r="J62" s="111" t="inlineStr">
        <is>
          <t>client site</t>
        </is>
      </c>
      <c r="K62" s="111" t="inlineStr">
        <is>
          <t>https://www.azaniabank.co.tz/tenders</t>
        </is>
      </c>
    </row>
    <row r="63">
      <c r="A63" s="114" t="n">
        <v>46305</v>
      </c>
      <c r="B63" s="111" t="inlineStr"/>
      <c r="C63" s="111" t="inlineStr">
        <is>
          <t>Azania Bank</t>
        </is>
      </c>
      <c r="D63" s="111" t="inlineStr">
        <is>
          <t>Pre-Qualification Document: Provision of Refurbishment, Renovation, Remodelling, Office Partitioning and Fit-Out Works of Bank Premises</t>
        </is>
      </c>
      <c r="E63" s="111" t="inlineStr">
        <is>
          <t>Not stated – read the notice</t>
        </is>
      </c>
      <c r="F63" s="111" t="inlineStr">
        <is>
          <t>fit-out</t>
        </is>
      </c>
      <c r="G63" s="115" t="n"/>
      <c r="H63" s="111" t="inlineStr">
        <is>
          <t>Auto (Azania Bank tenders): Deadline not shown on the source page – open the link and read the notice · (first check of this page – listed for review only)</t>
        </is>
      </c>
      <c r="I63" s="111" t="inlineStr">
        <is>
          <t>WEB:azania_bank_tenders:6006675b441973b9</t>
        </is>
      </c>
      <c r="J63" s="111" t="inlineStr">
        <is>
          <t>client site</t>
        </is>
      </c>
      <c r="K63" s="111" t="inlineStr">
        <is>
          <t>https://azaniabank.co.tz/wp-content/uploads/2022/05/PROVISION-OF-REFURBISHMENT-RENOVATION-REMODELING-OFFICE-PARTITIONING-AND-FIT-OUT-WORKS-OF-BANK-PREMISES-2022.-.pdf</t>
        </is>
      </c>
    </row>
    <row r="64">
      <c r="A64" s="114" t="n">
        <v>46305</v>
      </c>
      <c r="B64" s="111" t="inlineStr"/>
      <c r="C64" s="111" t="inlineStr">
        <is>
          <t>Sokoine University of Agriculture (SUA)</t>
        </is>
      </c>
      <c r="D64" s="111" t="inlineStr">
        <is>
          <t>TANGAZO LA ZABUNI:HUDUMA YA KUWAPATA MAFUNDI WA KUFANYA UKARABATI WA MAJENGO MBALIMBALI YA OFISI, NYUMBA ZA WANYAMA NA UTAFITI KAMPASI KUU YA SUA</t>
        </is>
      </c>
      <c r="E64" s="111" t="inlineStr">
        <is>
          <t>Morogoro (from client's office – confirm site)</t>
        </is>
      </c>
      <c r="F64" s="111" t="inlineStr">
        <is>
          <t>renovation</t>
        </is>
      </c>
      <c r="G64" s="115" t="n"/>
      <c r="H64" s="111" t="inlineStr">
        <is>
          <t>Auto (SUA tenders): Deadline not shown on the source page – open the link and read the notice · (first check of this page – listed for review only)</t>
        </is>
      </c>
      <c r="I64" s="111" t="inlineStr">
        <is>
          <t>WEB:sua_tenders_zabuni:089c72bd6abcbeb5</t>
        </is>
      </c>
      <c r="J64" s="111" t="inlineStr">
        <is>
          <t>client site</t>
        </is>
      </c>
      <c r="K64" s="111" t="inlineStr">
        <is>
          <t>https://www.sua.ac.tz/zabuni</t>
        </is>
      </c>
    </row>
    <row r="65">
      <c r="A65" s="114" t="n">
        <v>46305</v>
      </c>
      <c r="B65" s="111" t="inlineStr">
        <is>
          <t>PA/012/2019-2020/HQ/W/22</t>
        </is>
      </c>
      <c r="C65" s="111" t="inlineStr">
        <is>
          <t>Sokoine University of Agriculture (SUA)</t>
        </is>
      </c>
      <c r="D65" s="111" t="inlineStr">
        <is>
          <t>5.Kotesheni zote katika uhalisia wake ( original ) pamoja na nakala [ moja ] zinazofanana, zilizojazwa kwa usahihi na kuwekwa kwenye bahasha isiyo na maandishi juu na kuandikwa “Kotesheni Na. PA/012/2019-2020/HQ/W/22, Kundi Na….., ‘’HUDUMA YA KUWAPATA MAFUNDI WA KUFANYA UKARABATI WA MAJENGO MBALIMBA</t>
        </is>
      </c>
      <c r="E65" s="111" t="inlineStr">
        <is>
          <t>Morogoro (from client's office – confirm site)</t>
        </is>
      </c>
      <c r="F65" s="111" t="inlineStr">
        <is>
          <t>renovation</t>
        </is>
      </c>
      <c r="G65" s="115" t="n"/>
      <c r="H65" s="111" t="inlineStr">
        <is>
          <t>Auto (SUA tenders): Deadline not shown on the source page – open the link and read the notice · (first check of this page – listed for review only)</t>
        </is>
      </c>
      <c r="I65" s="111" t="inlineStr">
        <is>
          <t>WEB:sua_tenders_zabuni:pa01220192020hqw22</t>
        </is>
      </c>
      <c r="J65" s="111" t="inlineStr">
        <is>
          <t>client site</t>
        </is>
      </c>
      <c r="K65" s="111" t="inlineStr">
        <is>
          <t>https://www.sua.ac.tz/zabuni</t>
        </is>
      </c>
    </row>
    <row r="66">
      <c r="A66" s="114" t="n">
        <v>46305</v>
      </c>
      <c r="B66" s="111" t="inlineStr"/>
      <c r="C66" s="111" t="inlineStr">
        <is>
          <t>See notice</t>
        </is>
      </c>
      <c r="D66" s="111" t="inlineStr">
        <is>
          <t>Construction Tenders</t>
        </is>
      </c>
      <c r="E66" s="111" t="inlineStr">
        <is>
          <t>Not stated – read the notice</t>
        </is>
      </c>
      <c r="F66" s="111" t="inlineStr">
        <is>
          <t>building</t>
        </is>
      </c>
      <c r="G66" s="115" t="n"/>
      <c r="H66" s="111" t="inlineStr">
        <is>
          <t>Auto (BidDetail – Tanzania tenders): Deadline not shown on the source page – open the link and read the notice · (first check of this page – listed for review only)</t>
        </is>
      </c>
      <c r="I66" s="111" t="inlineStr">
        <is>
          <t>WEB:biddetail_tanzania_tenders:5c649ceca911fe55</t>
        </is>
      </c>
      <c r="J66" s="111" t="inlineStr">
        <is>
          <t>aggregator</t>
        </is>
      </c>
      <c r="K66" s="111" t="inlineStr">
        <is>
          <t>https://www.biddetail.com/tanzania-tenders/construction-tenders</t>
        </is>
      </c>
    </row>
    <row r="67">
      <c r="A67" s="114" t="n">
        <v>46305</v>
      </c>
      <c r="B67" s="111" t="inlineStr"/>
      <c r="C67" s="111" t="inlineStr">
        <is>
          <t>See notice</t>
        </is>
      </c>
      <c r="D67" s="111" t="inlineStr">
        <is>
          <t>Tenders Are Invited For Construction Of Perimeter Fence And Site ......</t>
        </is>
      </c>
      <c r="E67" s="111" t="inlineStr">
        <is>
          <t>Not stated – read the notice</t>
        </is>
      </c>
      <c r="F67" s="111" t="inlineStr">
        <is>
          <t>building</t>
        </is>
      </c>
      <c r="G67" s="115" t="n"/>
      <c r="H67" s="111" t="inlineStr">
        <is>
          <t>Auto (BidDetail – Tanzania tenders): Deadline not shown on the source page – open the link and read the notice · (first check of this page – listed for review only)</t>
        </is>
      </c>
      <c r="I67" s="111" t="inlineStr">
        <is>
          <t>WEB:biddetail_tanzania_tenders:e57e334c02ac1ab7</t>
        </is>
      </c>
      <c r="J67" s="111" t="inlineStr">
        <is>
          <t>aggregator</t>
        </is>
      </c>
      <c r="K67" s="111" t="inlineStr">
        <is>
          <t>https://www.biddetail.com/latest-tenders/118925699$c13e5f5e-7a4b-4be7-a2f2-2558c7049441</t>
        </is>
      </c>
    </row>
    <row r="68">
      <c r="A68" s="114" t="n">
        <v>46305</v>
      </c>
      <c r="B68" s="111" t="inlineStr"/>
      <c r="C68" s="111" t="inlineStr">
        <is>
          <t>See notice</t>
        </is>
      </c>
      <c r="D68" s="111" t="inlineStr">
        <is>
          <t>Tenders are invited for Construction Of Lwanji I Bridge (200M) Sp ......</t>
        </is>
      </c>
      <c r="E68" s="111" t="inlineStr">
        <is>
          <t>Not stated – read the notice</t>
        </is>
      </c>
      <c r="F68" s="111" t="inlineStr">
        <is>
          <t>civil</t>
        </is>
      </c>
      <c r="G68" s="115" t="n"/>
      <c r="H68" s="111" t="inlineStr">
        <is>
          <t>Auto (BidDetail – Tanzania tenders): Deadline not shown on the source page – open the link and read the notice · (first check of this page – listed for review only)</t>
        </is>
      </c>
      <c r="I68" s="111" t="inlineStr">
        <is>
          <t>WEB:biddetail_tanzania_tenders:6747e3d0e5f9315b</t>
        </is>
      </c>
      <c r="J68" s="111" t="inlineStr">
        <is>
          <t>aggregator</t>
        </is>
      </c>
      <c r="K68" s="111" t="inlineStr">
        <is>
          <t>https://www.biddetail.com/latest-tenders/119128722$8a01940b-aa90-4a08-9217-c0af8103e7de</t>
        </is>
      </c>
    </row>
    <row r="69">
      <c r="A69" s="114" t="n">
        <v>46305</v>
      </c>
      <c r="B69" s="111" t="inlineStr"/>
      <c r="C69" s="111" t="inlineStr">
        <is>
          <t>UK Government (FCDO / British High Commission)</t>
        </is>
      </c>
      <c r="D69" s="111" t="inlineStr">
        <is>
          <t>Utilities dynamic market - A dynamic market that can only be used by utility organisations to award utilities contracts. Tender notices may optionally be provided only to members of the market. (Not included in the DM/DPS filter option.)</t>
        </is>
      </c>
      <c r="E69" s="111" t="inlineStr">
        <is>
          <t>Not stated – read the notice</t>
        </is>
      </c>
      <c r="F69" s="111" t="inlineStr">
        <is>
          <t>building</t>
        </is>
      </c>
      <c r="G69" s="115" t="n"/>
      <c r="H69" s="111" t="inlineStr">
        <is>
          <t>Auto (UK Find a Tender – Tanzania): Deadline not shown on the source page – open the link and read the notice · (first check of this page – listed for review only)</t>
        </is>
      </c>
      <c r="I69" s="111" t="inlineStr">
        <is>
          <t>WEB:uk_find_a_tender_tanzania:51cdf20411b36bee</t>
        </is>
      </c>
      <c r="J69" s="111" t="inlineStr">
        <is>
          <t>donor / international</t>
        </is>
      </c>
      <c r="K69" s="111" t="inlineStr">
        <is>
          <t>https://www.find-tender.service.gov.uk/Search/Results?keywords=Tanzania</t>
        </is>
      </c>
    </row>
    <row r="70">
      <c r="A70" s="114" t="n">
        <v>46305</v>
      </c>
      <c r="B70" s="111" t="inlineStr"/>
      <c r="C70" s="111" t="inlineStr">
        <is>
          <t>UK Government (FCDO / British High Commission)</t>
        </is>
      </c>
      <c r="D70" s="111" t="inlineStr">
        <is>
          <t>Dynamic market - Arrangements that suppliers who meet the conditions for membership can join, which allow them to bid for future contracts restricted to members of the market. Future contracts must be advertised in tender notices. New suppliers can join at any time during the term of the market.</t>
        </is>
      </c>
      <c r="E70" s="111" t="inlineStr">
        <is>
          <t>Not stated – read the notice</t>
        </is>
      </c>
      <c r="F70" s="111" t="inlineStr">
        <is>
          <t>building</t>
        </is>
      </c>
      <c r="G70" s="115" t="n"/>
      <c r="H70" s="111" t="inlineStr">
        <is>
          <t>Auto (UK Find a Tender – Tanzania): Deadline not shown on the source page – open the link and read the notice · (first check of this page – listed for review only)</t>
        </is>
      </c>
      <c r="I70" s="111" t="inlineStr">
        <is>
          <t>WEB:uk_find_a_tender_tanzania:d7df2948c5ca33aa</t>
        </is>
      </c>
      <c r="J70" s="111" t="inlineStr">
        <is>
          <t>donor / international</t>
        </is>
      </c>
      <c r="K70" s="111" t="inlineStr">
        <is>
          <t>https://www.find-tender.service.gov.uk/Search/Results?keywords=Tanzania</t>
        </is>
      </c>
    </row>
    <row r="71">
      <c r="A71" s="114" t="n">
        <v>46305</v>
      </c>
      <c r="B71" s="111" t="inlineStr"/>
      <c r="C71" s="111" t="inlineStr">
        <is>
          <t>UK Government (FCDO / British High Commission)</t>
        </is>
      </c>
      <c r="D71" s="111" t="inlineStr">
        <is>
          <t>Dynamic purchasing system - Similar to a dynamic market, but only allowed for commonly used purchases. Tender notices are not required for future contracts. New suppliers can join at any time during the term of the market. Established under the Public Contracts Regulations 2015 or Utilities Contract</t>
        </is>
      </c>
      <c r="E71" s="111" t="inlineStr">
        <is>
          <t>Not stated – read the notice</t>
        </is>
      </c>
      <c r="F71" s="111" t="inlineStr">
        <is>
          <t>building</t>
        </is>
      </c>
      <c r="G71" s="115" t="n"/>
      <c r="H71" s="111" t="inlineStr">
        <is>
          <t>Auto (UK Find a Tender – Tanzania): Deadline not shown on the source page – open the link and read the notice · (first check of this page – listed for review only)</t>
        </is>
      </c>
      <c r="I71" s="111" t="inlineStr">
        <is>
          <t>WEB:uk_find_a_tender_tanzania:3988ff1eb778713a</t>
        </is>
      </c>
      <c r="J71" s="111" t="inlineStr">
        <is>
          <t>donor / international</t>
        </is>
      </c>
      <c r="K71" s="111" t="inlineStr">
        <is>
          <t>https://www.find-tender.service.gov.uk/Search/Results?keywords=Tanzania</t>
        </is>
      </c>
    </row>
    <row r="72">
      <c r="A72" s="114" t="n">
        <v>46305</v>
      </c>
      <c r="B72" s="111" t="inlineStr"/>
      <c r="C72" s="111" t="inlineStr">
        <is>
          <t>UK Government (FCDO / British High Commission)</t>
        </is>
      </c>
      <c r="D72" s="111" t="inlineStr">
        <is>
          <t>Select all Deselect all UK1: Pipeline notice UK2: Preliminary market engagement notice UK3: Planned procurement notice UK4: Tender notice UK5: Transparency notice UK6: Contract award notice UK7: Contract details notice UK9: Contract performance notice UK10: Contract change notice UK11: Contract term</t>
        </is>
      </c>
      <c r="E72" s="111" t="inlineStr">
        <is>
          <t>Not stated – read the notice</t>
        </is>
      </c>
      <c r="F72" s="111" t="inlineStr">
        <is>
          <t>civil</t>
        </is>
      </c>
      <c r="G72" s="115" t="n"/>
      <c r="H72" s="111" t="inlineStr">
        <is>
          <t>Auto (UK Find a Tender – Tanzania): Deadline not shown on the source page – open the link and read the notice · (first check of this page – listed for review only)</t>
        </is>
      </c>
      <c r="I72" s="111" t="inlineStr">
        <is>
          <t>WEB:uk_find_a_tender_tanzania:4530a50e6ff49889</t>
        </is>
      </c>
      <c r="J72" s="111" t="inlineStr">
        <is>
          <t>donor / international</t>
        </is>
      </c>
      <c r="K72" s="111" t="inlineStr">
        <is>
          <t>https://www.find-tender.service.gov.uk/Search/Results?keywords=Tanzania</t>
        </is>
      </c>
    </row>
    <row r="73">
      <c r="A73" s="114" t="n">
        <v>46305</v>
      </c>
      <c r="B73" s="111" t="inlineStr"/>
      <c r="C73" s="111" t="inlineStr">
        <is>
          <t>UK Government (FCDO / British High Commission)</t>
        </is>
      </c>
      <c r="D73" s="111" t="inlineStr">
        <is>
          <t>Procurement Act 2023 Select all Deselect all UK1: Pipeline notice UK2: Preliminary market engagement notice UK3: Planned procurement notice UK4: Tender notice UK5: Transparency notice UK6: Contract award notice UK7: Contract details notice UK9: Contract performance notice UK10: Contract change notic</t>
        </is>
      </c>
      <c r="E73" s="111" t="inlineStr">
        <is>
          <t>Not stated – read the notice</t>
        </is>
      </c>
      <c r="F73" s="111" t="inlineStr">
        <is>
          <t>civil</t>
        </is>
      </c>
      <c r="G73" s="115" t="n"/>
      <c r="H73" s="111" t="inlineStr">
        <is>
          <t>Auto (UK Find a Tender – Tanzania): Deadline not shown on the source page – open the link and read the notice · (first check of this page – listed for review only)</t>
        </is>
      </c>
      <c r="I73" s="111" t="inlineStr">
        <is>
          <t>WEB:uk_find_a_tender_tanzania:e0dc09032992961b</t>
        </is>
      </c>
      <c r="J73" s="111" t="inlineStr">
        <is>
          <t>donor / international</t>
        </is>
      </c>
      <c r="K73" s="111" t="inlineStr">
        <is>
          <t>https://www.find-tender.service.gov.uk/Search/Results?keywords=Tanzania</t>
        </is>
      </c>
    </row>
    <row r="74">
      <c r="A74" s="114" t="n">
        <v>46305</v>
      </c>
      <c r="B74" s="111" t="inlineStr"/>
      <c r="C74" s="111" t="inlineStr">
        <is>
          <t>UK Government (FCDO / British High Commission)</t>
        </is>
      </c>
      <c r="D74" s="111" t="inlineStr">
        <is>
          <t>Open opportunities - Planning or Tender stage notices with deadlines in the future Pipeline - Potential future contracts and dynamic markets - required for contracts over £2 million Planning - Early information or engagement about future contracts - bids not yet possible Tender - Bids can be submitt</t>
        </is>
      </c>
      <c r="E74" s="111" t="inlineStr">
        <is>
          <t>Not stated – read the notice</t>
        </is>
      </c>
      <c r="F74" s="111" t="inlineStr">
        <is>
          <t>civil</t>
        </is>
      </c>
      <c r="G74" s="115" t="n"/>
      <c r="H74" s="111" t="inlineStr">
        <is>
          <t>Auto (UK Find a Tender – Tanzania): Deadline not shown on the source page – open the link and read the notice · (first check of this page – listed for review only)</t>
        </is>
      </c>
      <c r="I74" s="111" t="inlineStr">
        <is>
          <t>WEB:uk_find_a_tender_tanzania:b27950ee1a9074a0</t>
        </is>
      </c>
      <c r="J74" s="111" t="inlineStr">
        <is>
          <t>donor / international</t>
        </is>
      </c>
      <c r="K74" s="111" t="inlineStr">
        <is>
          <t>https://www.find-tender.service.gov.uk/Search/Results?keywords=Tanzania</t>
        </is>
      </c>
    </row>
    <row r="75">
      <c r="A75" s="114" t="n">
        <v>46305</v>
      </c>
      <c r="B75" s="111" t="inlineStr"/>
      <c r="C75" s="111" t="inlineStr">
        <is>
          <t>See notice</t>
        </is>
      </c>
      <c r="D75" s="111" t="inlineStr">
        <is>
          <t>How big is the Tanzania tender market?</t>
        </is>
      </c>
      <c r="E75" s="111" t="inlineStr">
        <is>
          <t>Not stated – read the notice</t>
        </is>
      </c>
      <c r="F75" s="111" t="inlineStr">
        <is>
          <t>building</t>
        </is>
      </c>
      <c r="G75" s="115" t="n"/>
      <c r="H75" s="111" t="inlineStr">
        <is>
          <t>Auto (GlobalTenders – Tanzania): Deadline not shown on the source page – open the link and read the notice · (first check of this page – listed for review only)</t>
        </is>
      </c>
      <c r="I75" s="111" t="inlineStr">
        <is>
          <t>WEB:globaltenders_tanzania:a0d13a4cbcf28fc7</t>
        </is>
      </c>
      <c r="J75" s="111" t="inlineStr">
        <is>
          <t>aggregator</t>
        </is>
      </c>
      <c r="K75" s="111" t="inlineStr">
        <is>
          <t>https://www.globaltenders.com/tanzania-tenders.php</t>
        </is>
      </c>
    </row>
    <row r="76">
      <c r="A76" s="114" t="n">
        <v>46305</v>
      </c>
      <c r="B76" s="111" t="inlineStr"/>
      <c r="C76" s="111" t="inlineStr">
        <is>
          <t>See notice</t>
        </is>
      </c>
      <c r="D76" s="111" t="inlineStr">
        <is>
          <t>Research Tanzania market rates and competitor pricing by searching past Tanzania tenders and contract awards - Tanzania tender winners</t>
        </is>
      </c>
      <c r="E76" s="111" t="inlineStr">
        <is>
          <t>Not stated – read the notice</t>
        </is>
      </c>
      <c r="F76" s="111" t="inlineStr">
        <is>
          <t>building</t>
        </is>
      </c>
      <c r="G76" s="115" t="n"/>
      <c r="H76" s="111" t="inlineStr">
        <is>
          <t>Auto (GlobalTenders – Tanzania): Deadline not shown on the source page – open the link and read the notice · (first check of this page – listed for review only)</t>
        </is>
      </c>
      <c r="I76" s="111" t="inlineStr">
        <is>
          <t>WEB:globaltenders_tanzania:63b1de7562d8ed23</t>
        </is>
      </c>
      <c r="J76" s="111" t="inlineStr">
        <is>
          <t>aggregator</t>
        </is>
      </c>
      <c r="K76" s="111" t="inlineStr">
        <is>
          <t>https://www.globaltenders.com/contract-awards/tender-awards-tanzania</t>
        </is>
      </c>
    </row>
    <row r="77">
      <c r="A77" s="114" t="n">
        <v>46305</v>
      </c>
      <c r="B77" s="111" t="inlineStr"/>
      <c r="C77" s="111" t="inlineStr">
        <is>
          <t>See notice</t>
        </is>
      </c>
      <c r="D77" s="111" t="inlineStr">
        <is>
          <t>The Tanzania tender market is estimated to be worth over US$10 billion per year. This includes tenders for all types of goods, services, and works.</t>
        </is>
      </c>
      <c r="E77" s="111" t="inlineStr">
        <is>
          <t>Not stated – read the notice</t>
        </is>
      </c>
      <c r="F77" s="111" t="inlineStr">
        <is>
          <t>building</t>
        </is>
      </c>
      <c r="G77" s="115" t="n"/>
      <c r="H77" s="111" t="inlineStr">
        <is>
          <t>Auto (GlobalTenders – Tanzania): Deadline not shown on the source page – open the link and read the notice · (first check of this page – listed for review only)</t>
        </is>
      </c>
      <c r="I77" s="111" t="inlineStr">
        <is>
          <t>WEB:globaltenders_tanzania:f5fa7079d06711e1</t>
        </is>
      </c>
      <c r="J77" s="111" t="inlineStr">
        <is>
          <t>aggregator</t>
        </is>
      </c>
      <c r="K77" s="111" t="inlineStr">
        <is>
          <t>https://www.globaltenders.com/tanzania-tenders.php</t>
        </is>
      </c>
    </row>
    <row r="78">
      <c r="A78" s="114" t="n">
        <v>46305</v>
      </c>
      <c r="B78" s="111" t="inlineStr"/>
      <c r="C78" s="111" t="inlineStr">
        <is>
          <t>See notice</t>
        </is>
      </c>
      <c r="D78" s="111" t="inlineStr">
        <is>
          <t xml:space="preserve">Find relevant Tanzania tenders on official and local websites, journals, newspapers or on aggregator portals like Global tenders. Check Eligibility to bid for the Tanzania tender. Research Tanzania market rates and competitor pricing by searching past Tanzania tenders and contract awards - Tanzania </t>
        </is>
      </c>
      <c r="E78" s="111" t="inlineStr">
        <is>
          <t>Not stated – read the notice</t>
        </is>
      </c>
      <c r="F78" s="111" t="inlineStr">
        <is>
          <t>building</t>
        </is>
      </c>
      <c r="G78" s="115" t="n"/>
      <c r="H78" s="111" t="inlineStr">
        <is>
          <t>Auto (GlobalTenders – Tanzania): Deadline not shown on the source page – open the link and read the notice · (first check of this page – listed for review only)</t>
        </is>
      </c>
      <c r="I78" s="111" t="inlineStr">
        <is>
          <t>WEB:globaltenders_tanzania:0df4cf4d46a06988</t>
        </is>
      </c>
      <c r="J78" s="111" t="inlineStr">
        <is>
          <t>aggregator</t>
        </is>
      </c>
      <c r="K78" s="111" t="inlineStr">
        <is>
          <t>https://www.globaltenders.com/contract-awards/tender-awards-tanzania</t>
        </is>
      </c>
    </row>
    <row r="79">
      <c r="A79" s="114" t="n">
        <v>46305</v>
      </c>
      <c r="B79" s="111" t="inlineStr"/>
      <c r="C79" s="111" t="inlineStr">
        <is>
          <t>See notice</t>
        </is>
      </c>
      <c r="D79" s="111" t="inlineStr">
        <is>
          <t>How to bid on Tanzania tenders? Find relevant Tanzania tenders on official and local websites, journals, newspapers or on aggregator portals like Global tenders. Check Eligibility to bid for the Tanzania tender. Research Tanzania market rates and competitor pricing by searching past Tanzania tenders</t>
        </is>
      </c>
      <c r="E79" s="111" t="inlineStr">
        <is>
          <t>Not stated – read the notice</t>
        </is>
      </c>
      <c r="F79" s="111" t="inlineStr">
        <is>
          <t>building</t>
        </is>
      </c>
      <c r="G79" s="115" t="n"/>
      <c r="H79" s="111" t="inlineStr">
        <is>
          <t>Auto (GlobalTenders – Tanzania): Deadline not shown on the source page – open the link and read the notice · (first check of this page – listed for review only)</t>
        </is>
      </c>
      <c r="I79" s="111" t="inlineStr">
        <is>
          <t>WEB:globaltenders_tanzania:0ae0892e821e9b9e</t>
        </is>
      </c>
      <c r="J79" s="111" t="inlineStr">
        <is>
          <t>aggregator</t>
        </is>
      </c>
      <c r="K79" s="111" t="inlineStr">
        <is>
          <t>https://www.globaltenders.com/contract-awards/tender-awards-tanzania</t>
        </is>
      </c>
    </row>
    <row r="80">
      <c r="A80" s="114" t="n">
        <v>46305</v>
      </c>
      <c r="B80" s="111" t="inlineStr"/>
      <c r="C80" s="111" t="inlineStr">
        <is>
          <t>See notice</t>
        </is>
      </c>
      <c r="D80" s="111" t="inlineStr">
        <is>
          <t>Infrastructure &amp; Construction Tenders</t>
        </is>
      </c>
      <c r="E80" s="111" t="inlineStr">
        <is>
          <t>Not stated – read the notice</t>
        </is>
      </c>
      <c r="F80" s="111" t="inlineStr">
        <is>
          <t>building</t>
        </is>
      </c>
      <c r="G80" s="115" t="n"/>
      <c r="H80" s="111" t="inlineStr">
        <is>
          <t>Auto (TenderImpulse – Tanzania): Deadline not shown on the source page – open the link and read the notice · (first check of this page – listed for review only)</t>
        </is>
      </c>
      <c r="I80" s="111" t="inlineStr">
        <is>
          <t>WEB:tenderimpulse_tanzania:491217e64d5d9d48</t>
        </is>
      </c>
      <c r="J80" s="111" t="inlineStr">
        <is>
          <t>aggregator</t>
        </is>
      </c>
      <c r="K80" s="111" t="inlineStr">
        <is>
          <t>https://www.tenderimpulse.com/infrastructure-and-construction-tenders</t>
        </is>
      </c>
    </row>
    <row r="81">
      <c r="A81" s="114" t="n">
        <v>46305</v>
      </c>
      <c r="B81" s="111" t="inlineStr"/>
      <c r="C81" s="111" t="inlineStr">
        <is>
          <t>See notice</t>
        </is>
      </c>
      <c r="D81" s="111" t="inlineStr">
        <is>
          <t>Construction: Construct a bright future for Tanzania with a vast construction tenders.</t>
        </is>
      </c>
      <c r="E81" s="111" t="inlineStr">
        <is>
          <t>Not stated – read the notice</t>
        </is>
      </c>
      <c r="F81" s="111" t="inlineStr">
        <is>
          <t>building</t>
        </is>
      </c>
      <c r="G81" s="115" t="n"/>
      <c r="H81" s="111" t="inlineStr">
        <is>
          <t>Auto (TenderImpulse – Tanzania): Deadline not shown on the source page – open the link and read the notice · (first check of this page – listed for review only)</t>
        </is>
      </c>
      <c r="I81" s="111" t="inlineStr">
        <is>
          <t>WEB:tenderimpulse_tanzania:5be38a4f2bf5cf32</t>
        </is>
      </c>
      <c r="J81" s="111" t="inlineStr">
        <is>
          <t>aggregator</t>
        </is>
      </c>
      <c r="K81" s="111" t="inlineStr">
        <is>
          <t>https://www.tenderimpulse.com/tanzania-tenders</t>
        </is>
      </c>
    </row>
    <row r="82">
      <c r="A82" s="114" t="n">
        <v>46305</v>
      </c>
      <c r="B82" s="111" t="inlineStr"/>
      <c r="C82" s="111" t="inlineStr">
        <is>
          <t>See notice</t>
        </is>
      </c>
      <c r="D82" s="111" t="inlineStr">
        <is>
          <t>Looking for the most updated opportunities in Tanzania's procurement market? Look no more. Tender Impulse is your first stop. We provide daily updated information on all Tanzania government tenders, projects, contracts, and tender notices. Whether you are looking for RFPs, Bids, RFQs, General Procur</t>
        </is>
      </c>
      <c r="E82" s="111" t="inlineStr">
        <is>
          <t>Not stated – read the notice</t>
        </is>
      </c>
      <c r="F82" s="111" t="inlineStr">
        <is>
          <t>building</t>
        </is>
      </c>
      <c r="G82" s="115" t="n"/>
      <c r="H82" s="111" t="inlineStr">
        <is>
          <t>Auto (TenderImpulse – Tanzania): Deadline not shown on the source page – open the link and read the notice · (first check of this page – listed for review only)</t>
        </is>
      </c>
      <c r="I82" s="111" t="inlineStr">
        <is>
          <t>WEB:tenderimpulse_tanzania:3102f7c795847a65</t>
        </is>
      </c>
      <c r="J82" s="111" t="inlineStr">
        <is>
          <t>aggregator</t>
        </is>
      </c>
      <c r="K82" s="111" t="inlineStr">
        <is>
          <t>https://www.tenderimpulse.com/tanzania-tenders</t>
        </is>
      </c>
    </row>
    <row r="83">
      <c r="A83" s="114" t="n">
        <v>46305</v>
      </c>
      <c r="B83" s="111" t="inlineStr">
        <is>
          <t>TR36/002/2026/2027/W/44</t>
        </is>
      </c>
      <c r="C83" s="111" t="inlineStr">
        <is>
          <t>TANROADS - Dar es Salaam Regional Office</t>
        </is>
      </c>
      <c r="D83" s="111" t="inlineStr">
        <is>
          <t>Installation of solar street lights along regional roads.</t>
        </is>
      </c>
      <c r="E83" s="111" t="inlineStr">
        <is>
          <t>Dar es Salaam (Ilala) (from client's office – confirm site)</t>
        </is>
      </c>
      <c r="F83" s="111" t="inlineStr">
        <is>
          <t>MEP</t>
        </is>
      </c>
      <c r="G83" s="115" t="n">
        <v>46311.58333333334</v>
      </c>
      <c r="H83" s="111" t="inlineStr">
        <is>
          <t>Auto (Small Works / Tender): Specialist MEP works – pass to an electrical/mechanical subcontractor</t>
        </is>
      </c>
      <c r="I83" s="111" t="inlineStr">
        <is>
          <t>8311a500-c0de-4720-845f-b5db4089f514</t>
        </is>
      </c>
      <c r="J83" s="111" t="inlineStr">
        <is>
          <t>NeST</t>
        </is>
      </c>
      <c r="K83" s="111" t="inlineStr">
        <is>
          <t>https://nest.go.tz/tenders/published-tenders</t>
        </is>
      </c>
    </row>
    <row r="84">
      <c r="A84" s="114" t="n">
        <v>46308</v>
      </c>
      <c r="B84" s="111" t="inlineStr">
        <is>
          <t>S10/009/2026/2027/W/187</t>
        </is>
      </c>
      <c r="C84" s="111" t="inlineStr">
        <is>
          <t>TARURA - Kilimanjaro Regional Office</t>
        </is>
      </c>
      <c r="D84" s="111" t="inlineStr">
        <is>
          <t>Upgrading of Nasai-Sango-Ngaroni (0+000 - 0+300 Km ) to bitumen standard in Siha District.</t>
        </is>
      </c>
      <c r="E84" s="111" t="inlineStr">
        <is>
          <t>Kilimanjaro (Moshi) (from client's office – confirm site)</t>
        </is>
      </c>
      <c r="F84" s="111" t="inlineStr">
        <is>
          <t>civil</t>
        </is>
      </c>
      <c r="G84" s="115" t="n">
        <v>46315.41666666666</v>
      </c>
      <c r="H84" s="111" t="inlineStr">
        <is>
          <t>Auto (Small Works / Tender): Large road works, likely above Civil Class IV – JV only (escalate to MD if of interest)</t>
        </is>
      </c>
      <c r="I84" s="111" t="inlineStr">
        <is>
          <t>ae67ab68-9fed-42b0-bb3a-9bf048195ce5</t>
        </is>
      </c>
      <c r="J84" s="111" t="inlineStr">
        <is>
          <t>NeST</t>
        </is>
      </c>
      <c r="K84" s="111" t="inlineStr">
        <is>
          <t>https://nest.go.tz/tenders/published-tenders</t>
        </is>
      </c>
    </row>
    <row r="85">
      <c r="A85" s="114" t="n">
        <v>46308</v>
      </c>
      <c r="B85" s="111" t="inlineStr">
        <is>
          <t>S10/009/2026/2027/W/150</t>
        </is>
      </c>
      <c r="C85" s="111" t="inlineStr">
        <is>
          <t>TARURA - Kilimanjaro Regional Office</t>
        </is>
      </c>
      <c r="D85" s="111" t="inlineStr">
        <is>
          <t>Upgrading of District Hospital road (1.0km) to paved standard in Rombo District</t>
        </is>
      </c>
      <c r="E85" s="111" t="inlineStr">
        <is>
          <t>Kilimanjaro (Moshi) (from client's office – confirm site)</t>
        </is>
      </c>
      <c r="F85" s="111" t="inlineStr">
        <is>
          <t>civil</t>
        </is>
      </c>
      <c r="G85" s="115" t="n">
        <v>46315.45833333334</v>
      </c>
      <c r="H85" s="111" t="inlineStr">
        <is>
          <t>Auto (Small Works / Tender): Remote civil works</t>
        </is>
      </c>
      <c r="I85" s="111" t="inlineStr">
        <is>
          <t>3f96f9a6-2890-4a02-8311-862498a352dc</t>
        </is>
      </c>
      <c r="J85" s="111" t="inlineStr">
        <is>
          <t>NeST</t>
        </is>
      </c>
      <c r="K85" s="111" t="inlineStr">
        <is>
          <t>https://nest.go.tz/tenders/published-tenders</t>
        </is>
      </c>
    </row>
    <row r="86">
      <c r="A86" s="114" t="n">
        <v>46308</v>
      </c>
      <c r="B86" s="111" t="inlineStr">
        <is>
          <t>S10/009/2026/2027/W/175</t>
        </is>
      </c>
      <c r="C86" s="111" t="inlineStr">
        <is>
          <t>TARURA - Kilimanjaro Regional Office</t>
        </is>
      </c>
      <c r="D86" s="111" t="inlineStr">
        <is>
          <t>Upgrading of Mlembea - Kivanda - Tangwa (2km) Road to to Bitumen Standard (DSD)</t>
        </is>
      </c>
      <c r="E86" s="111" t="inlineStr">
        <is>
          <t>Kilimanjaro (Moshi) (from client's office – confirm site)</t>
        </is>
      </c>
      <c r="F86" s="111" t="inlineStr">
        <is>
          <t>civil</t>
        </is>
      </c>
      <c r="G86" s="115" t="n">
        <v>46315.4375</v>
      </c>
      <c r="H86" s="111" t="inlineStr">
        <is>
          <t>Auto (Small Works / Tender): Large road works, likely above Civil Class IV – JV only (escalate to MD if of interest)</t>
        </is>
      </c>
      <c r="I86" s="111" t="inlineStr">
        <is>
          <t>778f6ce0-68da-4de4-a8d4-97707a1ca2f1</t>
        </is>
      </c>
      <c r="J86" s="111" t="inlineStr">
        <is>
          <t>NeST</t>
        </is>
      </c>
      <c r="K86" s="111" t="inlineStr">
        <is>
          <t>https://nest.go.tz/tenders/published-tenders</t>
        </is>
      </c>
    </row>
    <row r="87">
      <c r="A87" s="114" t="n">
        <v>46308</v>
      </c>
      <c r="B87" s="111" t="inlineStr">
        <is>
          <t>TR219/003/2026/2027/W/07</t>
        </is>
      </c>
      <c r="C87" s="111" t="inlineStr">
        <is>
          <t>TANAPA - Southern Zone</t>
        </is>
      </c>
      <c r="D87" s="111" t="inlineStr">
        <is>
          <t>Rehabilitation of 20km road to gravel standard (Mwakipembo-Nhumbe ) in Kitulo National Park</t>
        </is>
      </c>
      <c r="E87" s="111" t="inlineStr">
        <is>
          <t>Mbeya (Mbarali) (from client's office – confirm site)</t>
        </is>
      </c>
      <c r="F87" s="111" t="inlineStr">
        <is>
          <t>civil</t>
        </is>
      </c>
      <c r="G87" s="115" t="n">
        <v>46314.58333333334</v>
      </c>
      <c r="H87" s="111" t="inlineStr">
        <is>
          <t>Auto (Standard Invitation for Quotations -Works / Planned Tender): Remote civil works</t>
        </is>
      </c>
      <c r="I87" s="111" t="inlineStr">
        <is>
          <t>6d553037-c916-4632-b44c-59b4f1bbb4be</t>
        </is>
      </c>
      <c r="J87" s="111" t="inlineStr">
        <is>
          <t>NeST</t>
        </is>
      </c>
      <c r="K87" s="111" t="inlineStr">
        <is>
          <t>https://nest.go.tz/tenders/published-tenders</t>
        </is>
      </c>
    </row>
    <row r="88">
      <c r="A88" s="114" t="n">
        <v>46309</v>
      </c>
      <c r="B88" s="111" t="inlineStr">
        <is>
          <t>S10/001/2026/2027/W/02</t>
        </is>
      </c>
      <c r="C88" s="111" t="inlineStr">
        <is>
          <t>TARURA - Arusha Regional Office</t>
        </is>
      </c>
      <c r="D88" s="111" t="inlineStr">
        <is>
          <t>Upgrading to Paved Standard Boma Siara (0.7Km) road in Arusha District</t>
        </is>
      </c>
      <c r="E88" s="111" t="inlineStr">
        <is>
          <t>Arusha</t>
        </is>
      </c>
      <c r="F88" s="111" t="inlineStr">
        <is>
          <t>civil</t>
        </is>
      </c>
      <c r="G88" s="115" t="n">
        <v>46315.41666666666</v>
      </c>
      <c r="H88" s="111" t="inlineStr">
        <is>
          <t>Auto (Small Works / Tender): Remote civil works</t>
        </is>
      </c>
      <c r="I88" s="111" t="inlineStr">
        <is>
          <t>598b427b-9009-4797-9200-3cac6711be53</t>
        </is>
      </c>
      <c r="J88" s="111" t="inlineStr">
        <is>
          <t>NeST</t>
        </is>
      </c>
      <c r="K88" s="111" t="inlineStr">
        <is>
          <t>https://nest.go.tz/tenders/published-tenders</t>
        </is>
      </c>
    </row>
    <row r="89">
      <c r="A89" s="114" t="n">
        <v>46309</v>
      </c>
      <c r="B89" s="111" t="inlineStr">
        <is>
          <t>TR36/009/2026/2027/W/03</t>
        </is>
      </c>
      <c r="C89" s="111" t="inlineStr">
        <is>
          <t>TANROADS - Kilimanjaro Regional Office</t>
        </is>
      </c>
      <c r="D89" s="111" t="inlineStr">
        <is>
          <t>Routine Maintenance Works along Mwanga - Kikweni - Vuchama, Same - Kisiwani - Mkomazi (Paved), Kikweni-Usangi (Lomwe), Kilacha – Mwika and Kawawa - Nduoni</t>
        </is>
      </c>
      <c r="E89" s="111" t="inlineStr">
        <is>
          <t>Kilimanjaro (Mwanga)</t>
        </is>
      </c>
      <c r="F89" s="111" t="inlineStr">
        <is>
          <t>civil</t>
        </is>
      </c>
      <c r="G89" s="115" t="n">
        <v>46315.4375</v>
      </c>
      <c r="H89" s="111" t="inlineStr">
        <is>
          <t>Auto (Small Works / Tender): Remote civil works</t>
        </is>
      </c>
      <c r="I89" s="111" t="inlineStr">
        <is>
          <t>6bd28c6f-0988-496a-9cc2-a373d81fec0e</t>
        </is>
      </c>
      <c r="J89" s="111" t="inlineStr">
        <is>
          <t>NeST</t>
        </is>
      </c>
      <c r="K89" s="111" t="inlineStr">
        <is>
          <t>https://nest.go.tz/tenders/published-tenders</t>
        </is>
      </c>
    </row>
    <row r="90">
      <c r="A90" s="114" t="n">
        <v>46310</v>
      </c>
      <c r="B90" s="111" t="inlineStr">
        <is>
          <t>TR140/010/2026/2027/W/10</t>
        </is>
      </c>
      <c r="C90" s="111" t="inlineStr">
        <is>
          <t>RUWASA - Manyara Regional Office</t>
        </is>
      </c>
      <c r="D90" s="111" t="inlineStr">
        <is>
          <t>Procurement of Contractor for Extension of Haydom Water Scheme to Gidarudagaw Village in Mbulu District, Rehabilitation of Ngorika Water Supply Scheme in Simanjiro District and Rehabilitate and Extend Water Supply Project at Riroda village in Babati District in Manyara Region. (1575 Program)</t>
        </is>
      </c>
      <c r="E90" s="111" t="inlineStr">
        <is>
          <t>Manyara (Mbulu)</t>
        </is>
      </c>
      <c r="F90" s="111" t="inlineStr">
        <is>
          <t>civil</t>
        </is>
      </c>
      <c r="G90" s="115" t="n">
        <v>46317.58333333334</v>
      </c>
      <c r="H90" s="111" t="inlineStr">
        <is>
          <t>Auto (Standard Invitation for Quotations -Works / Planned Tender): Remote civil works</t>
        </is>
      </c>
      <c r="I90" s="111" t="inlineStr">
        <is>
          <t>8a2cee8e-b397-4bed-a453-ce5e2d2957a4</t>
        </is>
      </c>
      <c r="J90" s="111" t="inlineStr">
        <is>
          <t>NeST</t>
        </is>
      </c>
      <c r="K90" s="111" t="inlineStr">
        <is>
          <t>https://nest.go.tz/tenders/published-tenders</t>
        </is>
      </c>
    </row>
    <row r="91">
      <c r="A91" s="114" t="n">
        <v>46311</v>
      </c>
      <c r="B91" s="111" t="inlineStr">
        <is>
          <t>TR154/2026/2027/W/03</t>
        </is>
      </c>
      <c r="C91" s="111" t="inlineStr">
        <is>
          <t>Bukoba Urban Water Supply and Sanitation Authority</t>
        </is>
      </c>
      <c r="D91" s="111" t="inlineStr">
        <is>
          <t>Improvement of water supply in upper zone (Kashura-Magoti) lot II</t>
        </is>
      </c>
      <c r="E91" s="111" t="inlineStr">
        <is>
          <t>Kagera (Bukoba) (from client's office – confirm site)</t>
        </is>
      </c>
      <c r="F91" s="111" t="inlineStr">
        <is>
          <t>civil</t>
        </is>
      </c>
      <c r="G91" s="115" t="n">
        <v>46317.58333333334</v>
      </c>
      <c r="H91" s="111" t="inlineStr">
        <is>
          <t>Auto (Small Works / Tender): Remote civil works</t>
        </is>
      </c>
      <c r="I91" s="111" t="inlineStr">
        <is>
          <t>1e223fba-069c-497f-9e89-4584fcce589e</t>
        </is>
      </c>
      <c r="J91" s="111" t="inlineStr">
        <is>
          <t>NeST</t>
        </is>
      </c>
      <c r="K91" s="111" t="inlineStr">
        <is>
          <t>https://nest.go.tz/tenders/published-tenders</t>
        </is>
      </c>
    </row>
    <row r="92">
      <c r="A92" s="114" t="n">
        <v>46311</v>
      </c>
      <c r="B92" s="111" t="inlineStr"/>
      <c r="C92" s="111" t="inlineStr">
        <is>
          <t>See advert</t>
        </is>
      </c>
      <c r="D92" s="111" t="inlineStr">
        <is>
          <t>Collection of solid waste from residential and commercial areas for Shinyanga Municipal Council. **</t>
        </is>
      </c>
      <c r="E92" s="111" t="inlineStr">
        <is>
          <t>Shinyanga</t>
        </is>
      </c>
      <c r="F92" s="111" t="inlineStr">
        <is>
          <t>building</t>
        </is>
      </c>
      <c r="G92" s="115" t="n">
        <v>46317.41666666666</v>
      </c>
      <c r="H92" s="111" t="inlineStr">
        <is>
          <t>Auto (TanzaniaTenders.com): Remote and closing soon · deadline read from the web page – confirm</t>
        </is>
      </c>
      <c r="I92" s="111" t="inlineStr">
        <is>
          <t>TZT:151019477</t>
        </is>
      </c>
      <c r="J92" s="111" t="inlineStr">
        <is>
          <t>press</t>
        </is>
      </c>
      <c r="K92" s="111" t="inlineStr">
        <is>
          <t>https://www.tanzaniatenders.com/tender/collection-solid-waste-residential-and-commercial-areas-shinyanga-municipal-council-9005fd5.php</t>
        </is>
      </c>
    </row>
    <row r="93">
      <c r="A93" s="114" t="n">
        <v>46312</v>
      </c>
      <c r="B93" s="111" t="inlineStr">
        <is>
          <t>70A2/2026/2027/W/02</t>
        </is>
      </c>
      <c r="C93" s="111" t="inlineStr">
        <is>
          <t>Monduli District Council</t>
        </is>
      </c>
      <c r="D93" s="111" t="inlineStr">
        <is>
          <t>REHABILITATION OF OLDONYO LENGAI VILLAGE IRRIGATION SCHEME (MAIN CANAL 250M) AT ENGARUKA CHINI VILAGE IN MONDULI DISTRICT</t>
        </is>
      </c>
      <c r="E93" s="111" t="inlineStr">
        <is>
          <t>Arusha (Monduli)</t>
        </is>
      </c>
      <c r="F93" s="111" t="inlineStr">
        <is>
          <t>civil</t>
        </is>
      </c>
      <c r="G93" s="115" t="n">
        <v>46318.41666666666</v>
      </c>
      <c r="H93" s="111" t="inlineStr">
        <is>
          <t>Auto (Small Works / Tender): Remote civil works</t>
        </is>
      </c>
      <c r="I93" s="111" t="inlineStr">
        <is>
          <t>d8b23cd1-fdce-48ac-aff5-56c2c1c58969</t>
        </is>
      </c>
      <c r="J93" s="111" t="inlineStr">
        <is>
          <t>NeST</t>
        </is>
      </c>
      <c r="K93" s="111" t="inlineStr">
        <is>
          <t>https://nest.go.tz/tenders/published-tenders</t>
        </is>
      </c>
    </row>
    <row r="94">
      <c r="A94" s="114" t="n">
        <v>46312</v>
      </c>
      <c r="B94" s="111" t="inlineStr">
        <is>
          <t>70A2/2026/2027/W/05</t>
        </is>
      </c>
      <c r="C94" s="111" t="inlineStr">
        <is>
          <t>Monduli District Council</t>
        </is>
      </c>
      <c r="D94" s="111" t="inlineStr">
        <is>
          <t>REHABILITATION OF ENGARUKA CHINI IRRIGATION SCHEME (MAIN CANAL 250M),ROAD DRIFT) AT ENGARUKA CHINI VILAGE IN MONDULI DISTRICT</t>
        </is>
      </c>
      <c r="E94" s="111" t="inlineStr">
        <is>
          <t>Arusha (Monduli)</t>
        </is>
      </c>
      <c r="F94" s="111" t="inlineStr">
        <is>
          <t>civil</t>
        </is>
      </c>
      <c r="G94" s="115" t="n">
        <v>46318.41666666666</v>
      </c>
      <c r="H94" s="111" t="inlineStr">
        <is>
          <t>Auto (Small Works / Tender): Remote civil works</t>
        </is>
      </c>
      <c r="I94" s="111" t="inlineStr">
        <is>
          <t>e9765b80-c5e2-437d-86a3-4b9ba445107d</t>
        </is>
      </c>
      <c r="J94" s="111" t="inlineStr">
        <is>
          <t>NeST</t>
        </is>
      </c>
      <c r="K94" s="111" t="inlineStr">
        <is>
          <t>https://nest.go.tz/tenders/published-tenders</t>
        </is>
      </c>
    </row>
    <row r="95">
      <c r="A95" s="114" t="n">
        <v>46312</v>
      </c>
      <c r="B95" s="111" t="inlineStr">
        <is>
          <t>TR36/023/2026/2027/W/24</t>
        </is>
      </c>
      <c r="C95" s="111" t="inlineStr">
        <is>
          <t>TANROADS - Singida Regional Office</t>
        </is>
      </c>
      <c r="D95" s="111" t="inlineStr">
        <is>
          <t>Rehabilitation Works Between Km 27 + 500 - Km 34 + 500 along Iguguno Shamba - Nduguti - Gumanga Unpaved Regional Road (R425) to be Financed through Development Consolidated Funds and Rehabilitation Works Between Km 24 + 000 - Km 33 + 000 along Njuki - Ilongero - Ngamu Unpaved Regional Road (R428) to be Financed Through Development Consolidated Funds</t>
        </is>
      </c>
      <c r="E95" s="111" t="inlineStr">
        <is>
          <t>Singida (from client's office – confirm site)</t>
        </is>
      </c>
      <c r="F95" s="111" t="inlineStr">
        <is>
          <t>civil</t>
        </is>
      </c>
      <c r="G95" s="115" t="n">
        <v>46318.58333333334</v>
      </c>
      <c r="H95" s="111" t="inlineStr">
        <is>
          <t>Auto (Small Works / Tender): Remote civil works</t>
        </is>
      </c>
      <c r="I95" s="111" t="inlineStr">
        <is>
          <t>493f4c77-2492-4fe4-9129-8138f8ba4841</t>
        </is>
      </c>
      <c r="J95" s="111" t="inlineStr">
        <is>
          <t>NeST</t>
        </is>
      </c>
      <c r="K95" s="111" t="inlineStr">
        <is>
          <t>https://nest.go.tz/tenders/published-tenders</t>
        </is>
      </c>
    </row>
    <row r="96">
      <c r="A96" s="114" t="n">
        <v>46312</v>
      </c>
      <c r="B96" s="111" t="inlineStr">
        <is>
          <t>TR36/023/2026/2027/W/25</t>
        </is>
      </c>
      <c r="C96" s="111" t="inlineStr">
        <is>
          <t>TANROADS - Singida Regional Office</t>
        </is>
      </c>
      <c r="D96" s="111" t="inlineStr">
        <is>
          <t>Rehabilitation Works along Ikungi - Londoni - Kilimatinde (Solya) Unpaved Regional Road (R431) to be Financed through Development Roads Funds, Rehabilitation Works along Ikungi - Londoni - Kilimatinde (Solya) Unpaved Regional Road (R431) to be Financed through Consolidated Fund and Rehabilitation Works along Kinyamshindo - Kititimo Unpaved Regional Road (R463) to be Financed through Development Consolidated Funds</t>
        </is>
      </c>
      <c r="E96" s="111" t="inlineStr">
        <is>
          <t>Singida (Ikungi)</t>
        </is>
      </c>
      <c r="F96" s="111" t="inlineStr">
        <is>
          <t>civil</t>
        </is>
      </c>
      <c r="G96" s="115" t="n">
        <v>46318.58333333334</v>
      </c>
      <c r="H96" s="111" t="inlineStr">
        <is>
          <t>Auto (Small Works / Tender): Remote civil works</t>
        </is>
      </c>
      <c r="I96" s="111" t="inlineStr">
        <is>
          <t>d14eb137-4cc0-474e-a93f-2ff9015f4554</t>
        </is>
      </c>
      <c r="J96" s="111" t="inlineStr">
        <is>
          <t>NeST</t>
        </is>
      </c>
      <c r="K96" s="111" t="inlineStr">
        <is>
          <t>https://nest.go.tz/tenders/published-tenders</t>
        </is>
      </c>
    </row>
    <row r="97">
      <c r="A97" s="114" t="n">
        <v>46312</v>
      </c>
      <c r="B97" s="111" t="inlineStr">
        <is>
          <t>TR36/023/2026/2027/W/28</t>
        </is>
      </c>
      <c r="C97" s="111" t="inlineStr">
        <is>
          <t>TANROADS - Singida Regional Office</t>
        </is>
      </c>
      <c r="D97" s="111" t="inlineStr">
        <is>
          <t>Widening of Misigiri - Kiomboi (Reconstruction to Bitumen Standard From Km 16 + 450 - Km 16 + 650) Paved Regional Road (R423) to be Financed through Development Consolidated Funds and Widening along Misigiri - Kiomboi (Reconstruction to Bitumen Standard From Km 16 + 650 - Km 16 + 800) Paved Regional Road (R423) to be Financed through Development Road Funds</t>
        </is>
      </c>
      <c r="E97" s="111" t="inlineStr">
        <is>
          <t>Singida (from client's office – confirm site)</t>
        </is>
      </c>
      <c r="F97" s="111" t="inlineStr">
        <is>
          <t>civil</t>
        </is>
      </c>
      <c r="G97" s="115" t="n">
        <v>46318.58333333334</v>
      </c>
      <c r="H97" s="111" t="inlineStr">
        <is>
          <t>Auto (Small Works / Tender): Large road works, likely above Civil Class IV – JV only (escalate to MD if of interest)</t>
        </is>
      </c>
      <c r="I97" s="111" t="inlineStr">
        <is>
          <t>682e6c1f-5727-447d-b68f-9a5d32a1ad4e</t>
        </is>
      </c>
      <c r="J97" s="111" t="inlineStr">
        <is>
          <t>NeST</t>
        </is>
      </c>
      <c r="K97" s="111" t="inlineStr">
        <is>
          <t>https://nest.go.tz/tenders/published-tenders</t>
        </is>
      </c>
    </row>
    <row r="98">
      <c r="A98" s="114" t="n">
        <v>46312</v>
      </c>
      <c r="B98" s="111" t="inlineStr">
        <is>
          <t>70A2/2026/2027/W/09</t>
        </is>
      </c>
      <c r="C98" s="111" t="inlineStr">
        <is>
          <t>Monduli District Council</t>
        </is>
      </c>
      <c r="D98" s="111" t="inlineStr">
        <is>
          <t>REHABILITATION OF ENGARUKA JUU IRRIGATION SCHEME (MAIN CANAL 250M) AT ENGARUKA CHINI VILAGE IN MONDULI DISTRICT</t>
        </is>
      </c>
      <c r="E98" s="111" t="inlineStr">
        <is>
          <t>Arusha (Monduli)</t>
        </is>
      </c>
      <c r="F98" s="111" t="inlineStr">
        <is>
          <t>civil</t>
        </is>
      </c>
      <c r="G98" s="115" t="n">
        <v>46318.41666666666</v>
      </c>
      <c r="H98" s="111" t="inlineStr">
        <is>
          <t>Auto (Small Works / Tender): Remote civil works</t>
        </is>
      </c>
      <c r="I98" s="111" t="inlineStr">
        <is>
          <t>90bc6bc5-231b-4f98-a577-1846ab41ab4c</t>
        </is>
      </c>
      <c r="J98" s="111" t="inlineStr">
        <is>
          <t>NeST</t>
        </is>
      </c>
      <c r="K98" s="111" t="inlineStr">
        <is>
          <t>https://nest.go.tz/tenders/published-tenders</t>
        </is>
      </c>
    </row>
    <row r="99">
      <c r="A99" s="114" t="n">
        <v>46312</v>
      </c>
      <c r="B99" s="111" t="inlineStr">
        <is>
          <t>70A2/2026/2027/W/12</t>
        </is>
      </c>
      <c r="C99" s="111" t="inlineStr">
        <is>
          <t>Monduli District Council</t>
        </is>
      </c>
      <c r="D99" s="111" t="inlineStr">
        <is>
          <t>REHABILITATION OF IRERENDENI VILLAGE IRRIGATION SCHEME (MAIN CANAL 250M) AT ENGARUKA CHINI VILAGE IN MONDULI DISTRICT</t>
        </is>
      </c>
      <c r="E99" s="111" t="inlineStr">
        <is>
          <t>Arusha (Monduli)</t>
        </is>
      </c>
      <c r="F99" s="111" t="inlineStr">
        <is>
          <t>civil</t>
        </is>
      </c>
      <c r="G99" s="115" t="n">
        <v>46318.41666666666</v>
      </c>
      <c r="H99" s="111" t="inlineStr">
        <is>
          <t>Auto (Small Works / Tender): Remote civil works</t>
        </is>
      </c>
      <c r="I99" s="111" t="inlineStr">
        <is>
          <t>c72130c1-9566-4680-8582-6c44ea4c1423</t>
        </is>
      </c>
      <c r="J99" s="111" t="inlineStr">
        <is>
          <t>NeST</t>
        </is>
      </c>
      <c r="K99" s="111" t="inlineStr">
        <is>
          <t>https://nest.go.tz/tenders/published-tenders</t>
        </is>
      </c>
    </row>
    <row r="100">
      <c r="A100" s="114" t="n">
        <v>46312</v>
      </c>
      <c r="B100" s="111" t="inlineStr">
        <is>
          <t>7003/2026/2027/W/33</t>
        </is>
      </c>
      <c r="C100" s="111" t="inlineStr">
        <is>
          <t>Arusha City Council</t>
        </is>
      </c>
      <c r="D100" s="111" t="inlineStr">
        <is>
          <t>Proposed Upgrading of the 0.8 km Dampo Road to Rigid Pavement Standard</t>
        </is>
      </c>
      <c r="E100" s="111" t="inlineStr">
        <is>
          <t>Arusha (from client's office – confirm site)</t>
        </is>
      </c>
      <c r="F100" s="111" t="inlineStr">
        <is>
          <t>civil</t>
        </is>
      </c>
      <c r="G100" s="115" t="n">
        <v>46318.54166666666</v>
      </c>
      <c r="H100" s="111" t="inlineStr">
        <is>
          <t>Auto (Small Works / Tender): Remote civil works</t>
        </is>
      </c>
      <c r="I100" s="111" t="inlineStr">
        <is>
          <t>8b3de953-9950-4ac0-b7ee-428f2aefb853</t>
        </is>
      </c>
      <c r="J100" s="111" t="inlineStr">
        <is>
          <t>NeST</t>
        </is>
      </c>
      <c r="K100" s="111" t="inlineStr">
        <is>
          <t>https://nest.go.tz/tenders/published-tenders</t>
        </is>
      </c>
    </row>
    <row r="101">
      <c r="A101" s="114" t="n">
        <v>46312</v>
      </c>
      <c r="B101" s="111" t="inlineStr">
        <is>
          <t>TR36/023/2026/2027/W/27</t>
        </is>
      </c>
      <c r="C101" s="111" t="inlineStr">
        <is>
          <t>TANROADS - Singida Regional Office</t>
        </is>
      </c>
      <c r="D101" s="111" t="inlineStr">
        <is>
          <t>Rehabilitation Works Between Sanza - Chaliigongo Road Section along Manyoni East - Heka - Sanza - Chali Igongo Unpaved Regional Road (R433) to be Financed through Development Consolidated Funds, Rehabilitation Works on Sasilo Village along Heka - Sasilo - Iluma Unpaved Regional Road (R434) to be Financed through Development Consolidated Funds and Rehabilitation Works on Sasilo Village Along Heka - Sasilo - Iluma Unpaved Regional Road (R434) to Financed Through Development Roads Fund</t>
        </is>
      </c>
      <c r="E101" s="111" t="inlineStr">
        <is>
          <t>Singida (from client's office – confirm site)</t>
        </is>
      </c>
      <c r="F101" s="111" t="inlineStr">
        <is>
          <t>civil</t>
        </is>
      </c>
      <c r="G101" s="115" t="n">
        <v>46318.58333333334</v>
      </c>
      <c r="H101" s="111" t="inlineStr">
        <is>
          <t>Auto (Small Works / Tender): Remote civil works</t>
        </is>
      </c>
      <c r="I101" s="111" t="inlineStr">
        <is>
          <t>6bb4498b-41e8-486d-80f0-58561962dda1</t>
        </is>
      </c>
      <c r="J101" s="111" t="inlineStr">
        <is>
          <t>NeST</t>
        </is>
      </c>
      <c r="K101" s="111" t="inlineStr">
        <is>
          <t>https://nest.go.tz/tenders/published-tenders</t>
        </is>
      </c>
    </row>
    <row r="102">
      <c r="A102" s="114" t="n">
        <v>46312</v>
      </c>
      <c r="B102" s="111" t="inlineStr">
        <is>
          <t>TR134/004/2026/2027/W/02</t>
        </is>
      </c>
      <c r="C102" s="111" t="inlineStr">
        <is>
          <t>TRA - Mbeya</t>
        </is>
      </c>
      <c r="D102" s="111" t="inlineStr">
        <is>
          <t>Tender for repair of Residential House</t>
        </is>
      </c>
      <c r="E102" s="111" t="inlineStr">
        <is>
          <t>Mbeya (from client's office – confirm site)</t>
        </is>
      </c>
      <c r="F102" s="111" t="inlineStr">
        <is>
          <t>building</t>
        </is>
      </c>
      <c r="G102" s="115" t="n">
        <v>46318.58333333334</v>
      </c>
      <c r="H102" s="111" t="inlineStr">
        <is>
          <t>Auto (Standard Invitation for Quotations -Works / Planned Tender): Remote and closing soon</t>
        </is>
      </c>
      <c r="I102" s="111" t="inlineStr">
        <is>
          <t>3b8e3ef6-7938-4f5a-9186-8039e3b7001b</t>
        </is>
      </c>
      <c r="J102" s="111" t="inlineStr">
        <is>
          <t>NeST</t>
        </is>
      </c>
      <c r="K102" s="111" t="inlineStr">
        <is>
          <t>https://nest.go.tz/tenders/published-tenders</t>
        </is>
      </c>
    </row>
    <row r="103">
      <c r="A103" s="114" t="n">
        <v>46312</v>
      </c>
      <c r="B103" s="111" t="inlineStr">
        <is>
          <t>TR36/023/2026/2027/W/29</t>
        </is>
      </c>
      <c r="C103" s="111" t="inlineStr">
        <is>
          <t>TANROADS - Singida Regional Office</t>
        </is>
      </c>
      <c r="D103" s="111" t="inlineStr">
        <is>
          <t>Rehabilitation Works Between Km 46 + 900 - Km 51 + 400 along Mkalama - Mwangeza - Kidarafa Unpaved Regional Road (R437) to be Financed through Development Consolidated Funds and Rehabilitation Works Between Km 43 + 900 - Km 46 + 900 along Mkalama - Mwangeza - Kidarafa Unpaved Regional Road (R437) to be Financed through Development Roads Fund</t>
        </is>
      </c>
      <c r="E103" s="111" t="inlineStr">
        <is>
          <t>Singida (from client's office – confirm site)</t>
        </is>
      </c>
      <c r="F103" s="111" t="inlineStr">
        <is>
          <t>civil</t>
        </is>
      </c>
      <c r="G103" s="115" t="n">
        <v>46318.58333333334</v>
      </c>
      <c r="H103" s="111" t="inlineStr">
        <is>
          <t>Auto (Small Works / Tender): Remote civil works</t>
        </is>
      </c>
      <c r="I103" s="111" t="inlineStr">
        <is>
          <t>d497219a-24ca-40e4-a26e-1e4c26b1b90b</t>
        </is>
      </c>
      <c r="J103" s="111" t="inlineStr">
        <is>
          <t>NeST</t>
        </is>
      </c>
      <c r="K103" s="111" t="inlineStr">
        <is>
          <t>https://nest.go.tz/tenders/published-tenders</t>
        </is>
      </c>
    </row>
    <row r="104">
      <c r="A104" s="114" t="n">
        <v>46312</v>
      </c>
      <c r="B104" s="111" t="inlineStr"/>
      <c r="C104" s="111" t="inlineStr">
        <is>
          <t>See advert</t>
        </is>
      </c>
      <c r="D104" s="111" t="inlineStr">
        <is>
          <t>Leasing of Canteen Building at Njombe District Council Head Quater.</t>
        </is>
      </c>
      <c r="E104" s="111" t="inlineStr">
        <is>
          <t>Njombe</t>
        </is>
      </c>
      <c r="F104" s="111" t="inlineStr">
        <is>
          <t>building</t>
        </is>
      </c>
      <c r="G104" s="115" t="n">
        <v>46317.41666666666</v>
      </c>
      <c r="H104" s="111" t="inlineStr">
        <is>
          <t>Auto (TanzaniaTenders.com): Remote and closing soon · deadline read from the web page – confirm</t>
        </is>
      </c>
      <c r="I104" s="111" t="inlineStr">
        <is>
          <t>TZT:151084301</t>
        </is>
      </c>
      <c r="J104" s="111" t="inlineStr">
        <is>
          <t>press</t>
        </is>
      </c>
      <c r="K104" s="111" t="inlineStr">
        <is>
          <t>https://www.tanzaniatenders.com/tender/leasing-canteen-building-njombe-district-council-head-quater-9015d0d.php</t>
        </is>
      </c>
    </row>
    <row r="105">
      <c r="A105" s="114" t="n">
        <v>46312</v>
      </c>
      <c r="B105" s="111" t="inlineStr"/>
      <c r="C105" s="111" t="inlineStr">
        <is>
          <t>See advert</t>
        </is>
      </c>
      <c r="D105" s="111" t="inlineStr">
        <is>
          <t>Rehabilitation of Engaruka Juu Irrigation Scheme (Main Canal 250M) at Engaruka Chini Vilage in Monduli District</t>
        </is>
      </c>
      <c r="E105" s="111" t="inlineStr">
        <is>
          <t>Arusha (Monduli)</t>
        </is>
      </c>
      <c r="F105" s="111" t="inlineStr">
        <is>
          <t>civil</t>
        </is>
      </c>
      <c r="G105" s="115" t="n">
        <v>46318.41666666666</v>
      </c>
      <c r="H105" s="111" t="inlineStr">
        <is>
          <t>Auto (TanzaniaTenders.com): Remote civil works · deadline read from the web page – confirm</t>
        </is>
      </c>
      <c r="I105" s="111" t="inlineStr">
        <is>
          <t>TZT:151084287</t>
        </is>
      </c>
      <c r="J105" s="111" t="inlineStr">
        <is>
          <t>press</t>
        </is>
      </c>
      <c r="K105" s="111" t="inlineStr">
        <is>
          <t>https://www.tanzaniatenders.com/tender/rehabilitation-engaruka-juu-irrigation-scheme-main-canal-250m-engaruka-chini-vilage-monduli-distri-9015cff.php</t>
        </is>
      </c>
    </row>
    <row r="106">
      <c r="A106" s="114" t="n">
        <v>46312</v>
      </c>
      <c r="B106" s="111" t="inlineStr"/>
      <c r="C106" s="111" t="inlineStr">
        <is>
          <t>See advert</t>
        </is>
      </c>
      <c r="D106" s="111" t="inlineStr">
        <is>
          <t>Rehabilitation of Irerendeni Village Irrigation Scheme (Main Canal 250M) at Engaruka Chini Vilage in Monduli District</t>
        </is>
      </c>
      <c r="E106" s="111" t="inlineStr">
        <is>
          <t>Arusha (Monduli)</t>
        </is>
      </c>
      <c r="F106" s="111" t="inlineStr">
        <is>
          <t>civil</t>
        </is>
      </c>
      <c r="G106" s="115" t="n">
        <v>46318.41666666666</v>
      </c>
      <c r="H106" s="111" t="inlineStr">
        <is>
          <t>Auto (TanzaniaTenders.com): Remote civil works · deadline read from the web page – confirm</t>
        </is>
      </c>
      <c r="I106" s="111" t="inlineStr">
        <is>
          <t>TZT:151084284</t>
        </is>
      </c>
      <c r="J106" s="111" t="inlineStr">
        <is>
          <t>press</t>
        </is>
      </c>
      <c r="K106" s="111" t="inlineStr">
        <is>
          <t>https://www.tanzaniatenders.com/tender/rehabilitation-irerendeni-village-irrigation-scheme-main-canal-250m-engaruka-chini-vilage-monduli-9015cfc.php</t>
        </is>
      </c>
    </row>
    <row r="107">
      <c r="A107" s="114" t="n">
        <v>46312</v>
      </c>
      <c r="B107" s="111" t="inlineStr"/>
      <c r="C107" s="111" t="inlineStr">
        <is>
          <t>See advert</t>
        </is>
      </c>
      <c r="D107" s="111" t="inlineStr">
        <is>
          <t>Rehabilitation of Oldonyo Lengai Village Irrigation Scheme (Main Canal 250M) at Engaruka Chini Vilage in Monduli District</t>
        </is>
      </c>
      <c r="E107" s="111" t="inlineStr">
        <is>
          <t>Arusha (Monduli)</t>
        </is>
      </c>
      <c r="F107" s="111" t="inlineStr">
        <is>
          <t>civil</t>
        </is>
      </c>
      <c r="G107" s="115" t="n">
        <v>46318.41666666666</v>
      </c>
      <c r="H107" s="111" t="inlineStr">
        <is>
          <t>Auto (TanzaniaTenders.com): Remote civil works · deadline read from the web page – confirm</t>
        </is>
      </c>
      <c r="I107" s="111" t="inlineStr">
        <is>
          <t>TZT:151084261</t>
        </is>
      </c>
      <c r="J107" s="111" t="inlineStr">
        <is>
          <t>press</t>
        </is>
      </c>
      <c r="K107" s="111" t="inlineStr">
        <is>
          <t>https://www.tanzaniatenders.com/tender/rehabilitation-oldonyo-lengai-village-irrigation-scheme-main-canal-250m-engaruka-chini-vilage-mond-9015ce5.php</t>
        </is>
      </c>
    </row>
    <row r="108">
      <c r="A108" s="114" t="n">
        <v>46312</v>
      </c>
      <c r="B108" s="111" t="inlineStr"/>
      <c r="C108" s="111" t="inlineStr">
        <is>
          <t>See advert</t>
        </is>
      </c>
      <c r="D108" s="111" t="inlineStr">
        <is>
          <t>Rehabilitation Works Along Ikungi - Londoni - Kilimatinde (Solya) Unpaved Regional Road (R431) to be Financed through Development Roads Funds, Rehabilitation Works Along Ikungi - Londoni - Kilimatinde...</t>
        </is>
      </c>
      <c r="E108" s="111" t="inlineStr">
        <is>
          <t>Singida (Ikungi)</t>
        </is>
      </c>
      <c r="F108" s="111" t="inlineStr">
        <is>
          <t>civil</t>
        </is>
      </c>
      <c r="G108" s="115" t="n">
        <v>46318.41666666666</v>
      </c>
      <c r="H108" s="111" t="inlineStr">
        <is>
          <t>Auto (TanzaniaTenders.com): Remote civil works · deadline read from the web page – confirm</t>
        </is>
      </c>
      <c r="I108" s="111" t="inlineStr">
        <is>
          <t>TZT:151084224</t>
        </is>
      </c>
      <c r="J108" s="111" t="inlineStr">
        <is>
          <t>press</t>
        </is>
      </c>
      <c r="K108" s="111" t="inlineStr">
        <is>
          <t>https://www.tanzaniatenders.com/tender/rehabilitation-works-along-ikungi-londoni-kilimatinde-solya-unpaved-regional-road-r431-be-fi-9015cc0.php</t>
        </is>
      </c>
    </row>
    <row r="109">
      <c r="A109" s="114" t="n">
        <v>46312</v>
      </c>
      <c r="B109" s="111" t="inlineStr"/>
      <c r="C109" s="111" t="inlineStr">
        <is>
          <t>See advert</t>
        </is>
      </c>
      <c r="D109" s="111" t="inlineStr">
        <is>
          <t>Widening of Misigiri - Kiomboi (Reconstruction to Bitumen Standard from Km 16 + 450 - Km 16 + 650) Paved Regional Road (R423) to be Financed through Development Consolidated Funds and Widening Along M...</t>
        </is>
      </c>
      <c r="E109" s="111" t="inlineStr">
        <is>
          <t>Not stated – read the notice</t>
        </is>
      </c>
      <c r="F109" s="111" t="inlineStr">
        <is>
          <t>civil</t>
        </is>
      </c>
      <c r="G109" s="115" t="n">
        <v>46318.41666666666</v>
      </c>
      <c r="H109" s="111" t="inlineStr">
        <is>
          <t>Auto (TanzaniaTenders.com): Large road works, likely above Civil Class IV – JV only (escalate to MD if of interest) · deadline read from the web page – confirm</t>
        </is>
      </c>
      <c r="I109" s="111" t="inlineStr">
        <is>
          <t>TZT:151084220</t>
        </is>
      </c>
      <c r="J109" s="111" t="inlineStr">
        <is>
          <t>press</t>
        </is>
      </c>
      <c r="K109" s="111" t="inlineStr">
        <is>
          <t>https://www.tanzaniatenders.com/tender/widening-misigiri-kiomboi-reconstruction-bitumen-standard-km-16-450-km-16-650-paved-region-9015cbc.php</t>
        </is>
      </c>
    </row>
    <row r="110">
      <c r="A110" s="114" t="n">
        <v>46314</v>
      </c>
      <c r="B110" s="111" t="inlineStr">
        <is>
          <t>S10/011/2026/2027/W/80</t>
        </is>
      </c>
      <c r="C110" s="111" t="inlineStr">
        <is>
          <t>TARURA - Manyara Regional Office</t>
        </is>
      </c>
      <c r="D110" s="111" t="inlineStr">
        <is>
          <t>Upgrading Dongobesh and Haydom town gravel Roads to tarmac standard</t>
        </is>
      </c>
      <c r="E110" s="111" t="inlineStr">
        <is>
          <t>Manyara (Babati) (from client's office – confirm site)</t>
        </is>
      </c>
      <c r="F110" s="111" t="inlineStr">
        <is>
          <t>civil</t>
        </is>
      </c>
      <c r="G110" s="115" t="n">
        <v>46321.58333333334</v>
      </c>
      <c r="H110" s="111" t="inlineStr">
        <is>
          <t>Auto (Small Works / Tender): Large road works, likely above Civil Class IV – JV only (escalate to MD if of interest)</t>
        </is>
      </c>
      <c r="I110" s="111" t="inlineStr">
        <is>
          <t>bf97b668-544f-41d2-acaa-c0ec7a48a57e</t>
        </is>
      </c>
      <c r="J110" s="111" t="inlineStr">
        <is>
          <t>NeST</t>
        </is>
      </c>
      <c r="K110" s="111" t="inlineStr">
        <is>
          <t>https://nest.go.tz/tenders/published-tenders</t>
        </is>
      </c>
    </row>
    <row r="111">
      <c r="A111" s="114" t="n">
        <v>46314</v>
      </c>
      <c r="B111" s="111" t="inlineStr"/>
      <c r="C111" s="111" t="inlineStr">
        <is>
          <t>See advert</t>
        </is>
      </c>
      <c r="D111" s="111" t="inlineStr">
        <is>
          <t>Upgrading Dongobesh and Haydom Town Gravel Roads to Tarmac Standard</t>
        </is>
      </c>
      <c r="E111" s="111" t="inlineStr">
        <is>
          <t>Not stated – read the notice</t>
        </is>
      </c>
      <c r="F111" s="111" t="inlineStr">
        <is>
          <t>civil</t>
        </is>
      </c>
      <c r="G111" s="115" t="n">
        <v>46321.41666666666</v>
      </c>
      <c r="H111" s="111" t="inlineStr">
        <is>
          <t>Auto (TanzaniaTenders.com): Large road works, likely above Civil Class IV – JV only (escalate to MD if of interest) · deadline read from the web page – confirm</t>
        </is>
      </c>
      <c r="I111" s="111" t="inlineStr">
        <is>
          <t>TZT:151144519</t>
        </is>
      </c>
      <c r="J111" s="111" t="inlineStr">
        <is>
          <t>press</t>
        </is>
      </c>
      <c r="K111" s="111" t="inlineStr">
        <is>
          <t>https://www.tanzaniatenders.com/tender/upgrading-dongobesh-and-haydom-town-gravel-roads-tarmac-standard-9024847.php</t>
        </is>
      </c>
    </row>
    <row r="112">
      <c r="A112" s="114" t="n">
        <v>46315</v>
      </c>
      <c r="B112" s="111" t="inlineStr">
        <is>
          <t>S10/005/2026/2027/W/78</t>
        </is>
      </c>
      <c r="C112" s="111" t="inlineStr">
        <is>
          <t>TARURA - Iringa Regional Office</t>
        </is>
      </c>
      <c r="D112" s="111" t="inlineStr">
        <is>
          <t>PERIODIC IDUNDA - KINEGEMBASI ROAD (7KM) AND NYOLOLO - KIHENZILE SECONDARY ROAD (2.5KM) (SPECIAL GROUPS)</t>
        </is>
      </c>
      <c r="E112" s="111" t="inlineStr">
        <is>
          <t>Iringa (from client's office – confirm site)</t>
        </is>
      </c>
      <c r="F112" s="111" t="inlineStr">
        <is>
          <t>civil</t>
        </is>
      </c>
      <c r="G112" s="115" t="n">
        <v>46321.41666666666</v>
      </c>
      <c r="H112" s="111" t="inlineStr">
        <is>
          <t>Auto (Small Works / Tender): Remote civil works</t>
        </is>
      </c>
      <c r="I112" s="111" t="inlineStr">
        <is>
          <t>249d3f1b-24d7-4a96-a571-44879f028fea</t>
        </is>
      </c>
      <c r="J112" s="111" t="inlineStr">
        <is>
          <t>NeST</t>
        </is>
      </c>
      <c r="K112" s="111" t="inlineStr">
        <is>
          <t>https://nest.go.tz/tenders/published-tenders</t>
        </is>
      </c>
    </row>
    <row r="113">
      <c r="A113" s="114" t="n">
        <v>46315</v>
      </c>
      <c r="B113" s="111" t="inlineStr">
        <is>
          <t>S10/005/2026/2027/W/67</t>
        </is>
      </c>
      <c r="C113" s="111" t="inlineStr">
        <is>
          <t>TARURA - Iringa Regional Office</t>
        </is>
      </c>
      <c r="D113" s="111" t="inlineStr">
        <is>
          <t>SPOT IMPROVEMENT WORKS ALONG IKENGEZA - IGODIKAFU (7.0KM) MBUYUNI - MLOWA ISMANI - IKENGEZA (5KM) ISMANI - CHAMNDIDI (4.5KM) AND NYANG'ORO - HOLO (4KM) ROADS IN IRINGA DISTRICT (IRINGA REGION LABOR BASED CONTACTORS ONLY)</t>
        </is>
      </c>
      <c r="E113" s="111" t="inlineStr">
        <is>
          <t>Iringa</t>
        </is>
      </c>
      <c r="F113" s="111" t="inlineStr">
        <is>
          <t>civil</t>
        </is>
      </c>
      <c r="G113" s="115" t="n">
        <v>46321.41666666666</v>
      </c>
      <c r="H113" s="111" t="inlineStr">
        <is>
          <t>Auto (Small Works / Tender): Remote civil works</t>
        </is>
      </c>
      <c r="I113" s="111" t="inlineStr">
        <is>
          <t>1b52d704-c47d-4503-b6af-7b3ddb89f7a6</t>
        </is>
      </c>
      <c r="J113" s="111" t="inlineStr">
        <is>
          <t>NeST</t>
        </is>
      </c>
      <c r="K113" s="111" t="inlineStr">
        <is>
          <t>https://nest.go.tz/tenders/published-tenders</t>
        </is>
      </c>
    </row>
    <row r="114">
      <c r="A114" s="114" t="n">
        <v>46315</v>
      </c>
      <c r="B114" s="111" t="inlineStr">
        <is>
          <t>83P1/2026/2027/W/09</t>
        </is>
      </c>
      <c r="C114" s="111" t="inlineStr">
        <is>
          <t>Bariadi District Council</t>
        </is>
      </c>
      <c r="D114" s="111" t="inlineStr">
        <is>
          <t>TWO RESIDENTIAL HOUSE FOR COUNCIL HEAD OF DEPARTMENTS</t>
        </is>
      </c>
      <c r="E114" s="111" t="inlineStr">
        <is>
          <t>Simiyu (from client's office – confirm site)</t>
        </is>
      </c>
      <c r="F114" s="111" t="inlineStr">
        <is>
          <t>building</t>
        </is>
      </c>
      <c r="G114" s="115" t="n">
        <v>46321.41666666666</v>
      </c>
      <c r="H114" s="111" t="inlineStr">
        <is>
          <t>Auto (Standard Invitation for Quotations -Works / Planned Tender): Remote and closing soon</t>
        </is>
      </c>
      <c r="I114" s="111" t="inlineStr">
        <is>
          <t>0e1c9c1d-f0c9-4014-b4a0-ff26b0a9d5e2</t>
        </is>
      </c>
      <c r="J114" s="111" t="inlineStr">
        <is>
          <t>NeST</t>
        </is>
      </c>
      <c r="K114" s="111" t="inlineStr">
        <is>
          <t>https://nest.go.tz/tenders/published-tenders</t>
        </is>
      </c>
    </row>
    <row r="115">
      <c r="A115" s="114" t="n">
        <v>46315</v>
      </c>
      <c r="B115" s="111" t="inlineStr">
        <is>
          <t>S10/005/2026/2027/W/73</t>
        </is>
      </c>
      <c r="C115" s="111" t="inlineStr">
        <is>
          <t>TARURA - Iringa Regional Office</t>
        </is>
      </c>
      <c r="D115" s="111" t="inlineStr">
        <is>
          <t>SPOT IMPROVEMENT OF ISUPILO - ITIMBO (1.3KM) AND PERIODIC MAINTENANCE OF NUNDWE - IKONGOSI ROADS (10KM) IN MUFINDI DC (SPECIAL GROUPS)</t>
        </is>
      </c>
      <c r="E115" s="111" t="inlineStr">
        <is>
          <t>Iringa (Mufindi)</t>
        </is>
      </c>
      <c r="F115" s="111" t="inlineStr">
        <is>
          <t>civil</t>
        </is>
      </c>
      <c r="G115" s="115" t="n">
        <v>46321.41666666666</v>
      </c>
      <c r="H115" s="111" t="inlineStr">
        <is>
          <t>Auto (Small Works / Tender): Remote civil works</t>
        </is>
      </c>
      <c r="I115" s="111" t="inlineStr">
        <is>
          <t>66b82abe-127a-4eb3-b095-9b78cf8900b1</t>
        </is>
      </c>
      <c r="J115" s="111" t="inlineStr">
        <is>
          <t>NeST</t>
        </is>
      </c>
      <c r="K115" s="111" t="inlineStr">
        <is>
          <t>https://nest.go.tz/tenders/published-tenders</t>
        </is>
      </c>
    </row>
    <row r="116">
      <c r="A116" s="114" t="n">
        <v>46315</v>
      </c>
      <c r="B116" s="111" t="inlineStr">
        <is>
          <t>S10/022/2026/2027/W/67</t>
        </is>
      </c>
      <c r="C116" s="111" t="inlineStr">
        <is>
          <t>TARURA - Simiyu Regional Office</t>
        </is>
      </c>
      <c r="D116" s="111" t="inlineStr">
        <is>
          <t>Routine Maintenance and Spot Improvement along mahembe -kinangweri (2km), mwamapalala - bukingwaminzi - kinang'weli (4km), inalo - mahembe – sawida (4km), sunzula - mahaha (3km) gambasingu - nkoma - mwamapalala (4km)</t>
        </is>
      </c>
      <c r="E116" s="111" t="inlineStr">
        <is>
          <t>Simiyu (from client's office – confirm site)</t>
        </is>
      </c>
      <c r="F116" s="111" t="inlineStr">
        <is>
          <t>civil</t>
        </is>
      </c>
      <c r="G116" s="115" t="n">
        <v>46321.58333333334</v>
      </c>
      <c r="H116" s="111" t="inlineStr">
        <is>
          <t>Auto (Small Works / Tender): Remote civil works</t>
        </is>
      </c>
      <c r="I116" s="111" t="inlineStr">
        <is>
          <t>66491798-66d7-4ca4-90d2-c06d330f9103</t>
        </is>
      </c>
      <c r="J116" s="111" t="inlineStr">
        <is>
          <t>NeST</t>
        </is>
      </c>
      <c r="K116" s="111" t="inlineStr">
        <is>
          <t>https://nest.go.tz/tenders/published-tenders</t>
        </is>
      </c>
    </row>
    <row r="117">
      <c r="A117" s="114" t="n">
        <v>46316</v>
      </c>
      <c r="B117" s="111" t="inlineStr">
        <is>
          <t>TR36/001/2026/2027/W/65</t>
        </is>
      </c>
      <c r="C117" s="111" t="inlineStr">
        <is>
          <t>TANROADS - Arusha Regional Office</t>
        </is>
      </c>
      <c r="D117" s="111" t="inlineStr">
        <is>
          <t>Bridge Preventive Works along Monduli - Lolkisale (UP), Monduli - Engaruka (P &amp; UP), Karatu - Kilimapunda (UP) and Makao - Kimba (UP), Mto wa Mbu - Loliondo (UP) and Longido - Oldonyolengai Regional Roads.</t>
        </is>
      </c>
      <c r="E117" s="111" t="inlineStr">
        <is>
          <t>Arusha (Monduli)</t>
        </is>
      </c>
      <c r="F117" s="111" t="inlineStr">
        <is>
          <t>civil</t>
        </is>
      </c>
      <c r="G117" s="115" t="n">
        <v>46323.58333333334</v>
      </c>
      <c r="H117" s="111" t="inlineStr">
        <is>
          <t>Auto (Small Works / Tender): Remote civil works</t>
        </is>
      </c>
      <c r="I117" s="111" t="inlineStr">
        <is>
          <t>7c989877-62be-4180-8a60-576352e33fe2</t>
        </is>
      </c>
      <c r="J117" s="111" t="inlineStr">
        <is>
          <t>NeST</t>
        </is>
      </c>
      <c r="K117" s="111" t="inlineStr">
        <is>
          <t>https://nest.go.tz/tenders/published-tenders</t>
        </is>
      </c>
    </row>
    <row r="118">
      <c r="A118" s="114" t="n">
        <v>46316</v>
      </c>
      <c r="B118" s="111" t="inlineStr">
        <is>
          <t>TR36/001/2026/2027/W/57</t>
        </is>
      </c>
      <c r="C118" s="111" t="inlineStr">
        <is>
          <t>TANROADS - Arusha Regional Office</t>
        </is>
      </c>
      <c r="D118" s="111" t="inlineStr">
        <is>
          <t>Upgrading of Usariver - Momela - Arusha National Park - 55km and Usariver - Oldonyosambu Roads to Bitumen Standard.</t>
        </is>
      </c>
      <c r="E118" s="111" t="inlineStr">
        <is>
          <t>Arusha</t>
        </is>
      </c>
      <c r="F118" s="111" t="inlineStr">
        <is>
          <t>civil</t>
        </is>
      </c>
      <c r="G118" s="115" t="n">
        <v>46323.58333333334</v>
      </c>
      <c r="H118" s="111" t="inlineStr">
        <is>
          <t>Auto (Small Works / Tender): Large road works, likely above Civil Class IV – JV only (escalate to MD if of interest)</t>
        </is>
      </c>
      <c r="I118" s="111" t="inlineStr">
        <is>
          <t>7062aa7a-a4ab-4e28-8db2-723192a21454</t>
        </is>
      </c>
      <c r="J118" s="111" t="inlineStr">
        <is>
          <t>NeST</t>
        </is>
      </c>
      <c r="K118" s="111" t="inlineStr">
        <is>
          <t>https://nest.go.tz/tenders/published-tenders</t>
        </is>
      </c>
    </row>
    <row r="119">
      <c r="A119" s="114" t="n">
        <v>46316</v>
      </c>
      <c r="B119" s="111" t="inlineStr">
        <is>
          <t>TR36/001/2026/2027/W/30</t>
        </is>
      </c>
      <c r="C119" s="111" t="inlineStr">
        <is>
          <t>TANROADS - Arusha Regional Office</t>
        </is>
      </c>
      <c r="D119" s="111" t="inlineStr">
        <is>
          <t>Periodic Maintenance works, Routine /Recurrent works and Bridge Preventive works along M/Mbu - Loliondo (UP &amp; P)</t>
        </is>
      </c>
      <c r="E119" s="111" t="inlineStr">
        <is>
          <t>Arusha (Loliondo)</t>
        </is>
      </c>
      <c r="F119" s="111" t="inlineStr">
        <is>
          <t>civil</t>
        </is>
      </c>
      <c r="G119" s="115" t="n">
        <v>46323.58333333334</v>
      </c>
      <c r="H119" s="111" t="inlineStr">
        <is>
          <t>Auto (Small Works / Tender): Remote civil works</t>
        </is>
      </c>
      <c r="I119" s="111" t="inlineStr">
        <is>
          <t>ba20aa35-0526-4632-b501-9b97c5d77dcd</t>
        </is>
      </c>
      <c r="J119" s="111" t="inlineStr">
        <is>
          <t>NeST</t>
        </is>
      </c>
      <c r="K119" s="111" t="inlineStr">
        <is>
          <t>https://nest.go.tz/tenders/published-tenders</t>
        </is>
      </c>
    </row>
    <row r="120">
      <c r="A120" s="114" t="n">
        <v>46316</v>
      </c>
      <c r="B120" s="111" t="inlineStr">
        <is>
          <t>82N7/2026/2027/W/25</t>
        </is>
      </c>
      <c r="C120" s="111" t="inlineStr">
        <is>
          <t>Mbinga Town Council</t>
        </is>
      </c>
      <c r="D120" s="111" t="inlineStr">
        <is>
          <t>COMPLETION, RENOVATION AND IMPROVEMENT OF THE COUNCIL DIRECTOR'S RESIDENCE</t>
        </is>
      </c>
      <c r="E120" s="111" t="inlineStr">
        <is>
          <t>Ruvuma (Mbinga) (from client's office – confirm site)</t>
        </is>
      </c>
      <c r="F120" s="111" t="inlineStr">
        <is>
          <t>renovation</t>
        </is>
      </c>
      <c r="G120" s="115" t="n">
        <v>46322.58333333334</v>
      </c>
      <c r="H120" s="111" t="inlineStr">
        <is>
          <t>Auto (Small Works / Tender): Remote and closing soon</t>
        </is>
      </c>
      <c r="I120" s="111" t="inlineStr">
        <is>
          <t>eed2c14e-3602-412c-91fd-164445eefb3a</t>
        </is>
      </c>
      <c r="J120" s="111" t="inlineStr">
        <is>
          <t>NeST</t>
        </is>
      </c>
      <c r="K120" s="111" t="inlineStr">
        <is>
          <t>https://nest.go.tz/tenders/published-tenders</t>
        </is>
      </c>
    </row>
    <row r="121">
      <c r="A121" s="114" t="n">
        <v>46316</v>
      </c>
      <c r="B121" s="111" t="inlineStr">
        <is>
          <t>82/2026/2027/W/17</t>
        </is>
      </c>
      <c r="C121" s="111" t="inlineStr">
        <is>
          <t>Ruvuma Regional Secretariat</t>
        </is>
      </c>
      <c r="D121" s="111" t="inlineStr">
        <is>
          <t>The Rehabilitation and Renovation of the Nyasa District Commissioner's office at Nyasa District Council</t>
        </is>
      </c>
      <c r="E121" s="111" t="inlineStr">
        <is>
          <t>Ruvuma (Songea) (from client's office – confirm site)</t>
        </is>
      </c>
      <c r="F121" s="111" t="inlineStr">
        <is>
          <t>renovation</t>
        </is>
      </c>
      <c r="G121" s="115" t="n">
        <v>46322.58333333334</v>
      </c>
      <c r="H121" s="111" t="inlineStr">
        <is>
          <t>Auto (Small Works / Tender): Remote and closing soon</t>
        </is>
      </c>
      <c r="I121" s="111" t="inlineStr">
        <is>
          <t>0a35eb01-9381-4443-a3e7-da7ff9a4ffd0</t>
        </is>
      </c>
      <c r="J121" s="111" t="inlineStr">
        <is>
          <t>NeST</t>
        </is>
      </c>
      <c r="K121" s="111" t="inlineStr">
        <is>
          <t>https://nest.go.tz/tenders/published-tenders</t>
        </is>
      </c>
    </row>
    <row r="122">
      <c r="A122" s="114" t="n">
        <v>46318</v>
      </c>
      <c r="B122" s="111" t="inlineStr">
        <is>
          <t>75F5/2026/2027/W/05</t>
        </is>
      </c>
      <c r="C122" s="111" t="inlineStr">
        <is>
          <t>Mwanga District Council</t>
        </is>
      </c>
      <c r="D122" s="111" t="inlineStr">
        <is>
          <t>Rehabilitation of Water Dam at Pangaro</t>
        </is>
      </c>
      <c r="E122" s="111" t="inlineStr">
        <is>
          <t>Kilimanjaro (Mwanga) (from client's office – confirm site)</t>
        </is>
      </c>
      <c r="F122" s="111" t="inlineStr">
        <is>
          <t>civil</t>
        </is>
      </c>
      <c r="G122" s="115" t="n">
        <v>46325.58333333334</v>
      </c>
      <c r="H122" s="111" t="inlineStr">
        <is>
          <t>Auto (Small Works / Tender): Remote civil works</t>
        </is>
      </c>
      <c r="I122" s="111" t="inlineStr">
        <is>
          <t>ed03dce5-f80e-4d02-9846-5bc9089d155f</t>
        </is>
      </c>
      <c r="J122" s="111" t="inlineStr">
        <is>
          <t>NeST</t>
        </is>
      </c>
      <c r="K122" s="111" t="inlineStr">
        <is>
          <t>https://nest.go.tz/tenders/published-tenders</t>
        </is>
      </c>
    </row>
    <row r="123">
      <c r="A123" s="114" t="n">
        <v>46318</v>
      </c>
      <c r="B123" s="111" t="inlineStr">
        <is>
          <t>TR36/2026/2027/W/17</t>
        </is>
      </c>
      <c r="C123" s="111" t="inlineStr">
        <is>
          <t>Tanzania National Roads Agency</t>
        </is>
      </c>
      <c r="D123" s="111" t="inlineStr">
        <is>
          <t>UPGRADING OF MIKA - UTEGI - SHIRATI - KIRONGWE - RUARI PORT REGIONAL ROAD (56.80 KM) TO BITUMEN STANDARD: LOT 1: MIKA - UTEGI - SHIRATI SECTION (27.0 KM) IN MARA REGION</t>
        </is>
      </c>
      <c r="E123" s="111" t="inlineStr">
        <is>
          <t>Dodoma (from client's office – confirm site)</t>
        </is>
      </c>
      <c r="F123" s="111" t="inlineStr">
        <is>
          <t>civil</t>
        </is>
      </c>
      <c r="G123" s="115" t="n">
        <v>46331.58333333334</v>
      </c>
      <c r="H123" s="111" t="inlineStr">
        <is>
          <t>Auto (Medium and Large Works / Tender): Large road works, likely above Civil Class IV – JV only (escalate to MD if of interest)</t>
        </is>
      </c>
      <c r="I123" s="111" t="inlineStr">
        <is>
          <t>148d1208-f033-4ded-9183-1a75aeebb8e9</t>
        </is>
      </c>
      <c r="J123" s="111" t="inlineStr">
        <is>
          <t>NeST</t>
        </is>
      </c>
      <c r="K123" s="111" t="inlineStr">
        <is>
          <t>https://nest.go.tz/tenders/published-tenders</t>
        </is>
      </c>
    </row>
    <row r="124">
      <c r="A124" s="114" t="n">
        <v>46319</v>
      </c>
      <c r="B124" s="111" t="inlineStr">
        <is>
          <t>TR36/2026/2027/W/18</t>
        </is>
      </c>
      <c r="C124" s="111" t="inlineStr">
        <is>
          <t>Tanzania National Roads Agency</t>
        </is>
      </c>
      <c r="D124" s="111" t="inlineStr">
        <is>
          <t>UPGRADING OF MOROGORO - DODOMA ROAD (260 KM) TO BITUMEN STANDARDS; LOT 2: DUMILA BYPASS ( 20 KM) INCLUDING MKUNDI BRIDGE (80 M) IN MOROGORO REGION.</t>
        </is>
      </c>
      <c r="E124" s="111" t="inlineStr">
        <is>
          <t>Morogoro</t>
        </is>
      </c>
      <c r="F124" s="111" t="inlineStr">
        <is>
          <t>civil</t>
        </is>
      </c>
      <c r="G124" s="115" t="n">
        <v>46339.58333333334</v>
      </c>
      <c r="H124" s="111" t="inlineStr">
        <is>
          <t>Auto (Medium and Large Works / Tender): Large road works, likely above Civil Class IV – JV only (escalate to MD if of interest)</t>
        </is>
      </c>
      <c r="I124" s="111" t="inlineStr">
        <is>
          <t>cb2642a5-7e9c-430a-85c9-0289aa834dea</t>
        </is>
      </c>
      <c r="J124" s="111" t="inlineStr">
        <is>
          <t>NeST</t>
        </is>
      </c>
      <c r="K124" s="111" t="inlineStr">
        <is>
          <t>https://nest.go.tz/tenders/published-tenders</t>
        </is>
      </c>
    </row>
    <row r="125">
      <c r="A125" s="114" t="n">
        <v>46319</v>
      </c>
      <c r="B125" s="111" t="inlineStr">
        <is>
          <t>TR36/001/2026/2027/W/11</t>
        </is>
      </c>
      <c r="C125" s="111" t="inlineStr">
        <is>
          <t>TANROADS - Arusha Regional Office</t>
        </is>
      </c>
      <c r="D125" s="111" t="inlineStr">
        <is>
          <t>Bridge Preventive works along KIA - JCT - Namanga (P), TCA JCT - Minjingu (P), Makuyuni - Ngorongoro (P) and Matala - Njia Panda (UP) Trunk Roads.</t>
        </is>
      </c>
      <c r="E125" s="111" t="inlineStr">
        <is>
          <t>Arusha (Ngorongoro)</t>
        </is>
      </c>
      <c r="F125" s="111" t="inlineStr">
        <is>
          <t>civil</t>
        </is>
      </c>
      <c r="G125" s="115" t="n">
        <v>46325.58333333334</v>
      </c>
      <c r="H125" s="111" t="inlineStr">
        <is>
          <t>Auto (Small Works / Tender): Remote civil works</t>
        </is>
      </c>
      <c r="I125" s="111" t="inlineStr">
        <is>
          <t>cc2d45b4-bc98-4fb9-bb29-717614630607</t>
        </is>
      </c>
      <c r="J125" s="111" t="inlineStr">
        <is>
          <t>NeST</t>
        </is>
      </c>
      <c r="K125" s="111" t="inlineStr">
        <is>
          <t>https://nest.go.tz/tenders/published-tenders</t>
        </is>
      </c>
    </row>
    <row r="126">
      <c r="A126" s="114" t="n">
        <v>46319</v>
      </c>
      <c r="B126" s="111" t="inlineStr">
        <is>
          <t>78J10/2026/2027/W/05</t>
        </is>
      </c>
      <c r="C126" s="111" t="inlineStr">
        <is>
          <t>Tunduma Town Council</t>
        </is>
      </c>
      <c r="D126" s="111" t="inlineStr">
        <is>
          <t>Proposed for upgrading gravel road network at Katete road (6km), and Proposed for upgrading gravel road network at Katete road (6km)</t>
        </is>
      </c>
      <c r="E126" s="111" t="inlineStr">
        <is>
          <t>Songwe (from client's office – confirm site)</t>
        </is>
      </c>
      <c r="F126" s="111" t="inlineStr">
        <is>
          <t>civil</t>
        </is>
      </c>
      <c r="G126" s="115" t="n">
        <v>46325.41666666666</v>
      </c>
      <c r="H126" s="111" t="inlineStr">
        <is>
          <t>Auto (Standard Invitation for Quotations -Works / Planned Tender): Remote civil works</t>
        </is>
      </c>
      <c r="I126" s="111" t="inlineStr">
        <is>
          <t>9c7bfae6-415b-4789-8fc9-6e6fecef2d48</t>
        </is>
      </c>
      <c r="J126" s="111" t="inlineStr">
        <is>
          <t>NeST</t>
        </is>
      </c>
      <c r="K126" s="111" t="inlineStr">
        <is>
          <t>https://nest.go.tz/tenders/published-tenders</t>
        </is>
      </c>
    </row>
    <row r="127">
      <c r="A127" s="114" t="n">
        <v>46319</v>
      </c>
      <c r="B127" s="111" t="inlineStr"/>
      <c r="C127" s="111" t="inlineStr">
        <is>
          <t>See advert</t>
        </is>
      </c>
      <c r="D127" s="111" t="inlineStr">
        <is>
          <t>Bridge preventive works along KIA - JCT - Namanga, TCA JCT - Minjingu, Makuyuni - Ngorongoro, and Matala - Njia Panda trunk roads. **</t>
        </is>
      </c>
      <c r="E127" s="111" t="inlineStr">
        <is>
          <t>Arusha (Ngorongoro)</t>
        </is>
      </c>
      <c r="F127" s="111" t="inlineStr">
        <is>
          <t>civil</t>
        </is>
      </c>
      <c r="G127" s="115" t="n">
        <v>46325.41666666666</v>
      </c>
      <c r="H127" s="111" t="inlineStr">
        <is>
          <t>Auto (TanzaniaTenders.com): Remote civil works · deadline read from the web page – confirm</t>
        </is>
      </c>
      <c r="I127" s="111" t="inlineStr">
        <is>
          <t>TZT:151405527</t>
        </is>
      </c>
      <c r="J127" s="111" t="inlineStr">
        <is>
          <t>press</t>
        </is>
      </c>
      <c r="K127" s="111" t="inlineStr">
        <is>
          <t>https://www.tanzaniatenders.com/tender/bridge-preventive-works-along-kia-jct-namanga-tca-jct-minjingu-makuyuni-ngorongoro-and-ma-90643d7.php</t>
        </is>
      </c>
    </row>
    <row r="128">
      <c r="A128" s="114" t="n">
        <v>46321</v>
      </c>
      <c r="B128" s="111" t="inlineStr">
        <is>
          <t>S10/009/2026/2027/W/137</t>
        </is>
      </c>
      <c r="C128" s="111" t="inlineStr">
        <is>
          <t>TARURA - Kilimanjaro Regional Office</t>
        </is>
      </c>
      <c r="D128" s="111" t="inlineStr">
        <is>
          <t>Upgrading of KKKT Church Mwanga road to Double Surface Dressing in Mwanga District.</t>
        </is>
      </c>
      <c r="E128" s="111" t="inlineStr">
        <is>
          <t>Kilimanjaro (Mwanga)</t>
        </is>
      </c>
      <c r="F128" s="111" t="inlineStr">
        <is>
          <t>civil</t>
        </is>
      </c>
      <c r="G128" s="115" t="n">
        <v>46328.41666666666</v>
      </c>
      <c r="H128" s="111" t="inlineStr">
        <is>
          <t>Auto (Small Works / Tender): Large road works, likely above Civil Class IV – JV only (escalate to MD if of interest)</t>
        </is>
      </c>
      <c r="I128" s="111" t="inlineStr">
        <is>
          <t>501ee9ee-c2d0-4a81-8d40-54520212bd84</t>
        </is>
      </c>
      <c r="J128" s="111" t="inlineStr">
        <is>
          <t>NeST</t>
        </is>
      </c>
      <c r="K128" s="111" t="inlineStr">
        <is>
          <t>https://nest.go.tz/tenders/published-tenders</t>
        </is>
      </c>
    </row>
    <row r="129">
      <c r="A129" s="114" t="n">
        <v>46321</v>
      </c>
      <c r="B129" s="111" t="inlineStr">
        <is>
          <t>S10/009/2026/2027/W/183</t>
        </is>
      </c>
      <c r="C129" s="111" t="inlineStr">
        <is>
          <t>TARURA - Kilimanjaro Regional Office</t>
        </is>
      </c>
      <c r="D129" s="111" t="inlineStr">
        <is>
          <t>UPGRADING OF NDAMENI - USONGO - KWALAKAMU ROAD (4.8km) and KISALE DISPENSARY - MAHOROSHA ROAD (1.75km) TO GRAVEL STANDARD IN ROMBO DISTRICT.</t>
        </is>
      </c>
      <c r="E129" s="111" t="inlineStr">
        <is>
          <t>Kilimanjaro (Moshi) (from client's office – confirm site)</t>
        </is>
      </c>
      <c r="F129" s="111" t="inlineStr">
        <is>
          <t>civil</t>
        </is>
      </c>
      <c r="G129" s="115" t="n">
        <v>46328.41666666666</v>
      </c>
      <c r="H129" s="111" t="inlineStr">
        <is>
          <t>Auto (Small Works / Tender): Remote civil works</t>
        </is>
      </c>
      <c r="I129" s="111" t="inlineStr">
        <is>
          <t>3fddbbf1-9557-45a3-ab9d-0f8d23a368f1</t>
        </is>
      </c>
      <c r="J129" s="111" t="inlineStr">
        <is>
          <t>NeST</t>
        </is>
      </c>
      <c r="K129" s="111" t="inlineStr">
        <is>
          <t>https://nest.go.tz/tenders/published-tenders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2026-09-24T11:24:39Z</dcterms:created>
  <dcterms:modified xsi:type="dcterms:W3CDTF">2026-10-26T01:01:08Z</dcterms:modified>
  <cp:revision>0</cp:revision>
</cp:coreProperties>
</file>